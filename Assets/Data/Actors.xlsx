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activeTab="3"/>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<sst xmlns="http://schemas.openxmlformats.org/spreadsheetml/2006/main" count="135" uniqueCount="123">
  <si>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</si>
  <si>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</si>
  <si>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</si>
  <si>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</si>
  <si>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</si>
  <si>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</si>
  <si>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</si>
  <si>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</si>
  <si>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</si>
  <si>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</si>
  <si>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</si>
  <si>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</si>
  <si>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</si>
  <si>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</si>
  <si>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</si>
  <si>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</si>
  <si>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</si>
  <si>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</si>
  <si>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</si>
  <si>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</si>
  <si>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</si>
  <si>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</si>
  <si>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</si>
  <si>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</si>
  <si>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</si>
  <si>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</si>
  <si>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</si>
  <si>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</si>
  <si>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</si>
  <si>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</si>
  <si>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</si>
  <si>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</si>
  <si>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</si>
  <si>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</si>
  <si>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</si>
  <si>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</si>
  <si>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</si>
  <si>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</si>
  <si>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</si>
  <si>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</si>
  <si>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</si>
  <si>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</si>
  <si>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</si>
  <si>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</si>
  <si>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</si>
  <si>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</si>
  <si>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</si>
  <si>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</si>
  <si>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</si>
  <si>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</si>
  <si>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</si>
  <si>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</si>
  <si>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</si>
  <si>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</si>
  <si>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</si>
  <si>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</si>
  <si>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</si>
  <si>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</si>
  <si>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</si>
  <si>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</si>
  <si>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</si>
  <si>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</si>
  <si>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</si>
  <si>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</si>
  <si>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</si>
  <si>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</si>
  <si>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</si>
  <si>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</si>
  <si>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</si>
  <si>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</si>
  <si>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</si>
  <si>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</si>
  <si>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</si>
  <si>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</si>
  <si>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</si>
  <si>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立場に縛られて…私は</t>
  </si>
  <si>
    <t>エリザベート</t>
  </si>
  <si>
    <t>【ChargeCommander】</t>
  </si>
  <si>
    <t>回避率を上げて攻撃を避けるアタッカー。
打たれ弱いがSPDが高く、回避率をアップする雷属性魔法を習得しやすい。</t>
  </si>
  <si>
    <t>先陣を切るのはアタシだ！</t>
  </si>
  <si>
    <t>アリエス</t>
  </si>
  <si>
    <t>【怠惰な守護少女】</t>
  </si>
  <si>
    <t>相手の攻撃を跳ね返すディフェンダー。
受けた攻撃ダメージの一部を跳ね返す「カウンターオーラ」を使うことができる。</t>
  </si>
  <si>
    <t>外の世界は怖いから…ずっとここにいたい</t>
  </si>
  <si>
    <t>シイナ</t>
  </si>
  <si>
    <t>【イノセント・リメディ】</t>
  </si>
  <si>
    <t>回復に特化したヒーラー。
全体的にステータスが低いが、味方のHpを回復する「ヒーリング」を使うことができる。</t>
  </si>
  <si>
    <t>生きる理由は、もうどこにもないから</t>
  </si>
  <si>
    <t>レダ</t>
  </si>
  <si>
    <t>【Self-sacrifice】</t>
  </si>
  <si>
    <t>相手の攻撃性能を下げるジャマー。
「シェイディークラウド」で味方が受けるダメージを抑えたり、「毒」でスリップダメージを与える魔法を使うことができる。</t>
  </si>
  <si>
    <t>知を得るために魂を授けろって…上等じゃない</t>
  </si>
  <si>
    <t>リシェリ</t>
  </si>
  <si>
    <t>【Faked-Magician】</t>
  </si>
  <si>
    <t>味方のCTを短縮することができるサポーター。
CT（魔法を再使用するまでのターン数）を短縮しパーティ全体の補助をすることができる。</t>
  </si>
  <si>
    <t>このまま待っているだけなんて、嫌だよ</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</si>
  <si>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</si>
  <si>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</si>
  <si>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</si>
  <si>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ワタシは王子を信じている、たとえ塵になろうとも</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</si>
  <si>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</si>
  <si>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</si>
  <si>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</si>
  <si>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ただの傭兵稼業をしているつもりだったんだけどね</t>
  </si>
  <si>
    <t>ナツキ</t>
  </si>
  <si>
    <t>【黄昏ニヒリスト】</t>
  </si>
  <si>
    <t>攻撃回数の多い攻撃性能を持つアタッカー。
Hpが低いがATKが高く、攻撃回数の多い「フレイムレイン」を使うことができる。</t>
  </si>
  <si>
    <t>敵、ならば殲滅あるのみ</t>
  </si>
  <si>
    <t>メリアドール</t>
  </si>
  <si>
    <t>【怨嗟の鎖】</t>
  </si>
  <si>
    <t>SPD性能に特化したジャマー。
「ショックインパルス」で相手を行動不可にすることができる。</t>
  </si>
  <si>
    <t>あたしはこんな力持ちたくなかったのに</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</si>
  <si>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</si>
  <si>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</si>
  <si>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</si>
  <si>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どうして…ほおっておいてくれないのでしょうか</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</si>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</sst>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_-\ ;\-&quot;\&quot;* #,##0_-\ ;_-&quot;\&quot;* &quot;-&quot;??_-\ ;_-@_-"/>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b/>
      <sz val="11"/>
      <color rgb="FFFFFFFF"/>
      <name val="ＭＳ Ｐゴシック"/>
      <charset val="0"/>
      <scheme val="minor"/>
    </font>
    <font>
      <sz val="11"/>
      <color rgb="FF3F3F76"/>
      <name val="ＭＳ Ｐゴシック"/>
      <charset val="0"/>
      <scheme val="minor"/>
    </font>
    <font>
      <b/>
      <sz val="15"/>
      <color theme="3"/>
      <name val="ＭＳ Ｐゴシック"/>
      <charset val="134"/>
      <scheme val="minor"/>
    </font>
    <font>
      <sz val="11"/>
      <color theme="0"/>
      <name val="ＭＳ Ｐゴシック"/>
      <charset val="0"/>
      <scheme val="minor"/>
    </font>
    <font>
      <sz val="11"/>
      <color theme="1"/>
      <name val="ＭＳ Ｐゴシック"/>
      <charset val="0"/>
      <scheme val="minor"/>
    </font>
    <font>
      <b/>
      <sz val="18"/>
      <color theme="3"/>
      <name val="ＭＳ Ｐゴシック"/>
      <charset val="134"/>
      <scheme val="minor"/>
    </font>
    <font>
      <sz val="11"/>
      <color rgb="FF006100"/>
      <name val="ＭＳ Ｐゴシック"/>
      <charset val="0"/>
      <scheme val="minor"/>
    </font>
    <font>
      <u/>
      <sz val="11"/>
      <color rgb="FF0000FF"/>
      <name val="ＭＳ Ｐゴシック"/>
      <charset val="0"/>
      <scheme val="minor"/>
    </font>
    <font>
      <u/>
      <sz val="11"/>
      <color rgb="FF800080"/>
      <name val="ＭＳ Ｐゴシック"/>
      <charset val="0"/>
      <scheme val="minor"/>
    </font>
    <font>
      <b/>
      <sz val="11"/>
      <color theme="1"/>
      <name val="ＭＳ Ｐゴシック"/>
      <charset val="0"/>
      <scheme val="minor"/>
    </font>
    <font>
      <sz val="11"/>
      <color rgb="FFFA7D00"/>
      <name val="ＭＳ Ｐゴシック"/>
      <charset val="0"/>
      <scheme val="minor"/>
    </font>
    <font>
      <sz val="11"/>
      <color rgb="FFFF0000"/>
      <name val="ＭＳ Ｐゴシック"/>
      <charset val="0"/>
      <scheme val="minor"/>
    </font>
    <font>
      <i/>
      <sz val="11"/>
      <color rgb="FF7F7F7F"/>
      <name val="ＭＳ Ｐゴシック"/>
      <charset val="0"/>
      <scheme val="minor"/>
    </font>
    <font>
      <sz val="11"/>
      <color rgb="FF9C0006"/>
      <name val="ＭＳ Ｐゴシック"/>
      <charset val="0"/>
      <scheme val="minor"/>
    </font>
    <font>
      <b/>
      <sz val="11"/>
      <color theme="3"/>
      <name val="ＭＳ Ｐゴシック"/>
      <charset val="134"/>
      <scheme val="minor"/>
    </font>
    <font>
      <b/>
      <sz val="11"/>
      <color rgb="FF3F3F3F"/>
      <name val="ＭＳ Ｐゴシック"/>
      <charset val="0"/>
      <scheme val="minor"/>
    </font>
    <font>
      <b/>
      <sz val="13"/>
      <color theme="3"/>
      <name val="ＭＳ Ｐゴシック"/>
      <charset val="134"/>
      <scheme val="minor"/>
    </font>
    <font>
      <b/>
      <sz val="11"/>
      <color rgb="FFFA7D00"/>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A5A5A5"/>
        <bgColor indexed="64"/>
      </patternFill>
    </fill>
    <fill>
      <patternFill patternType="solid">
        <fgColor rgb="FFFFCC99"/>
        <bgColor indexed="64"/>
      </patternFill>
    </fill>
    <fill>
      <patternFill patternType="solid">
        <fgColor theme="9"/>
        <bgColor indexed="64"/>
      </patternFill>
    </fill>
    <fill>
      <patternFill patternType="solid">
        <fgColor theme="8" tint="0.599993896298105"/>
        <bgColor indexed="64"/>
      </patternFill>
    </fill>
    <fill>
      <patternFill patternType="solid">
        <fgColor theme="9" tint="0.399975585192419"/>
        <bgColor indexed="64"/>
      </patternFill>
    </fill>
    <fill>
      <patternFill patternType="solid">
        <fgColor theme="4" tint="0.599993896298105"/>
        <bgColor indexed="64"/>
      </patternFill>
    </fill>
    <fill>
      <patternFill patternType="solid">
        <fgColor rgb="FFC6EFCE"/>
        <bgColor indexed="64"/>
      </patternFill>
    </fill>
    <fill>
      <patternFill patternType="solid">
        <fgColor theme="9" tint="0.599993896298105"/>
        <bgColor indexed="64"/>
      </patternFill>
    </fill>
    <fill>
      <patternFill patternType="solid">
        <fgColor theme="7" tint="0.399975585192419"/>
        <bgColor indexed="64"/>
      </patternFill>
    </fill>
    <fill>
      <patternFill patternType="solid">
        <fgColor theme="5" tint="0.799981688894314"/>
        <bgColor indexed="64"/>
      </patternFill>
    </fill>
    <fill>
      <patternFill patternType="solid">
        <fgColor theme="5"/>
        <bgColor indexed="64"/>
      </patternFill>
    </fill>
    <fill>
      <patternFill patternType="solid">
        <fgColor rgb="FFFFFFCC"/>
        <bgColor indexed="64"/>
      </patternFill>
    </fill>
    <fill>
      <patternFill patternType="solid">
        <fgColor theme="4" tint="0.399975585192419"/>
        <bgColor indexed="64"/>
      </patternFill>
    </fill>
    <fill>
      <patternFill patternType="solid">
        <fgColor theme="7" tint="0.799981688894314"/>
        <bgColor indexed="64"/>
      </patternFill>
    </fill>
    <fill>
      <patternFill patternType="solid">
        <fgColor rgb="FFFFC7CE"/>
        <bgColor indexed="64"/>
      </patternFill>
    </fill>
    <fill>
      <patternFill patternType="solid">
        <fgColor rgb="FFF2F2F2"/>
        <bgColor indexed="64"/>
      </patternFill>
    </fill>
    <fill>
      <patternFill patternType="solid">
        <fgColor theme="4"/>
        <bgColor indexed="64"/>
      </patternFill>
    </fill>
    <fill>
      <patternFill patternType="solid">
        <fgColor theme="4" tint="0.799981688894314"/>
        <bgColor indexed="64"/>
      </patternFill>
    </fill>
    <fill>
      <patternFill patternType="solid">
        <fgColor rgb="FFFFEB9C"/>
        <bgColor indexed="64"/>
      </patternFill>
    </fill>
    <fill>
      <patternFill patternType="solid">
        <fgColor theme="6" tint="0.799981688894314"/>
        <bgColor indexed="64"/>
      </patternFill>
    </fill>
    <fill>
      <patternFill patternType="solid">
        <fgColor theme="8" tint="0.399975585192419"/>
        <bgColor indexed="64"/>
      </patternFill>
    </fill>
    <fill>
      <patternFill patternType="solid">
        <fgColor theme="6" tint="0.399975585192419"/>
        <bgColor indexed="64"/>
      </patternFill>
    </fill>
    <fill>
      <patternFill patternType="solid">
        <fgColor theme="8" tint="0.799981688894314"/>
        <bgColor indexed="64"/>
      </patternFill>
    </fill>
    <fill>
      <patternFill patternType="solid">
        <fgColor theme="7" tint="0.599993896298105"/>
        <bgColor indexed="64"/>
      </patternFill>
    </fill>
    <fill>
      <patternFill patternType="solid">
        <fgColor theme="9" tint="0.799981688894314"/>
        <bgColor indexed="64"/>
      </patternFill>
    </fill>
    <fill>
      <patternFill patternType="solid">
        <fgColor theme="5" tint="0.599993896298105"/>
        <bgColor indexed="64"/>
      </patternFill>
    </fill>
    <fill>
      <patternFill patternType="solid">
        <fgColor theme="8"/>
        <bgColor indexed="64"/>
      </patternFill>
    </fill>
    <fill>
      <patternFill patternType="solid">
        <fgColor theme="5" tint="0.399975585192419"/>
        <bgColor indexed="64"/>
      </patternFill>
    </fill>
    <fill>
      <patternFill patternType="solid">
        <fgColor theme="6" tint="0.599993896298105"/>
        <bgColor indexed="64"/>
      </patternFill>
    </fill>
    <fill>
      <patternFill patternType="solid">
        <fgColor theme="6"/>
        <bgColor indexed="64"/>
      </patternFill>
    </fill>
    <fill>
      <patternFill patternType="solid">
        <fgColor theme="7"/>
        <bgColor indexed="64"/>
      </patternFill>
    </fill>
  </fills>
  <borders count="9">
    <border>
      <left/>
      <right/>
      <top/>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ouble">
        <color rgb="FFFF8001"/>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3" fillId="3" borderId="2"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 fillId="5"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5" fillId="12" borderId="0" applyNumberFormat="0" applyBorder="0" applyAlignment="0" applyProtection="0">
      <alignment vertical="center"/>
    </xf>
    <xf numFmtId="0" fontId="10" fillId="0" borderId="0" applyNumberFormat="0" applyFill="0" applyBorder="0" applyAlignment="0" applyProtection="0">
      <alignment vertical="center"/>
    </xf>
    <xf numFmtId="0" fontId="6" fillId="15" borderId="0" applyNumberFormat="0" applyBorder="0" applyAlignment="0" applyProtection="0">
      <alignment vertical="center"/>
    </xf>
    <xf numFmtId="0" fontId="0" fillId="13" borderId="4" applyNumberFormat="0" applyFont="0" applyAlignment="0" applyProtection="0">
      <alignment vertical="center"/>
    </xf>
    <xf numFmtId="0" fontId="8" fillId="8" borderId="0" applyNumberFormat="0" applyBorder="0" applyAlignment="0" applyProtection="0">
      <alignment vertical="center"/>
    </xf>
    <xf numFmtId="0" fontId="13" fillId="0" borderId="0" applyNumberFormat="0" applyFill="0" applyBorder="0" applyAlignment="0" applyProtection="0">
      <alignment vertical="center"/>
    </xf>
    <xf numFmtId="0" fontId="12" fillId="0" borderId="6" applyNumberFormat="0" applyFill="0" applyAlignment="0" applyProtection="0">
      <alignment vertical="center"/>
    </xf>
    <xf numFmtId="0" fontId="7"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5" fillId="4" borderId="0" applyNumberFormat="0" applyBorder="0" applyAlignment="0" applyProtection="0">
      <alignment vertical="center"/>
    </xf>
    <xf numFmtId="0" fontId="17" fillId="17" borderId="8" applyNumberFormat="0" applyAlignment="0" applyProtection="0">
      <alignment vertical="center"/>
    </xf>
    <xf numFmtId="0" fontId="4" fillId="0" borderId="3" applyNumberFormat="0" applyFill="0" applyAlignment="0" applyProtection="0">
      <alignment vertical="center"/>
    </xf>
    <xf numFmtId="0" fontId="18" fillId="0" borderId="3" applyNumberFormat="0" applyFill="0" applyAlignment="0" applyProtection="0">
      <alignment vertical="center"/>
    </xf>
    <xf numFmtId="0" fontId="19" fillId="17" borderId="2" applyNumberFormat="0" applyAlignment="0" applyProtection="0">
      <alignment vertical="center"/>
    </xf>
    <xf numFmtId="0" fontId="16" fillId="0" borderId="7" applyNumberFormat="0" applyFill="0" applyAlignment="0" applyProtection="0">
      <alignment vertical="center"/>
    </xf>
    <xf numFmtId="0" fontId="16" fillId="0" borderId="0" applyNumberFormat="0" applyFill="0" applyBorder="0" applyAlignment="0" applyProtection="0">
      <alignment vertical="center"/>
    </xf>
    <xf numFmtId="0" fontId="5" fillId="22" borderId="0" applyNumberFormat="0" applyBorder="0" applyAlignment="0" applyProtection="0">
      <alignment vertical="center"/>
    </xf>
    <xf numFmtId="0" fontId="2" fillId="2" borderId="1" applyNumberFormat="0" applyAlignment="0" applyProtection="0">
      <alignment vertical="center"/>
    </xf>
    <xf numFmtId="0" fontId="6" fillId="7" borderId="0" applyNumberFormat="0" applyBorder="0" applyAlignment="0" applyProtection="0">
      <alignment vertical="center"/>
    </xf>
    <xf numFmtId="0" fontId="11" fillId="0" borderId="5" applyNumberFormat="0" applyFill="0" applyAlignment="0" applyProtection="0">
      <alignment vertical="center"/>
    </xf>
    <xf numFmtId="0" fontId="15" fillId="16" borderId="0" applyNumberFormat="0" applyBorder="0" applyAlignment="0" applyProtection="0">
      <alignment vertical="center"/>
    </xf>
    <xf numFmtId="0" fontId="20" fillId="20" borderId="0" applyNumberFormat="0" applyBorder="0" applyAlignment="0" applyProtection="0">
      <alignment vertical="center"/>
    </xf>
    <xf numFmtId="0" fontId="5" fillId="18" borderId="0" applyNumberFormat="0" applyBorder="0" applyAlignment="0" applyProtection="0">
      <alignment vertical="center"/>
    </xf>
    <xf numFmtId="0" fontId="6" fillId="19" borderId="0" applyNumberFormat="0" applyBorder="0" applyAlignment="0" applyProtection="0">
      <alignment vertical="center"/>
    </xf>
    <xf numFmtId="0" fontId="6" fillId="24" borderId="0" applyNumberFormat="0" applyBorder="0" applyAlignment="0" applyProtection="0">
      <alignment vertical="center"/>
    </xf>
    <xf numFmtId="0" fontId="5" fillId="14" borderId="0" applyNumberFormat="0" applyBorder="0" applyAlignment="0" applyProtection="0">
      <alignment vertical="center"/>
    </xf>
    <xf numFmtId="0" fontId="6" fillId="11" borderId="0" applyNumberFormat="0" applyBorder="0" applyAlignment="0" applyProtection="0">
      <alignment vertical="center"/>
    </xf>
    <xf numFmtId="0" fontId="6" fillId="27" borderId="0" applyNumberFormat="0" applyBorder="0" applyAlignment="0" applyProtection="0">
      <alignment vertical="center"/>
    </xf>
    <xf numFmtId="0" fontId="6" fillId="26" borderId="0" applyNumberFormat="0" applyBorder="0" applyAlignment="0" applyProtection="0">
      <alignment vertical="center"/>
    </xf>
    <xf numFmtId="0" fontId="5" fillId="29" borderId="0" applyNumberFormat="0" applyBorder="0" applyAlignment="0" applyProtection="0">
      <alignment vertical="center"/>
    </xf>
    <xf numFmtId="0" fontId="5" fillId="31" borderId="0" applyNumberFormat="0" applyBorder="0" applyAlignment="0" applyProtection="0">
      <alignment vertical="center"/>
    </xf>
    <xf numFmtId="0" fontId="6" fillId="21" borderId="0" applyNumberFormat="0" applyBorder="0" applyAlignment="0" applyProtection="0">
      <alignment vertical="center"/>
    </xf>
    <xf numFmtId="0" fontId="6" fillId="30" borderId="0" applyNumberFormat="0" applyBorder="0" applyAlignment="0" applyProtection="0">
      <alignment vertical="center"/>
    </xf>
    <xf numFmtId="0" fontId="5" fillId="23" borderId="0" applyNumberFormat="0" applyBorder="0" applyAlignment="0" applyProtection="0">
      <alignment vertical="center"/>
    </xf>
    <xf numFmtId="0" fontId="5" fillId="32" borderId="0" applyNumberFormat="0" applyBorder="0" applyAlignment="0" applyProtection="0">
      <alignment vertical="center"/>
    </xf>
    <xf numFmtId="0" fontId="6" fillId="25" borderId="0" applyNumberFormat="0" applyBorder="0" applyAlignment="0" applyProtection="0">
      <alignment vertical="center"/>
    </xf>
    <xf numFmtId="0" fontId="5" fillId="10" borderId="0" applyNumberFormat="0" applyBorder="0" applyAlignment="0" applyProtection="0">
      <alignment vertical="center"/>
    </xf>
    <xf numFmtId="0" fontId="5" fillId="28" borderId="0" applyNumberFormat="0" applyBorder="0" applyAlignment="0" applyProtection="0">
      <alignment vertical="center"/>
    </xf>
    <xf numFmtId="0" fontId="6" fillId="9" borderId="0" applyNumberFormat="0" applyBorder="0" applyAlignment="0" applyProtection="0">
      <alignment vertical="center"/>
    </xf>
    <xf numFmtId="0" fontId="5" fillId="6"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6"/>
  <sheetViews>
    <sheetView workbookViewId="0">
      <selection activeCell="E13" sqref="E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4" t="s">
        <v>12</v>
      </c>
      <c r="O1" s="4" t="s">
        <v>13</v>
      </c>
      <c r="P1" t="s">
        <v>14</v>
      </c>
      <c r="Q1" t="s">
        <v>15</v>
      </c>
      <c r="R1" t="s">
        <v>16</v>
      </c>
      <c r="S1" t="s">
        <v>17</v>
      </c>
      <c r="T1" t="s">
        <v>18</v>
      </c>
      <c r="U1" s="4" t="s">
        <v>19</v>
      </c>
      <c r="V1" s="4"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99</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99</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99</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99</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99</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99</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row r="15" spans="1:36">
      <c r="A15">
        <v>103</v>
      </c>
      <c r="B15">
        <v>103</v>
      </c>
      <c r="C15" t="str">
        <f>INDEX(TextData!B:B,MATCH(B15,TextData!A:A))</f>
        <v>シグムント</v>
      </c>
      <c r="D15" t="str">
        <f>INDEX(TextData!C:C,MATCH(B15,TextData!A:A))</f>
        <v>【竜殺し】</v>
      </c>
      <c r="E15">
        <v>10</v>
      </c>
      <c r="F15" s="2" t="s">
        <v>48</v>
      </c>
      <c r="G15">
        <v>1</v>
      </c>
      <c r="H15">
        <v>99</v>
      </c>
      <c r="I15">
        <v>29</v>
      </c>
      <c r="J15">
        <v>5</v>
      </c>
      <c r="K15">
        <v>17</v>
      </c>
      <c r="L15">
        <v>17</v>
      </c>
      <c r="M15">
        <v>17</v>
      </c>
      <c r="N15">
        <v>3</v>
      </c>
      <c r="O15">
        <v>2</v>
      </c>
      <c r="P15">
        <v>130</v>
      </c>
      <c r="Q15">
        <v>0</v>
      </c>
      <c r="R15">
        <v>60</v>
      </c>
      <c r="S15">
        <v>80</v>
      </c>
      <c r="T15">
        <v>60</v>
      </c>
      <c r="U15">
        <v>0</v>
      </c>
      <c r="V15">
        <v>50</v>
      </c>
      <c r="W15">
        <v>4</v>
      </c>
      <c r="X15">
        <v>6</v>
      </c>
      <c r="Y15">
        <v>1</v>
      </c>
      <c r="Z15">
        <v>3</v>
      </c>
      <c r="AA15">
        <v>7</v>
      </c>
      <c r="AB15">
        <v>-4</v>
      </c>
      <c r="AC15">
        <v>-64</v>
      </c>
      <c r="AD15">
        <v>0.86</v>
      </c>
      <c r="AE15">
        <v>0</v>
      </c>
      <c r="AF15">
        <v>0</v>
      </c>
      <c r="AG15">
        <v>1</v>
      </c>
      <c r="AH15">
        <v>0</v>
      </c>
      <c r="AI15">
        <v>0</v>
      </c>
      <c r="AJ15">
        <v>0</v>
      </c>
    </row>
    <row r="16" spans="1:36">
      <c r="A16">
        <v>104</v>
      </c>
      <c r="B16">
        <v>104</v>
      </c>
      <c r="C16" t="str">
        <f>INDEX(TextData!B:B,MATCH(B16,TextData!A:A))</f>
        <v>ヨルディス</v>
      </c>
      <c r="D16" t="str">
        <f>INDEX(TextData!C:C,MATCH(B16,TextData!A:A))</f>
        <v>【悲劇の戦乙女】</v>
      </c>
      <c r="E16">
        <v>10</v>
      </c>
      <c r="F16" s="2" t="s">
        <v>49</v>
      </c>
      <c r="G16">
        <v>1</v>
      </c>
      <c r="H16">
        <v>99</v>
      </c>
      <c r="I16">
        <v>34</v>
      </c>
      <c r="J16">
        <v>4</v>
      </c>
      <c r="K16">
        <v>15</v>
      </c>
      <c r="L16">
        <v>9</v>
      </c>
      <c r="M16">
        <v>22</v>
      </c>
      <c r="N16">
        <v>3</v>
      </c>
      <c r="O16">
        <v>2</v>
      </c>
      <c r="P16">
        <v>160</v>
      </c>
      <c r="Q16">
        <v>0</v>
      </c>
      <c r="R16">
        <v>65</v>
      </c>
      <c r="S16">
        <v>60</v>
      </c>
      <c r="T16">
        <v>65</v>
      </c>
      <c r="U16">
        <v>0</v>
      </c>
      <c r="V16">
        <v>50</v>
      </c>
      <c r="W16">
        <v>5</v>
      </c>
      <c r="X16">
        <v>4</v>
      </c>
      <c r="Y16">
        <v>3</v>
      </c>
      <c r="Z16">
        <v>1</v>
      </c>
      <c r="AA16">
        <v>1</v>
      </c>
      <c r="AB16">
        <v>0</v>
      </c>
      <c r="AC16">
        <v>-12</v>
      </c>
      <c r="AD16">
        <v>0.8</v>
      </c>
      <c r="AE16">
        <v>0</v>
      </c>
      <c r="AF16">
        <v>0</v>
      </c>
      <c r="AG16">
        <v>1</v>
      </c>
      <c r="AH16">
        <v>0</v>
      </c>
      <c r="AI16">
        <v>0</v>
      </c>
      <c r="AJ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6"/>
  <sheetViews>
    <sheetView topLeftCell="A55" workbookViewId="0">
      <selection activeCell="C73" sqref="C73"/>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11</v>
      </c>
      <c r="B62" t="s">
        <v>63</v>
      </c>
    </row>
    <row r="63" spans="1:3">
      <c r="A63">
        <v>11</v>
      </c>
      <c r="B63">
        <v>3050</v>
      </c>
      <c r="C63">
        <v>5</v>
      </c>
    </row>
    <row r="64" spans="1:3">
      <c r="A64">
        <v>11</v>
      </c>
      <c r="B64">
        <v>13090</v>
      </c>
      <c r="C64">
        <v>11</v>
      </c>
    </row>
    <row r="65" spans="1:3">
      <c r="A65">
        <v>11</v>
      </c>
      <c r="B65">
        <v>403050</v>
      </c>
      <c r="C65">
        <v>26</v>
      </c>
    </row>
    <row r="66" spans="1:3">
      <c r="A66">
        <v>11</v>
      </c>
      <c r="B66">
        <v>3080</v>
      </c>
      <c r="C66">
        <v>41</v>
      </c>
    </row>
    <row r="67" spans="1:2">
      <c r="A67">
        <v>101</v>
      </c>
      <c r="B67" t="s">
        <v>64</v>
      </c>
    </row>
    <row r="68" spans="1:3">
      <c r="A68">
        <v>101</v>
      </c>
      <c r="B68">
        <v>13100</v>
      </c>
      <c r="C68">
        <v>3</v>
      </c>
    </row>
    <row r="69" spans="1:3">
      <c r="A69">
        <v>101</v>
      </c>
      <c r="B69">
        <v>13080</v>
      </c>
      <c r="C69">
        <v>11</v>
      </c>
    </row>
    <row r="70" spans="1:3">
      <c r="A70">
        <v>101</v>
      </c>
      <c r="B70">
        <v>403010</v>
      </c>
      <c r="C70">
        <v>26</v>
      </c>
    </row>
    <row r="71" spans="1:3">
      <c r="A71">
        <v>101</v>
      </c>
      <c r="B71">
        <v>3040</v>
      </c>
      <c r="C71">
        <v>41</v>
      </c>
    </row>
    <row r="72" spans="1:2">
      <c r="A72">
        <v>102</v>
      </c>
      <c r="B72" t="s">
        <v>65</v>
      </c>
    </row>
    <row r="73" spans="1:3">
      <c r="A73">
        <v>102</v>
      </c>
      <c r="B73">
        <v>5070</v>
      </c>
      <c r="C73">
        <v>3</v>
      </c>
    </row>
    <row r="74" spans="1:3">
      <c r="A74">
        <v>102</v>
      </c>
      <c r="B74">
        <v>15090</v>
      </c>
      <c r="C74">
        <v>11</v>
      </c>
    </row>
    <row r="75" spans="1:3">
      <c r="A75">
        <v>102</v>
      </c>
      <c r="B75">
        <v>405070</v>
      </c>
      <c r="C75">
        <v>26</v>
      </c>
    </row>
    <row r="76" spans="1:3">
      <c r="A76">
        <v>102</v>
      </c>
      <c r="B76">
        <v>5040</v>
      </c>
      <c r="C7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50</v>
      </c>
      <c r="B1" t="s">
        <v>51</v>
      </c>
      <c r="C1" t="s">
        <v>66</v>
      </c>
      <c r="D1" t="s">
        <v>67</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6"/>
  <sheetViews>
    <sheetView tabSelected="1" topLeftCell="A7" workbookViewId="0">
      <selection activeCell="E13" sqref="E13"/>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68</v>
      </c>
      <c r="C1" t="s">
        <v>69</v>
      </c>
      <c r="D1" t="s">
        <v>70</v>
      </c>
      <c r="E1" t="s">
        <v>71</v>
      </c>
    </row>
    <row r="2" ht="39" spans="1:5">
      <c r="A2">
        <v>1</v>
      </c>
      <c r="B2" t="s">
        <v>72</v>
      </c>
      <c r="C2" t="s">
        <v>73</v>
      </c>
      <c r="D2" s="1" t="s">
        <v>74</v>
      </c>
      <c r="E2" t="s">
        <v>75</v>
      </c>
    </row>
    <row r="3" ht="39" spans="1:5">
      <c r="A3">
        <v>2</v>
      </c>
      <c r="B3" t="s">
        <v>76</v>
      </c>
      <c r="C3" t="s">
        <v>77</v>
      </c>
      <c r="D3" s="1" t="s">
        <v>78</v>
      </c>
      <c r="E3" t="s">
        <v>79</v>
      </c>
    </row>
    <row r="4" ht="39" spans="1:5">
      <c r="A4">
        <v>3</v>
      </c>
      <c r="B4" t="s">
        <v>80</v>
      </c>
      <c r="C4" t="s">
        <v>81</v>
      </c>
      <c r="D4" s="1" t="s">
        <v>82</v>
      </c>
      <c r="E4" t="s">
        <v>83</v>
      </c>
    </row>
    <row r="5" ht="39" spans="1:5">
      <c r="A5">
        <v>4</v>
      </c>
      <c r="B5" t="s">
        <v>84</v>
      </c>
      <c r="C5" t="s">
        <v>85</v>
      </c>
      <c r="D5" s="1" t="s">
        <v>86</v>
      </c>
      <c r="E5" t="s">
        <v>87</v>
      </c>
    </row>
    <row r="6" ht="52" spans="1:5">
      <c r="A6">
        <v>5</v>
      </c>
      <c r="B6" t="s">
        <v>88</v>
      </c>
      <c r="C6" t="s">
        <v>89</v>
      </c>
      <c r="D6" s="1" t="s">
        <v>90</v>
      </c>
      <c r="E6" t="s">
        <v>91</v>
      </c>
    </row>
    <row r="7" ht="39" spans="1:5">
      <c r="A7">
        <v>6</v>
      </c>
      <c r="B7" t="s">
        <v>92</v>
      </c>
      <c r="C7" t="s">
        <v>93</v>
      </c>
      <c r="D7" s="1" t="s">
        <v>94</v>
      </c>
      <c r="E7" t="s">
        <v>95</v>
      </c>
    </row>
    <row r="8" ht="52" spans="1:5">
      <c r="A8">
        <v>7</v>
      </c>
      <c r="B8" t="s">
        <v>96</v>
      </c>
      <c r="C8" t="s">
        <v>97</v>
      </c>
      <c r="D8" s="1" t="s">
        <v>98</v>
      </c>
      <c r="E8" t="s">
        <v>99</v>
      </c>
    </row>
    <row r="9" ht="52" spans="1:5">
      <c r="A9">
        <v>8</v>
      </c>
      <c r="B9" t="s">
        <v>100</v>
      </c>
      <c r="C9" t="s">
        <v>101</v>
      </c>
      <c r="D9" s="1" t="s">
        <v>102</v>
      </c>
      <c r="E9" t="s">
        <v>103</v>
      </c>
    </row>
    <row r="10" ht="39" spans="1:5">
      <c r="A10">
        <v>9</v>
      </c>
      <c r="B10" t="s">
        <v>104</v>
      </c>
      <c r="C10" t="s">
        <v>105</v>
      </c>
      <c r="D10" s="1" t="s">
        <v>106</v>
      </c>
      <c r="E10" t="s">
        <v>107</v>
      </c>
    </row>
    <row r="11" ht="39" spans="1:5">
      <c r="A11">
        <v>10</v>
      </c>
      <c r="B11" t="s">
        <v>108</v>
      </c>
      <c r="C11" t="s">
        <v>109</v>
      </c>
      <c r="D11" s="1" t="s">
        <v>110</v>
      </c>
      <c r="E11" t="s">
        <v>111</v>
      </c>
    </row>
    <row r="12" ht="52" spans="1:5">
      <c r="A12">
        <v>11</v>
      </c>
      <c r="B12" t="s">
        <v>112</v>
      </c>
      <c r="C12" t="s">
        <v>113</v>
      </c>
      <c r="D12" s="1" t="s">
        <v>114</v>
      </c>
      <c r="E12" t="s">
        <v>115</v>
      </c>
    </row>
    <row r="13" ht="39" spans="1:4">
      <c r="A13">
        <v>101</v>
      </c>
      <c r="B13" t="s">
        <v>116</v>
      </c>
      <c r="C13" t="s">
        <v>117</v>
      </c>
      <c r="D13" s="1" t="s">
        <v>74</v>
      </c>
    </row>
    <row r="14" ht="39" spans="1:5">
      <c r="A14">
        <v>102</v>
      </c>
      <c r="B14" t="s">
        <v>118</v>
      </c>
      <c r="C14" t="s">
        <v>119</v>
      </c>
      <c r="D14" s="1" t="s">
        <v>78</v>
      </c>
      <c r="E14" t="s">
        <v>120</v>
      </c>
    </row>
    <row r="15" ht="39" spans="1:5">
      <c r="A15">
        <v>103</v>
      </c>
      <c r="B15" t="s">
        <v>121</v>
      </c>
      <c r="C15" t="s">
        <v>117</v>
      </c>
      <c r="D15" s="1" t="s">
        <v>74</v>
      </c>
      <c r="E15" t="s">
        <v>120</v>
      </c>
    </row>
    <row r="16" ht="39" spans="1:5">
      <c r="A16">
        <v>104</v>
      </c>
      <c r="B16" t="s">
        <v>122</v>
      </c>
      <c r="C16" t="s">
        <v>119</v>
      </c>
      <c r="D16" s="1" t="s">
        <v>78</v>
      </c>
      <c r="E16" t="s">
        <v>120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2025-12-13T14:16:32Z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