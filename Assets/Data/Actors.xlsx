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User\Documents\hibikake_unity\Assets\Data\"/>
    </mc:Choice>
  </mc:AlternateContent>
  <xr:revisionPtr revIDLastSave="0" documentId="13_ncr:1_{B5E4DC57-B735-472B-B443-379BB2E00B29}" xr6:coauthVersionLast="47" xr6:coauthVersionMax="47" xr10:uidLastSave="{00000000-0000-0000-0000-000000000000}"/>
  <bookViews>
    <workbookView xWindow="-110" yWindow="490" windowWidth="19420" windowHeight="11620" activeTab="3" xr2:uid="{00000000-000D-0000-FFFF-FFFF00000000}"/>
  </bookViews>
  <sheets>
    <sheet name="Actors" sheetId="1" r:id="rId1"/>
    <sheet name="Learning" sheetId="3" r:id="rId2"/>
    <sheet name="SkillTrigger" sheetId="4" r:id="rId3"/>
    <sheet name="TextData" sheetId="2"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 l="1"/>
  <c r="C12" i="1"/>
  <c r="D11" i="1"/>
  <c r="C11" i="1"/>
  <c r="D10" i="1"/>
  <c r="C10" i="1"/>
  <c r="D9" i="1"/>
  <c r="C9" i="1"/>
  <c r="D8" i="1"/>
  <c r="C8" i="1"/>
  <c r="D7" i="1"/>
  <c r="C7" i="1"/>
  <c r="D6" i="1"/>
  <c r="C6" i="1"/>
  <c r="D5" i="1"/>
  <c r="C5" i="1"/>
  <c r="D4" i="1"/>
  <c r="C4" i="1"/>
  <c r="D3" i="1"/>
  <c r="C3" i="1"/>
  <c r="D2" i="1"/>
  <c r="C2" i="1"/>
</calcChain>
</file>

<file path=xl/sharedStrings.xml><?xml version="1.0" encoding="utf-8"?>
<sst xmlns="http://schemas.openxmlformats.org/spreadsheetml/2006/main" count="98" uniqueCount="94">
  <si>
    <t>Id</t>
  </si>
  <si>
    <t>NameId</t>
  </si>
  <si>
    <t>_</t>
  </si>
  <si>
    <t>ClassId</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</si>
  <si>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</si>
  <si>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</si>
  <si>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</si>
  <si>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</si>
  <si>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</si>
  <si>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</si>
  <si>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</si>
  <si>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</si>
  <si>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</si>
  <si>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</si>
  <si>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</si>
  <si>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</si>
  <si>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</si>
  <si>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</si>
  <si>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</si>
  <si>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</si>
  <si>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</si>
  <si>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</si>
  <si>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</si>
  <si>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</si>
  <si>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</si>
  <si>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</si>
  <si>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</si>
  <si>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</si>
  <si>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</si>
  <si>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</si>
  <si>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</si>
  <si>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</si>
  <si>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</si>
  <si>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</si>
  <si>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</si>
  <si>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</si>
  <si>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</si>
  <si>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ActorId</t>
  </si>
  <si>
    <t>SkillId</t>
  </si>
  <si>
    <t>Level</t>
  </si>
  <si>
    <t>TriggerType1</t>
  </si>
  <si>
    <t>TriggerType2</t>
  </si>
  <si>
    <t>Text</t>
  </si>
  <si>
    <t>SubName</t>
  </si>
  <si>
    <t>Feature</t>
  </si>
  <si>
    <t>高い攻撃性能を持つアタッカー。
全体的にステータスが高く、赤属性魔法を習得することでさらに攻撃性能を伸ばすことができる。</t>
  </si>
  <si>
    <t>回避率を上げて攻撃を避けるアタッカー。
打たれ弱いがSPDが高く、回避率をアップする雷属性魔法を習得しやすい。</t>
  </si>
  <si>
    <t>相手の攻撃を跳ね返すディフェンダー。
受けた攻撃ダメージの一部を跳ね返す「カウンターオーラ」を使うことができる。</t>
  </si>
  <si>
    <t>回復に特化したヒーラー。
全体的にステータスが低いが、味方のHpを回復する「ヒーリング」を使うことができる。</t>
  </si>
  <si>
    <t>シイナ</t>
  </si>
  <si>
    <t>相手の攻撃性能を下げるジャマー。
「シェイディークラウド」で味方が受けるダメージを抑えたり、「毒」でスリップダメージを与える魔法を使うことができる。</t>
  </si>
  <si>
    <t>味方のCTを短縮することができるサポーター。
CT（魔法を再使用するまでのターン数）を短縮しパーティ全体の補助をすることができる。</t>
  </si>
  <si>
    <t>0007</t>
  </si>
  <si>
    <t>0008</t>
  </si>
  <si>
    <t>0009</t>
  </si>
  <si>
    <t>0010</t>
  </si>
  <si>
    <t>0011</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</si>
  <si>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</si>
  <si>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</si>
  <si>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</si>
  <si>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</si>
  <si>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</si>
  <si>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</si>
  <si>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</si>
  <si>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</si>
  <si>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</si>
  <si>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</si>
  <si>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</si>
  <si>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ミカ</t>
  </si>
  <si>
    <t>【煉獄棘姫】</t>
  </si>
  <si>
    <t>エリザベート</t>
  </si>
  <si>
    <t>【ChargeCommander】</t>
  </si>
  <si>
    <t>アリエス</t>
  </si>
  <si>
    <t>【怠惰な守護少女】</t>
  </si>
  <si>
    <t>【イノセント・リメディ】</t>
  </si>
  <si>
    <t>レダ</t>
  </si>
  <si>
    <t>【Self-sacrifice】</t>
  </si>
  <si>
    <t>リシェリ</t>
  </si>
  <si>
    <t>【Faked-Magician】</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</si>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</sst>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ＭＳ Ｐゴシック"/>
      <charset val="134"/>
      <scheme val="minor"/>
    </font>
    <font>
      <sz val="6"/>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Data\_Actors.xlsx" TargetMode="External"/><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ctors"/>
      <sheetName val="Learning"/>
      <sheetName val="SkillTrigger"/>
      <sheetName val="TextData"/>
    </sheetNames>
    <sheetDataSet>
      <sheetData sheetId="0"/>
      <sheetData sheetId="1"/>
      <sheetData sheetId="2"/>
      <sheetData sheetId="3">
        <row r="1">
          <cell r="A1" t="str">
            <v>Id</v>
          </cell>
          <cell r="B1" t="str">
            <v>Text</v>
          </cell>
          <cell r="C1" t="str">
            <v>SubName</v>
          </cell>
        </row>
        <row r="2">
          <cell r="A2">
            <v>1</v>
          </cell>
          <cell r="B2" t="str">
            <v>ミカ</v>
          </cell>
          <cell r="C2" t="str">
            <v>【煉獄棘姫】</v>
          </cell>
        </row>
        <row r="3">
          <cell r="A3">
            <v>2</v>
          </cell>
          <cell r="B3" t="str">
            <v>エリザベート</v>
          </cell>
          <cell r="C3" t="str">
            <v>【ChargeCommander】</v>
          </cell>
        </row>
        <row r="4">
          <cell r="A4">
            <v>3</v>
          </cell>
          <cell r="B4" t="str">
            <v>アリエス</v>
          </cell>
          <cell r="C4" t="str">
            <v>【怠惰な守護少女】</v>
          </cell>
        </row>
        <row r="5">
          <cell r="A5">
            <v>4</v>
          </cell>
          <cell r="B5" t="str">
            <v>シイナ</v>
          </cell>
          <cell r="C5" t="str">
            <v>【イノセント・リメディ】</v>
          </cell>
        </row>
        <row r="6">
          <cell r="A6">
            <v>5</v>
          </cell>
          <cell r="B6" t="str">
            <v>レダ</v>
          </cell>
          <cell r="C6" t="str">
            <v>【Self-sacrifice】</v>
          </cell>
        </row>
        <row r="7">
          <cell r="A7">
            <v>6</v>
          </cell>
          <cell r="B7" t="str">
            <v>リシェリ</v>
          </cell>
          <cell r="C7" t="str">
            <v>【Faked-Magician】</v>
          </cell>
        </row>
        <row r="8">
          <cell r="A8">
            <v>7</v>
          </cell>
          <cell r="B8" t="str">
            <v>ユニ</v>
          </cell>
          <cell r="C8" t="str">
            <v>【奇跡の乙女】</v>
          </cell>
        </row>
        <row r="9">
          <cell r="A9">
            <v>8</v>
          </cell>
          <cell r="B9" t="str">
            <v>マリーベル</v>
          </cell>
          <cell r="C9" t="str">
            <v>【唯心の在処】</v>
          </cell>
        </row>
        <row r="10">
          <cell r="A10">
            <v>9</v>
          </cell>
          <cell r="B10" t="str">
            <v>ナツキ</v>
          </cell>
          <cell r="C10" t="str">
            <v>【黄昏ニヒリスト】</v>
          </cell>
        </row>
        <row r="11">
          <cell r="A11">
            <v>10</v>
          </cell>
          <cell r="B11" t="str">
            <v>メリアドール</v>
          </cell>
          <cell r="C11" t="str">
            <v>【怨嗟の鎖】</v>
          </cell>
        </row>
        <row r="12">
          <cell r="A12">
            <v>11</v>
          </cell>
          <cell r="B12" t="str">
            <v>セリナ</v>
          </cell>
          <cell r="C12" t="str">
            <v>【氷雪の勿忘草】</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2"/>
  <sheetViews>
    <sheetView workbookViewId="0">
      <selection activeCell="A2" sqref="A2:AF12"/>
    </sheetView>
  </sheetViews>
  <sheetFormatPr defaultColWidth="9" defaultRowHeight="13" x14ac:dyDescent="0.2"/>
  <cols>
    <col min="3" max="3" width="11.6328125" customWidth="1"/>
    <col min="4" max="4" width="23" customWidth="1"/>
    <col min="5" max="5" width="7.54296875" customWidth="1"/>
    <col min="6" max="6" width="9" style="2"/>
    <col min="7" max="7" width="6.1796875" customWidth="1"/>
    <col min="8" max="8" width="6.81640625" customWidth="1"/>
    <col min="9" max="9" width="6.453125" customWidth="1"/>
    <col min="10" max="10" width="6.6328125" customWidth="1"/>
    <col min="11" max="12" width="7.08984375" customWidth="1"/>
    <col min="13" max="13" width="7.36328125" customWidth="1"/>
  </cols>
  <sheetData>
    <row r="1" spans="1:32" x14ac:dyDescent="0.2">
      <c r="A1" t="s">
        <v>0</v>
      </c>
      <c r="B1" t="s">
        <v>1</v>
      </c>
      <c r="C1" t="s">
        <v>2</v>
      </c>
      <c r="D1" t="s">
        <v>2</v>
      </c>
      <c r="E1" t="s">
        <v>3</v>
      </c>
      <c r="F1" s="2"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row>
    <row r="2" spans="1:32" x14ac:dyDescent="0.2">
      <c r="A2">
        <v>1</v>
      </c>
      <c r="B2">
        <v>1</v>
      </c>
      <c r="C2" t="str">
        <f>INDEX([1]TextData!B:B,MATCH(B2,[1]TextData!A:A))</f>
        <v>ミカ</v>
      </c>
      <c r="D2" t="str">
        <f>INDEX([1]TextData!C:C,MATCH(B2,[1]TextData!A:A))</f>
        <v>【煉獄棘姫】</v>
      </c>
      <c r="E2">
        <v>1</v>
      </c>
      <c r="F2" s="2" t="s">
        <v>31</v>
      </c>
      <c r="G2">
        <v>1</v>
      </c>
      <c r="H2">
        <v>99</v>
      </c>
      <c r="I2">
        <v>39</v>
      </c>
      <c r="J2">
        <v>0</v>
      </c>
      <c r="K2">
        <v>30</v>
      </c>
      <c r="L2">
        <v>15</v>
      </c>
      <c r="M2">
        <v>15</v>
      </c>
      <c r="N2">
        <v>55</v>
      </c>
      <c r="O2">
        <v>0</v>
      </c>
      <c r="P2">
        <v>60</v>
      </c>
      <c r="Q2">
        <v>30</v>
      </c>
      <c r="R2">
        <v>35</v>
      </c>
      <c r="S2">
        <v>1</v>
      </c>
      <c r="T2">
        <v>2</v>
      </c>
      <c r="U2">
        <v>6</v>
      </c>
      <c r="V2">
        <v>3</v>
      </c>
      <c r="W2">
        <v>6</v>
      </c>
      <c r="X2">
        <v>-10</v>
      </c>
      <c r="Y2">
        <v>-54</v>
      </c>
      <c r="Z2">
        <v>0.75</v>
      </c>
      <c r="AA2">
        <v>0</v>
      </c>
      <c r="AB2">
        <v>0</v>
      </c>
      <c r="AC2">
        <v>1</v>
      </c>
      <c r="AD2">
        <v>0</v>
      </c>
      <c r="AE2">
        <v>0</v>
      </c>
      <c r="AF2">
        <v>0</v>
      </c>
    </row>
    <row r="3" spans="1:32" x14ac:dyDescent="0.2">
      <c r="A3">
        <v>2</v>
      </c>
      <c r="B3">
        <v>2</v>
      </c>
      <c r="C3" t="str">
        <f>INDEX([1]TextData!B:B,MATCH(B3,[1]TextData!A:A))</f>
        <v>エリザベート</v>
      </c>
      <c r="D3" t="str">
        <f>INDEX([1]TextData!C:C,MATCH(B3,[1]TextData!A:A))</f>
        <v>【ChargeCommander】</v>
      </c>
      <c r="E3">
        <v>2</v>
      </c>
      <c r="F3" s="2" t="s">
        <v>32</v>
      </c>
      <c r="G3">
        <v>1</v>
      </c>
      <c r="H3">
        <v>99</v>
      </c>
      <c r="I3">
        <v>29</v>
      </c>
      <c r="J3">
        <v>0</v>
      </c>
      <c r="K3">
        <v>21</v>
      </c>
      <c r="L3">
        <v>5</v>
      </c>
      <c r="M3">
        <v>28</v>
      </c>
      <c r="N3">
        <v>60</v>
      </c>
      <c r="O3">
        <v>0</v>
      </c>
      <c r="P3">
        <v>40</v>
      </c>
      <c r="Q3">
        <v>25</v>
      </c>
      <c r="R3">
        <v>70</v>
      </c>
      <c r="S3">
        <v>2</v>
      </c>
      <c r="T3">
        <v>1</v>
      </c>
      <c r="U3">
        <v>5</v>
      </c>
      <c r="V3">
        <v>7</v>
      </c>
      <c r="W3">
        <v>3</v>
      </c>
      <c r="X3">
        <v>-20</v>
      </c>
      <c r="Y3">
        <v>-52</v>
      </c>
      <c r="Z3">
        <v>0.71</v>
      </c>
      <c r="AA3">
        <v>0</v>
      </c>
      <c r="AB3">
        <v>0</v>
      </c>
      <c r="AC3">
        <v>1</v>
      </c>
      <c r="AD3">
        <v>0</v>
      </c>
      <c r="AE3">
        <v>0</v>
      </c>
      <c r="AF3">
        <v>0</v>
      </c>
    </row>
    <row r="4" spans="1:32" x14ac:dyDescent="0.2">
      <c r="A4">
        <v>3</v>
      </c>
      <c r="B4">
        <v>3</v>
      </c>
      <c r="C4" t="str">
        <f>INDEX([1]TextData!B:B,MATCH(B4,[1]TextData!A:A))</f>
        <v>アリエス</v>
      </c>
      <c r="D4" t="str">
        <f>INDEX([1]TextData!C:C,MATCH(B4,[1]TextData!A:A))</f>
        <v>【怠惰な守護少女】</v>
      </c>
      <c r="E4">
        <v>3</v>
      </c>
      <c r="F4" s="2" t="s">
        <v>33</v>
      </c>
      <c r="G4">
        <v>1</v>
      </c>
      <c r="H4">
        <v>99</v>
      </c>
      <c r="I4">
        <v>35</v>
      </c>
      <c r="J4">
        <v>0</v>
      </c>
      <c r="K4">
        <v>17</v>
      </c>
      <c r="L4">
        <v>17</v>
      </c>
      <c r="M4">
        <v>9</v>
      </c>
      <c r="N4">
        <v>85</v>
      </c>
      <c r="O4">
        <v>0</v>
      </c>
      <c r="P4">
        <v>25</v>
      </c>
      <c r="Q4">
        <v>50</v>
      </c>
      <c r="R4">
        <v>25</v>
      </c>
      <c r="S4">
        <v>3</v>
      </c>
      <c r="T4">
        <v>6</v>
      </c>
      <c r="U4">
        <v>1</v>
      </c>
      <c r="V4">
        <v>2</v>
      </c>
      <c r="W4">
        <v>6</v>
      </c>
      <c r="X4">
        <v>-10</v>
      </c>
      <c r="Y4">
        <v>-64</v>
      </c>
      <c r="Z4">
        <v>0.82</v>
      </c>
      <c r="AA4">
        <v>0</v>
      </c>
      <c r="AB4">
        <v>0</v>
      </c>
      <c r="AC4">
        <v>1</v>
      </c>
      <c r="AD4">
        <v>0</v>
      </c>
      <c r="AE4">
        <v>0</v>
      </c>
      <c r="AF4">
        <v>0</v>
      </c>
    </row>
    <row r="5" spans="1:32" x14ac:dyDescent="0.2">
      <c r="A5">
        <v>4</v>
      </c>
      <c r="B5">
        <v>4</v>
      </c>
      <c r="C5" t="str">
        <f>INDEX([1]TextData!B:B,MATCH(B5,[1]TextData!A:A))</f>
        <v>シイナ</v>
      </c>
      <c r="D5" t="str">
        <f>INDEX([1]TextData!C:C,MATCH(B5,[1]TextData!A:A))</f>
        <v>【イノセント・リメディ】</v>
      </c>
      <c r="E5">
        <v>4</v>
      </c>
      <c r="F5" s="2" t="s">
        <v>34</v>
      </c>
      <c r="G5">
        <v>1</v>
      </c>
      <c r="H5">
        <v>99</v>
      </c>
      <c r="I5">
        <v>32</v>
      </c>
      <c r="J5">
        <v>0</v>
      </c>
      <c r="K5">
        <v>15</v>
      </c>
      <c r="L5">
        <v>7</v>
      </c>
      <c r="M5">
        <v>21</v>
      </c>
      <c r="N5">
        <v>85</v>
      </c>
      <c r="O5">
        <v>0</v>
      </c>
      <c r="P5">
        <v>35</v>
      </c>
      <c r="Q5">
        <v>15</v>
      </c>
      <c r="R5">
        <v>30</v>
      </c>
      <c r="S5">
        <v>4</v>
      </c>
      <c r="T5">
        <v>3</v>
      </c>
      <c r="U5">
        <v>3</v>
      </c>
      <c r="V5">
        <v>1</v>
      </c>
      <c r="W5">
        <v>7</v>
      </c>
      <c r="X5">
        <v>-4</v>
      </c>
      <c r="Y5">
        <v>-68</v>
      </c>
      <c r="Z5">
        <v>0.8</v>
      </c>
      <c r="AA5">
        <v>0</v>
      </c>
      <c r="AB5">
        <v>0</v>
      </c>
      <c r="AC5">
        <v>1</v>
      </c>
      <c r="AD5">
        <v>0</v>
      </c>
      <c r="AE5">
        <v>0</v>
      </c>
      <c r="AF5">
        <v>0</v>
      </c>
    </row>
    <row r="6" spans="1:32" x14ac:dyDescent="0.2">
      <c r="A6">
        <v>5</v>
      </c>
      <c r="B6">
        <v>5</v>
      </c>
      <c r="C6" t="str">
        <f>INDEX([1]TextData!B:B,MATCH(B6,[1]TextData!A:A))</f>
        <v>レダ</v>
      </c>
      <c r="D6" t="str">
        <f>INDEX([1]TextData!C:C,MATCH(B6,[1]TextData!A:A))</f>
        <v>【Self-sacrifice】</v>
      </c>
      <c r="E6">
        <v>5</v>
      </c>
      <c r="F6" s="2" t="s">
        <v>35</v>
      </c>
      <c r="G6">
        <v>1</v>
      </c>
      <c r="H6">
        <v>99</v>
      </c>
      <c r="I6">
        <v>29</v>
      </c>
      <c r="J6">
        <v>0</v>
      </c>
      <c r="K6">
        <v>12</v>
      </c>
      <c r="L6">
        <v>9</v>
      </c>
      <c r="M6">
        <v>12</v>
      </c>
      <c r="N6">
        <v>70</v>
      </c>
      <c r="O6">
        <v>0</v>
      </c>
      <c r="P6">
        <v>30</v>
      </c>
      <c r="Q6">
        <v>40</v>
      </c>
      <c r="R6">
        <v>45</v>
      </c>
      <c r="S6">
        <v>4</v>
      </c>
      <c r="T6">
        <v>6</v>
      </c>
      <c r="U6">
        <v>2</v>
      </c>
      <c r="V6">
        <v>5</v>
      </c>
      <c r="W6">
        <v>1</v>
      </c>
      <c r="X6">
        <v>-8</v>
      </c>
      <c r="Y6">
        <v>-44</v>
      </c>
      <c r="Z6">
        <v>0.82</v>
      </c>
      <c r="AA6">
        <v>0</v>
      </c>
      <c r="AB6">
        <v>0</v>
      </c>
      <c r="AC6">
        <v>1</v>
      </c>
      <c r="AD6">
        <v>0</v>
      </c>
      <c r="AE6">
        <v>0</v>
      </c>
      <c r="AF6">
        <v>0</v>
      </c>
    </row>
    <row r="7" spans="1:32" x14ac:dyDescent="0.2">
      <c r="A7">
        <v>6</v>
      </c>
      <c r="B7">
        <v>6</v>
      </c>
      <c r="C7" t="str">
        <f>INDEX([1]TextData!B:B,MATCH(B7,[1]TextData!A:A))</f>
        <v>リシェリ</v>
      </c>
      <c r="D7" t="str">
        <f>INDEX([1]TextData!C:C,MATCH(B7,[1]TextData!A:A))</f>
        <v>【Faked-Magician】</v>
      </c>
      <c r="E7">
        <v>6</v>
      </c>
      <c r="F7" s="2" t="s">
        <v>36</v>
      </c>
      <c r="G7">
        <v>1</v>
      </c>
      <c r="H7">
        <v>99</v>
      </c>
      <c r="I7">
        <v>30</v>
      </c>
      <c r="J7">
        <v>0</v>
      </c>
      <c r="K7">
        <v>20</v>
      </c>
      <c r="L7">
        <v>19</v>
      </c>
      <c r="M7">
        <v>20</v>
      </c>
      <c r="N7">
        <v>40</v>
      </c>
      <c r="O7">
        <v>0</v>
      </c>
      <c r="P7">
        <v>50</v>
      </c>
      <c r="Q7">
        <v>50</v>
      </c>
      <c r="R7">
        <v>50</v>
      </c>
      <c r="S7">
        <v>1</v>
      </c>
      <c r="T7">
        <v>6</v>
      </c>
      <c r="U7">
        <v>2</v>
      </c>
      <c r="V7">
        <v>6</v>
      </c>
      <c r="W7">
        <v>3</v>
      </c>
      <c r="X7">
        <v>48</v>
      </c>
      <c r="Y7">
        <v>-68</v>
      </c>
      <c r="Z7">
        <v>0.76</v>
      </c>
      <c r="AA7">
        <v>0</v>
      </c>
      <c r="AB7">
        <v>0</v>
      </c>
      <c r="AC7">
        <v>1</v>
      </c>
      <c r="AD7">
        <v>0</v>
      </c>
      <c r="AE7">
        <v>0</v>
      </c>
      <c r="AF7">
        <v>0</v>
      </c>
    </row>
    <row r="8" spans="1:32" x14ac:dyDescent="0.2">
      <c r="A8">
        <v>7</v>
      </c>
      <c r="B8">
        <v>7</v>
      </c>
      <c r="C8" t="str">
        <f>INDEX([1]TextData!B:B,MATCH(B8,[1]TextData!A:A))</f>
        <v>ユニ</v>
      </c>
      <c r="D8" t="str">
        <f>INDEX([1]TextData!C:C,MATCH(B8,[1]TextData!A:A))</f>
        <v>【奇跡の乙女】</v>
      </c>
      <c r="E8">
        <v>7</v>
      </c>
      <c r="F8" s="2" t="s">
        <v>52</v>
      </c>
      <c r="G8">
        <v>1</v>
      </c>
      <c r="H8">
        <v>99</v>
      </c>
      <c r="I8">
        <v>40</v>
      </c>
      <c r="J8">
        <v>0</v>
      </c>
      <c r="K8">
        <v>22</v>
      </c>
      <c r="L8">
        <v>18</v>
      </c>
      <c r="M8">
        <v>16</v>
      </c>
      <c r="N8">
        <v>65</v>
      </c>
      <c r="O8">
        <v>0</v>
      </c>
      <c r="P8">
        <v>45</v>
      </c>
      <c r="Q8">
        <v>40</v>
      </c>
      <c r="R8">
        <v>30</v>
      </c>
      <c r="S8">
        <v>4</v>
      </c>
      <c r="T8">
        <v>1</v>
      </c>
      <c r="U8">
        <v>4</v>
      </c>
      <c r="V8">
        <v>3</v>
      </c>
      <c r="W8">
        <v>4</v>
      </c>
      <c r="X8">
        <v>-20</v>
      </c>
      <c r="Y8">
        <v>-60</v>
      </c>
      <c r="Z8">
        <v>0.79</v>
      </c>
      <c r="AA8">
        <v>0</v>
      </c>
      <c r="AB8">
        <v>0</v>
      </c>
      <c r="AC8">
        <v>1</v>
      </c>
      <c r="AD8">
        <v>0</v>
      </c>
      <c r="AE8">
        <v>0</v>
      </c>
      <c r="AF8">
        <v>0</v>
      </c>
    </row>
    <row r="9" spans="1:32" x14ac:dyDescent="0.2">
      <c r="A9">
        <v>8</v>
      </c>
      <c r="B9">
        <v>8</v>
      </c>
      <c r="C9" t="str">
        <f>INDEX([1]TextData!B:B,MATCH(B9,[1]TextData!A:A))</f>
        <v>マリーベル</v>
      </c>
      <c r="D9" t="str">
        <f>INDEX([1]TextData!C:C,MATCH(B9,[1]TextData!A:A))</f>
        <v>【唯心の在処】</v>
      </c>
      <c r="E9">
        <v>8</v>
      </c>
      <c r="F9" s="2" t="s">
        <v>53</v>
      </c>
      <c r="G9">
        <v>1</v>
      </c>
      <c r="H9">
        <v>99</v>
      </c>
      <c r="I9">
        <v>37</v>
      </c>
      <c r="J9">
        <v>0</v>
      </c>
      <c r="K9">
        <v>15</v>
      </c>
      <c r="L9">
        <v>21</v>
      </c>
      <c r="M9">
        <v>16</v>
      </c>
      <c r="N9">
        <v>80</v>
      </c>
      <c r="O9">
        <v>0</v>
      </c>
      <c r="P9">
        <v>40</v>
      </c>
      <c r="Q9">
        <v>60</v>
      </c>
      <c r="R9">
        <v>35</v>
      </c>
      <c r="S9">
        <v>6</v>
      </c>
      <c r="T9">
        <v>2</v>
      </c>
      <c r="U9">
        <v>1</v>
      </c>
      <c r="V9">
        <v>5</v>
      </c>
      <c r="W9">
        <v>4</v>
      </c>
      <c r="X9">
        <v>-52</v>
      </c>
      <c r="Y9">
        <v>-52</v>
      </c>
      <c r="Z9">
        <v>0.8</v>
      </c>
      <c r="AA9">
        <v>0</v>
      </c>
      <c r="AB9">
        <v>0</v>
      </c>
      <c r="AC9">
        <v>1</v>
      </c>
      <c r="AD9">
        <v>0</v>
      </c>
      <c r="AE9">
        <v>0</v>
      </c>
      <c r="AF9">
        <v>0</v>
      </c>
    </row>
    <row r="10" spans="1:32" x14ac:dyDescent="0.2">
      <c r="A10">
        <v>9</v>
      </c>
      <c r="B10">
        <v>9</v>
      </c>
      <c r="C10" t="str">
        <f>INDEX([1]TextData!B:B,MATCH(B10,[1]TextData!A:A))</f>
        <v>ナツキ</v>
      </c>
      <c r="D10" t="str">
        <f>INDEX([1]TextData!C:C,MATCH(B10,[1]TextData!A:A))</f>
        <v>【黄昏ニヒリスト】</v>
      </c>
      <c r="E10">
        <v>9</v>
      </c>
      <c r="F10" s="2" t="s">
        <v>54</v>
      </c>
      <c r="G10">
        <v>1</v>
      </c>
      <c r="H10">
        <v>99</v>
      </c>
      <c r="I10">
        <v>34</v>
      </c>
      <c r="J10">
        <v>0</v>
      </c>
      <c r="K10">
        <v>25</v>
      </c>
      <c r="L10">
        <v>12</v>
      </c>
      <c r="M10">
        <v>24</v>
      </c>
      <c r="N10">
        <v>25</v>
      </c>
      <c r="O10">
        <v>0</v>
      </c>
      <c r="P10">
        <v>65</v>
      </c>
      <c r="Q10">
        <v>30</v>
      </c>
      <c r="R10">
        <v>50</v>
      </c>
      <c r="S10">
        <v>1</v>
      </c>
      <c r="T10">
        <v>4</v>
      </c>
      <c r="U10">
        <v>4</v>
      </c>
      <c r="V10">
        <v>7</v>
      </c>
      <c r="W10">
        <v>2</v>
      </c>
      <c r="X10">
        <v>-16</v>
      </c>
      <c r="Y10">
        <v>-52</v>
      </c>
      <c r="Z10">
        <v>0.75</v>
      </c>
      <c r="AA10">
        <v>0</v>
      </c>
      <c r="AB10">
        <v>0</v>
      </c>
      <c r="AC10">
        <v>1</v>
      </c>
      <c r="AD10">
        <v>0</v>
      </c>
      <c r="AE10">
        <v>0</v>
      </c>
      <c r="AF10">
        <v>0</v>
      </c>
    </row>
    <row r="11" spans="1:32" x14ac:dyDescent="0.2">
      <c r="A11">
        <v>10</v>
      </c>
      <c r="B11">
        <v>10</v>
      </c>
      <c r="C11" t="str">
        <f>INDEX([1]TextData!B:B,MATCH(B11,[1]TextData!A:A))</f>
        <v>メリアドール</v>
      </c>
      <c r="D11" t="str">
        <f>INDEX([1]TextData!C:C,MATCH(B11,[1]TextData!A:A))</f>
        <v>【怨嗟の鎖】</v>
      </c>
      <c r="E11">
        <v>10</v>
      </c>
      <c r="F11" s="2" t="s">
        <v>55</v>
      </c>
      <c r="G11">
        <v>1</v>
      </c>
      <c r="H11">
        <v>99</v>
      </c>
      <c r="I11">
        <v>30</v>
      </c>
      <c r="J11">
        <v>0</v>
      </c>
      <c r="K11">
        <v>17</v>
      </c>
      <c r="L11">
        <v>7</v>
      </c>
      <c r="M11">
        <v>31</v>
      </c>
      <c r="N11">
        <v>45</v>
      </c>
      <c r="O11">
        <v>0</v>
      </c>
      <c r="P11">
        <v>30</v>
      </c>
      <c r="Q11">
        <v>20</v>
      </c>
      <c r="R11">
        <v>75</v>
      </c>
      <c r="S11">
        <v>4</v>
      </c>
      <c r="T11">
        <v>1</v>
      </c>
      <c r="U11">
        <v>6</v>
      </c>
      <c r="V11">
        <v>5</v>
      </c>
      <c r="W11">
        <v>2</v>
      </c>
      <c r="X11">
        <v>12</v>
      </c>
      <c r="Y11">
        <v>-64</v>
      </c>
      <c r="Z11">
        <v>0.77</v>
      </c>
      <c r="AA11">
        <v>0</v>
      </c>
      <c r="AB11">
        <v>0</v>
      </c>
      <c r="AC11">
        <v>1</v>
      </c>
      <c r="AD11">
        <v>0</v>
      </c>
      <c r="AE11">
        <v>0</v>
      </c>
      <c r="AF11">
        <v>0</v>
      </c>
    </row>
    <row r="12" spans="1:32" x14ac:dyDescent="0.2">
      <c r="A12">
        <v>11</v>
      </c>
      <c r="B12">
        <v>11</v>
      </c>
      <c r="C12" t="str">
        <f>INDEX([1]TextData!B:B,MATCH(B12,[1]TextData!A:A))</f>
        <v>セリナ</v>
      </c>
      <c r="D12" t="str">
        <f>INDEX([1]TextData!C:C,MATCH(B12,[1]TextData!A:A))</f>
        <v>【氷雪の勿忘草】</v>
      </c>
      <c r="E12">
        <v>11</v>
      </c>
      <c r="F12" s="2" t="s">
        <v>56</v>
      </c>
      <c r="G12">
        <v>1</v>
      </c>
      <c r="H12">
        <v>99</v>
      </c>
      <c r="I12">
        <v>33</v>
      </c>
      <c r="J12">
        <v>0</v>
      </c>
      <c r="K12">
        <v>21</v>
      </c>
      <c r="L12">
        <v>16</v>
      </c>
      <c r="M12">
        <v>18</v>
      </c>
      <c r="N12">
        <v>65</v>
      </c>
      <c r="O12">
        <v>0</v>
      </c>
      <c r="P12">
        <v>40</v>
      </c>
      <c r="Q12">
        <v>25</v>
      </c>
      <c r="R12">
        <v>30</v>
      </c>
      <c r="S12">
        <v>6</v>
      </c>
      <c r="T12">
        <v>6</v>
      </c>
      <c r="U12">
        <v>1</v>
      </c>
      <c r="V12">
        <v>3</v>
      </c>
      <c r="W12">
        <v>2</v>
      </c>
      <c r="X12">
        <v>0</v>
      </c>
      <c r="Y12">
        <v>-54</v>
      </c>
      <c r="Z12">
        <v>0.87</v>
      </c>
      <c r="AA12">
        <v>0</v>
      </c>
      <c r="AB12">
        <v>0</v>
      </c>
      <c r="AC12">
        <v>1</v>
      </c>
      <c r="AD12">
        <v>0</v>
      </c>
      <c r="AE12">
        <v>0</v>
      </c>
      <c r="AF12">
        <v>0</v>
      </c>
    </row>
  </sheetData>
  <phoneticPr fontId="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5"/>
  <sheetViews>
    <sheetView workbookViewId="0">
      <selection activeCell="A2" sqref="A2:C45"/>
    </sheetView>
  </sheetViews>
  <sheetFormatPr defaultColWidth="8.7265625" defaultRowHeight="13" x14ac:dyDescent="0.2"/>
  <cols>
    <col min="2" max="2" width="44.26953125" style="2" customWidth="1"/>
  </cols>
  <sheetData>
    <row r="1" spans="1:3" x14ac:dyDescent="0.2">
      <c r="A1" t="s">
        <v>37</v>
      </c>
      <c r="B1" s="2" t="s">
        <v>38</v>
      </c>
      <c r="C1" t="s">
        <v>39</v>
      </c>
    </row>
    <row r="2" spans="1:3" x14ac:dyDescent="0.2">
      <c r="A2">
        <v>1</v>
      </c>
      <c r="B2" t="s">
        <v>57</v>
      </c>
      <c r="C2">
        <v>0</v>
      </c>
    </row>
    <row r="3" spans="1:3" x14ac:dyDescent="0.2">
      <c r="A3">
        <v>1</v>
      </c>
      <c r="B3">
        <v>11060</v>
      </c>
      <c r="C3">
        <v>11</v>
      </c>
    </row>
    <row r="4" spans="1:3" x14ac:dyDescent="0.2">
      <c r="A4">
        <v>1</v>
      </c>
      <c r="B4">
        <v>401060</v>
      </c>
      <c r="C4">
        <v>26</v>
      </c>
    </row>
    <row r="5" spans="1:3" x14ac:dyDescent="0.2">
      <c r="A5">
        <v>1</v>
      </c>
      <c r="B5">
        <v>1020</v>
      </c>
      <c r="C5">
        <v>41</v>
      </c>
    </row>
    <row r="6" spans="1:3" x14ac:dyDescent="0.2">
      <c r="A6">
        <v>2</v>
      </c>
      <c r="B6" t="s">
        <v>58</v>
      </c>
    </row>
    <row r="7" spans="1:3" x14ac:dyDescent="0.2">
      <c r="A7">
        <v>2</v>
      </c>
      <c r="B7">
        <v>12080</v>
      </c>
      <c r="C7">
        <v>11</v>
      </c>
    </row>
    <row r="8" spans="1:3" x14ac:dyDescent="0.2">
      <c r="A8">
        <v>2</v>
      </c>
      <c r="B8">
        <v>12040</v>
      </c>
      <c r="C8">
        <v>26</v>
      </c>
    </row>
    <row r="9" spans="1:3" x14ac:dyDescent="0.2">
      <c r="A9">
        <v>2</v>
      </c>
      <c r="B9">
        <v>2060</v>
      </c>
      <c r="C9">
        <v>41</v>
      </c>
    </row>
    <row r="10" spans="1:3" x14ac:dyDescent="0.2">
      <c r="A10">
        <v>3</v>
      </c>
      <c r="B10" t="s">
        <v>59</v>
      </c>
    </row>
    <row r="11" spans="1:3" x14ac:dyDescent="0.2">
      <c r="A11">
        <v>3</v>
      </c>
      <c r="B11">
        <v>13080</v>
      </c>
      <c r="C11">
        <v>11</v>
      </c>
    </row>
    <row r="12" spans="1:3" x14ac:dyDescent="0.2">
      <c r="A12">
        <v>3</v>
      </c>
      <c r="B12">
        <v>403010</v>
      </c>
      <c r="C12">
        <v>26</v>
      </c>
    </row>
    <row r="13" spans="1:3" x14ac:dyDescent="0.2">
      <c r="A13">
        <v>3</v>
      </c>
      <c r="B13">
        <v>3040</v>
      </c>
      <c r="C13">
        <v>41</v>
      </c>
    </row>
    <row r="14" spans="1:3" x14ac:dyDescent="0.2">
      <c r="A14">
        <v>4</v>
      </c>
      <c r="B14" t="s">
        <v>60</v>
      </c>
    </row>
    <row r="15" spans="1:3" x14ac:dyDescent="0.2">
      <c r="A15">
        <v>4</v>
      </c>
      <c r="B15">
        <v>14080</v>
      </c>
      <c r="C15">
        <v>11</v>
      </c>
    </row>
    <row r="16" spans="1:3" x14ac:dyDescent="0.2">
      <c r="A16">
        <v>4</v>
      </c>
      <c r="B16">
        <v>404030</v>
      </c>
      <c r="C16">
        <v>26</v>
      </c>
    </row>
    <row r="17" spans="1:3" x14ac:dyDescent="0.2">
      <c r="A17">
        <v>4</v>
      </c>
      <c r="B17">
        <v>4060</v>
      </c>
      <c r="C17">
        <v>41</v>
      </c>
    </row>
    <row r="18" spans="1:3" x14ac:dyDescent="0.2">
      <c r="A18">
        <v>5</v>
      </c>
      <c r="B18" t="s">
        <v>61</v>
      </c>
    </row>
    <row r="19" spans="1:3" x14ac:dyDescent="0.2">
      <c r="A19">
        <v>5</v>
      </c>
      <c r="B19">
        <v>15090</v>
      </c>
      <c r="C19">
        <v>11</v>
      </c>
    </row>
    <row r="20" spans="1:3" x14ac:dyDescent="0.2">
      <c r="A20">
        <v>5</v>
      </c>
      <c r="B20">
        <v>405070</v>
      </c>
      <c r="C20">
        <v>26</v>
      </c>
    </row>
    <row r="21" spans="1:3" x14ac:dyDescent="0.2">
      <c r="A21">
        <v>5</v>
      </c>
      <c r="B21">
        <v>5040</v>
      </c>
      <c r="C21">
        <v>41</v>
      </c>
    </row>
    <row r="22" spans="1:3" x14ac:dyDescent="0.2">
      <c r="A22">
        <v>6</v>
      </c>
      <c r="B22" t="s">
        <v>62</v>
      </c>
    </row>
    <row r="23" spans="1:3" x14ac:dyDescent="0.2">
      <c r="A23">
        <v>6</v>
      </c>
      <c r="B23">
        <v>11040</v>
      </c>
      <c r="C23">
        <v>11</v>
      </c>
    </row>
    <row r="24" spans="1:3" x14ac:dyDescent="0.2">
      <c r="A24">
        <v>6</v>
      </c>
      <c r="B24">
        <v>401030</v>
      </c>
      <c r="C24">
        <v>26</v>
      </c>
    </row>
    <row r="25" spans="1:3" x14ac:dyDescent="0.2">
      <c r="A25">
        <v>6</v>
      </c>
      <c r="B25">
        <v>1070</v>
      </c>
      <c r="C25">
        <v>41</v>
      </c>
    </row>
    <row r="26" spans="1:3" x14ac:dyDescent="0.2">
      <c r="A26">
        <v>7</v>
      </c>
      <c r="B26" t="s">
        <v>63</v>
      </c>
    </row>
    <row r="27" spans="1:3" x14ac:dyDescent="0.2">
      <c r="A27">
        <v>7</v>
      </c>
      <c r="B27">
        <v>12090</v>
      </c>
      <c r="C27">
        <v>11</v>
      </c>
    </row>
    <row r="28" spans="1:3" x14ac:dyDescent="0.2">
      <c r="A28">
        <v>7</v>
      </c>
      <c r="B28">
        <v>412090</v>
      </c>
      <c r="C28">
        <v>26</v>
      </c>
    </row>
    <row r="29" spans="1:3" x14ac:dyDescent="0.2">
      <c r="A29">
        <v>7</v>
      </c>
      <c r="B29">
        <v>2050</v>
      </c>
      <c r="C29">
        <v>41</v>
      </c>
    </row>
    <row r="30" spans="1:3" x14ac:dyDescent="0.2">
      <c r="A30">
        <v>8</v>
      </c>
      <c r="B30" t="s">
        <v>64</v>
      </c>
    </row>
    <row r="31" spans="1:3" x14ac:dyDescent="0.2">
      <c r="A31">
        <v>8</v>
      </c>
      <c r="B31">
        <v>13060</v>
      </c>
      <c r="C31">
        <v>11</v>
      </c>
    </row>
    <row r="32" spans="1:3" x14ac:dyDescent="0.2">
      <c r="A32">
        <v>8</v>
      </c>
      <c r="B32">
        <v>403070</v>
      </c>
      <c r="C32">
        <v>26</v>
      </c>
    </row>
    <row r="33" spans="1:3" x14ac:dyDescent="0.2">
      <c r="A33">
        <v>8</v>
      </c>
      <c r="B33">
        <v>3060</v>
      </c>
      <c r="C33">
        <v>41</v>
      </c>
    </row>
    <row r="34" spans="1:3" x14ac:dyDescent="0.2">
      <c r="A34">
        <v>9</v>
      </c>
      <c r="B34" t="s">
        <v>65</v>
      </c>
    </row>
    <row r="35" spans="1:3" x14ac:dyDescent="0.2">
      <c r="A35">
        <v>9</v>
      </c>
      <c r="B35">
        <v>11070</v>
      </c>
      <c r="C35">
        <v>11</v>
      </c>
    </row>
    <row r="36" spans="1:3" x14ac:dyDescent="0.2">
      <c r="A36">
        <v>9</v>
      </c>
      <c r="B36">
        <v>401050</v>
      </c>
      <c r="C36">
        <v>26</v>
      </c>
    </row>
    <row r="37" spans="1:3" x14ac:dyDescent="0.2">
      <c r="A37">
        <v>9</v>
      </c>
      <c r="B37">
        <v>1080</v>
      </c>
      <c r="C37">
        <v>41</v>
      </c>
    </row>
    <row r="38" spans="1:3" x14ac:dyDescent="0.2">
      <c r="A38">
        <v>10</v>
      </c>
      <c r="B38" t="s">
        <v>66</v>
      </c>
    </row>
    <row r="39" spans="1:3" x14ac:dyDescent="0.2">
      <c r="A39">
        <v>10</v>
      </c>
      <c r="B39">
        <v>12010</v>
      </c>
      <c r="C39">
        <v>11</v>
      </c>
    </row>
    <row r="40" spans="1:3" x14ac:dyDescent="0.2">
      <c r="A40">
        <v>10</v>
      </c>
      <c r="B40">
        <v>402030</v>
      </c>
      <c r="C40">
        <v>26</v>
      </c>
    </row>
    <row r="41" spans="1:3" x14ac:dyDescent="0.2">
      <c r="A41">
        <v>10</v>
      </c>
      <c r="B41">
        <v>2080</v>
      </c>
      <c r="C41">
        <v>41</v>
      </c>
    </row>
    <row r="42" spans="1:3" x14ac:dyDescent="0.2">
      <c r="A42">
        <v>11</v>
      </c>
      <c r="B42" t="s">
        <v>67</v>
      </c>
    </row>
    <row r="43" spans="1:3" x14ac:dyDescent="0.2">
      <c r="A43">
        <v>11</v>
      </c>
      <c r="B43">
        <v>13090</v>
      </c>
      <c r="C43">
        <v>11</v>
      </c>
    </row>
    <row r="44" spans="1:3" x14ac:dyDescent="0.2">
      <c r="A44">
        <v>11</v>
      </c>
      <c r="B44">
        <v>403050</v>
      </c>
      <c r="C44">
        <v>26</v>
      </c>
    </row>
    <row r="45" spans="1:3" x14ac:dyDescent="0.2">
      <c r="A45">
        <v>11</v>
      </c>
      <c r="B45">
        <v>3080</v>
      </c>
      <c r="C45">
        <v>41</v>
      </c>
    </row>
  </sheetData>
  <phoneticPr fontId="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1"/>
  <sheetViews>
    <sheetView topLeftCell="A50" workbookViewId="0">
      <selection activeCell="A62" sqref="A62:XFD115"/>
    </sheetView>
  </sheetViews>
  <sheetFormatPr defaultColWidth="8.7265625" defaultRowHeight="13" x14ac:dyDescent="0.2"/>
  <cols>
    <col min="3" max="4" width="12.90625" customWidth="1"/>
  </cols>
  <sheetData>
    <row r="1" spans="1:4" x14ac:dyDescent="0.2">
      <c r="A1" t="s">
        <v>37</v>
      </c>
      <c r="B1" t="s">
        <v>38</v>
      </c>
      <c r="C1" t="s">
        <v>40</v>
      </c>
      <c r="D1" t="s">
        <v>41</v>
      </c>
    </row>
    <row r="2" spans="1:4" x14ac:dyDescent="0.2">
      <c r="A2">
        <v>1</v>
      </c>
      <c r="B2">
        <v>1060</v>
      </c>
      <c r="C2">
        <v>0</v>
      </c>
      <c r="D2">
        <v>0</v>
      </c>
    </row>
    <row r="3" spans="1:4" x14ac:dyDescent="0.2">
      <c r="A3">
        <v>1</v>
      </c>
      <c r="B3">
        <v>100120</v>
      </c>
      <c r="C3">
        <v>0</v>
      </c>
      <c r="D3">
        <v>0</v>
      </c>
    </row>
    <row r="4" spans="1:4" x14ac:dyDescent="0.2">
      <c r="A4">
        <v>1</v>
      </c>
      <c r="B4">
        <v>1010</v>
      </c>
      <c r="C4">
        <v>0</v>
      </c>
      <c r="D4">
        <v>0</v>
      </c>
    </row>
    <row r="5" spans="1:4" x14ac:dyDescent="0.2">
      <c r="A5">
        <v>1</v>
      </c>
      <c r="B5">
        <v>100110</v>
      </c>
      <c r="C5">
        <v>0</v>
      </c>
      <c r="D5">
        <v>0</v>
      </c>
    </row>
    <row r="6" spans="1:4" x14ac:dyDescent="0.2">
      <c r="A6">
        <v>1</v>
      </c>
      <c r="B6">
        <v>0</v>
      </c>
      <c r="C6">
        <v>0</v>
      </c>
      <c r="D6">
        <v>0</v>
      </c>
    </row>
    <row r="7" spans="1:4" x14ac:dyDescent="0.2">
      <c r="A7">
        <v>1</v>
      </c>
      <c r="B7">
        <v>0</v>
      </c>
      <c r="C7">
        <v>0</v>
      </c>
      <c r="D7">
        <v>0</v>
      </c>
    </row>
    <row r="8" spans="1:4" x14ac:dyDescent="0.2">
      <c r="A8">
        <v>1</v>
      </c>
      <c r="B8">
        <v>0</v>
      </c>
      <c r="C8">
        <v>0</v>
      </c>
      <c r="D8">
        <v>0</v>
      </c>
    </row>
    <row r="9" spans="1:4" x14ac:dyDescent="0.2">
      <c r="A9">
        <v>1</v>
      </c>
      <c r="B9">
        <v>0</v>
      </c>
      <c r="C9">
        <v>0</v>
      </c>
      <c r="D9">
        <v>0</v>
      </c>
    </row>
    <row r="10" spans="1:4" x14ac:dyDescent="0.2">
      <c r="A10">
        <v>1</v>
      </c>
      <c r="B10">
        <v>0</v>
      </c>
      <c r="C10">
        <v>0</v>
      </c>
      <c r="D10">
        <v>0</v>
      </c>
    </row>
    <row r="11" spans="1:4" x14ac:dyDescent="0.2">
      <c r="A11">
        <v>1</v>
      </c>
      <c r="B11">
        <v>0</v>
      </c>
      <c r="C11">
        <v>0</v>
      </c>
      <c r="D11">
        <v>0</v>
      </c>
    </row>
    <row r="12" spans="1:4" x14ac:dyDescent="0.2">
      <c r="A12">
        <v>2</v>
      </c>
      <c r="B12">
        <v>2070</v>
      </c>
      <c r="C12">
        <v>0</v>
      </c>
      <c r="D12">
        <v>0</v>
      </c>
    </row>
    <row r="13" spans="1:4" x14ac:dyDescent="0.2">
      <c r="A13">
        <v>2</v>
      </c>
      <c r="B13">
        <v>100220</v>
      </c>
      <c r="C13">
        <v>0</v>
      </c>
      <c r="D13">
        <v>0</v>
      </c>
    </row>
    <row r="14" spans="1:4" x14ac:dyDescent="0.2">
      <c r="A14">
        <v>2</v>
      </c>
      <c r="B14">
        <v>2010</v>
      </c>
      <c r="C14">
        <v>0</v>
      </c>
      <c r="D14">
        <v>0</v>
      </c>
    </row>
    <row r="15" spans="1:4" x14ac:dyDescent="0.2">
      <c r="A15">
        <v>2</v>
      </c>
      <c r="B15">
        <v>100210</v>
      </c>
      <c r="C15">
        <v>0</v>
      </c>
      <c r="D15">
        <v>0</v>
      </c>
    </row>
    <row r="16" spans="1:4" x14ac:dyDescent="0.2">
      <c r="A16">
        <v>2</v>
      </c>
      <c r="B16">
        <v>0</v>
      </c>
      <c r="C16">
        <v>0</v>
      </c>
      <c r="D16">
        <v>0</v>
      </c>
    </row>
    <row r="17" spans="1:4" x14ac:dyDescent="0.2">
      <c r="A17">
        <v>2</v>
      </c>
      <c r="B17">
        <v>0</v>
      </c>
      <c r="C17">
        <v>0</v>
      </c>
      <c r="D17">
        <v>0</v>
      </c>
    </row>
    <row r="18" spans="1:4" x14ac:dyDescent="0.2">
      <c r="A18">
        <v>2</v>
      </c>
      <c r="B18">
        <v>0</v>
      </c>
      <c r="C18">
        <v>0</v>
      </c>
      <c r="D18">
        <v>0</v>
      </c>
    </row>
    <row r="19" spans="1:4" x14ac:dyDescent="0.2">
      <c r="A19">
        <v>2</v>
      </c>
      <c r="B19">
        <v>0</v>
      </c>
      <c r="C19">
        <v>0</v>
      </c>
      <c r="D19">
        <v>0</v>
      </c>
    </row>
    <row r="20" spans="1:4" x14ac:dyDescent="0.2">
      <c r="A20">
        <v>2</v>
      </c>
      <c r="B20">
        <v>0</v>
      </c>
      <c r="C20">
        <v>0</v>
      </c>
      <c r="D20">
        <v>0</v>
      </c>
    </row>
    <row r="21" spans="1:4" x14ac:dyDescent="0.2">
      <c r="A21">
        <v>2</v>
      </c>
      <c r="B21">
        <v>0</v>
      </c>
      <c r="C21">
        <v>0</v>
      </c>
      <c r="D21">
        <v>0</v>
      </c>
    </row>
    <row r="22" spans="1:4" x14ac:dyDescent="0.2">
      <c r="A22">
        <v>3</v>
      </c>
      <c r="B22">
        <v>3020</v>
      </c>
      <c r="C22">
        <v>0</v>
      </c>
      <c r="D22">
        <v>0</v>
      </c>
    </row>
    <row r="23" spans="1:4" x14ac:dyDescent="0.2">
      <c r="A23">
        <v>3</v>
      </c>
      <c r="B23">
        <v>100320</v>
      </c>
      <c r="C23">
        <v>0</v>
      </c>
      <c r="D23">
        <v>0</v>
      </c>
    </row>
    <row r="24" spans="1:4" x14ac:dyDescent="0.2">
      <c r="A24">
        <v>3</v>
      </c>
      <c r="B24">
        <v>3010</v>
      </c>
      <c r="C24">
        <v>0</v>
      </c>
      <c r="D24">
        <v>0</v>
      </c>
    </row>
    <row r="25" spans="1:4" x14ac:dyDescent="0.2">
      <c r="A25">
        <v>3</v>
      </c>
      <c r="B25">
        <v>100310</v>
      </c>
      <c r="C25">
        <v>0</v>
      </c>
      <c r="D25">
        <v>0</v>
      </c>
    </row>
    <row r="26" spans="1:4" x14ac:dyDescent="0.2">
      <c r="A26">
        <v>3</v>
      </c>
      <c r="B26">
        <v>0</v>
      </c>
      <c r="C26">
        <v>0</v>
      </c>
      <c r="D26">
        <v>0</v>
      </c>
    </row>
    <row r="27" spans="1:4" x14ac:dyDescent="0.2">
      <c r="A27">
        <v>3</v>
      </c>
      <c r="B27">
        <v>0</v>
      </c>
      <c r="C27">
        <v>0</v>
      </c>
      <c r="D27">
        <v>0</v>
      </c>
    </row>
    <row r="28" spans="1:4" x14ac:dyDescent="0.2">
      <c r="A28">
        <v>3</v>
      </c>
      <c r="B28">
        <v>0</v>
      </c>
      <c r="C28">
        <v>0</v>
      </c>
      <c r="D28">
        <v>0</v>
      </c>
    </row>
    <row r="29" spans="1:4" x14ac:dyDescent="0.2">
      <c r="A29">
        <v>3</v>
      </c>
      <c r="B29">
        <v>0</v>
      </c>
      <c r="C29">
        <v>0</v>
      </c>
      <c r="D29">
        <v>0</v>
      </c>
    </row>
    <row r="30" spans="1:4" x14ac:dyDescent="0.2">
      <c r="A30">
        <v>3</v>
      </c>
      <c r="B30">
        <v>0</v>
      </c>
      <c r="C30">
        <v>0</v>
      </c>
      <c r="D30">
        <v>0</v>
      </c>
    </row>
    <row r="31" spans="1:4" x14ac:dyDescent="0.2">
      <c r="A31">
        <v>3</v>
      </c>
      <c r="B31">
        <v>0</v>
      </c>
      <c r="C31">
        <v>0</v>
      </c>
      <c r="D31">
        <v>0</v>
      </c>
    </row>
    <row r="32" spans="1:4" x14ac:dyDescent="0.2">
      <c r="A32">
        <v>4</v>
      </c>
      <c r="B32">
        <v>100420</v>
      </c>
      <c r="C32">
        <v>0</v>
      </c>
      <c r="D32">
        <v>0</v>
      </c>
    </row>
    <row r="33" spans="1:4" x14ac:dyDescent="0.2">
      <c r="A33">
        <v>4</v>
      </c>
      <c r="B33">
        <v>4030</v>
      </c>
      <c r="C33">
        <v>1033</v>
      </c>
      <c r="D33">
        <v>0</v>
      </c>
    </row>
    <row r="34" spans="1:4" x14ac:dyDescent="0.2">
      <c r="A34">
        <v>4</v>
      </c>
      <c r="B34">
        <v>4010</v>
      </c>
      <c r="C34">
        <v>0</v>
      </c>
      <c r="D34">
        <v>0</v>
      </c>
    </row>
    <row r="35" spans="1:4" x14ac:dyDescent="0.2">
      <c r="A35">
        <v>4</v>
      </c>
      <c r="B35">
        <v>100410</v>
      </c>
      <c r="C35">
        <v>0</v>
      </c>
      <c r="D35">
        <v>0</v>
      </c>
    </row>
    <row r="36" spans="1:4" x14ac:dyDescent="0.2">
      <c r="A36">
        <v>4</v>
      </c>
      <c r="B36">
        <v>0</v>
      </c>
      <c r="C36">
        <v>0</v>
      </c>
      <c r="D36">
        <v>0</v>
      </c>
    </row>
    <row r="37" spans="1:4" x14ac:dyDescent="0.2">
      <c r="A37">
        <v>4</v>
      </c>
      <c r="B37">
        <v>0</v>
      </c>
      <c r="C37">
        <v>0</v>
      </c>
      <c r="D37">
        <v>0</v>
      </c>
    </row>
    <row r="38" spans="1:4" x14ac:dyDescent="0.2">
      <c r="A38">
        <v>4</v>
      </c>
      <c r="B38">
        <v>0</v>
      </c>
      <c r="C38">
        <v>0</v>
      </c>
      <c r="D38">
        <v>0</v>
      </c>
    </row>
    <row r="39" spans="1:4" x14ac:dyDescent="0.2">
      <c r="A39">
        <v>4</v>
      </c>
      <c r="B39">
        <v>0</v>
      </c>
      <c r="C39">
        <v>0</v>
      </c>
      <c r="D39">
        <v>0</v>
      </c>
    </row>
    <row r="40" spans="1:4" x14ac:dyDescent="0.2">
      <c r="A40">
        <v>4</v>
      </c>
      <c r="B40">
        <v>0</v>
      </c>
      <c r="C40">
        <v>0</v>
      </c>
      <c r="D40">
        <v>0</v>
      </c>
    </row>
    <row r="41" spans="1:4" x14ac:dyDescent="0.2">
      <c r="A41">
        <v>4</v>
      </c>
      <c r="B41">
        <v>0</v>
      </c>
      <c r="C41">
        <v>0</v>
      </c>
      <c r="D41">
        <v>0</v>
      </c>
    </row>
    <row r="42" spans="1:4" x14ac:dyDescent="0.2">
      <c r="A42">
        <v>5</v>
      </c>
      <c r="B42">
        <v>100520</v>
      </c>
      <c r="C42">
        <v>0</v>
      </c>
      <c r="D42">
        <v>0</v>
      </c>
    </row>
    <row r="43" spans="1:4" x14ac:dyDescent="0.2">
      <c r="A43">
        <v>5</v>
      </c>
      <c r="B43">
        <v>5070</v>
      </c>
      <c r="C43">
        <v>0</v>
      </c>
      <c r="D43">
        <v>0</v>
      </c>
    </row>
    <row r="44" spans="1:4" x14ac:dyDescent="0.2">
      <c r="A44">
        <v>5</v>
      </c>
      <c r="B44">
        <v>5010</v>
      </c>
      <c r="C44">
        <v>0</v>
      </c>
      <c r="D44">
        <v>0</v>
      </c>
    </row>
    <row r="45" spans="1:4" x14ac:dyDescent="0.2">
      <c r="A45">
        <v>5</v>
      </c>
      <c r="B45">
        <v>100510</v>
      </c>
      <c r="C45">
        <v>0</v>
      </c>
      <c r="D45">
        <v>0</v>
      </c>
    </row>
    <row r="46" spans="1:4" x14ac:dyDescent="0.2">
      <c r="A46">
        <v>5</v>
      </c>
      <c r="B46">
        <v>0</v>
      </c>
      <c r="C46">
        <v>0</v>
      </c>
      <c r="D46">
        <v>0</v>
      </c>
    </row>
    <row r="47" spans="1:4" x14ac:dyDescent="0.2">
      <c r="A47">
        <v>5</v>
      </c>
      <c r="B47">
        <v>0</v>
      </c>
      <c r="C47">
        <v>0</v>
      </c>
      <c r="D47">
        <v>0</v>
      </c>
    </row>
    <row r="48" spans="1:4" x14ac:dyDescent="0.2">
      <c r="A48">
        <v>5</v>
      </c>
      <c r="B48">
        <v>0</v>
      </c>
      <c r="C48">
        <v>0</v>
      </c>
      <c r="D48">
        <v>0</v>
      </c>
    </row>
    <row r="49" spans="1:4" x14ac:dyDescent="0.2">
      <c r="A49">
        <v>5</v>
      </c>
      <c r="B49">
        <v>0</v>
      </c>
      <c r="C49">
        <v>0</v>
      </c>
      <c r="D49">
        <v>0</v>
      </c>
    </row>
    <row r="50" spans="1:4" x14ac:dyDescent="0.2">
      <c r="A50">
        <v>5</v>
      </c>
      <c r="B50">
        <v>0</v>
      </c>
      <c r="C50">
        <v>0</v>
      </c>
      <c r="D50">
        <v>0</v>
      </c>
    </row>
    <row r="51" spans="1:4" x14ac:dyDescent="0.2">
      <c r="A51">
        <v>5</v>
      </c>
      <c r="B51">
        <v>0</v>
      </c>
      <c r="C51">
        <v>0</v>
      </c>
      <c r="D51">
        <v>0</v>
      </c>
    </row>
    <row r="52" spans="1:4" x14ac:dyDescent="0.2">
      <c r="A52">
        <v>6</v>
      </c>
      <c r="B52">
        <v>1030</v>
      </c>
      <c r="C52">
        <v>0</v>
      </c>
      <c r="D52">
        <v>0</v>
      </c>
    </row>
    <row r="53" spans="1:4" x14ac:dyDescent="0.2">
      <c r="A53">
        <v>6</v>
      </c>
      <c r="B53">
        <v>100620</v>
      </c>
      <c r="C53">
        <v>0</v>
      </c>
      <c r="D53">
        <v>0</v>
      </c>
    </row>
    <row r="54" spans="1:4" x14ac:dyDescent="0.2">
      <c r="A54">
        <v>6</v>
      </c>
      <c r="B54">
        <v>1010</v>
      </c>
      <c r="C54">
        <v>0</v>
      </c>
      <c r="D54">
        <v>0</v>
      </c>
    </row>
    <row r="55" spans="1:4" x14ac:dyDescent="0.2">
      <c r="A55">
        <v>6</v>
      </c>
      <c r="B55">
        <v>100610</v>
      </c>
      <c r="C55">
        <v>0</v>
      </c>
      <c r="D55">
        <v>0</v>
      </c>
    </row>
    <row r="56" spans="1:4" x14ac:dyDescent="0.2">
      <c r="A56">
        <v>6</v>
      </c>
      <c r="B56">
        <v>0</v>
      </c>
      <c r="C56">
        <v>0</v>
      </c>
      <c r="D56">
        <v>0</v>
      </c>
    </row>
    <row r="57" spans="1:4" x14ac:dyDescent="0.2">
      <c r="A57">
        <v>6</v>
      </c>
      <c r="B57">
        <v>0</v>
      </c>
      <c r="C57">
        <v>0</v>
      </c>
      <c r="D57">
        <v>0</v>
      </c>
    </row>
    <row r="58" spans="1:4" x14ac:dyDescent="0.2">
      <c r="A58">
        <v>6</v>
      </c>
      <c r="B58">
        <v>0</v>
      </c>
      <c r="C58">
        <v>0</v>
      </c>
      <c r="D58">
        <v>0</v>
      </c>
    </row>
    <row r="59" spans="1:4" x14ac:dyDescent="0.2">
      <c r="A59">
        <v>6</v>
      </c>
      <c r="B59">
        <v>0</v>
      </c>
      <c r="C59">
        <v>0</v>
      </c>
      <c r="D59">
        <v>0</v>
      </c>
    </row>
    <row r="60" spans="1:4" x14ac:dyDescent="0.2">
      <c r="A60">
        <v>6</v>
      </c>
      <c r="B60">
        <v>0</v>
      </c>
      <c r="C60">
        <v>0</v>
      </c>
      <c r="D60">
        <v>0</v>
      </c>
    </row>
    <row r="61" spans="1:4" x14ac:dyDescent="0.2">
      <c r="A61">
        <v>6</v>
      </c>
      <c r="B61">
        <v>0</v>
      </c>
      <c r="C61">
        <v>0</v>
      </c>
      <c r="D61">
        <v>0</v>
      </c>
    </row>
  </sheetData>
  <phoneticPr fontId="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tabSelected="1" workbookViewId="0">
      <selection activeCell="A2" sqref="A2:D12"/>
    </sheetView>
  </sheetViews>
  <sheetFormatPr defaultColWidth="8.7265625" defaultRowHeight="13" x14ac:dyDescent="0.2"/>
  <cols>
    <col min="3" max="3" width="20.54296875" customWidth="1"/>
    <col min="4" max="4" width="45.1796875" customWidth="1"/>
  </cols>
  <sheetData>
    <row r="1" spans="1:4" x14ac:dyDescent="0.2">
      <c r="A1" t="s">
        <v>0</v>
      </c>
      <c r="B1" t="s">
        <v>42</v>
      </c>
      <c r="C1" t="s">
        <v>43</v>
      </c>
      <c r="D1" t="s">
        <v>44</v>
      </c>
    </row>
    <row r="2" spans="1:4" ht="39" x14ac:dyDescent="0.2">
      <c r="A2">
        <v>1</v>
      </c>
      <c r="B2" t="s">
        <v>68</v>
      </c>
      <c r="C2" t="s">
        <v>69</v>
      </c>
      <c r="D2" s="1" t="s">
        <v>45</v>
      </c>
    </row>
    <row r="3" spans="1:4" ht="39" x14ac:dyDescent="0.2">
      <c r="A3">
        <v>2</v>
      </c>
      <c r="B3" t="s">
        <v>70</v>
      </c>
      <c r="C3" t="s">
        <v>71</v>
      </c>
      <c r="D3" s="1" t="s">
        <v>46</v>
      </c>
    </row>
    <row r="4" spans="1:4" ht="39" x14ac:dyDescent="0.2">
      <c r="A4">
        <v>3</v>
      </c>
      <c r="B4" t="s">
        <v>72</v>
      </c>
      <c r="C4" t="s">
        <v>73</v>
      </c>
      <c r="D4" s="1" t="s">
        <v>47</v>
      </c>
    </row>
    <row r="5" spans="1:4" ht="39" x14ac:dyDescent="0.2">
      <c r="A5">
        <v>4</v>
      </c>
      <c r="B5" t="s">
        <v>49</v>
      </c>
      <c r="C5" t="s">
        <v>74</v>
      </c>
      <c r="D5" s="1" t="s">
        <v>48</v>
      </c>
    </row>
    <row r="6" spans="1:4" ht="52" x14ac:dyDescent="0.2">
      <c r="A6">
        <v>5</v>
      </c>
      <c r="B6" t="s">
        <v>75</v>
      </c>
      <c r="C6" t="s">
        <v>76</v>
      </c>
      <c r="D6" s="1" t="s">
        <v>50</v>
      </c>
    </row>
    <row r="7" spans="1:4" ht="39" x14ac:dyDescent="0.2">
      <c r="A7">
        <v>6</v>
      </c>
      <c r="B7" t="s">
        <v>77</v>
      </c>
      <c r="C7" t="s">
        <v>78</v>
      </c>
      <c r="D7" s="1" t="s">
        <v>51</v>
      </c>
    </row>
    <row r="8" spans="1:4" ht="52" x14ac:dyDescent="0.2">
      <c r="A8">
        <v>7</v>
      </c>
      <c r="B8" t="s">
        <v>79</v>
      </c>
      <c r="C8" t="s">
        <v>80</v>
      </c>
      <c r="D8" s="1" t="s">
        <v>81</v>
      </c>
    </row>
    <row r="9" spans="1:4" ht="52" x14ac:dyDescent="0.2">
      <c r="A9">
        <v>8</v>
      </c>
      <c r="B9" t="s">
        <v>82</v>
      </c>
      <c r="C9" t="s">
        <v>83</v>
      </c>
      <c r="D9" s="1" t="s">
        <v>84</v>
      </c>
    </row>
    <row r="10" spans="1:4" ht="39" x14ac:dyDescent="0.2">
      <c r="A10">
        <v>9</v>
      </c>
      <c r="B10" t="s">
        <v>85</v>
      </c>
      <c r="C10" t="s">
        <v>86</v>
      </c>
      <c r="D10" s="1" t="s">
        <v>87</v>
      </c>
    </row>
    <row r="11" spans="1:4" ht="39" x14ac:dyDescent="0.2">
      <c r="A11">
        <v>10</v>
      </c>
      <c r="B11" t="s">
        <v>88</v>
      </c>
      <c r="C11" t="s">
        <v>89</v>
      </c>
      <c r="D11" s="1" t="s">
        <v>90</v>
      </c>
    </row>
    <row r="12" spans="1:4" ht="52" x14ac:dyDescent="0.2">
      <c r="A12">
        <v>11</v>
      </c>
      <c r="B12" t="s">
        <v>91</v>
      </c>
      <c r="C12" t="s">
        <v>92</v>
      </c>
      <c r="D12" s="1" t="s">
        <v>93</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Actors</vt:lpstr>
      <vt:lpstr>Learning</vt:lpstr>
      <vt:lpstr>SkillTrigger</vt:lpstr>
      <vt:lpstr>TextData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孝司 鴫原</cp:lastModifiedBy>
  <dcterms:created xsi:type="dcterms:W3CDTF">2022-04-16T05:08:00Z</dcterms:created>
  <dcterms:modified xsi:type="dcterms:W3CDTF">2025-04-10T02:43:12Z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