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<sst xmlns="http://schemas.openxmlformats.org/spreadsheetml/2006/main" count="771" uniqueCount="28">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</sst>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8" fillId="26" borderId="1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9" fillId="28" borderId="8" applyNumberForma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D2" sqref="D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3" sqref="F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3" sqref="F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zoomScale="110" zoomScaleNormal="110" workbookViewId="0">
      <selection activeCell="A13" sqref="$A13:$XFD13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9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9</v>
      </c>
      <c r="J5">
        <v>9</v>
      </c>
      <c r="K5" t="b">
        <v>0</v>
      </c>
    </row>
    <row r="6" spans="1:11">
      <c r="A6">
        <v>30</v>
      </c>
      <c r="B6">
        <v>8</v>
      </c>
      <c r="C6">
        <v>3</v>
      </c>
      <c r="D6">
        <v>3010</v>
      </c>
      <c r="F6">
        <v>7010</v>
      </c>
      <c r="G6" t="str">
        <f>INDEX([1]Define!E:E,MATCH(F6,[1]Define!D:D))</f>
        <v>ダメージ床</v>
      </c>
      <c r="H6">
        <v>20</v>
      </c>
      <c r="I6">
        <v>0</v>
      </c>
      <c r="J6">
        <v>0</v>
      </c>
      <c r="K6" t="b">
        <v>0</v>
      </c>
    </row>
    <row r="7" spans="1:11">
      <c r="A7">
        <v>30</v>
      </c>
      <c r="B7">
        <v>8</v>
      </c>
      <c r="C7">
        <v>4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30</v>
      </c>
      <c r="B8">
        <v>6</v>
      </c>
      <c r="C8">
        <v>2</v>
      </c>
      <c r="D8">
        <v>3010</v>
      </c>
      <c r="F8">
        <v>1010</v>
      </c>
      <c r="G8" t="str">
        <f>INDEX([1]Define!E:E,MATCH(F8,[1]Define!D:D))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30</v>
      </c>
      <c r="B9">
        <v>6</v>
      </c>
      <c r="C9">
        <v>2</v>
      </c>
      <c r="D9">
        <v>3010</v>
      </c>
      <c r="F9">
        <v>6010</v>
      </c>
      <c r="G9" t="str">
        <f>INDEX([1]Define!E:E,MATCH(F9,[1]Define!D:D))</f>
        <v>指定のイベントマスを消す</v>
      </c>
      <c r="H9">
        <v>72</v>
      </c>
      <c r="I9">
        <v>0</v>
      </c>
      <c r="J9">
        <v>0</v>
      </c>
      <c r="K9" t="b">
        <v>1</v>
      </c>
    </row>
    <row r="10" spans="1:11">
      <c r="A10">
        <v>30</v>
      </c>
      <c r="B10">
        <v>7</v>
      </c>
      <c r="C10">
        <v>2</v>
      </c>
      <c r="D10">
        <v>3010</v>
      </c>
      <c r="F10">
        <v>0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8</v>
      </c>
      <c r="C11">
        <v>3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8</v>
      </c>
      <c r="C12">
        <v>4</v>
      </c>
      <c r="D12">
        <v>3010</v>
      </c>
      <c r="F12">
        <v>0</v>
      </c>
      <c r="H12">
        <v>72</v>
      </c>
      <c r="I12">
        <v>0</v>
      </c>
      <c r="J12">
        <v>0</v>
      </c>
      <c r="K12" t="b">
        <v>1</v>
      </c>
    </row>
    <row r="13" spans="1:11">
      <c r="A13">
        <v>30</v>
      </c>
      <c r="B13">
        <v>6</v>
      </c>
      <c r="C13">
        <v>2</v>
      </c>
      <c r="D13">
        <v>3010</v>
      </c>
      <c r="F13">
        <v>1020</v>
      </c>
      <c r="G13" t="str">
        <f>INDEX([1]Define!E:E,MATCH(F13,[1]Define!D:D))</f>
        <v>エンフェリアイベント再生</v>
      </c>
      <c r="H13">
        <v>2</v>
      </c>
      <c r="I13">
        <v>1</v>
      </c>
      <c r="J13">
        <v>0</v>
      </c>
      <c r="K13" t="b">
        <v>1</v>
      </c>
    </row>
    <row r="14" spans="1:11">
      <c r="A14">
        <v>30</v>
      </c>
      <c r="B14">
        <v>6</v>
      </c>
      <c r="C14">
        <v>2</v>
      </c>
      <c r="D14">
        <v>3010</v>
      </c>
      <c r="F14">
        <v>9010</v>
      </c>
      <c r="G14" t="str">
        <f>INDEX([1]Define!E:E,MATCH(F14,[1]Define!D:D))</f>
        <v>イベント終了明示</v>
      </c>
      <c r="H14">
        <v>0</v>
      </c>
      <c r="I14">
        <v>0</v>
      </c>
      <c r="J14">
        <v>0</v>
      </c>
      <c r="K14" t="b">
        <v>0</v>
      </c>
    </row>
    <row r="15" spans="1:11">
      <c r="A15">
        <v>30</v>
      </c>
      <c r="B15">
        <v>8</v>
      </c>
      <c r="C15">
        <v>5</v>
      </c>
      <c r="D15">
        <v>3010</v>
      </c>
      <c r="F15">
        <v>1010</v>
      </c>
      <c r="G15" t="str">
        <f>INDEX([1]Define!E:E,MATCH(F15,[1]Define!D:D))</f>
        <v>Adv再生</v>
      </c>
      <c r="H15">
        <v>1030</v>
      </c>
      <c r="I15">
        <v>0</v>
      </c>
      <c r="J15">
        <v>0</v>
      </c>
      <c r="K15" t="b">
        <v>1</v>
      </c>
    </row>
    <row r="16" spans="1:11">
      <c r="A16">
        <v>30</v>
      </c>
      <c r="B16">
        <v>8</v>
      </c>
      <c r="C16">
        <v>5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  <row r="17" spans="1:11">
      <c r="A17">
        <v>30</v>
      </c>
      <c r="B17">
        <v>9</v>
      </c>
      <c r="C17">
        <v>4</v>
      </c>
      <c r="D17">
        <v>3010</v>
      </c>
      <c r="F17">
        <v>3020</v>
      </c>
      <c r="G17" t="str">
        <f>INDEX([1]Define!E:E,MATCH(F17,[1]Define!D:D))</f>
        <v>アイテム取得</v>
      </c>
      <c r="H17">
        <v>3010</v>
      </c>
      <c r="I17">
        <v>1</v>
      </c>
      <c r="J17">
        <v>0</v>
      </c>
      <c r="K17" t="b">
        <v>1</v>
      </c>
    </row>
    <row r="18" spans="1:11">
      <c r="A18">
        <v>30</v>
      </c>
      <c r="B18">
        <v>13</v>
      </c>
      <c r="C18">
        <v>10</v>
      </c>
      <c r="D18">
        <v>3010</v>
      </c>
      <c r="F18">
        <v>8010</v>
      </c>
      <c r="G18" t="str">
        <f>INDEX([1]Define!E:E,MATCH(F18,[1]Define!D:D))</f>
        <v>指定リージョンを開示する</v>
      </c>
      <c r="H18">
        <v>1</v>
      </c>
      <c r="I18">
        <v>0</v>
      </c>
      <c r="J18">
        <v>0</v>
      </c>
      <c r="K1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2026-09-16T02:46:27Z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