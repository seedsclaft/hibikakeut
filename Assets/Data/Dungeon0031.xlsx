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<sst xmlns="http://schemas.openxmlformats.org/spreadsheetml/2006/main" count="478" uniqueCount="22">
  <si>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</si>
  <si>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</si>
  <si>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</si>
  <si>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</si>
  <si>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</si>
  <si>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</si>
  <si>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</si>
  <si>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</si>
  <si>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</si>
  <si>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</si>
  <si>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</si>
  <si>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Ar:D0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</si>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</sst>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15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6" fillId="4" borderId="4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20" fillId="4" borderId="6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G4" sqref="G4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31</v>
      </c>
      <c r="B2">
        <v>31</v>
      </c>
      <c r="C2">
        <v>2</v>
      </c>
      <c r="D2">
        <v>16</v>
      </c>
      <c r="E2">
        <v>16</v>
      </c>
      <c r="F2">
        <v>14</v>
      </c>
      <c r="G2">
        <v>2</v>
      </c>
      <c r="H2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O10" sqref="O10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9</v>
      </c>
      <c r="N4" s="2" t="s">
        <v>10</v>
      </c>
      <c r="O4" s="2"/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9</v>
      </c>
      <c r="N5" s="2"/>
      <c r="O5" s="2"/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9</v>
      </c>
      <c r="N6" s="2"/>
      <c r="O6" s="2"/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9</v>
      </c>
      <c r="N7" s="2" t="s">
        <v>9</v>
      </c>
      <c r="O7" s="2"/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11</v>
      </c>
      <c r="D8" s="2" t="s">
        <v>9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8</v>
      </c>
      <c r="K8" s="2" t="s">
        <v>8</v>
      </c>
      <c r="L8" s="2" t="s">
        <v>8</v>
      </c>
      <c r="M8" s="2" t="s">
        <v>9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8</v>
      </c>
      <c r="K9" s="2" t="s">
        <v>8</v>
      </c>
      <c r="L9" s="2" t="s">
        <v>8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8</v>
      </c>
      <c r="J10" s="2" t="s">
        <v>8</v>
      </c>
      <c r="K10" s="2" t="s">
        <v>8</v>
      </c>
      <c r="L10" s="2" t="s">
        <v>8</v>
      </c>
      <c r="M10" s="2" t="s">
        <v>9</v>
      </c>
      <c r="N10" s="2" t="s">
        <v>9</v>
      </c>
      <c r="O10" s="2"/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8</v>
      </c>
      <c r="M11" s="2" t="s">
        <v>9</v>
      </c>
      <c r="N11" s="2" t="s">
        <v>9</v>
      </c>
      <c r="O11" s="2"/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 t="s">
        <v>9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10</v>
      </c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O10" sqref="O10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9</v>
      </c>
      <c r="N4" s="2" t="s">
        <v>12</v>
      </c>
      <c r="O4" s="2" t="s">
        <v>12</v>
      </c>
      <c r="P4" s="2" t="s">
        <v>9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9</v>
      </c>
      <c r="N5" s="2" t="s">
        <v>12</v>
      </c>
      <c r="O5" s="2" t="s">
        <v>12</v>
      </c>
      <c r="P5" s="2" t="s">
        <v>9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9</v>
      </c>
      <c r="N6" s="2" t="s">
        <v>12</v>
      </c>
      <c r="O6" s="2" t="s">
        <v>12</v>
      </c>
      <c r="P6" s="2" t="s">
        <v>9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9</v>
      </c>
      <c r="N7" s="2" t="s">
        <v>9</v>
      </c>
      <c r="O7" s="2"/>
      <c r="P7" s="2" t="s">
        <v>9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11</v>
      </c>
      <c r="D8" s="2" t="s">
        <v>9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8</v>
      </c>
      <c r="K8" s="2" t="s">
        <v>8</v>
      </c>
      <c r="L8" s="2" t="s">
        <v>8</v>
      </c>
      <c r="M8" s="2" t="s">
        <v>9</v>
      </c>
      <c r="N8" s="2" t="s">
        <v>9</v>
      </c>
      <c r="O8" s="2"/>
      <c r="P8" s="2" t="s">
        <v>9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8</v>
      </c>
      <c r="K9" s="2" t="s">
        <v>8</v>
      </c>
      <c r="L9" s="2" t="s">
        <v>8</v>
      </c>
      <c r="M9" s="2" t="s">
        <v>9</v>
      </c>
      <c r="N9" s="2" t="s">
        <v>9</v>
      </c>
      <c r="O9" s="2"/>
      <c r="P9" s="2" t="s">
        <v>9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8</v>
      </c>
      <c r="J10" s="2" t="s">
        <v>8</v>
      </c>
      <c r="K10" s="2" t="s">
        <v>8</v>
      </c>
      <c r="L10" s="2" t="s">
        <v>8</v>
      </c>
      <c r="M10" s="2" t="s">
        <v>9</v>
      </c>
      <c r="N10" s="2" t="s">
        <v>9</v>
      </c>
      <c r="O10" s="2"/>
      <c r="P10" s="2" t="s">
        <v>9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8</v>
      </c>
      <c r="M11" s="2" t="s">
        <v>9</v>
      </c>
      <c r="N11" s="2" t="s">
        <v>9</v>
      </c>
      <c r="O11" s="2"/>
      <c r="P11" s="2" t="s">
        <v>9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 t="s">
        <v>9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/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10</v>
      </c>
      <c r="D15" s="2" t="s">
        <v>9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"/>
  <sheetViews>
    <sheetView zoomScale="110" zoomScaleNormal="110" workbookViewId="0">
      <selection activeCell="A4" sqref="$A4:$XFD8"/>
    </sheetView>
  </sheetViews>
  <sheetFormatPr defaultColWidth="8.72727272727273" defaultRowHeight="13" outlineLevelRow="5"/>
  <cols>
    <col min="7" max="7" width="24.6363636363636" customWidth="1"/>
  </cols>
  <sheetData>
    <row r="1" spans="1:11">
      <c r="A1" t="s">
        <v>0</v>
      </c>
      <c r="B1" t="s">
        <v>13</v>
      </c>
      <c r="C1" t="s">
        <v>14</v>
      </c>
      <c r="D1" t="s">
        <v>15</v>
      </c>
      <c r="E1" s="1" t="s">
        <v>16</v>
      </c>
      <c r="F1" t="s">
        <v>17</v>
      </c>
      <c r="G1" s="1" t="s">
        <v>16</v>
      </c>
      <c r="H1" t="s">
        <v>18</v>
      </c>
      <c r="I1" t="s">
        <v>19</v>
      </c>
      <c r="J1" t="s">
        <v>20</v>
      </c>
      <c r="K1" t="s">
        <v>21</v>
      </c>
    </row>
    <row r="2" spans="1:11">
      <c r="A2">
        <v>31</v>
      </c>
      <c r="B2">
        <v>1</v>
      </c>
      <c r="C2">
        <v>13</v>
      </c>
      <c r="D2">
        <v>3010</v>
      </c>
      <c r="F2">
        <v>2020</v>
      </c>
      <c r="G2" t="str">
        <f>INDEX([1]Define!E:E,MATCH(F2,[1]Define!D:D))</f>
        <v>ダンジョン移動</v>
      </c>
      <c r="H2">
        <v>30</v>
      </c>
      <c r="I2">
        <v>1</v>
      </c>
      <c r="J2">
        <v>3</v>
      </c>
      <c r="K2" t="b">
        <v>0</v>
      </c>
    </row>
    <row r="3" spans="1:11">
      <c r="A3">
        <v>31</v>
      </c>
      <c r="B3">
        <v>12</v>
      </c>
      <c r="C3">
        <v>2</v>
      </c>
      <c r="D3">
        <v>3010</v>
      </c>
      <c r="F3">
        <v>2020</v>
      </c>
      <c r="G3" t="str">
        <f>INDEX([1]Define!E:E,MATCH(F3,[1]Define!D:D))</f>
        <v>ダンジョン移動</v>
      </c>
      <c r="H3">
        <v>30</v>
      </c>
      <c r="I3">
        <v>12</v>
      </c>
      <c r="J3">
        <v>13</v>
      </c>
      <c r="K3" t="b">
        <v>0</v>
      </c>
    </row>
    <row r="4" spans="1:11">
      <c r="A4">
        <v>31</v>
      </c>
      <c r="B4">
        <v>1</v>
      </c>
      <c r="C4">
        <v>6</v>
      </c>
      <c r="D4">
        <v>3010</v>
      </c>
      <c r="F4">
        <v>3010</v>
      </c>
      <c r="G4" t="str">
        <f>INDEX([1]Define!E:E,MATCH(F4,[1]Define!D:D))</f>
        <v>アーティファクト取得</v>
      </c>
      <c r="H4">
        <v>2020</v>
      </c>
      <c r="I4">
        <v>0</v>
      </c>
      <c r="J4">
        <v>0</v>
      </c>
      <c r="K4" t="b">
        <v>1</v>
      </c>
    </row>
    <row r="5" spans="1:11">
      <c r="A5">
        <v>31</v>
      </c>
      <c r="B5">
        <v>13</v>
      </c>
      <c r="C5">
        <v>2</v>
      </c>
      <c r="D5">
        <v>3010</v>
      </c>
      <c r="F5">
        <v>8010</v>
      </c>
      <c r="G5" t="str">
        <f>INDEX([1]Define!E:E,MATCH(F5,[1]Define!D:D))</f>
        <v>指定リージョンを開示する</v>
      </c>
      <c r="H5">
        <v>1</v>
      </c>
      <c r="I5">
        <v>0</v>
      </c>
      <c r="J5">
        <v>0</v>
      </c>
      <c r="K5" t="b">
        <v>1</v>
      </c>
    </row>
    <row r="6" spans="1:11">
      <c r="A6">
        <v>31</v>
      </c>
      <c r="B6">
        <v>12</v>
      </c>
      <c r="C6">
        <v>3</v>
      </c>
      <c r="D6">
        <v>3010</v>
      </c>
      <c r="F6">
        <v>8010</v>
      </c>
      <c r="G6" t="str">
        <f>INDEX([1]Define!E:E,MATCH(F6,[1]Define!D:D))</f>
        <v>指定リージョンを開示する</v>
      </c>
      <c r="H6">
        <v>1</v>
      </c>
      <c r="I6">
        <v>0</v>
      </c>
      <c r="J6">
        <v>0</v>
      </c>
      <c r="K6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2026-07-01T00:18:19Z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