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<sst xmlns="http://schemas.openxmlformats.org/spreadsheetml/2006/main" count="278" uniqueCount="27">
  <si>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</si>
  <si>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</si>
  <si>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</si>
  <si>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</si>
  <si>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</si>
  <si>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</si>
  <si>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</si>
  <si>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</si>
  <si>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</si>
  <si>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</si>
  <si>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</si>
  <si>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</si>
  <si>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Tr</t>
  </si>
  <si>
    <t>DrS</t>
  </si>
  <si>
    <t>Mg</t>
  </si>
  <si>
    <t>①</t>
  </si>
  <si>
    <t>Ar:D2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</si>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</sst>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32</v>
      </c>
      <c r="B2">
        <v>32</v>
      </c>
      <c r="C2">
        <v>3</v>
      </c>
      <c r="D2">
        <v>12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6" sqref="H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/>
      <c r="E3" s="2"/>
      <c r="F3" s="2"/>
      <c r="G3" s="2"/>
      <c r="H3" s="2"/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/>
      <c r="G4" s="2" t="s">
        <v>9</v>
      </c>
      <c r="H4" s="2"/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10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11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10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13" sqref="B13:M1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15</v>
      </c>
      <c r="E3" s="2" t="s">
        <v>15</v>
      </c>
      <c r="F3" s="2" t="s">
        <v>15</v>
      </c>
      <c r="G3" s="2" t="s">
        <v>15</v>
      </c>
      <c r="H3" s="2" t="s">
        <v>15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15</v>
      </c>
      <c r="E4" s="2" t="s">
        <v>9</v>
      </c>
      <c r="F4" s="2" t="s">
        <v>15</v>
      </c>
      <c r="G4" s="2" t="s">
        <v>9</v>
      </c>
      <c r="H4" s="2" t="s">
        <v>15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15</v>
      </c>
      <c r="E5" s="2" t="s">
        <v>9</v>
      </c>
      <c r="F5" s="2" t="s">
        <v>16</v>
      </c>
      <c r="G5" s="2" t="s">
        <v>9</v>
      </c>
      <c r="H5" s="2" t="s">
        <v>15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15</v>
      </c>
      <c r="E6" s="2" t="s">
        <v>9</v>
      </c>
      <c r="F6" s="2" t="s">
        <v>9</v>
      </c>
      <c r="G6" s="2" t="s">
        <v>9</v>
      </c>
      <c r="H6" s="2" t="s">
        <v>15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15</v>
      </c>
      <c r="E7" s="2" t="s">
        <v>15</v>
      </c>
      <c r="F7" s="2" t="s">
        <v>15</v>
      </c>
      <c r="G7" s="2" t="s">
        <v>15</v>
      </c>
      <c r="H7" s="2" t="s">
        <v>15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17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10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workbookViewId="0">
      <selection activeCell="K10" sqref="A10:K10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32</v>
      </c>
      <c r="B2">
        <v>4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4</v>
      </c>
      <c r="J2">
        <v>1</v>
      </c>
      <c r="K2" t="b">
        <v>0</v>
      </c>
    </row>
    <row r="3" spans="1:11">
      <c r="A3">
        <v>32</v>
      </c>
      <c r="B3">
        <v>9</v>
      </c>
      <c r="C3">
        <v>9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9</v>
      </c>
      <c r="J3">
        <v>1</v>
      </c>
      <c r="K3" t="b">
        <v>0</v>
      </c>
    </row>
    <row r="4" spans="1:11">
      <c r="A4">
        <v>32</v>
      </c>
      <c r="B4">
        <v>4</v>
      </c>
      <c r="C4">
        <v>3</v>
      </c>
      <c r="D4">
        <v>3010</v>
      </c>
      <c r="F4">
        <v>2020</v>
      </c>
      <c r="G4" t="str">
        <f>INDEX([1]Define!E:E,MATCH(F4,[1]Define!D:D))</f>
        <v>ダンジョン移動</v>
      </c>
      <c r="H4">
        <v>33</v>
      </c>
      <c r="I4">
        <v>2</v>
      </c>
      <c r="J4">
        <v>1</v>
      </c>
      <c r="K4" t="b">
        <v>0</v>
      </c>
    </row>
    <row r="5" spans="1:11">
      <c r="A5">
        <v>32</v>
      </c>
      <c r="B5">
        <v>4</v>
      </c>
      <c r="C5">
        <v>6</v>
      </c>
      <c r="D5">
        <v>3010</v>
      </c>
      <c r="F5">
        <v>5010</v>
      </c>
      <c r="G5" t="str">
        <f>INDEX([1]Define!E:E,MATCH(F5,[1]Define!D:D))</f>
        <v>強制戦闘</v>
      </c>
      <c r="H5">
        <v>2020</v>
      </c>
      <c r="I5">
        <v>0</v>
      </c>
      <c r="J5">
        <v>0</v>
      </c>
      <c r="K5" t="b">
        <v>1</v>
      </c>
    </row>
    <row r="6" spans="1:11">
      <c r="A6">
        <v>32</v>
      </c>
      <c r="B6">
        <v>9</v>
      </c>
      <c r="C6">
        <v>6</v>
      </c>
      <c r="D6">
        <v>3010</v>
      </c>
      <c r="F6">
        <v>3020</v>
      </c>
      <c r="G6" t="str">
        <f>INDEX([1]Define!E:E,MATCH(F6,[1]Define!D:D))</f>
        <v>アイテム取得</v>
      </c>
      <c r="H6">
        <v>4020</v>
      </c>
      <c r="I6">
        <v>1</v>
      </c>
      <c r="J6">
        <v>0</v>
      </c>
      <c r="K6" t="b">
        <v>1</v>
      </c>
    </row>
    <row r="7" spans="1:11">
      <c r="A7">
        <v>32</v>
      </c>
      <c r="B7">
        <v>8</v>
      </c>
      <c r="C7">
        <v>7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32</v>
      </c>
      <c r="B8">
        <v>8</v>
      </c>
      <c r="C8">
        <v>7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57</v>
      </c>
      <c r="I8">
        <v>0</v>
      </c>
      <c r="J8">
        <v>0</v>
      </c>
      <c r="K8" t="b">
        <v>1</v>
      </c>
    </row>
    <row r="9" spans="1:11">
      <c r="A9">
        <v>32</v>
      </c>
      <c r="B9">
        <v>5</v>
      </c>
      <c r="C9">
        <v>7</v>
      </c>
      <c r="D9">
        <v>3010</v>
      </c>
      <c r="F9">
        <v>0</v>
      </c>
      <c r="H9">
        <v>57</v>
      </c>
      <c r="I9">
        <v>0</v>
      </c>
      <c r="J9">
        <v>0</v>
      </c>
      <c r="K9" t="b">
        <v>1</v>
      </c>
    </row>
    <row r="10" spans="1:11">
      <c r="A10">
        <v>32</v>
      </c>
      <c r="B10">
        <v>8</v>
      </c>
      <c r="C10">
        <v>7</v>
      </c>
      <c r="D10">
        <v>3010</v>
      </c>
      <c r="F10">
        <v>1020</v>
      </c>
      <c r="G10" t="str">
        <f>INDEX([1]Define!E:E,MATCH(F10,[1]Define!D:D))</f>
        <v>エンフェリアイベント再生</v>
      </c>
      <c r="H10">
        <v>2</v>
      </c>
      <c r="I10">
        <v>2</v>
      </c>
      <c r="J10">
        <v>0</v>
      </c>
      <c r="K10" t="b">
        <v>1</v>
      </c>
    </row>
    <row r="11" spans="1:11">
      <c r="A11">
        <v>32</v>
      </c>
      <c r="B11">
        <v>8</v>
      </c>
      <c r="C11">
        <v>7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  <row r="12" spans="1:11">
      <c r="A12">
        <v>32</v>
      </c>
      <c r="B12">
        <v>4</v>
      </c>
      <c r="C12">
        <v>5</v>
      </c>
      <c r="D12">
        <v>3010</v>
      </c>
      <c r="F12">
        <v>8010</v>
      </c>
      <c r="G12" t="str">
        <f>INDEX([1]Define!E:E,MATCH(F12,[1]Define!D:D))</f>
        <v>指定リージョンを開示する</v>
      </c>
      <c r="H12">
        <v>1</v>
      </c>
      <c r="I12">
        <v>0</v>
      </c>
      <c r="J12">
        <v>0</v>
      </c>
      <c r="K12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