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96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<sst xmlns="http://schemas.openxmlformats.org/spreadsheetml/2006/main" count="331" uniqueCount="25">
  <si>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</si>
  <si>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</si>
  <si>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</si>
  <si>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</si>
  <si>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</si>
  <si>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</si>
  <si>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</si>
  <si>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</si>
  <si>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</si>
  <si>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</si>
  <si>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</si>
  <si>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Dr</t>
  </si>
  <si>
    <t>Mg</t>
  </si>
  <si>
    <t>Ar</t>
  </si>
  <si>
    <t>Un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</si>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</sst>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8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16" fillId="24" borderId="6" applyNumberFormat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8" fillId="24" borderId="3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20" fillId="28" borderId="8" applyNumberFormat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33</v>
      </c>
      <c r="B2">
        <v>33</v>
      </c>
      <c r="C2">
        <v>4</v>
      </c>
      <c r="D2">
        <v>16</v>
      </c>
      <c r="E2">
        <v>12</v>
      </c>
      <c r="F2">
        <v>4</v>
      </c>
      <c r="G2">
        <v>9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D3" sqref="D3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6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 s="2"/>
      <c r="S1" s="2"/>
      <c r="T1" s="2"/>
      <c r="U1" s="2"/>
      <c r="V1" s="2"/>
      <c r="W1" s="2"/>
      <c r="X1" s="2"/>
      <c r="Y1" s="2"/>
      <c r="Z1" s="2"/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10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9</v>
      </c>
      <c r="L3" s="2" t="s">
        <v>9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 t="s">
        <v>9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 t="s">
        <v>11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9</v>
      </c>
      <c r="L5" s="2" t="s">
        <v>9</v>
      </c>
      <c r="M5" s="2" t="s">
        <v>9</v>
      </c>
      <c r="N5" s="2" t="s">
        <v>9</v>
      </c>
      <c r="O5" s="2"/>
      <c r="P5" s="2" t="s">
        <v>9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/>
      <c r="E6" s="2" t="s">
        <v>9</v>
      </c>
      <c r="F6" s="2" t="s">
        <v>8</v>
      </c>
      <c r="G6" s="2" t="s">
        <v>8</v>
      </c>
      <c r="H6" s="2" t="s">
        <v>9</v>
      </c>
      <c r="I6" s="2"/>
      <c r="J6" s="2"/>
      <c r="K6" s="2"/>
      <c r="L6" s="2" t="s">
        <v>9</v>
      </c>
      <c r="M6" s="2" t="s">
        <v>8</v>
      </c>
      <c r="N6" s="2" t="s">
        <v>9</v>
      </c>
      <c r="O6" s="2"/>
      <c r="P6" s="2" t="s">
        <v>9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 t="s">
        <v>12</v>
      </c>
      <c r="E7" s="2" t="s">
        <v>9</v>
      </c>
      <c r="F7" s="2" t="s">
        <v>8</v>
      </c>
      <c r="G7" s="2" t="s">
        <v>8</v>
      </c>
      <c r="H7" s="2" t="s">
        <v>9</v>
      </c>
      <c r="I7" s="2"/>
      <c r="J7" s="2" t="s">
        <v>13</v>
      </c>
      <c r="K7" s="2"/>
      <c r="L7" s="2" t="s">
        <v>9</v>
      </c>
      <c r="M7" s="2" t="s">
        <v>8</v>
      </c>
      <c r="N7" s="2" t="s">
        <v>9</v>
      </c>
      <c r="O7" s="2" t="s">
        <v>14</v>
      </c>
      <c r="P7" s="2" t="s">
        <v>9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/>
      <c r="E8" s="2" t="s">
        <v>9</v>
      </c>
      <c r="F8" s="2" t="s">
        <v>8</v>
      </c>
      <c r="G8" s="2" t="s">
        <v>8</v>
      </c>
      <c r="H8" s="2" t="s">
        <v>9</v>
      </c>
      <c r="I8" s="2"/>
      <c r="J8" s="2"/>
      <c r="K8" s="2"/>
      <c r="L8" s="2" t="s">
        <v>9</v>
      </c>
      <c r="M8" s="2" t="s">
        <v>8</v>
      </c>
      <c r="N8" s="2" t="s">
        <v>9</v>
      </c>
      <c r="O8" s="2"/>
      <c r="P8" s="2" t="s">
        <v>9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9</v>
      </c>
      <c r="D9" s="2"/>
      <c r="E9" s="2" t="s">
        <v>9</v>
      </c>
      <c r="F9" s="2" t="s">
        <v>9</v>
      </c>
      <c r="G9" s="2" t="s">
        <v>9</v>
      </c>
      <c r="H9" s="2" t="s">
        <v>9</v>
      </c>
      <c r="I9" s="2" t="s">
        <v>9</v>
      </c>
      <c r="J9" s="2"/>
      <c r="K9" s="2" t="s">
        <v>9</v>
      </c>
      <c r="L9" s="2" t="s">
        <v>9</v>
      </c>
      <c r="M9" s="2" t="s">
        <v>9</v>
      </c>
      <c r="N9" s="2" t="s">
        <v>9</v>
      </c>
      <c r="O9" s="2"/>
      <c r="P9" s="2" t="s">
        <v>9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9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 t="s">
        <v>9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9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9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 t="s">
        <v>8</v>
      </c>
      <c r="J12" s="2" t="s">
        <v>8</v>
      </c>
      <c r="K12" s="2" t="s">
        <v>8</v>
      </c>
      <c r="L12" s="2" t="s">
        <v>8</v>
      </c>
      <c r="M12" s="2" t="s">
        <v>8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J9" sqref="J9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10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9</v>
      </c>
      <c r="L3" s="2" t="s">
        <v>9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 t="s">
        <v>9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 t="s">
        <v>11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9</v>
      </c>
      <c r="L5" s="2" t="s">
        <v>9</v>
      </c>
      <c r="M5" s="2" t="s">
        <v>9</v>
      </c>
      <c r="N5" s="2" t="s">
        <v>9</v>
      </c>
      <c r="O5" s="2"/>
      <c r="P5" s="2" t="s">
        <v>9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/>
      <c r="E6" s="2" t="s">
        <v>9</v>
      </c>
      <c r="F6" s="2" t="s">
        <v>8</v>
      </c>
      <c r="G6" s="2" t="s">
        <v>8</v>
      </c>
      <c r="H6" s="2" t="s">
        <v>9</v>
      </c>
      <c r="I6" s="2" t="s">
        <v>15</v>
      </c>
      <c r="J6" s="2" t="s">
        <v>15</v>
      </c>
      <c r="K6" s="2" t="s">
        <v>15</v>
      </c>
      <c r="L6" s="2" t="s">
        <v>9</v>
      </c>
      <c r="M6" s="2" t="s">
        <v>8</v>
      </c>
      <c r="N6" s="2" t="s">
        <v>9</v>
      </c>
      <c r="O6" s="2"/>
      <c r="P6" s="2" t="s">
        <v>9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 t="s">
        <v>12</v>
      </c>
      <c r="E7" s="2" t="s">
        <v>9</v>
      </c>
      <c r="F7" s="2" t="s">
        <v>8</v>
      </c>
      <c r="G7" s="2" t="s">
        <v>8</v>
      </c>
      <c r="H7" s="2" t="s">
        <v>9</v>
      </c>
      <c r="I7" s="2" t="s">
        <v>15</v>
      </c>
      <c r="J7" s="2" t="s">
        <v>15</v>
      </c>
      <c r="K7" s="2" t="s">
        <v>15</v>
      </c>
      <c r="L7" s="2" t="s">
        <v>9</v>
      </c>
      <c r="M7" s="2" t="s">
        <v>8</v>
      </c>
      <c r="N7" s="2" t="s">
        <v>9</v>
      </c>
      <c r="O7" s="2" t="s">
        <v>14</v>
      </c>
      <c r="P7" s="2" t="s">
        <v>9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/>
      <c r="E8" s="2" t="s">
        <v>9</v>
      </c>
      <c r="F8" s="2" t="s">
        <v>8</v>
      </c>
      <c r="G8" s="2" t="s">
        <v>8</v>
      </c>
      <c r="H8" s="2" t="s">
        <v>9</v>
      </c>
      <c r="I8" s="2" t="s">
        <v>15</v>
      </c>
      <c r="J8" s="2" t="s">
        <v>15</v>
      </c>
      <c r="K8" s="2" t="s">
        <v>15</v>
      </c>
      <c r="L8" s="2" t="s">
        <v>9</v>
      </c>
      <c r="M8" s="2" t="s">
        <v>8</v>
      </c>
      <c r="N8" s="2" t="s">
        <v>9</v>
      </c>
      <c r="O8" s="2"/>
      <c r="P8" s="2" t="s">
        <v>9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9</v>
      </c>
      <c r="D9" s="2"/>
      <c r="E9" s="2" t="s">
        <v>9</v>
      </c>
      <c r="F9" s="2" t="s">
        <v>9</v>
      </c>
      <c r="G9" s="2" t="s">
        <v>9</v>
      </c>
      <c r="H9" s="2" t="s">
        <v>9</v>
      </c>
      <c r="I9" s="2" t="s">
        <v>9</v>
      </c>
      <c r="J9" s="2"/>
      <c r="K9" s="2" t="s">
        <v>9</v>
      </c>
      <c r="L9" s="2" t="s">
        <v>9</v>
      </c>
      <c r="M9" s="2" t="s">
        <v>9</v>
      </c>
      <c r="N9" s="2" t="s">
        <v>9</v>
      </c>
      <c r="O9" s="2"/>
      <c r="P9" s="2" t="s">
        <v>9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9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 t="s">
        <v>9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9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9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 t="s">
        <v>8</v>
      </c>
      <c r="J12" s="2" t="s">
        <v>8</v>
      </c>
      <c r="K12" s="2" t="s">
        <v>8</v>
      </c>
      <c r="L12" s="2" t="s">
        <v>8</v>
      </c>
      <c r="M12" s="2" t="s">
        <v>8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tabSelected="1" workbookViewId="0">
      <selection activeCell="K3" sqref="K3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16</v>
      </c>
      <c r="C1" t="s">
        <v>17</v>
      </c>
      <c r="D1" t="s">
        <v>18</v>
      </c>
      <c r="E1" s="1" t="s">
        <v>19</v>
      </c>
      <c r="F1" t="s">
        <v>20</v>
      </c>
      <c r="G1" s="1" t="s">
        <v>19</v>
      </c>
      <c r="H1" t="s">
        <v>21</v>
      </c>
      <c r="I1" t="s">
        <v>22</v>
      </c>
      <c r="J1" t="s">
        <v>23</v>
      </c>
      <c r="K1" t="s">
        <v>24</v>
      </c>
    </row>
    <row r="2" spans="1:11">
      <c r="A2">
        <v>33</v>
      </c>
      <c r="B2">
        <v>2</v>
      </c>
      <c r="C2">
        <v>1</v>
      </c>
      <c r="D2">
        <v>3010</v>
      </c>
      <c r="F2">
        <v>2020</v>
      </c>
      <c r="G2" t="str">
        <f>INDEX([1]Define!E:E,MATCH(F2,[1]Define!D:D))</f>
        <v>ダンジョン移動</v>
      </c>
      <c r="H2">
        <v>32</v>
      </c>
      <c r="I2">
        <v>4</v>
      </c>
      <c r="J2">
        <v>3</v>
      </c>
      <c r="K2" t="b">
        <v>0</v>
      </c>
    </row>
    <row r="3" spans="1:11">
      <c r="A3">
        <v>33</v>
      </c>
      <c r="B3">
        <v>13</v>
      </c>
      <c r="C3">
        <v>5</v>
      </c>
      <c r="D3">
        <v>3010</v>
      </c>
      <c r="F3">
        <v>2030</v>
      </c>
      <c r="G3" t="str">
        <f>INDEX([1]Define!E:E,MATCH(F3,[1]Define!D:D))</f>
        <v>ダンジョンクリア</v>
      </c>
      <c r="H3">
        <v>0</v>
      </c>
      <c r="I3">
        <v>0</v>
      </c>
      <c r="J3">
        <v>0</v>
      </c>
      <c r="K3" t="b">
        <v>1</v>
      </c>
    </row>
    <row r="4" spans="1:11">
      <c r="A4">
        <v>33</v>
      </c>
      <c r="B4">
        <v>13</v>
      </c>
      <c r="C4">
        <v>5</v>
      </c>
      <c r="D4">
        <v>3010</v>
      </c>
      <c r="F4">
        <v>5020</v>
      </c>
      <c r="G4" t="str">
        <f>INDEX([1]Define!E:E,MATCH(F4,[1]Define!D:D))</f>
        <v>強制ボス戦闘</v>
      </c>
      <c r="H4">
        <v>2010</v>
      </c>
      <c r="I4">
        <v>0</v>
      </c>
      <c r="J4">
        <v>0</v>
      </c>
      <c r="K4" t="b">
        <v>1</v>
      </c>
    </row>
    <row r="5" spans="1:11">
      <c r="A5">
        <v>33</v>
      </c>
      <c r="B5">
        <v>8</v>
      </c>
      <c r="C5">
        <v>5</v>
      </c>
      <c r="D5">
        <v>3010</v>
      </c>
      <c r="F5">
        <v>3010</v>
      </c>
      <c r="G5" t="str">
        <f>INDEX([1]Define!E:E,MATCH(F5,[1]Define!D:D))</f>
        <v>アーティファクト取得</v>
      </c>
      <c r="H5">
        <v>2030</v>
      </c>
      <c r="I5">
        <v>0</v>
      </c>
      <c r="J5">
        <v>0</v>
      </c>
      <c r="K5" t="b">
        <v>1</v>
      </c>
    </row>
    <row r="6" spans="1:11">
      <c r="A6">
        <v>33</v>
      </c>
      <c r="B6">
        <v>2</v>
      </c>
      <c r="C6">
        <v>5</v>
      </c>
      <c r="D6">
        <v>3010</v>
      </c>
      <c r="F6">
        <v>1010</v>
      </c>
      <c r="G6" t="str">
        <f>INDEX([1]Define!E:E,MATCH(F6,[1]Define!D:D))</f>
        <v>Adv再生</v>
      </c>
      <c r="H6">
        <v>140</v>
      </c>
      <c r="I6">
        <v>0</v>
      </c>
      <c r="J6">
        <v>0</v>
      </c>
      <c r="K6" t="b">
        <v>1</v>
      </c>
    </row>
    <row r="7" spans="1:11">
      <c r="A7">
        <v>33</v>
      </c>
      <c r="B7">
        <v>2</v>
      </c>
      <c r="C7">
        <v>5</v>
      </c>
      <c r="D7">
        <v>3010</v>
      </c>
      <c r="F7">
        <v>6010</v>
      </c>
      <c r="G7" t="str">
        <f>INDEX([1]Define!E:E,MATCH(F7,[1]Define!D:D))</f>
        <v>指定のイベントマスを消す</v>
      </c>
      <c r="H7">
        <v>23</v>
      </c>
      <c r="I7">
        <v>0</v>
      </c>
      <c r="J7">
        <v>0</v>
      </c>
      <c r="K7" t="b">
        <v>1</v>
      </c>
    </row>
    <row r="8" spans="1:11">
      <c r="A8">
        <v>33</v>
      </c>
      <c r="B8">
        <v>2</v>
      </c>
      <c r="C8">
        <v>3</v>
      </c>
      <c r="D8">
        <v>3010</v>
      </c>
      <c r="F8">
        <v>0</v>
      </c>
      <c r="H8">
        <v>23</v>
      </c>
      <c r="I8">
        <v>0</v>
      </c>
      <c r="J8">
        <v>0</v>
      </c>
      <c r="K8" t="b">
        <v>1</v>
      </c>
    </row>
    <row r="9" spans="1:11">
      <c r="A9">
        <v>33</v>
      </c>
      <c r="B9">
        <v>2</v>
      </c>
      <c r="C9">
        <v>5</v>
      </c>
      <c r="D9">
        <v>3010</v>
      </c>
      <c r="F9">
        <v>1020</v>
      </c>
      <c r="G9" t="str">
        <f>INDEX([1]Define!E:E,MATCH(F9,[1]Define!D:D))</f>
        <v>エンフェリアイベント再生</v>
      </c>
      <c r="H9">
        <v>2</v>
      </c>
      <c r="I9">
        <v>3</v>
      </c>
      <c r="J9">
        <v>0</v>
      </c>
      <c r="K9" t="b">
        <v>1</v>
      </c>
    </row>
    <row r="10" spans="1:11">
      <c r="A10">
        <v>33</v>
      </c>
      <c r="B10">
        <v>2</v>
      </c>
      <c r="C10">
        <v>5</v>
      </c>
      <c r="D10">
        <v>3010</v>
      </c>
      <c r="F10">
        <v>9010</v>
      </c>
      <c r="G10" t="str">
        <f>INDEX([1]Define!E:E,MATCH(F10,[1]Define!D:D))</f>
        <v>イベント終了明示</v>
      </c>
      <c r="H10">
        <v>0</v>
      </c>
      <c r="I10">
        <v>0</v>
      </c>
      <c r="J10">
        <v>0</v>
      </c>
      <c r="K10" t="b">
        <v>1</v>
      </c>
    </row>
    <row r="11" spans="1:11">
      <c r="A11">
        <v>33</v>
      </c>
      <c r="B11">
        <v>8</v>
      </c>
      <c r="C11">
        <v>6</v>
      </c>
      <c r="D11">
        <v>3010</v>
      </c>
      <c r="F11">
        <v>8010</v>
      </c>
      <c r="G11" t="str">
        <f>INDEX([1]Define!E:E,MATCH(F11,[1]Define!D:D))</f>
        <v>指定リージョンを開示する</v>
      </c>
      <c r="H11">
        <v>1</v>
      </c>
      <c r="I11">
        <v>0</v>
      </c>
      <c r="J11">
        <v>0</v>
      </c>
      <c r="K11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2026-01-11T07:10:14Z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