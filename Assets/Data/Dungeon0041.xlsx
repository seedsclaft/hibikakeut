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<sst xmlns="http://schemas.openxmlformats.org/spreadsheetml/2006/main" count="570" uniqueCount="29">
  <si>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</si>
  <si>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</si>
  <si>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</si>
  <si>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</si>
  <si>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</si>
  <si>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</si>
  <si>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</si>
  <si>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</si>
  <si>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</si>
  <si>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</si>
  <si>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Tr</t>
  </si>
  <si>
    <t>Tr:D1</t>
  </si>
  <si>
    <t>Tr:D3</t>
  </si>
  <si>
    <t>Dr</t>
  </si>
  <si>
    <t>Ba</t>
  </si>
  <si>
    <t>Mv</t>
  </si>
  <si>
    <t>Ev</t>
  </si>
  <si>
    <t>Mg</t>
  </si>
  <si>
    <t>Ar:D2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</si>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</sst>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3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0" fillId="4" borderId="6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1" fillId="5" borderId="7" applyNumberForma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3" sqref="E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41</v>
      </c>
      <c r="B2">
        <v>41</v>
      </c>
      <c r="C2">
        <v>1</v>
      </c>
      <c r="D2">
        <v>16</v>
      </c>
      <c r="E2">
        <v>20</v>
      </c>
      <c r="F2">
        <v>1</v>
      </c>
      <c r="G2">
        <v>19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abSelected="1" workbookViewId="0">
      <selection activeCell="F9" sqref="F9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9</v>
      </c>
      <c r="E3" s="2" t="s">
        <v>9</v>
      </c>
      <c r="F3" s="2" t="s">
        <v>10</v>
      </c>
      <c r="G3" s="2" t="s">
        <v>9</v>
      </c>
      <c r="H3" s="2" t="s">
        <v>9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9</v>
      </c>
      <c r="E4" s="2" t="s">
        <v>11</v>
      </c>
      <c r="F4" s="2"/>
      <c r="G4" s="2" t="s">
        <v>12</v>
      </c>
      <c r="H4" s="2" t="s">
        <v>9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9</v>
      </c>
      <c r="E5" s="2" t="s">
        <v>9</v>
      </c>
      <c r="F5" s="2" t="s">
        <v>13</v>
      </c>
      <c r="G5" s="2" t="s">
        <v>9</v>
      </c>
      <c r="H5" s="2" t="s">
        <v>9</v>
      </c>
      <c r="I5" s="2" t="s">
        <v>8</v>
      </c>
      <c r="J5" s="2" t="s">
        <v>9</v>
      </c>
      <c r="K5" s="2" t="s">
        <v>9</v>
      </c>
      <c r="L5" s="2" t="s">
        <v>9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 t="s">
        <v>14</v>
      </c>
      <c r="G6" s="2" t="s">
        <v>9</v>
      </c>
      <c r="H6" s="2" t="s">
        <v>8</v>
      </c>
      <c r="I6" s="2" t="s">
        <v>8</v>
      </c>
      <c r="J6" s="2" t="s">
        <v>9</v>
      </c>
      <c r="K6" s="2" t="s">
        <v>15</v>
      </c>
      <c r="L6" s="2" t="s">
        <v>9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9</v>
      </c>
      <c r="F7" s="2"/>
      <c r="G7" s="2" t="s">
        <v>9</v>
      </c>
      <c r="H7" s="2" t="s">
        <v>8</v>
      </c>
      <c r="I7" s="2" t="s">
        <v>8</v>
      </c>
      <c r="J7" s="2" t="s">
        <v>9</v>
      </c>
      <c r="K7" s="2"/>
      <c r="L7" s="2" t="s">
        <v>9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16</v>
      </c>
      <c r="G8" s="2" t="s">
        <v>9</v>
      </c>
      <c r="H8" s="2" t="s">
        <v>9</v>
      </c>
      <c r="I8" s="2" t="s">
        <v>9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/>
      <c r="E9" s="2"/>
      <c r="F9" s="2"/>
      <c r="G9" s="2"/>
      <c r="H9" s="2"/>
      <c r="I9" s="2"/>
      <c r="J9" s="2"/>
      <c r="K9" s="2"/>
      <c r="L9" s="2" t="s">
        <v>9</v>
      </c>
      <c r="M9" s="2" t="s">
        <v>8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 t="s">
        <v>9</v>
      </c>
      <c r="L10" s="2" t="s">
        <v>9</v>
      </c>
      <c r="M10" s="2" t="s">
        <v>8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/>
      <c r="L12" s="2"/>
      <c r="M12" s="2"/>
      <c r="N12" s="2"/>
      <c r="O12" s="2" t="s">
        <v>9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/>
      <c r="L13" s="2" t="s">
        <v>9</v>
      </c>
      <c r="M13" s="2" t="s">
        <v>9</v>
      </c>
      <c r="N13" s="2"/>
      <c r="O13" s="2" t="s">
        <v>9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/>
      <c r="F14" s="2"/>
      <c r="G14" s="2"/>
      <c r="H14" s="2"/>
      <c r="I14" s="2"/>
      <c r="J14" s="2" t="s">
        <v>9</v>
      </c>
      <c r="K14" s="2"/>
      <c r="L14" s="2" t="s">
        <v>9</v>
      </c>
      <c r="M14" s="2" t="s">
        <v>9</v>
      </c>
      <c r="N14" s="2"/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/>
      <c r="D15" s="2" t="s">
        <v>17</v>
      </c>
      <c r="E15" s="2" t="s">
        <v>14</v>
      </c>
      <c r="F15" s="2"/>
      <c r="G15" s="2"/>
      <c r="H15" s="2" t="s">
        <v>11</v>
      </c>
      <c r="I15" s="2"/>
      <c r="J15" s="2"/>
      <c r="K15" s="2"/>
      <c r="L15" s="2" t="s">
        <v>9</v>
      </c>
      <c r="M15" s="2" t="s">
        <v>9</v>
      </c>
      <c r="N15" s="2"/>
      <c r="O15" s="2"/>
      <c r="P15" s="2" t="s">
        <v>14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/>
      <c r="F16" s="2"/>
      <c r="G16" s="2"/>
      <c r="H16" s="2"/>
      <c r="I16" s="2"/>
      <c r="J16" s="2" t="s">
        <v>9</v>
      </c>
      <c r="K16" s="2" t="s">
        <v>9</v>
      </c>
      <c r="L16" s="2" t="s">
        <v>9</v>
      </c>
      <c r="M16" s="2" t="s">
        <v>9</v>
      </c>
      <c r="N16" s="2"/>
      <c r="O16" s="2" t="s">
        <v>9</v>
      </c>
      <c r="P16" s="2"/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8</v>
      </c>
      <c r="L17" s="2" t="s">
        <v>8</v>
      </c>
      <c r="M17" s="2" t="s">
        <v>9</v>
      </c>
      <c r="N17" s="2"/>
      <c r="O17" s="2" t="s">
        <v>9</v>
      </c>
      <c r="P17" s="2"/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8</v>
      </c>
      <c r="J18" s="2" t="s">
        <v>8</v>
      </c>
      <c r="K18" s="2" t="s">
        <v>8</v>
      </c>
      <c r="L18" s="2" t="s">
        <v>8</v>
      </c>
      <c r="M18" s="2" t="s">
        <v>9</v>
      </c>
      <c r="N18" s="2"/>
      <c r="O18" s="2" t="s">
        <v>9</v>
      </c>
      <c r="P18" s="2" t="s">
        <v>18</v>
      </c>
      <c r="Q18" s="2" t="s">
        <v>9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8</v>
      </c>
      <c r="J19" s="2" t="s">
        <v>8</v>
      </c>
      <c r="K19" s="2" t="s">
        <v>8</v>
      </c>
      <c r="L19" s="2" t="s">
        <v>9</v>
      </c>
      <c r="M19" s="2" t="s">
        <v>9</v>
      </c>
      <c r="N19" s="2"/>
      <c r="O19" s="2" t="s">
        <v>9</v>
      </c>
      <c r="P19" s="2" t="s">
        <v>9</v>
      </c>
      <c r="Q19" s="2" t="s">
        <v>9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8</v>
      </c>
      <c r="J20" s="2" t="s">
        <v>8</v>
      </c>
      <c r="K20" s="2" t="s">
        <v>8</v>
      </c>
      <c r="L20" s="2" t="s">
        <v>9</v>
      </c>
      <c r="M20" s="2" t="s">
        <v>15</v>
      </c>
      <c r="N20" s="2"/>
      <c r="O20" s="2" t="s">
        <v>9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8</v>
      </c>
      <c r="J21" s="2" t="s">
        <v>8</v>
      </c>
      <c r="K21" s="2" t="s">
        <v>8</v>
      </c>
      <c r="L21" s="2" t="s">
        <v>9</v>
      </c>
      <c r="M21" s="2" t="s">
        <v>9</v>
      </c>
      <c r="N21" s="2" t="s">
        <v>9</v>
      </c>
      <c r="O21" s="2" t="s">
        <v>9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15" sqref="J1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9</v>
      </c>
      <c r="E3" s="2" t="s">
        <v>9</v>
      </c>
      <c r="F3" s="2" t="s">
        <v>10</v>
      </c>
      <c r="G3" s="2" t="s">
        <v>9</v>
      </c>
      <c r="H3" s="2" t="s">
        <v>9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9</v>
      </c>
      <c r="E4" s="2" t="s">
        <v>11</v>
      </c>
      <c r="F4" s="2"/>
      <c r="G4" s="2" t="s">
        <v>12</v>
      </c>
      <c r="H4" s="2" t="s">
        <v>9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9</v>
      </c>
      <c r="E5" s="2" t="s">
        <v>9</v>
      </c>
      <c r="F5" s="2" t="s">
        <v>13</v>
      </c>
      <c r="G5" s="2" t="s">
        <v>9</v>
      </c>
      <c r="H5" s="2" t="s">
        <v>9</v>
      </c>
      <c r="I5" s="2" t="s">
        <v>8</v>
      </c>
      <c r="J5" s="2" t="s">
        <v>9</v>
      </c>
      <c r="K5" s="2" t="s">
        <v>9</v>
      </c>
      <c r="L5" s="2" t="s">
        <v>9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 t="s">
        <v>14</v>
      </c>
      <c r="G6" s="2" t="s">
        <v>9</v>
      </c>
      <c r="H6" s="2" t="s">
        <v>8</v>
      </c>
      <c r="I6" s="2" t="s">
        <v>8</v>
      </c>
      <c r="J6" s="2" t="s">
        <v>9</v>
      </c>
      <c r="K6" s="2" t="s">
        <v>15</v>
      </c>
      <c r="L6" s="2" t="s">
        <v>9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9</v>
      </c>
      <c r="F7" s="2"/>
      <c r="G7" s="2" t="s">
        <v>9</v>
      </c>
      <c r="H7" s="2" t="s">
        <v>8</v>
      </c>
      <c r="I7" s="2" t="s">
        <v>8</v>
      </c>
      <c r="J7" s="2" t="s">
        <v>9</v>
      </c>
      <c r="K7" s="2"/>
      <c r="L7" s="2" t="s">
        <v>9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16</v>
      </c>
      <c r="G8" s="2" t="s">
        <v>9</v>
      </c>
      <c r="H8" s="2" t="s">
        <v>9</v>
      </c>
      <c r="I8" s="2" t="s">
        <v>9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/>
      <c r="E9" s="2"/>
      <c r="F9" s="2"/>
      <c r="G9" s="2"/>
      <c r="H9" s="2"/>
      <c r="I9" s="2"/>
      <c r="J9" s="2"/>
      <c r="K9" s="2"/>
      <c r="L9" s="2" t="s">
        <v>9</v>
      </c>
      <c r="M9" s="2" t="s">
        <v>8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 t="s">
        <v>9</v>
      </c>
      <c r="L10" s="2" t="s">
        <v>9</v>
      </c>
      <c r="M10" s="2" t="s">
        <v>8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/>
      <c r="L12" s="2"/>
      <c r="M12" s="2"/>
      <c r="N12" s="2"/>
      <c r="O12" s="2" t="s">
        <v>9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/>
      <c r="L13" s="2" t="s">
        <v>9</v>
      </c>
      <c r="M13" s="2" t="s">
        <v>9</v>
      </c>
      <c r="N13" s="2"/>
      <c r="O13" s="2" t="s">
        <v>9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19</v>
      </c>
      <c r="F14" s="2" t="s">
        <v>19</v>
      </c>
      <c r="G14" s="2" t="s">
        <v>19</v>
      </c>
      <c r="H14" s="2" t="s">
        <v>19</v>
      </c>
      <c r="I14" s="2" t="s">
        <v>19</v>
      </c>
      <c r="J14" s="2" t="s">
        <v>9</v>
      </c>
      <c r="K14" s="2"/>
      <c r="L14" s="2" t="s">
        <v>9</v>
      </c>
      <c r="M14" s="2" t="s">
        <v>9</v>
      </c>
      <c r="N14" s="2"/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/>
      <c r="D15" s="2" t="s">
        <v>16</v>
      </c>
      <c r="E15" s="2" t="s">
        <v>19</v>
      </c>
      <c r="F15" s="2" t="s">
        <v>19</v>
      </c>
      <c r="G15" s="2" t="s">
        <v>19</v>
      </c>
      <c r="H15" s="2" t="s">
        <v>19</v>
      </c>
      <c r="I15" s="2" t="s">
        <v>19</v>
      </c>
      <c r="J15" s="2"/>
      <c r="K15" s="2"/>
      <c r="L15" s="2" t="s">
        <v>9</v>
      </c>
      <c r="M15" s="2" t="s">
        <v>9</v>
      </c>
      <c r="N15" s="2"/>
      <c r="O15" s="2"/>
      <c r="P15" s="2" t="s">
        <v>14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19</v>
      </c>
      <c r="F16" s="2" t="s">
        <v>19</v>
      </c>
      <c r="G16" s="2" t="s">
        <v>19</v>
      </c>
      <c r="H16" s="2" t="s">
        <v>19</v>
      </c>
      <c r="I16" s="2" t="s">
        <v>19</v>
      </c>
      <c r="J16" s="2" t="s">
        <v>9</v>
      </c>
      <c r="K16" s="2" t="s">
        <v>9</v>
      </c>
      <c r="L16" s="2" t="s">
        <v>9</v>
      </c>
      <c r="M16" s="2" t="s">
        <v>9</v>
      </c>
      <c r="N16" s="2"/>
      <c r="O16" s="2" t="s">
        <v>9</v>
      </c>
      <c r="P16" s="2"/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8</v>
      </c>
      <c r="L17" s="2" t="s">
        <v>8</v>
      </c>
      <c r="M17" s="2" t="s">
        <v>9</v>
      </c>
      <c r="N17" s="2"/>
      <c r="O17" s="2" t="s">
        <v>9</v>
      </c>
      <c r="P17" s="2"/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8</v>
      </c>
      <c r="J18" s="2" t="s">
        <v>8</v>
      </c>
      <c r="K18" s="2" t="s">
        <v>8</v>
      </c>
      <c r="L18" s="2" t="s">
        <v>8</v>
      </c>
      <c r="M18" s="2" t="s">
        <v>9</v>
      </c>
      <c r="N18" s="2"/>
      <c r="O18" s="2" t="s">
        <v>9</v>
      </c>
      <c r="P18" s="2" t="s">
        <v>18</v>
      </c>
      <c r="Q18" s="2" t="s">
        <v>9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8</v>
      </c>
      <c r="J19" s="2" t="s">
        <v>8</v>
      </c>
      <c r="K19" s="2" t="s">
        <v>8</v>
      </c>
      <c r="L19" s="2" t="s">
        <v>9</v>
      </c>
      <c r="M19" s="2" t="s">
        <v>9</v>
      </c>
      <c r="N19" s="2"/>
      <c r="O19" s="2" t="s">
        <v>9</v>
      </c>
      <c r="P19" s="2" t="s">
        <v>9</v>
      </c>
      <c r="Q19" s="2" t="s">
        <v>9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8</v>
      </c>
      <c r="J20" s="2" t="s">
        <v>8</v>
      </c>
      <c r="K20" s="2" t="s">
        <v>8</v>
      </c>
      <c r="L20" s="2" t="s">
        <v>9</v>
      </c>
      <c r="M20" s="2" t="s">
        <v>15</v>
      </c>
      <c r="N20" s="2"/>
      <c r="O20" s="2" t="s">
        <v>9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8</v>
      </c>
      <c r="J21" s="2" t="s">
        <v>8</v>
      </c>
      <c r="K21" s="2" t="s">
        <v>8</v>
      </c>
      <c r="L21" s="2" t="s">
        <v>9</v>
      </c>
      <c r="M21" s="2" t="s">
        <v>9</v>
      </c>
      <c r="N21" s="2" t="s">
        <v>9</v>
      </c>
      <c r="O21" s="2" t="s">
        <v>9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6"/>
  <sheetViews>
    <sheetView zoomScale="110" zoomScaleNormal="110" workbookViewId="0">
      <selection activeCell="C28" sqref="C28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20</v>
      </c>
      <c r="C1" t="s">
        <v>21</v>
      </c>
      <c r="D1" t="s">
        <v>22</v>
      </c>
      <c r="E1" s="1" t="s">
        <v>23</v>
      </c>
      <c r="F1" t="s">
        <v>24</v>
      </c>
      <c r="G1" s="1" t="s">
        <v>23</v>
      </c>
      <c r="H1" t="s">
        <v>25</v>
      </c>
      <c r="I1" t="s">
        <v>26</v>
      </c>
      <c r="J1" t="s">
        <v>27</v>
      </c>
      <c r="K1" t="s">
        <v>28</v>
      </c>
    </row>
    <row r="2" spans="1:11">
      <c r="A2">
        <v>41</v>
      </c>
      <c r="B2">
        <v>11</v>
      </c>
      <c r="C2">
        <v>18</v>
      </c>
      <c r="D2">
        <v>3010</v>
      </c>
      <c r="F2">
        <v>2020</v>
      </c>
      <c r="G2" t="str">
        <f>INDEX([1]Define!E:E,MATCH(F2,[1]Define!D:D))</f>
        <v>ダンジョン移動</v>
      </c>
      <c r="H2">
        <v>40</v>
      </c>
      <c r="I2">
        <v>6</v>
      </c>
      <c r="J2">
        <v>1</v>
      </c>
      <c r="K2" t="b">
        <v>0</v>
      </c>
    </row>
    <row r="3" spans="1:11">
      <c r="A3">
        <v>41</v>
      </c>
      <c r="B3">
        <v>9</v>
      </c>
      <c r="C3">
        <v>4</v>
      </c>
      <c r="D3">
        <v>3010</v>
      </c>
      <c r="F3">
        <v>2020</v>
      </c>
      <c r="G3" t="str">
        <f>INDEX([1]Define!E:E,MATCH(F3,[1]Define!D:D))</f>
        <v>ダンジョン移動</v>
      </c>
      <c r="H3">
        <v>42</v>
      </c>
      <c r="I3">
        <v>8</v>
      </c>
      <c r="J3">
        <v>18</v>
      </c>
      <c r="K3" t="b">
        <v>0</v>
      </c>
    </row>
    <row r="4" spans="1:11">
      <c r="A4">
        <v>41</v>
      </c>
      <c r="B4">
        <v>3</v>
      </c>
      <c r="C4">
        <v>13</v>
      </c>
      <c r="D4">
        <v>3010</v>
      </c>
      <c r="F4">
        <v>5010</v>
      </c>
      <c r="G4" t="str">
        <f>INDEX([1]Define!E:E,MATCH(F4,[1]Define!D:D))</f>
        <v>強制戦闘</v>
      </c>
      <c r="H4">
        <v>3050</v>
      </c>
      <c r="I4">
        <v>0</v>
      </c>
      <c r="J4">
        <v>0</v>
      </c>
      <c r="K4" t="b">
        <v>1</v>
      </c>
    </row>
    <row r="5" spans="1:11">
      <c r="A5">
        <v>41</v>
      </c>
      <c r="B5">
        <v>14</v>
      </c>
      <c r="C5">
        <v>13</v>
      </c>
      <c r="D5">
        <v>3010</v>
      </c>
      <c r="F5">
        <v>5010</v>
      </c>
      <c r="G5" t="str">
        <f>INDEX([1]Define!E:E,MATCH(F5,[1]Define!D:D))</f>
        <v>強制戦闘</v>
      </c>
      <c r="H5">
        <v>-1</v>
      </c>
      <c r="I5">
        <v>0</v>
      </c>
      <c r="J5">
        <v>0</v>
      </c>
      <c r="K5" t="b">
        <v>1</v>
      </c>
    </row>
    <row r="6" spans="1:11">
      <c r="A6">
        <v>41</v>
      </c>
      <c r="B6">
        <v>14</v>
      </c>
      <c r="C6">
        <v>16</v>
      </c>
      <c r="D6">
        <v>3010</v>
      </c>
      <c r="F6">
        <v>3010</v>
      </c>
      <c r="G6" t="str">
        <f>INDEX([1]Define!E:E,MATCH(F6,[1]Define!D:D))</f>
        <v>アーティファクト取得</v>
      </c>
      <c r="H6">
        <v>2130</v>
      </c>
      <c r="I6">
        <v>0</v>
      </c>
      <c r="J6">
        <v>0</v>
      </c>
      <c r="K6" t="b">
        <v>1</v>
      </c>
    </row>
    <row r="7" spans="1:11">
      <c r="A7">
        <v>41</v>
      </c>
      <c r="B7">
        <v>3</v>
      </c>
      <c r="C7">
        <v>2</v>
      </c>
      <c r="D7">
        <v>3010</v>
      </c>
      <c r="F7">
        <v>3020</v>
      </c>
      <c r="G7" t="str">
        <f>INDEX([1]Define!E:E,MATCH(F7,[1]Define!D:D))</f>
        <v>アイテム取得</v>
      </c>
      <c r="H7">
        <v>3010</v>
      </c>
      <c r="I7">
        <v>0</v>
      </c>
      <c r="J7">
        <v>0</v>
      </c>
      <c r="K7" t="b">
        <v>1</v>
      </c>
    </row>
    <row r="8" spans="1:11">
      <c r="A8">
        <v>41</v>
      </c>
      <c r="B8">
        <v>4</v>
      </c>
      <c r="C8">
        <v>1</v>
      </c>
      <c r="D8">
        <v>3010</v>
      </c>
      <c r="F8">
        <v>3020</v>
      </c>
      <c r="G8" t="str">
        <f>INDEX([1]Define!E:E,MATCH(F8,[1]Define!D:D))</f>
        <v>アイテム取得</v>
      </c>
      <c r="H8">
        <v>1100</v>
      </c>
      <c r="I8">
        <v>0</v>
      </c>
      <c r="J8">
        <v>0</v>
      </c>
      <c r="K8" t="b">
        <v>1</v>
      </c>
    </row>
    <row r="9" spans="1:11">
      <c r="A9">
        <v>41</v>
      </c>
      <c r="B9">
        <v>5</v>
      </c>
      <c r="C9">
        <v>2</v>
      </c>
      <c r="D9">
        <v>3010</v>
      </c>
      <c r="F9">
        <v>3020</v>
      </c>
      <c r="G9" t="str">
        <f>INDEX([1]Define!E:E,MATCH(F9,[1]Define!D:D))</f>
        <v>アイテム取得</v>
      </c>
      <c r="H9">
        <v>4020</v>
      </c>
      <c r="I9">
        <v>0</v>
      </c>
      <c r="J9">
        <v>0</v>
      </c>
      <c r="K9" t="b">
        <v>1</v>
      </c>
    </row>
    <row r="10" spans="1:11">
      <c r="A10">
        <v>41</v>
      </c>
      <c r="B10">
        <v>6</v>
      </c>
      <c r="C10">
        <v>13</v>
      </c>
      <c r="D10">
        <v>3010</v>
      </c>
      <c r="F10">
        <v>3020</v>
      </c>
      <c r="G10" t="str">
        <f>INDEX([1]Define!E:E,MATCH(F10,[1]Define!D:D))</f>
        <v>アイテム取得</v>
      </c>
      <c r="H10">
        <v>3010</v>
      </c>
      <c r="I10">
        <v>0</v>
      </c>
      <c r="J10">
        <v>0</v>
      </c>
      <c r="K10" t="b">
        <v>1</v>
      </c>
    </row>
    <row r="11" spans="1:11">
      <c r="A11">
        <v>41</v>
      </c>
      <c r="B11">
        <v>4</v>
      </c>
      <c r="C11">
        <v>6</v>
      </c>
      <c r="D11">
        <v>3010</v>
      </c>
      <c r="F11">
        <v>1010</v>
      </c>
      <c r="G11" t="str">
        <f>INDEX([1]Define!E:E,MATCH(F11,[1]Define!D:D))</f>
        <v>Adv再生</v>
      </c>
      <c r="H11">
        <v>1040</v>
      </c>
      <c r="I11">
        <v>0</v>
      </c>
      <c r="J11">
        <v>0</v>
      </c>
      <c r="K11" t="b">
        <v>1</v>
      </c>
    </row>
    <row r="12" spans="1:11">
      <c r="A12">
        <v>41</v>
      </c>
      <c r="B12">
        <v>4</v>
      </c>
      <c r="C12">
        <v>6</v>
      </c>
      <c r="D12">
        <v>3010</v>
      </c>
      <c r="F12">
        <v>9010</v>
      </c>
      <c r="G12" t="str">
        <f>INDEX([1]Define!E:E,MATCH(F12,[1]Define!D:D))</f>
        <v>イベント終了明示</v>
      </c>
      <c r="H12">
        <v>0</v>
      </c>
      <c r="I12">
        <v>0</v>
      </c>
      <c r="J12">
        <v>0</v>
      </c>
      <c r="K12" t="b">
        <v>1</v>
      </c>
    </row>
    <row r="13" spans="1:11">
      <c r="A13">
        <v>41</v>
      </c>
      <c r="B13">
        <v>4</v>
      </c>
      <c r="C13">
        <v>4</v>
      </c>
      <c r="D13">
        <v>3010</v>
      </c>
      <c r="F13">
        <v>1010</v>
      </c>
      <c r="G13" t="str">
        <f>INDEX([1]Define!E:E,MATCH(F13,[1]Define!D:D))</f>
        <v>Adv再生</v>
      </c>
      <c r="H13">
        <v>100</v>
      </c>
      <c r="I13">
        <v>0</v>
      </c>
      <c r="J13">
        <v>0</v>
      </c>
      <c r="K13" t="b">
        <v>1</v>
      </c>
    </row>
    <row r="14" spans="1:11">
      <c r="A14">
        <v>41</v>
      </c>
      <c r="B14">
        <v>4</v>
      </c>
      <c r="C14">
        <v>4</v>
      </c>
      <c r="D14">
        <v>3010</v>
      </c>
      <c r="F14">
        <v>6010</v>
      </c>
      <c r="G14" t="str">
        <f>INDEX([1]Define!E:E,MATCH(F14,[1]Define!D:D))</f>
        <v>指定のイベントマスを消す</v>
      </c>
      <c r="H14">
        <v>43</v>
      </c>
      <c r="I14">
        <v>0</v>
      </c>
      <c r="J14">
        <v>0</v>
      </c>
      <c r="K14" t="b">
        <v>1</v>
      </c>
    </row>
    <row r="15" spans="1:11">
      <c r="A15">
        <v>41</v>
      </c>
      <c r="B15">
        <v>4</v>
      </c>
      <c r="C15">
        <v>3</v>
      </c>
      <c r="D15">
        <v>3010</v>
      </c>
      <c r="F15">
        <v>0</v>
      </c>
      <c r="H15">
        <v>43</v>
      </c>
      <c r="I15">
        <v>0</v>
      </c>
      <c r="J15">
        <v>0</v>
      </c>
      <c r="K15" t="b">
        <v>1</v>
      </c>
    </row>
    <row r="16" spans="1:11">
      <c r="A16">
        <v>41</v>
      </c>
      <c r="B16">
        <v>4</v>
      </c>
      <c r="C16">
        <v>4</v>
      </c>
      <c r="D16">
        <v>3010</v>
      </c>
      <c r="F16">
        <v>5010</v>
      </c>
      <c r="G16" t="str">
        <f>INDEX([1]Define!E:E,MATCH(F16,[1]Define!D:D))</f>
        <v>強制戦闘</v>
      </c>
      <c r="H16">
        <v>3020</v>
      </c>
      <c r="I16">
        <v>0</v>
      </c>
      <c r="J16">
        <v>0</v>
      </c>
      <c r="K16" t="b">
        <v>1</v>
      </c>
    </row>
    <row r="17" spans="1:11">
      <c r="A17">
        <v>41</v>
      </c>
      <c r="B17">
        <v>4</v>
      </c>
      <c r="C17">
        <v>4</v>
      </c>
      <c r="D17">
        <v>3010</v>
      </c>
      <c r="F17">
        <v>9010</v>
      </c>
      <c r="G17" t="str">
        <f>INDEX([1]Define!E:E,MATCH(F17,[1]Define!D:D))</f>
        <v>イベント終了明示</v>
      </c>
      <c r="H17">
        <v>0</v>
      </c>
      <c r="I17">
        <v>0</v>
      </c>
      <c r="J17">
        <v>0</v>
      </c>
      <c r="K17" t="b">
        <v>1</v>
      </c>
    </row>
    <row r="18" spans="1:11">
      <c r="A18">
        <v>41</v>
      </c>
      <c r="B18">
        <v>7</v>
      </c>
      <c r="C18">
        <v>13</v>
      </c>
      <c r="D18">
        <v>3010</v>
      </c>
      <c r="F18">
        <v>8010</v>
      </c>
      <c r="G18" t="str">
        <f>INDEX([1]Define!E:E,MATCH(F18,[1]Define!D:D))</f>
        <v>指定リージョンを開示する</v>
      </c>
      <c r="H18">
        <v>1</v>
      </c>
      <c r="I18">
        <v>0</v>
      </c>
      <c r="J18">
        <v>0</v>
      </c>
      <c r="K18" t="b">
        <v>1</v>
      </c>
    </row>
    <row r="19" spans="1:11">
      <c r="A19">
        <v>41</v>
      </c>
      <c r="B19">
        <v>7</v>
      </c>
      <c r="C19">
        <v>13</v>
      </c>
      <c r="D19">
        <v>3010</v>
      </c>
      <c r="F19">
        <v>1010</v>
      </c>
      <c r="G19" t="str">
        <f>INDEX([1]Define!E:E,MATCH(F19,[1]Define!D:D))</f>
        <v>Adv再生</v>
      </c>
      <c r="H19">
        <v>110</v>
      </c>
      <c r="I19">
        <v>0</v>
      </c>
      <c r="J19">
        <v>0</v>
      </c>
      <c r="K19" t="b">
        <v>1</v>
      </c>
    </row>
    <row r="20" spans="1:11">
      <c r="A20">
        <v>41</v>
      </c>
      <c r="B20">
        <v>7</v>
      </c>
      <c r="C20">
        <v>13</v>
      </c>
      <c r="D20">
        <v>3010</v>
      </c>
      <c r="F20">
        <v>7020</v>
      </c>
      <c r="G20" t="str">
        <f>INDEX([1]Define!E:E,MATCH(F20,[1]Define!D:D))</f>
        <v>怨嗟床</v>
      </c>
      <c r="H20">
        <v>0</v>
      </c>
      <c r="I20">
        <v>0</v>
      </c>
      <c r="J20">
        <v>0</v>
      </c>
      <c r="K20" t="b">
        <v>1</v>
      </c>
    </row>
    <row r="21" spans="1:11">
      <c r="A21">
        <v>41</v>
      </c>
      <c r="B21">
        <v>7</v>
      </c>
      <c r="C21">
        <v>13</v>
      </c>
      <c r="D21">
        <v>3010</v>
      </c>
      <c r="F21">
        <v>1010</v>
      </c>
      <c r="G21" t="str">
        <f>INDEX([1]Define!E:E,MATCH(F21,[1]Define!D:D))</f>
        <v>Adv再生</v>
      </c>
      <c r="H21">
        <v>120</v>
      </c>
      <c r="I21">
        <v>0</v>
      </c>
      <c r="J21">
        <v>0</v>
      </c>
      <c r="K21" t="b">
        <v>1</v>
      </c>
    </row>
    <row r="22" spans="1:11">
      <c r="A22">
        <v>41</v>
      </c>
      <c r="B22">
        <v>7</v>
      </c>
      <c r="C22">
        <v>13</v>
      </c>
      <c r="D22">
        <v>3010</v>
      </c>
      <c r="F22">
        <v>9010</v>
      </c>
      <c r="G22" t="str">
        <f>INDEX([1]Define!E:E,MATCH(F22,[1]Define!D:D))</f>
        <v>イベント終了明示</v>
      </c>
      <c r="H22">
        <v>0</v>
      </c>
      <c r="I22">
        <v>0</v>
      </c>
      <c r="J22">
        <v>0</v>
      </c>
      <c r="K22" t="b">
        <v>1</v>
      </c>
    </row>
    <row r="23" spans="1:11">
      <c r="A23">
        <v>41</v>
      </c>
      <c r="B23">
        <v>2</v>
      </c>
      <c r="C23">
        <v>13</v>
      </c>
      <c r="D23">
        <v>3010</v>
      </c>
      <c r="F23">
        <v>1010</v>
      </c>
      <c r="G23" t="str">
        <f>INDEX([1]Define!E:E,MATCH(F23,[1]Define!D:D))</f>
        <v>Adv再生</v>
      </c>
      <c r="H23">
        <v>130</v>
      </c>
      <c r="I23">
        <v>0</v>
      </c>
      <c r="J23">
        <v>0</v>
      </c>
      <c r="K23" t="b">
        <v>1</v>
      </c>
    </row>
    <row r="24" spans="1:11">
      <c r="A24">
        <v>41</v>
      </c>
      <c r="B24">
        <v>2</v>
      </c>
      <c r="C24">
        <v>13</v>
      </c>
      <c r="D24">
        <v>3010</v>
      </c>
      <c r="F24">
        <v>7021</v>
      </c>
      <c r="G24" t="str">
        <f>INDEX([1]Define!E:E,MATCH(F24,[1]Define!D:D))</f>
        <v>怨嗟床解除</v>
      </c>
      <c r="H24">
        <v>0</v>
      </c>
      <c r="I24">
        <v>0</v>
      </c>
      <c r="J24">
        <v>0</v>
      </c>
      <c r="K24" t="b">
        <v>1</v>
      </c>
    </row>
    <row r="25" spans="1:11">
      <c r="A25">
        <v>41</v>
      </c>
      <c r="B25">
        <v>2</v>
      </c>
      <c r="C25">
        <v>13</v>
      </c>
      <c r="D25">
        <v>3010</v>
      </c>
      <c r="F25">
        <v>1020</v>
      </c>
      <c r="G25" t="str">
        <f>INDEX([1]Define!E:E,MATCH(F25,[1]Define!D:D))</f>
        <v>エンフェリアイベント再生</v>
      </c>
      <c r="H25">
        <v>3</v>
      </c>
      <c r="I25">
        <v>2</v>
      </c>
      <c r="J25">
        <v>0</v>
      </c>
      <c r="K25" t="b">
        <v>1</v>
      </c>
    </row>
    <row r="26" spans="1:11">
      <c r="A26">
        <v>41</v>
      </c>
      <c r="B26">
        <v>2</v>
      </c>
      <c r="C26">
        <v>13</v>
      </c>
      <c r="D26">
        <v>3010</v>
      </c>
      <c r="F26">
        <v>9010</v>
      </c>
      <c r="G26" t="str">
        <f>INDEX([1]Define!E:E,MATCH(F26,[1]Define!D:D))</f>
        <v>イベント終了明示</v>
      </c>
      <c r="H26">
        <v>0</v>
      </c>
      <c r="I26">
        <v>0</v>
      </c>
      <c r="J26">
        <v>0</v>
      </c>
      <c r="K26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2026-10-05T01:44:00Z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