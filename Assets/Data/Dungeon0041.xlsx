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<sst xmlns="http://schemas.openxmlformats.org/spreadsheetml/2006/main" count="570" uniqueCount="29">
  <si>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</si>
  <si>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</si>
  <si>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</si>
  <si>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</si>
  <si>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</si>
  <si>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</si>
  <si>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</si>
  <si>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</si>
  <si>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</si>
  <si>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</si>
  <si>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</si>
  <si>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</si>
  <si>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</si>
  <si>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</si>
  <si>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</si>
  <si>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</si>
  <si>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</si>
  <si>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Mg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</si>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</sst>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9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2" fillId="15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5" sqref="I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/>
      <c r="I14" s="2"/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17</v>
      </c>
      <c r="E15" s="2" t="s">
        <v>14</v>
      </c>
      <c r="F15" s="2"/>
      <c r="G15" s="2"/>
      <c r="H15" s="2" t="s">
        <v>11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18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19</v>
      </c>
      <c r="F14" s="2" t="s">
        <v>19</v>
      </c>
      <c r="G14" s="2" t="s">
        <v>19</v>
      </c>
      <c r="H14" s="2" t="s">
        <v>19</v>
      </c>
      <c r="I14" s="2" t="s">
        <v>19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19</v>
      </c>
      <c r="F15" s="2" t="s">
        <v>19</v>
      </c>
      <c r="G15" s="2" t="s">
        <v>19</v>
      </c>
      <c r="H15" s="2" t="s">
        <v>19</v>
      </c>
      <c r="I15" s="2" t="s">
        <v>19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19</v>
      </c>
      <c r="F16" s="2" t="s">
        <v>19</v>
      </c>
      <c r="G16" s="2" t="s">
        <v>19</v>
      </c>
      <c r="H16" s="2" t="s">
        <v>19</v>
      </c>
      <c r="I16" s="2" t="s">
        <v>19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18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tabSelected="1" zoomScale="110" zoomScaleNormal="110" workbookViewId="0">
      <selection activeCell="A18" sqref="$A18:$XFD1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20</v>
      </c>
      <c r="C1" t="s">
        <v>21</v>
      </c>
      <c r="D1" t="s">
        <v>22</v>
      </c>
      <c r="E1" s="1" t="s">
        <v>23</v>
      </c>
      <c r="F1" t="s">
        <v>24</v>
      </c>
      <c r="G1" s="1" t="s">
        <v>23</v>
      </c>
      <c r="H1" t="s">
        <v>25</v>
      </c>
      <c r="I1" t="s">
        <v>26</v>
      </c>
      <c r="J1" t="s">
        <v>27</v>
      </c>
      <c r="K1" t="s">
        <v>28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3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3050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13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0</v>
      </c>
      <c r="J5">
        <v>0</v>
      </c>
      <c r="K5" t="b">
        <v>1</v>
      </c>
    </row>
    <row r="6" spans="1:11">
      <c r="A6">
        <v>41</v>
      </c>
      <c r="B6">
        <v>14</v>
      </c>
      <c r="C6">
        <v>16</v>
      </c>
      <c r="D6">
        <v>3010</v>
      </c>
      <c r="F6">
        <v>3010</v>
      </c>
      <c r="G6" t="str">
        <f>INDEX([1]Define!E:E,MATCH(F6,[1]Define!D:D))</f>
        <v>アーティファクト取得</v>
      </c>
      <c r="H6">
        <v>2130</v>
      </c>
      <c r="I6">
        <v>0</v>
      </c>
      <c r="J6">
        <v>0</v>
      </c>
      <c r="K6" t="b">
        <v>1</v>
      </c>
    </row>
    <row r="7" spans="1:11">
      <c r="A7">
        <v>41</v>
      </c>
      <c r="B7">
        <v>3</v>
      </c>
      <c r="C7">
        <v>2</v>
      </c>
      <c r="D7">
        <v>3010</v>
      </c>
      <c r="F7">
        <v>3020</v>
      </c>
      <c r="G7" t="str">
        <f>INDEX([1]Define!E:E,MATCH(F7,[1]Define!D:D))</f>
        <v>アイテム取得</v>
      </c>
      <c r="H7">
        <v>3010</v>
      </c>
      <c r="I7">
        <v>0</v>
      </c>
      <c r="J7">
        <v>0</v>
      </c>
      <c r="K7" t="b">
        <v>1</v>
      </c>
    </row>
    <row r="8" spans="1:11">
      <c r="A8">
        <v>41</v>
      </c>
      <c r="B8">
        <v>4</v>
      </c>
      <c r="C8">
        <v>1</v>
      </c>
      <c r="D8">
        <v>3010</v>
      </c>
      <c r="F8">
        <v>3020</v>
      </c>
      <c r="G8" t="str">
        <f>INDEX([1]Define!E:E,MATCH(F8,[1]Define!D:D))</f>
        <v>アイテム取得</v>
      </c>
      <c r="H8">
        <v>1100</v>
      </c>
      <c r="I8">
        <v>0</v>
      </c>
      <c r="J8">
        <v>0</v>
      </c>
      <c r="K8" t="b">
        <v>1</v>
      </c>
    </row>
    <row r="9" spans="1:11">
      <c r="A9">
        <v>41</v>
      </c>
      <c r="B9">
        <v>5</v>
      </c>
      <c r="C9">
        <v>2</v>
      </c>
      <c r="D9">
        <v>3010</v>
      </c>
      <c r="F9">
        <v>3020</v>
      </c>
      <c r="G9" t="str">
        <f>INDEX([1]Define!E:E,MATCH(F9,[1]Define!D:D))</f>
        <v>アイテム取得</v>
      </c>
      <c r="H9">
        <v>4020</v>
      </c>
      <c r="I9">
        <v>0</v>
      </c>
      <c r="J9">
        <v>0</v>
      </c>
      <c r="K9" t="b">
        <v>1</v>
      </c>
    </row>
    <row r="10" spans="1:11">
      <c r="A10">
        <v>41</v>
      </c>
      <c r="B10">
        <v>6</v>
      </c>
      <c r="C10">
        <v>13</v>
      </c>
      <c r="D10">
        <v>3010</v>
      </c>
      <c r="F10">
        <v>3020</v>
      </c>
      <c r="G10" t="str">
        <f>INDEX([1]Define!E:E,MATCH(F10,[1]Define!D:D))</f>
        <v>アイテム取得</v>
      </c>
      <c r="H10">
        <v>3010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1010</v>
      </c>
      <c r="G11" t="str">
        <f>INDEX([1]Define!E:E,MATCH(F11,[1]Define!D:D))</f>
        <v>Adv再生</v>
      </c>
      <c r="H11">
        <v>1040</v>
      </c>
      <c r="I11">
        <v>0</v>
      </c>
      <c r="J11">
        <v>0</v>
      </c>
      <c r="K11" t="b">
        <v>1</v>
      </c>
    </row>
    <row r="12" spans="1:11">
      <c r="A12">
        <v>41</v>
      </c>
      <c r="B12">
        <v>4</v>
      </c>
      <c r="C12">
        <v>6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1010</v>
      </c>
      <c r="G13" t="str">
        <f>INDEX([1]Define!E:E,MATCH(F13,[1]Define!D:D))</f>
        <v>Adv再生</v>
      </c>
      <c r="H13">
        <v>100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4</v>
      </c>
      <c r="D14">
        <v>3010</v>
      </c>
      <c r="F14">
        <v>6010</v>
      </c>
      <c r="G14" t="str">
        <f>INDEX([1]Define!E:E,MATCH(F14,[1]Define!D:D))</f>
        <v>指定のイベントマスを消す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3</v>
      </c>
      <c r="D15">
        <v>3010</v>
      </c>
      <c r="F15">
        <v>0</v>
      </c>
      <c r="H15">
        <v>43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5010</v>
      </c>
      <c r="G16" t="str">
        <f>INDEX([1]Define!E:E,MATCH(F16,[1]Define!D:D))</f>
        <v>強制戦闘</v>
      </c>
      <c r="H16">
        <v>3020</v>
      </c>
      <c r="I16">
        <v>0</v>
      </c>
      <c r="J16">
        <v>0</v>
      </c>
      <c r="K16" t="b">
        <v>1</v>
      </c>
    </row>
    <row r="17" spans="1:11">
      <c r="A17">
        <v>41</v>
      </c>
      <c r="B17">
        <v>4</v>
      </c>
      <c r="C17">
        <v>4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41</v>
      </c>
      <c r="B18">
        <v>7</v>
      </c>
      <c r="C18">
        <v>13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1</v>
      </c>
    </row>
    <row r="19" spans="1:11">
      <c r="A19">
        <v>41</v>
      </c>
      <c r="B19">
        <v>7</v>
      </c>
      <c r="C19">
        <v>13</v>
      </c>
      <c r="D19">
        <v>3010</v>
      </c>
      <c r="F19">
        <v>1010</v>
      </c>
      <c r="G19" t="str">
        <f>INDEX([1]Define!E:E,MATCH(F19,[1]Define!D:D))</f>
        <v>Adv再生</v>
      </c>
      <c r="H19">
        <v>110</v>
      </c>
      <c r="I19">
        <v>0</v>
      </c>
      <c r="J19">
        <v>0</v>
      </c>
      <c r="K19" t="b">
        <v>1</v>
      </c>
    </row>
    <row r="20" spans="1:11">
      <c r="A20">
        <v>41</v>
      </c>
      <c r="B20">
        <v>7</v>
      </c>
      <c r="C20">
        <v>13</v>
      </c>
      <c r="D20">
        <v>3010</v>
      </c>
      <c r="F20">
        <v>7020</v>
      </c>
      <c r="G20" t="str">
        <f>INDEX([1]Define!E:E,MATCH(F20,[1]Define!D:D))</f>
        <v>怨嗟床</v>
      </c>
      <c r="H20">
        <v>0</v>
      </c>
      <c r="I20">
        <v>0</v>
      </c>
      <c r="J20">
        <v>0</v>
      </c>
      <c r="K20" t="b">
        <v>1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120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9010</v>
      </c>
      <c r="G22" t="str">
        <f>INDEX([1]Define!E:E,MATCH(F22,[1]Define!D:D))</f>
        <v>イベント終了明示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2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130</v>
      </c>
      <c r="I23">
        <v>0</v>
      </c>
      <c r="J23">
        <v>0</v>
      </c>
      <c r="K23" t="b">
        <v>1</v>
      </c>
    </row>
    <row r="24" spans="1:11">
      <c r="A24">
        <v>41</v>
      </c>
      <c r="B24">
        <v>2</v>
      </c>
      <c r="C24">
        <v>13</v>
      </c>
      <c r="D24">
        <v>3010</v>
      </c>
      <c r="F24">
        <v>7021</v>
      </c>
      <c r="G24" t="str">
        <f>INDEX([1]Define!E:E,MATCH(F24,[1]Define!D:D))</f>
        <v>怨嗟床解除</v>
      </c>
      <c r="H24">
        <v>0</v>
      </c>
      <c r="I24">
        <v>0</v>
      </c>
      <c r="J24">
        <v>0</v>
      </c>
      <c r="K24" t="b">
        <v>1</v>
      </c>
    </row>
    <row r="25" spans="1:11">
      <c r="A25">
        <v>41</v>
      </c>
      <c r="B25">
        <v>2</v>
      </c>
      <c r="C25">
        <v>13</v>
      </c>
      <c r="D25">
        <v>3010</v>
      </c>
      <c r="F25">
        <v>1020</v>
      </c>
      <c r="G25" t="str">
        <f>INDEX([1]Define!E:E,MATCH(F25,[1]Define!D:D))</f>
        <v>エンフェリアイベント再生</v>
      </c>
      <c r="H25">
        <v>3</v>
      </c>
      <c r="I25">
        <v>2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9010</v>
      </c>
      <c r="G26" t="str">
        <f>INDEX([1]Define!E:E,MATCH(F26,[1]Define!D:D))</f>
        <v>イベント終了明示</v>
      </c>
      <c r="H26">
        <v>0</v>
      </c>
      <c r="I26">
        <v>0</v>
      </c>
      <c r="J26">
        <v>0</v>
      </c>
      <c r="K2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2026-09-26T15:04:51Z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