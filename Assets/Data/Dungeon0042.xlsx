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<sst xmlns="http://schemas.openxmlformats.org/spreadsheetml/2006/main" count="619" uniqueCount="26">
  <si>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</si>
  <si>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</si>
  <si>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</si>
  <si>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</si>
  <si>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</si>
  <si>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</si>
  <si>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</si>
  <si>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</si>
  <si>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</si>
  <si>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</si>
  <si>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Ar:D4</t>
  </si>
  <si>
    <t>Dr</t>
  </si>
  <si>
    <t>Mg</t>
  </si>
  <si>
    <t>Ba</t>
  </si>
  <si>
    <t>Un</t>
  </si>
  <si>
    <t>Ev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</si>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</sst>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17" borderId="1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42</v>
      </c>
      <c r="B2">
        <v>42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8" sqref="J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 t="s">
        <v>10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11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12</v>
      </c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13</v>
      </c>
      <c r="G10" s="2"/>
      <c r="H10" s="2"/>
      <c r="I10" s="2" t="s">
        <v>9</v>
      </c>
      <c r="J10" s="2" t="s">
        <v>14</v>
      </c>
      <c r="K10" s="2" t="s">
        <v>9</v>
      </c>
      <c r="L10" s="2"/>
      <c r="M10" s="2"/>
      <c r="N10" s="2" t="s">
        <v>13</v>
      </c>
      <c r="O10" s="2" t="s">
        <v>9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11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/>
      <c r="I12" s="2"/>
      <c r="J12" s="2" t="s">
        <v>15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16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4" sqref="I4:K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 t="s">
        <v>10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/>
      <c r="K8" s="2" t="s">
        <v>9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13</v>
      </c>
      <c r="G10" s="2"/>
      <c r="H10" s="2"/>
      <c r="I10" s="2" t="s">
        <v>9</v>
      </c>
      <c r="J10" s="2" t="s">
        <v>14</v>
      </c>
      <c r="K10" s="2" t="s">
        <v>9</v>
      </c>
      <c r="L10" s="2"/>
      <c r="M10" s="2"/>
      <c r="N10" s="2" t="s">
        <v>13</v>
      </c>
      <c r="O10" s="2" t="s">
        <v>9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 t="s">
        <v>9</v>
      </c>
      <c r="J11" s="2" t="s">
        <v>11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9</v>
      </c>
      <c r="H12" s="2"/>
      <c r="I12" s="2"/>
      <c r="J12" s="2" t="s">
        <v>15</v>
      </c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9</v>
      </c>
      <c r="J14" s="2"/>
      <c r="K14" s="2" t="s">
        <v>9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9</v>
      </c>
      <c r="J15" s="2"/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9</v>
      </c>
      <c r="J16" s="2"/>
      <c r="K16" s="2" t="s">
        <v>9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9</v>
      </c>
      <c r="J17" s="2"/>
      <c r="K17" s="2" t="s">
        <v>9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9</v>
      </c>
      <c r="J18" s="2"/>
      <c r="K18" s="2" t="s">
        <v>9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9</v>
      </c>
      <c r="J19" s="2"/>
      <c r="K19" s="2" t="s">
        <v>9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9</v>
      </c>
      <c r="J20" s="2" t="s">
        <v>16</v>
      </c>
      <c r="K20" s="2" t="s">
        <v>9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9</v>
      </c>
      <c r="J21" s="2" t="s">
        <v>9</v>
      </c>
      <c r="K21" s="2" t="s">
        <v>9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tabSelected="1" workbookViewId="0">
      <selection activeCell="K6" sqref="K6"/>
    </sheetView>
  </sheetViews>
  <sheetFormatPr defaultColWidth="8.72727272727273" defaultRowHeight="13"/>
  <cols>
    <col min="7" max="7" width="39.8181818181818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42</v>
      </c>
      <c r="B2">
        <v>8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41</v>
      </c>
      <c r="I2">
        <v>9</v>
      </c>
      <c r="J2">
        <v>4</v>
      </c>
      <c r="K2" t="b">
        <v>0</v>
      </c>
    </row>
    <row r="3" spans="1:11">
      <c r="A3">
        <v>42</v>
      </c>
      <c r="B3">
        <v>8</v>
      </c>
      <c r="C3">
        <v>3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2040</v>
      </c>
      <c r="I3">
        <v>0</v>
      </c>
      <c r="J3">
        <v>0</v>
      </c>
      <c r="K3" t="b">
        <v>1</v>
      </c>
    </row>
    <row r="4" spans="1:11">
      <c r="A4">
        <v>42</v>
      </c>
      <c r="B4">
        <v>8</v>
      </c>
      <c r="C4">
        <v>8</v>
      </c>
      <c r="D4">
        <v>3010</v>
      </c>
      <c r="F4">
        <v>2030</v>
      </c>
      <c r="G4" t="str">
        <f>INDEX([1]Define!E:E,MATCH(F4,[1]Define!D:D))</f>
        <v>ダンジョンクリア</v>
      </c>
      <c r="H4">
        <v>0</v>
      </c>
      <c r="I4">
        <v>0</v>
      </c>
      <c r="J4">
        <v>0</v>
      </c>
      <c r="K4" t="b">
        <v>1</v>
      </c>
    </row>
    <row r="5" spans="1:11">
      <c r="A5">
        <v>42</v>
      </c>
      <c r="B5">
        <v>8</v>
      </c>
      <c r="C5">
        <v>8</v>
      </c>
      <c r="D5">
        <v>3010</v>
      </c>
      <c r="F5">
        <v>5020</v>
      </c>
      <c r="G5" t="str">
        <f>INDEX([1]Define!E:E,MATCH(F5,[1]Define!D:D))</f>
        <v>強制ボス戦闘</v>
      </c>
      <c r="H5">
        <v>3010</v>
      </c>
      <c r="I5">
        <v>0</v>
      </c>
      <c r="J5">
        <v>0</v>
      </c>
      <c r="K5" t="b">
        <v>1</v>
      </c>
    </row>
    <row r="6" spans="1:11">
      <c r="A6">
        <v>42</v>
      </c>
      <c r="B6">
        <v>8</v>
      </c>
      <c r="C6">
        <v>8</v>
      </c>
      <c r="D6">
        <v>3010</v>
      </c>
      <c r="F6">
        <v>9010</v>
      </c>
      <c r="G6" t="str">
        <f>INDEX([1]Define!E:E,MATCH(F6,[1]Define!D:D))</f>
        <v>イベント終了明示</v>
      </c>
      <c r="H6">
        <v>0</v>
      </c>
      <c r="I6">
        <v>0</v>
      </c>
      <c r="J6">
        <v>0</v>
      </c>
      <c r="K6" t="b">
        <v>1</v>
      </c>
    </row>
    <row r="7" spans="1:11">
      <c r="A7">
        <v>42</v>
      </c>
      <c r="B7">
        <v>4</v>
      </c>
      <c r="C7">
        <v>8</v>
      </c>
      <c r="D7">
        <v>3010</v>
      </c>
      <c r="F7">
        <v>1010</v>
      </c>
      <c r="G7" t="str">
        <f>INDEX([1]Define!E:E,MATCH(F7,[1]Define!D:D))</f>
        <v>Adv再生</v>
      </c>
      <c r="H7">
        <v>100</v>
      </c>
      <c r="I7">
        <v>0</v>
      </c>
      <c r="J7">
        <v>0</v>
      </c>
      <c r="K7" t="b">
        <v>1</v>
      </c>
    </row>
    <row r="8" spans="1:11">
      <c r="A8">
        <v>42</v>
      </c>
      <c r="B8">
        <v>4</v>
      </c>
      <c r="C8">
        <v>8</v>
      </c>
      <c r="D8">
        <v>3010</v>
      </c>
      <c r="F8">
        <v>5010</v>
      </c>
      <c r="G8" t="str">
        <f>INDEX([1]Define!E:E,MATCH(F8,[1]Define!D:D))</f>
        <v>強制戦闘</v>
      </c>
      <c r="H8">
        <v>3030</v>
      </c>
      <c r="I8">
        <v>0</v>
      </c>
      <c r="J8">
        <v>0</v>
      </c>
      <c r="K8" t="b">
        <v>1</v>
      </c>
    </row>
    <row r="9" spans="1:11">
      <c r="A9">
        <v>42</v>
      </c>
      <c r="B9">
        <v>12</v>
      </c>
      <c r="C9">
        <v>8</v>
      </c>
      <c r="D9">
        <v>3010</v>
      </c>
      <c r="F9">
        <v>1010</v>
      </c>
      <c r="G9" t="str">
        <f>INDEX([1]Define!E:E,MATCH(F9,[1]Define!D:D))</f>
        <v>Adv再生</v>
      </c>
      <c r="H9">
        <v>100</v>
      </c>
      <c r="I9">
        <v>0</v>
      </c>
      <c r="J9">
        <v>0</v>
      </c>
      <c r="K9" t="b">
        <v>1</v>
      </c>
    </row>
    <row r="10" spans="1:11">
      <c r="A10">
        <v>42</v>
      </c>
      <c r="B10">
        <v>12</v>
      </c>
      <c r="C10">
        <v>8</v>
      </c>
      <c r="D10">
        <v>3010</v>
      </c>
      <c r="F10">
        <v>5010</v>
      </c>
      <c r="G10" t="str">
        <f>INDEX([1]Define!E:E,MATCH(F10,[1]Define!D:D))</f>
        <v>強制戦闘</v>
      </c>
      <c r="H10">
        <v>3040</v>
      </c>
      <c r="I10">
        <v>0</v>
      </c>
      <c r="J10">
        <v>0</v>
      </c>
      <c r="K10" t="b">
        <v>1</v>
      </c>
    </row>
    <row r="11" spans="1:11">
      <c r="A11">
        <v>42</v>
      </c>
      <c r="B11">
        <v>8</v>
      </c>
      <c r="C11">
        <v>10</v>
      </c>
      <c r="D11">
        <v>3010</v>
      </c>
      <c r="F11">
        <v>1010</v>
      </c>
      <c r="G11" t="str">
        <f>INDEX([1]Define!E:E,MATCH(F11,[1]Define!D:D))</f>
        <v>Adv再生</v>
      </c>
      <c r="H11">
        <v>1050</v>
      </c>
      <c r="I11">
        <v>0</v>
      </c>
      <c r="J11">
        <v>0</v>
      </c>
      <c r="K11" t="b">
        <v>1</v>
      </c>
    </row>
    <row r="12" spans="1:11">
      <c r="A12">
        <v>42</v>
      </c>
      <c r="B12">
        <v>6</v>
      </c>
      <c r="C12">
        <v>8</v>
      </c>
      <c r="D12">
        <v>3010</v>
      </c>
      <c r="F12">
        <v>6020</v>
      </c>
      <c r="G12" t="str">
        <f>INDEX([1]Define!E:E,MATCH(F12,[1]Define!D:D))</f>
        <v>同フロアの強制戦闘が終わってたらイベントマスを消す</v>
      </c>
      <c r="H12">
        <v>89</v>
      </c>
      <c r="I12">
        <v>0</v>
      </c>
      <c r="J12">
        <v>0</v>
      </c>
      <c r="K12" t="b">
        <v>1</v>
      </c>
    </row>
    <row r="13" spans="1:11">
      <c r="A13">
        <v>42</v>
      </c>
      <c r="B13">
        <v>8</v>
      </c>
      <c r="C13">
        <v>9</v>
      </c>
      <c r="D13">
        <v>3010</v>
      </c>
      <c r="F13">
        <v>0</v>
      </c>
      <c r="H13">
        <v>89</v>
      </c>
      <c r="I13">
        <v>0</v>
      </c>
      <c r="J13">
        <v>0</v>
      </c>
      <c r="K13" t="b">
        <v>1</v>
      </c>
    </row>
    <row r="14" spans="1:11">
      <c r="A14">
        <v>42</v>
      </c>
      <c r="B14">
        <v>8</v>
      </c>
      <c r="C14">
        <v>10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1</v>
      </c>
    </row>
    <row r="15" spans="1:11">
      <c r="A15">
        <v>42</v>
      </c>
      <c r="B15">
        <v>10</v>
      </c>
      <c r="C15">
        <v>8</v>
      </c>
      <c r="D15">
        <v>3010</v>
      </c>
      <c r="F15">
        <v>6020</v>
      </c>
      <c r="G15" t="str">
        <f>INDEX([1]Define!E:E,MATCH(F15,[1]Define!D:D))</f>
        <v>同フロアの強制戦闘が終わってたらイベントマスを消す</v>
      </c>
      <c r="H15">
        <v>89</v>
      </c>
      <c r="I15">
        <v>0</v>
      </c>
      <c r="J15">
        <v>0</v>
      </c>
      <c r="K15" t="b">
        <v>1</v>
      </c>
    </row>
    <row r="16" spans="1:11">
      <c r="A16">
        <v>42</v>
      </c>
      <c r="B16">
        <v>8</v>
      </c>
      <c r="C16">
        <v>9</v>
      </c>
      <c r="D16">
        <v>3010</v>
      </c>
      <c r="F16">
        <v>0</v>
      </c>
      <c r="H16">
        <v>89</v>
      </c>
      <c r="I16">
        <v>0</v>
      </c>
      <c r="J16">
        <v>0</v>
      </c>
      <c r="K16" t="b">
        <v>1</v>
      </c>
    </row>
    <row r="17" spans="1:11">
      <c r="A17">
        <v>42</v>
      </c>
      <c r="B17">
        <v>8</v>
      </c>
      <c r="C17">
        <v>10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42</v>
      </c>
      <c r="B18">
        <v>8</v>
      </c>
      <c r="C18">
        <v>6</v>
      </c>
      <c r="D18">
        <v>3010</v>
      </c>
      <c r="F18">
        <v>1010</v>
      </c>
      <c r="G18" t="str">
        <f>INDEX([1]Define!E:E,MATCH(F18,[1]Define!D:D))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42</v>
      </c>
      <c r="B19">
        <v>8</v>
      </c>
      <c r="C19">
        <v>6</v>
      </c>
      <c r="D19">
        <v>3010</v>
      </c>
      <c r="F19">
        <v>6010</v>
      </c>
      <c r="G19" t="str">
        <f>INDEX([1]Define!E:E,MATCH(F19,[1]Define!D:D))</f>
        <v>指定のイベントマスを消す</v>
      </c>
      <c r="H19">
        <v>86</v>
      </c>
      <c r="I19">
        <v>0</v>
      </c>
      <c r="J19">
        <v>0</v>
      </c>
      <c r="K19" t="b">
        <v>1</v>
      </c>
    </row>
    <row r="20" spans="1:11">
      <c r="A20">
        <v>42</v>
      </c>
      <c r="B20">
        <v>8</v>
      </c>
      <c r="C20">
        <v>4</v>
      </c>
      <c r="D20">
        <v>3010</v>
      </c>
      <c r="F20">
        <v>0</v>
      </c>
      <c r="H20">
        <v>86</v>
      </c>
      <c r="I20">
        <v>0</v>
      </c>
      <c r="J20">
        <v>0</v>
      </c>
      <c r="K20" t="b">
        <v>1</v>
      </c>
    </row>
    <row r="21" spans="1:11">
      <c r="A21">
        <v>42</v>
      </c>
      <c r="B21">
        <v>8</v>
      </c>
      <c r="C21">
        <v>6</v>
      </c>
      <c r="D21">
        <v>3010</v>
      </c>
      <c r="F21">
        <v>1020</v>
      </c>
      <c r="G21" t="str">
        <f>INDEX([1]Define!E:E,MATCH(F21,[1]Define!D:D))</f>
        <v>エンフェリアイベント再生</v>
      </c>
      <c r="H21">
        <v>3</v>
      </c>
      <c r="I21">
        <v>3</v>
      </c>
      <c r="J21">
        <v>0</v>
      </c>
      <c r="K21" t="b">
        <v>1</v>
      </c>
    </row>
    <row r="22" spans="1:11">
      <c r="A22">
        <v>42</v>
      </c>
      <c r="B22">
        <v>8</v>
      </c>
      <c r="C22">
        <v>6</v>
      </c>
      <c r="D22">
        <v>3010</v>
      </c>
      <c r="F22">
        <v>9010</v>
      </c>
      <c r="G22" t="str">
        <f>INDEX([1]Define!E:E,MATCH(F22,[1]Define!D:D))</f>
        <v>イベント終了明示</v>
      </c>
      <c r="H22">
        <v>0</v>
      </c>
      <c r="I22">
        <v>0</v>
      </c>
      <c r="J22">
        <v>0</v>
      </c>
      <c r="K22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