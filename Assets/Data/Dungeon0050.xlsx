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<sst xmlns="http://schemas.openxmlformats.org/spreadsheetml/2006/main" count="363" uniqueCount="27">
  <si>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</si>
  <si>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</si>
  <si>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</si>
  <si>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</si>
  <si>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</si>
  <si>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</si>
  <si>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</si>
  <si>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</si>
  <si>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</si>
  <si>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</si>
  <si>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Tr:D4</t>
  </si>
  <si>
    <t>No</t>
  </si>
  <si>
    <t>Tr:D1</t>
  </si>
  <si>
    <t>Ba</t>
  </si>
  <si>
    <t>Mv</t>
  </si>
  <si>
    <t>Out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</si>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</sst>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nemyRates"/>
      <sheetName val="TextData"/>
      <sheetName val="Define"/>
    </sheetNames>
    <sheetDataSet>
      <sheetData sheetId="0"/>
      <sheetData sheetId="1"/>
      <sheetData sheetId="2"/>
      <sheetData sheetId="3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50</v>
      </c>
      <c r="B2">
        <v>50</v>
      </c>
      <c r="C2">
        <v>1</v>
      </c>
      <c r="D2">
        <v>14</v>
      </c>
      <c r="E2">
        <v>14</v>
      </c>
      <c r="F2">
        <v>9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6" sqref="N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11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13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Q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13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Q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4" sqref="F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16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 t="s">
        <v>16</v>
      </c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16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17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17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tabSelected="1" zoomScale="110" zoomScaleNormal="110" workbookViewId="0">
      <selection activeCell="H4" sqref="A1:K15"/>
    </sheetView>
  </sheetViews>
  <sheetFormatPr defaultColWidth="8.72727272727273" defaultRowHeight="13"/>
  <cols>
    <col min="7" max="7" width="18.0909090909091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50</v>
      </c>
      <c r="B2">
        <v>9</v>
      </c>
      <c r="C2">
        <v>12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50</v>
      </c>
      <c r="B3">
        <v>4</v>
      </c>
      <c r="C3">
        <v>12</v>
      </c>
      <c r="D3">
        <v>3010</v>
      </c>
      <c r="F3">
        <v>2020</v>
      </c>
      <c r="G3" t="str">
        <f>INDEX([1]Define!E:E,MATCH(F3,[1]Define!D:D))</f>
        <v>ダンジョン移動</v>
      </c>
      <c r="H3">
        <v>51</v>
      </c>
      <c r="I3">
        <v>4</v>
      </c>
      <c r="J3">
        <v>12</v>
      </c>
      <c r="K3" t="b">
        <v>0</v>
      </c>
    </row>
    <row r="4" spans="1:11">
      <c r="A4">
        <v>50</v>
      </c>
      <c r="B4">
        <v>1</v>
      </c>
      <c r="C4">
        <v>4</v>
      </c>
      <c r="D4">
        <v>3010</v>
      </c>
      <c r="F4">
        <v>3020</v>
      </c>
      <c r="G4" t="str">
        <f>INDEX([1]Define!E:E,MATCH(F4,[1]Define!D:D))</f>
        <v>アイテム取得</v>
      </c>
      <c r="H4">
        <v>4020</v>
      </c>
      <c r="I4">
        <v>0</v>
      </c>
      <c r="J4">
        <v>0</v>
      </c>
      <c r="K4" t="b">
        <v>1</v>
      </c>
    </row>
    <row r="5" spans="1:11">
      <c r="A5">
        <v>50</v>
      </c>
      <c r="B5">
        <v>9</v>
      </c>
      <c r="C5">
        <v>1</v>
      </c>
      <c r="D5">
        <v>3010</v>
      </c>
      <c r="F5">
        <v>3020</v>
      </c>
      <c r="G5" t="str">
        <f>INDEX([1]Define!E:E,MATCH(F5,[1]Define!D:D))</f>
        <v>アイテム取得</v>
      </c>
      <c r="H5">
        <v>5060</v>
      </c>
      <c r="I5">
        <v>0</v>
      </c>
      <c r="J5">
        <v>0</v>
      </c>
      <c r="K5" t="b">
        <v>1</v>
      </c>
    </row>
    <row r="6" spans="1:11">
      <c r="A6">
        <v>50</v>
      </c>
      <c r="B6">
        <v>9</v>
      </c>
      <c r="C6">
        <v>4</v>
      </c>
      <c r="D6">
        <v>3010</v>
      </c>
      <c r="F6">
        <v>1010</v>
      </c>
      <c r="G6" t="str">
        <f>INDEX([1]Define!E:E,MATCH(F6,[1]Define!D:D))</f>
        <v>Adv再生</v>
      </c>
      <c r="H6">
        <v>1060</v>
      </c>
      <c r="I6">
        <v>0</v>
      </c>
      <c r="J6">
        <v>0</v>
      </c>
      <c r="K6" t="b">
        <v>1</v>
      </c>
    </row>
    <row r="7" spans="1:11">
      <c r="A7">
        <v>50</v>
      </c>
      <c r="B7">
        <v>10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1070</v>
      </c>
      <c r="I7">
        <v>0</v>
      </c>
      <c r="J7">
        <v>0</v>
      </c>
      <c r="K7" t="b">
        <v>1</v>
      </c>
    </row>
    <row r="8" spans="1:11">
      <c r="A8">
        <v>50</v>
      </c>
      <c r="B8">
        <v>10</v>
      </c>
      <c r="C8">
        <v>4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124</v>
      </c>
      <c r="I8">
        <v>0</v>
      </c>
      <c r="J8">
        <v>0</v>
      </c>
      <c r="K8" t="b">
        <v>1</v>
      </c>
    </row>
    <row r="9" spans="1:11">
      <c r="A9">
        <v>50</v>
      </c>
      <c r="B9">
        <v>12</v>
      </c>
      <c r="C9">
        <v>4</v>
      </c>
      <c r="D9">
        <v>3010</v>
      </c>
      <c r="F9">
        <v>0</v>
      </c>
      <c r="G9" t="str">
        <f>INDEX([1]Define!E:E,MATCH(F9,[1]Define!D:D))</f>
        <v>なし</v>
      </c>
      <c r="H9">
        <v>124</v>
      </c>
      <c r="I9">
        <v>0</v>
      </c>
      <c r="J9">
        <v>0</v>
      </c>
      <c r="K9" t="b">
        <v>1</v>
      </c>
    </row>
    <row r="10" spans="1:11">
      <c r="A10">
        <v>50</v>
      </c>
      <c r="B10">
        <v>10</v>
      </c>
      <c r="C10">
        <v>4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0</v>
      </c>
      <c r="J10">
        <v>0</v>
      </c>
      <c r="K10" t="b">
        <v>1</v>
      </c>
    </row>
    <row r="11" spans="1:11">
      <c r="A11">
        <v>50</v>
      </c>
      <c r="B11">
        <v>3</v>
      </c>
      <c r="C11">
        <v>9</v>
      </c>
      <c r="D11">
        <v>3010</v>
      </c>
      <c r="F11">
        <v>1010</v>
      </c>
      <c r="G11" t="str">
        <f>INDEX([1]Define!E:E,MATCH(F11,[1]Define!D:D))</f>
        <v>Adv再生</v>
      </c>
      <c r="H11">
        <v>1070</v>
      </c>
      <c r="I11">
        <v>0</v>
      </c>
      <c r="J11">
        <v>0</v>
      </c>
      <c r="K11" t="b">
        <v>1</v>
      </c>
    </row>
    <row r="12" spans="1:11">
      <c r="A12">
        <v>50</v>
      </c>
      <c r="B12">
        <v>3</v>
      </c>
      <c r="C12">
        <v>9</v>
      </c>
      <c r="D12">
        <v>3010</v>
      </c>
      <c r="F12">
        <v>6010</v>
      </c>
      <c r="G12" t="str">
        <f>INDEX([1]Define!E:E,MATCH(F12,[1]Define!D:D))</f>
        <v>指定のイベントマスを消す</v>
      </c>
      <c r="H12">
        <v>19</v>
      </c>
      <c r="I12">
        <v>0</v>
      </c>
      <c r="J12">
        <v>0</v>
      </c>
      <c r="K12" t="b">
        <v>1</v>
      </c>
    </row>
    <row r="13" spans="1:11">
      <c r="A13">
        <v>50</v>
      </c>
      <c r="B13">
        <v>1</v>
      </c>
      <c r="C13">
        <v>9</v>
      </c>
      <c r="D13">
        <v>3010</v>
      </c>
      <c r="F13">
        <v>0</v>
      </c>
      <c r="G13" t="str">
        <f>INDEX([1]Define!E:E,MATCH(F13,[1]Define!D:D))</f>
        <v>なし</v>
      </c>
      <c r="H13">
        <v>19</v>
      </c>
      <c r="I13">
        <v>0</v>
      </c>
      <c r="J13">
        <v>0</v>
      </c>
      <c r="K13" t="b">
        <v>1</v>
      </c>
    </row>
    <row r="14" spans="1:11">
      <c r="A14">
        <v>50</v>
      </c>
      <c r="B14">
        <v>3</v>
      </c>
      <c r="C14">
        <v>9</v>
      </c>
      <c r="D14">
        <v>3010</v>
      </c>
      <c r="F14">
        <v>5010</v>
      </c>
      <c r="G14" t="str">
        <f>INDEX([1]Define!E:E,MATCH(F14,[1]Define!D:D))</f>
        <v>強制戦闘</v>
      </c>
      <c r="H14">
        <v>-1</v>
      </c>
      <c r="I14">
        <v>0</v>
      </c>
      <c r="J14">
        <v>0</v>
      </c>
      <c r="K14" t="b">
        <v>1</v>
      </c>
    </row>
    <row r="15" spans="1:11">
      <c r="A15">
        <v>50</v>
      </c>
      <c r="B15">
        <v>4</v>
      </c>
      <c r="C15">
        <v>3</v>
      </c>
      <c r="D15">
        <v>3010</v>
      </c>
      <c r="F15">
        <v>8010</v>
      </c>
      <c r="G15" t="str">
        <f>INDEX([1]Define!E:E,MATCH(F15,[1]Define!D:D))</f>
        <v>指定リージョンを開示する</v>
      </c>
      <c r="H15">
        <v>1</v>
      </c>
      <c r="I15">
        <v>0</v>
      </c>
      <c r="J15">
        <v>0</v>
      </c>
      <c r="K1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2026-10-10T13:32:14Z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