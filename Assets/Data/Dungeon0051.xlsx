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<sst xmlns="http://schemas.openxmlformats.org/spreadsheetml/2006/main" count="429" uniqueCount="26">
  <si>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</si>
  <si>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</si>
  <si>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</si>
  <si>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</si>
  <si>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</si>
  <si>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</si>
  <si>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</si>
  <si>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</si>
  <si>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</si>
  <si>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</si>
  <si>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</si>
  <si>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</si>
  <si>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Mg</t>
  </si>
  <si>
    <t>Tr:D2</t>
  </si>
  <si>
    <t>Dr</t>
  </si>
  <si>
    <t>Dm</t>
  </si>
  <si>
    <t>Ar:D3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</si>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</sst>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5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2" borderId="2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51</v>
      </c>
      <c r="B2">
        <v>51</v>
      </c>
      <c r="C2">
        <v>1</v>
      </c>
      <c r="D2">
        <v>18</v>
      </c>
      <c r="E2">
        <v>18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8" sqref="P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/>
      <c r="J7" s="2"/>
      <c r="K7" s="2"/>
      <c r="L7" s="2"/>
      <c r="M7" s="2" t="s">
        <v>9</v>
      </c>
      <c r="N7" s="2" t="s">
        <v>9</v>
      </c>
      <c r="P7" s="2" t="s">
        <v>11</v>
      </c>
      <c r="Q7" s="2" t="s">
        <v>12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13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14</v>
      </c>
      <c r="M8" s="2" t="s">
        <v>9</v>
      </c>
      <c r="N8" s="2" t="s">
        <v>9</v>
      </c>
      <c r="P8" s="2" t="s">
        <v>9</v>
      </c>
      <c r="Q8" s="2" t="s">
        <v>9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9</v>
      </c>
      <c r="E9" s="2" t="s">
        <v>9</v>
      </c>
      <c r="F9" s="2" t="s">
        <v>8</v>
      </c>
      <c r="G9" s="2" t="s">
        <v>8</v>
      </c>
      <c r="H9" s="2" t="s">
        <v>9</v>
      </c>
      <c r="I9" s="2" t="s">
        <v>9</v>
      </c>
      <c r="J9" s="2" t="s">
        <v>9</v>
      </c>
      <c r="K9" s="2" t="s">
        <v>9</v>
      </c>
      <c r="L9" s="2"/>
      <c r="M9" s="2"/>
      <c r="P9" s="2" t="s">
        <v>9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9</v>
      </c>
      <c r="I10" s="2"/>
      <c r="J10" s="2"/>
      <c r="K10" s="2"/>
      <c r="L10" s="2"/>
      <c r="M10" s="2" t="s">
        <v>9</v>
      </c>
      <c r="N10" s="2" t="s">
        <v>9</v>
      </c>
      <c r="O10" s="2" t="s">
        <v>9</v>
      </c>
      <c r="P10" s="2" t="s">
        <v>9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/>
      <c r="N11" t="s">
        <v>15</v>
      </c>
      <c r="O11" s="2" t="s">
        <v>16</v>
      </c>
      <c r="P11" s="2" t="s">
        <v>9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/>
      <c r="H12" s="2"/>
      <c r="I12" s="2"/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10</v>
      </c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8" sqref="P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/>
      <c r="J7" s="2"/>
      <c r="K7" s="2"/>
      <c r="L7" s="2"/>
      <c r="M7" s="2" t="s">
        <v>9</v>
      </c>
      <c r="N7" s="2" t="s">
        <v>9</v>
      </c>
      <c r="P7" s="2" t="s">
        <v>11</v>
      </c>
      <c r="Q7" s="2" t="s">
        <v>12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13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14</v>
      </c>
      <c r="M8" s="2" t="s">
        <v>9</v>
      </c>
      <c r="N8" s="2" t="s">
        <v>9</v>
      </c>
      <c r="P8" s="2" t="s">
        <v>9</v>
      </c>
      <c r="Q8" s="2" t="s">
        <v>9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9</v>
      </c>
      <c r="E9" s="2" t="s">
        <v>9</v>
      </c>
      <c r="F9" s="2" t="s">
        <v>8</v>
      </c>
      <c r="G9" s="2" t="s">
        <v>8</v>
      </c>
      <c r="H9" s="2" t="s">
        <v>9</v>
      </c>
      <c r="I9" s="2" t="s">
        <v>9</v>
      </c>
      <c r="J9" s="2" t="s">
        <v>9</v>
      </c>
      <c r="K9" s="2" t="s">
        <v>9</v>
      </c>
      <c r="L9" s="2"/>
      <c r="M9" s="2"/>
      <c r="P9" s="2" t="s">
        <v>9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9</v>
      </c>
      <c r="I10" s="2"/>
      <c r="J10" s="2"/>
      <c r="K10" s="2"/>
      <c r="L10" s="2"/>
      <c r="M10" s="2" t="s">
        <v>9</v>
      </c>
      <c r="N10" s="2" t="s">
        <v>9</v>
      </c>
      <c r="O10" s="2" t="s">
        <v>9</v>
      </c>
      <c r="P10" s="2" t="s">
        <v>9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/>
      <c r="N11" t="s">
        <v>15</v>
      </c>
      <c r="O11" s="2" t="s">
        <v>16</v>
      </c>
      <c r="P11" s="2" t="s">
        <v>9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/>
      <c r="H12" s="2"/>
      <c r="I12" s="2"/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10</v>
      </c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tabSelected="1" workbookViewId="0">
      <selection activeCell="K10" sqref="K10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51</v>
      </c>
      <c r="B2">
        <v>1</v>
      </c>
      <c r="C2">
        <v>12</v>
      </c>
      <c r="D2">
        <v>3010</v>
      </c>
      <c r="F2">
        <v>2020</v>
      </c>
      <c r="G2" t="str">
        <f>INDEX([1]Define!E:E,MATCH(F2,[1]Define!D:D))</f>
        <v>ダンジョン移動</v>
      </c>
      <c r="H2">
        <v>50</v>
      </c>
      <c r="I2">
        <v>2</v>
      </c>
      <c r="J2">
        <v>1</v>
      </c>
      <c r="K2" t="b">
        <v>0</v>
      </c>
    </row>
    <row r="3" spans="1:11">
      <c r="A3">
        <v>51</v>
      </c>
      <c r="B3">
        <v>2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52</v>
      </c>
      <c r="I3">
        <v>2</v>
      </c>
      <c r="J3">
        <v>10</v>
      </c>
      <c r="K3" t="b">
        <v>0</v>
      </c>
    </row>
    <row r="4" spans="1:11">
      <c r="A4">
        <v>51</v>
      </c>
      <c r="B4">
        <v>2</v>
      </c>
      <c r="C4">
        <v>6</v>
      </c>
      <c r="D4">
        <v>3010</v>
      </c>
      <c r="F4">
        <v>3020</v>
      </c>
      <c r="G4" t="str">
        <f>INDEX([1]Define!E:E,MATCH(F4,[1]Define!D:D))</f>
        <v>アイテム取得</v>
      </c>
      <c r="H4">
        <v>1200</v>
      </c>
      <c r="I4">
        <v>0</v>
      </c>
      <c r="J4">
        <v>0</v>
      </c>
      <c r="K4" t="b">
        <v>1</v>
      </c>
    </row>
    <row r="5" spans="1:11">
      <c r="A5">
        <v>51</v>
      </c>
      <c r="B5">
        <v>13</v>
      </c>
      <c r="C5">
        <v>9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2050</v>
      </c>
      <c r="I5">
        <v>0</v>
      </c>
      <c r="J5">
        <v>0</v>
      </c>
      <c r="K5" t="b">
        <v>1</v>
      </c>
    </row>
    <row r="6" spans="1:11">
      <c r="A6">
        <v>51</v>
      </c>
      <c r="B6">
        <v>15</v>
      </c>
      <c r="C6">
        <v>5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51</v>
      </c>
      <c r="B7">
        <v>15</v>
      </c>
      <c r="C7">
        <v>5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106</v>
      </c>
      <c r="I7">
        <v>0</v>
      </c>
      <c r="J7">
        <v>0</v>
      </c>
      <c r="K7" t="b">
        <v>1</v>
      </c>
    </row>
    <row r="8" spans="1:11">
      <c r="A8">
        <v>51</v>
      </c>
      <c r="B8">
        <v>10</v>
      </c>
      <c r="C8">
        <v>6</v>
      </c>
      <c r="D8">
        <v>3010</v>
      </c>
      <c r="F8">
        <v>0</v>
      </c>
      <c r="H8">
        <v>106</v>
      </c>
      <c r="I8">
        <v>0</v>
      </c>
      <c r="J8">
        <v>0</v>
      </c>
      <c r="K8" t="b">
        <v>1</v>
      </c>
    </row>
    <row r="9" spans="1:11">
      <c r="A9">
        <v>51</v>
      </c>
      <c r="B9">
        <v>15</v>
      </c>
      <c r="C9">
        <v>5</v>
      </c>
      <c r="D9">
        <v>3010</v>
      </c>
      <c r="F9">
        <v>1020</v>
      </c>
      <c r="G9" t="str">
        <f>INDEX([1]Define!E:E,MATCH(F9,[1]Define!D:D))</f>
        <v>エンフェリアイベント再生</v>
      </c>
      <c r="H9">
        <v>4</v>
      </c>
      <c r="I9">
        <v>1</v>
      </c>
      <c r="J9">
        <v>0</v>
      </c>
      <c r="K9" t="b">
        <v>1</v>
      </c>
    </row>
    <row r="10" spans="1:11">
      <c r="A10">
        <v>51</v>
      </c>
      <c r="B10">
        <v>15</v>
      </c>
      <c r="C10">
        <v>5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1</v>
      </c>
    </row>
    <row r="11" spans="1:11">
      <c r="A11">
        <v>51</v>
      </c>
      <c r="B11">
        <v>12</v>
      </c>
      <c r="C11">
        <v>9</v>
      </c>
      <c r="D11">
        <v>3010</v>
      </c>
      <c r="F11">
        <v>7010</v>
      </c>
      <c r="G11" t="str">
        <f>INDEX([1]Define!E:E,MATCH(F11,[1]Define!D:D))</f>
        <v>ダメージ床</v>
      </c>
      <c r="H11">
        <v>20</v>
      </c>
      <c r="I11">
        <v>0</v>
      </c>
      <c r="J11">
        <v>0</v>
      </c>
      <c r="K11" t="b">
        <v>0</v>
      </c>
    </row>
    <row r="12" spans="1:11">
      <c r="A12">
        <v>51</v>
      </c>
      <c r="B12">
        <v>14</v>
      </c>
      <c r="C12">
        <v>5</v>
      </c>
      <c r="D12">
        <v>3010</v>
      </c>
      <c r="F12">
        <v>5010</v>
      </c>
      <c r="G12" t="str">
        <f>INDEX([1]Define!E:E,MATCH(F12,[1]Define!D:D))</f>
        <v>強制戦闘</v>
      </c>
      <c r="H12">
        <v>-1</v>
      </c>
      <c r="I12">
        <v>40020</v>
      </c>
      <c r="J12">
        <v>2</v>
      </c>
      <c r="K12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