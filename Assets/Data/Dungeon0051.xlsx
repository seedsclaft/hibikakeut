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<sst xmlns="http://schemas.openxmlformats.org/spreadsheetml/2006/main" count="429" uniqueCount="26">
  <si>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</si>
  <si>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</si>
  <si>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</si>
  <si>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</si>
  <si>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</si>
  <si>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</si>
  <si>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</si>
  <si>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</si>
  <si>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</si>
  <si>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</si>
  <si>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</si>
  <si>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</si>
  <si>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Mg</t>
  </si>
  <si>
    <t>Tr:D2</t>
  </si>
  <si>
    <t>Dr</t>
  </si>
  <si>
    <t>Dm</t>
  </si>
  <si>
    <t>Ar:D3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</si>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</sst>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9" fillId="2" borderId="8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9" fillId="8" borderId="5" applyNumberForma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51</v>
      </c>
      <c r="B2">
        <v>51</v>
      </c>
      <c r="C2">
        <v>1</v>
      </c>
      <c r="D2">
        <v>18</v>
      </c>
      <c r="E2">
        <v>18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8" sqref="P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/>
      <c r="J7" s="2"/>
      <c r="K7" s="2"/>
      <c r="L7" s="2"/>
      <c r="M7" s="2" t="s">
        <v>9</v>
      </c>
      <c r="N7" s="2" t="s">
        <v>9</v>
      </c>
      <c r="P7" s="2" t="s">
        <v>11</v>
      </c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13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14</v>
      </c>
      <c r="M8" s="2" t="s">
        <v>9</v>
      </c>
      <c r="N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8</v>
      </c>
      <c r="G9" s="2" t="s">
        <v>8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/>
      <c r="P9" s="2" t="s">
        <v>9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9</v>
      </c>
      <c r="I10" s="2"/>
      <c r="J10" s="2"/>
      <c r="K10" s="2"/>
      <c r="L10" s="2"/>
      <c r="M10" s="2" t="s">
        <v>9</v>
      </c>
      <c r="N10" s="2" t="s">
        <v>9</v>
      </c>
      <c r="O10" s="2" t="s">
        <v>9</v>
      </c>
      <c r="P10" s="2" t="s">
        <v>9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/>
      <c r="N11" t="s">
        <v>15</v>
      </c>
      <c r="O11" s="2" t="s">
        <v>16</v>
      </c>
      <c r="P11" s="2" t="s">
        <v>9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/>
      <c r="H12" s="2"/>
      <c r="I12" s="2"/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10</v>
      </c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8" sqref="P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/>
      <c r="J7" s="2"/>
      <c r="K7" s="2"/>
      <c r="L7" s="2"/>
      <c r="M7" s="2" t="s">
        <v>9</v>
      </c>
      <c r="N7" s="2" t="s">
        <v>9</v>
      </c>
      <c r="P7" s="2" t="s">
        <v>11</v>
      </c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13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14</v>
      </c>
      <c r="M8" s="2" t="s">
        <v>9</v>
      </c>
      <c r="N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8</v>
      </c>
      <c r="G9" s="2" t="s">
        <v>8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/>
      <c r="P9" s="2" t="s">
        <v>9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9</v>
      </c>
      <c r="I10" s="2"/>
      <c r="J10" s="2"/>
      <c r="K10" s="2"/>
      <c r="L10" s="2"/>
      <c r="M10" s="2" t="s">
        <v>9</v>
      </c>
      <c r="N10" s="2" t="s">
        <v>9</v>
      </c>
      <c r="O10" s="2" t="s">
        <v>9</v>
      </c>
      <c r="P10" s="2" t="s">
        <v>9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/>
      <c r="N11" t="s">
        <v>15</v>
      </c>
      <c r="O11" s="2" t="s">
        <v>16</v>
      </c>
      <c r="P11" s="2" t="s">
        <v>9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/>
      <c r="H12" s="2"/>
      <c r="I12" s="2"/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10</v>
      </c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A2" sqref="$A2:$XFD11"/>
    </sheetView>
  </sheetViews>
  <sheetFormatPr defaultColWidth="8.72727272727273" defaultRowHeight="13"/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51</v>
      </c>
      <c r="B2">
        <v>1</v>
      </c>
      <c r="C2">
        <v>12</v>
      </c>
      <c r="D2">
        <v>3010</v>
      </c>
      <c r="F2">
        <v>2020</v>
      </c>
      <c r="G2" t="str">
        <f>INDEX([1]Define!E:E,MATCH(F2,[1]Define!D:D))</f>
        <v>ダンジョン移動</v>
      </c>
      <c r="H2">
        <v>50</v>
      </c>
      <c r="I2">
        <v>2</v>
      </c>
      <c r="J2">
        <v>1</v>
      </c>
      <c r="K2" t="b">
        <v>0</v>
      </c>
    </row>
    <row r="3" spans="1:11">
      <c r="A3">
        <v>51</v>
      </c>
      <c r="B3">
        <v>2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52</v>
      </c>
      <c r="I3">
        <v>2</v>
      </c>
      <c r="J3">
        <v>10</v>
      </c>
      <c r="K3" t="b">
        <v>0</v>
      </c>
    </row>
    <row r="4" spans="1:11">
      <c r="A4">
        <v>51</v>
      </c>
      <c r="B4">
        <v>2</v>
      </c>
      <c r="C4">
        <v>6</v>
      </c>
      <c r="D4">
        <v>3010</v>
      </c>
      <c r="F4">
        <v>3020</v>
      </c>
      <c r="G4" t="str">
        <f>INDEX([1]Define!E:E,MATCH(F4,[1]Define!D:D))</f>
        <v>アイテム取得</v>
      </c>
      <c r="H4">
        <v>1200</v>
      </c>
      <c r="I4">
        <v>0</v>
      </c>
      <c r="J4">
        <v>0</v>
      </c>
      <c r="K4" t="b">
        <v>1</v>
      </c>
    </row>
    <row r="5" spans="1:11">
      <c r="A5">
        <v>51</v>
      </c>
      <c r="B5">
        <v>13</v>
      </c>
      <c r="C5">
        <v>9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2050</v>
      </c>
      <c r="I5">
        <v>0</v>
      </c>
      <c r="J5">
        <v>0</v>
      </c>
      <c r="K5" t="b">
        <v>1</v>
      </c>
    </row>
    <row r="6" spans="1:11">
      <c r="A6">
        <v>51</v>
      </c>
      <c r="B6">
        <v>15</v>
      </c>
      <c r="C6">
        <v>5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51</v>
      </c>
      <c r="B7">
        <v>15</v>
      </c>
      <c r="C7">
        <v>5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106</v>
      </c>
      <c r="I7">
        <v>0</v>
      </c>
      <c r="J7">
        <v>0</v>
      </c>
      <c r="K7" t="b">
        <v>1</v>
      </c>
    </row>
    <row r="8" spans="1:11">
      <c r="A8">
        <v>51</v>
      </c>
      <c r="B8">
        <v>10</v>
      </c>
      <c r="C8">
        <v>6</v>
      </c>
      <c r="D8">
        <v>3010</v>
      </c>
      <c r="F8">
        <v>0</v>
      </c>
      <c r="H8">
        <v>106</v>
      </c>
      <c r="I8">
        <v>0</v>
      </c>
      <c r="J8">
        <v>0</v>
      </c>
      <c r="K8" t="b">
        <v>1</v>
      </c>
    </row>
    <row r="9" spans="1:11">
      <c r="A9">
        <v>51</v>
      </c>
      <c r="B9">
        <v>15</v>
      </c>
      <c r="C9">
        <v>5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51</v>
      </c>
      <c r="B10">
        <v>12</v>
      </c>
      <c r="C10">
        <v>9</v>
      </c>
      <c r="D10">
        <v>3010</v>
      </c>
      <c r="F10">
        <v>7010</v>
      </c>
      <c r="G10" t="str">
        <f>INDEX([1]Define!E:E,MATCH(F10,[1]Define!D:D))</f>
        <v>ダメージ床</v>
      </c>
      <c r="H10">
        <v>20</v>
      </c>
      <c r="I10">
        <v>0</v>
      </c>
      <c r="J10">
        <v>0</v>
      </c>
      <c r="K10" t="b">
        <v>0</v>
      </c>
    </row>
    <row r="11" spans="1:11">
      <c r="A11">
        <v>51</v>
      </c>
      <c r="B11">
        <v>14</v>
      </c>
      <c r="C11">
        <v>5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40020</v>
      </c>
      <c r="J11">
        <v>2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