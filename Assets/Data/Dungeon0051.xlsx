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<sst xmlns="http://schemas.openxmlformats.org/spreadsheetml/2006/main" count="370" uniqueCount="30">
  <si>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</si>
  <si>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</si>
  <si>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</si>
  <si>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</si>
  <si>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</si>
  <si>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</si>
  <si>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</si>
  <si>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</si>
  <si>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</si>
  <si>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</si>
  <si>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</si>
  <si>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Tr:D4</t>
  </si>
  <si>
    <t>No</t>
  </si>
  <si>
    <t>Tr:D1</t>
  </si>
  <si>
    <t>Mg</t>
  </si>
  <si>
    <t>Dm</t>
  </si>
  <si>
    <t>Ar:D3</t>
  </si>
  <si>
    <t>Ba</t>
  </si>
  <si>
    <t>②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</si>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</sst>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5" fillId="24" borderId="6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9" fillId="24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51</v>
      </c>
      <c r="B2">
        <v>51</v>
      </c>
      <c r="C2">
        <v>1</v>
      </c>
      <c r="D2">
        <v>14</v>
      </c>
      <c r="E2">
        <v>14</v>
      </c>
      <c r="F2">
        <v>4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12</v>
      </c>
      <c r="M6" s="2"/>
      <c r="N6" s="2"/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/>
      <c r="E11" s="2" t="s">
        <v>12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17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6" sqref="N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18</v>
      </c>
      <c r="M6" s="2" t="s">
        <v>18</v>
      </c>
      <c r="N6" s="2" t="s">
        <v>18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19</v>
      </c>
      <c r="D11" s="2" t="s">
        <v>19</v>
      </c>
      <c r="E11" s="2" t="s">
        <v>19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20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10" zoomScaleNormal="110" workbookViewId="0">
      <selection activeCell="H5" sqref="H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51</v>
      </c>
      <c r="B2">
        <v>4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50</v>
      </c>
      <c r="I2">
        <v>4</v>
      </c>
      <c r="J2">
        <v>12</v>
      </c>
      <c r="K2" t="b">
        <v>0</v>
      </c>
    </row>
    <row r="3" spans="1:11">
      <c r="A3">
        <v>51</v>
      </c>
      <c r="B3">
        <v>4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52</v>
      </c>
      <c r="I3">
        <v>4</v>
      </c>
      <c r="J3">
        <v>1</v>
      </c>
      <c r="K3" t="b">
        <v>0</v>
      </c>
    </row>
    <row r="4" spans="1:11">
      <c r="A4">
        <v>51</v>
      </c>
      <c r="B4">
        <v>9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4310</v>
      </c>
      <c r="I4">
        <v>0</v>
      </c>
      <c r="J4">
        <v>0</v>
      </c>
      <c r="K4" t="b">
        <v>1</v>
      </c>
    </row>
    <row r="5" spans="1:11">
      <c r="A5">
        <v>51</v>
      </c>
      <c r="B5">
        <v>1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4030</v>
      </c>
      <c r="I5">
        <v>0</v>
      </c>
      <c r="J5">
        <v>0</v>
      </c>
      <c r="K5" t="b">
        <v>1</v>
      </c>
    </row>
    <row r="6" spans="1:11">
      <c r="A6">
        <v>51</v>
      </c>
      <c r="B6">
        <v>12</v>
      </c>
      <c r="C6">
        <v>9</v>
      </c>
      <c r="D6">
        <v>3010</v>
      </c>
      <c r="F6">
        <v>3010</v>
      </c>
      <c r="G6" t="str">
        <f>INDEX([1]Define!E:E,MATCH(F6,[1]Define!D:D))</f>
        <v>アーティファクト取得</v>
      </c>
      <c r="H6">
        <v>2050</v>
      </c>
      <c r="I6">
        <v>0</v>
      </c>
      <c r="J6">
        <v>0</v>
      </c>
      <c r="K6" t="b">
        <v>1</v>
      </c>
    </row>
    <row r="7" spans="1:11">
      <c r="A7">
        <v>51</v>
      </c>
      <c r="B7">
        <v>6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51</v>
      </c>
      <c r="B8">
        <v>6</v>
      </c>
      <c r="C8">
        <v>4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4</v>
      </c>
      <c r="I8">
        <v>1</v>
      </c>
      <c r="J8">
        <v>0</v>
      </c>
      <c r="K8" t="b">
        <v>1</v>
      </c>
    </row>
    <row r="9" spans="1:11">
      <c r="A9">
        <v>51</v>
      </c>
      <c r="B9">
        <v>6</v>
      </c>
      <c r="C9">
        <v>4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51</v>
      </c>
      <c r="B10">
        <v>11</v>
      </c>
      <c r="C10">
        <v>9</v>
      </c>
      <c r="D10">
        <v>3010</v>
      </c>
      <c r="F10">
        <v>7010</v>
      </c>
      <c r="G10" t="str">
        <f>INDEX([1]Define!E:E,MATCH(F10,[1]Define!D:D))</f>
        <v>ダメージ床</v>
      </c>
      <c r="H10">
        <v>20</v>
      </c>
      <c r="I10">
        <v>0</v>
      </c>
      <c r="J10">
        <v>0</v>
      </c>
      <c r="K10" t="b">
        <v>0</v>
      </c>
    </row>
    <row r="11" spans="1:11">
      <c r="A11">
        <v>51</v>
      </c>
      <c r="B11">
        <v>14</v>
      </c>
      <c r="C11">
        <v>5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40020</v>
      </c>
      <c r="J11">
        <v>2</v>
      </c>
      <c r="K11" t="b">
        <v>1</v>
      </c>
    </row>
    <row r="12" spans="1:11">
      <c r="A12">
        <v>51</v>
      </c>
      <c r="B12">
        <v>9</v>
      </c>
      <c r="C12">
        <v>10</v>
      </c>
      <c r="D12">
        <v>3010</v>
      </c>
      <c r="F12">
        <v>1010</v>
      </c>
      <c r="G12" t="str">
        <f>INDEX([1]Define!E:E,MATCH(F12,[1]Define!D:D))</f>
        <v>Adv再生</v>
      </c>
      <c r="H12">
        <v>1070</v>
      </c>
      <c r="I12">
        <v>0</v>
      </c>
      <c r="J12">
        <v>0</v>
      </c>
      <c r="K12" t="b">
        <v>1</v>
      </c>
    </row>
    <row r="13" spans="1:11">
      <c r="A13">
        <v>51</v>
      </c>
      <c r="B13">
        <v>9</v>
      </c>
      <c r="C13">
        <v>10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912</v>
      </c>
      <c r="I13">
        <v>0</v>
      </c>
      <c r="J13">
        <v>0</v>
      </c>
      <c r="K13" t="b">
        <v>1</v>
      </c>
    </row>
    <row r="14" spans="1:11">
      <c r="A14">
        <v>51</v>
      </c>
      <c r="B14">
        <v>9</v>
      </c>
      <c r="C14">
        <v>12</v>
      </c>
      <c r="D14">
        <v>3010</v>
      </c>
      <c r="F14">
        <v>0</v>
      </c>
      <c r="G14" t="str">
        <f>INDEX([1]Define!E:E,MATCH(F14,[1]Define!D:D))</f>
        <v>なし</v>
      </c>
      <c r="H14">
        <v>912</v>
      </c>
      <c r="I14">
        <v>0</v>
      </c>
      <c r="J14">
        <v>0</v>
      </c>
      <c r="K14" t="b">
        <v>1</v>
      </c>
    </row>
    <row r="15" spans="1:11">
      <c r="A15">
        <v>51</v>
      </c>
      <c r="B15">
        <v>9</v>
      </c>
      <c r="C15">
        <v>10</v>
      </c>
      <c r="D15">
        <v>3010</v>
      </c>
      <c r="F15">
        <v>5010</v>
      </c>
      <c r="G15" t="str">
        <f>INDEX([1]Define!E:E,MATCH(F15,[1]Define!D:D))</f>
        <v>強制戦闘</v>
      </c>
      <c r="H15">
        <v>-1</v>
      </c>
      <c r="I15">
        <v>0</v>
      </c>
      <c r="J15">
        <v>0</v>
      </c>
      <c r="K15" t="b">
        <v>1</v>
      </c>
    </row>
    <row r="16" spans="1:11">
      <c r="A16">
        <v>51</v>
      </c>
      <c r="B16">
        <v>3</v>
      </c>
      <c r="C16">
        <v>9</v>
      </c>
      <c r="D16">
        <v>3010</v>
      </c>
      <c r="F16">
        <v>8010</v>
      </c>
      <c r="G16" t="str">
        <f>INDEX([1]Define!E:E,MATCH(F16,[1]Define!D:D))</f>
        <v>指定リージョンを開示する</v>
      </c>
      <c r="H16">
        <v>1</v>
      </c>
      <c r="I16">
        <v>0</v>
      </c>
      <c r="J16">
        <v>0</v>
      </c>
      <c r="K16" t="b">
        <v>0</v>
      </c>
    </row>
    <row r="17" spans="1:11">
      <c r="A17">
        <v>51</v>
      </c>
      <c r="B17">
        <v>10</v>
      </c>
      <c r="C17">
        <v>4</v>
      </c>
      <c r="D17">
        <v>3010</v>
      </c>
      <c r="F17">
        <v>8010</v>
      </c>
      <c r="G17" t="str">
        <f>INDEX([1]Define!E:E,MATCH(F17,[1]Define!D:D))</f>
        <v>指定リージョンを開示する</v>
      </c>
      <c r="H17">
        <v>2</v>
      </c>
      <c r="I17">
        <v>0</v>
      </c>
      <c r="J17">
        <v>0</v>
      </c>
      <c r="K17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2026-10-04T15:36:18Z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