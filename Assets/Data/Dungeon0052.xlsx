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<sst xmlns="http://schemas.openxmlformats.org/spreadsheetml/2006/main" count="443" uniqueCount="23">
  <si>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</si>
  <si>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</si>
  <si>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</si>
  <si>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</si>
  <si>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</si>
  <si>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</si>
  <si>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</si>
  <si>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</si>
  <si>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</si>
  <si>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</si>
  <si>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Ev</t>
  </si>
  <si>
    <t>Ba</t>
  </si>
  <si>
    <t>Mv</t>
  </si>
  <si>
    <t>Dm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</si>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</sst>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8" fillId="16" borderId="8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16" borderId="3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: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52</v>
      </c>
      <c r="B2">
        <v>52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8" sqref="K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 t="s">
        <v>10</v>
      </c>
      <c r="H7" s="2"/>
      <c r="I7" s="2" t="s">
        <v>11</v>
      </c>
      <c r="J7" s="2"/>
      <c r="K7" s="2" t="s">
        <v>11</v>
      </c>
      <c r="L7" s="2"/>
      <c r="M7" s="2"/>
      <c r="N7" s="2"/>
      <c r="O7" s="2"/>
      <c r="P7" s="2"/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 t="s">
        <v>9</v>
      </c>
      <c r="F10" s="2" t="s">
        <v>9</v>
      </c>
      <c r="G10" s="2"/>
      <c r="H10" s="2" t="s">
        <v>9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/>
      <c r="E11" s="2" t="s">
        <v>9</v>
      </c>
      <c r="F11" s="2" t="s">
        <v>9</v>
      </c>
      <c r="G11" s="2" t="s">
        <v>13</v>
      </c>
      <c r="H11" s="2" t="s">
        <v>9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12</v>
      </c>
      <c r="E12" s="2" t="s">
        <v>9</v>
      </c>
      <c r="F12" s="2" t="s">
        <v>9</v>
      </c>
      <c r="G12" s="2"/>
      <c r="H12" s="2"/>
      <c r="I12" s="2"/>
      <c r="J12" s="2" t="s">
        <v>13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8" sqref="K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 t="s">
        <v>10</v>
      </c>
      <c r="H7" s="2"/>
      <c r="I7" s="2" t="s">
        <v>11</v>
      </c>
      <c r="J7" s="2"/>
      <c r="K7" s="2" t="s">
        <v>11</v>
      </c>
      <c r="L7" s="2"/>
      <c r="M7" s="2"/>
      <c r="N7" s="2"/>
      <c r="O7" s="2"/>
      <c r="P7" s="2"/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/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 t="s">
        <v>9</v>
      </c>
      <c r="F10" s="2" t="s">
        <v>9</v>
      </c>
      <c r="G10" s="2"/>
      <c r="H10" s="2" t="s">
        <v>9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/>
      <c r="E11" s="2" t="s">
        <v>9</v>
      </c>
      <c r="F11" s="2" t="s">
        <v>9</v>
      </c>
      <c r="G11" s="2" t="s">
        <v>13</v>
      </c>
      <c r="H11" s="2" t="s">
        <v>9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12</v>
      </c>
      <c r="E12" s="2" t="s">
        <v>9</v>
      </c>
      <c r="F12" s="2" t="s">
        <v>9</v>
      </c>
      <c r="G12" s="2"/>
      <c r="H12" s="2"/>
      <c r="I12" s="2"/>
      <c r="J12" s="2" t="s">
        <v>13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K9" sqref="K9"/>
    </sheetView>
  </sheetViews>
  <sheetFormatPr defaultColWidth="8.72727272727273" defaultRowHeight="13"/>
  <cols>
    <col min="7" max="7" width="16.7272727272727" customWidth="1"/>
  </cols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52</v>
      </c>
      <c r="B2">
        <v>2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51</v>
      </c>
      <c r="I2">
        <v>2</v>
      </c>
      <c r="J2">
        <v>1</v>
      </c>
      <c r="K2" t="b">
        <v>0</v>
      </c>
    </row>
    <row r="3" spans="1:11">
      <c r="A3">
        <v>52</v>
      </c>
      <c r="B3">
        <v>15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53</v>
      </c>
      <c r="I3">
        <v>4</v>
      </c>
      <c r="J3">
        <v>11</v>
      </c>
      <c r="K3" t="b">
        <v>0</v>
      </c>
    </row>
    <row r="4" spans="1:11">
      <c r="A4">
        <v>52</v>
      </c>
      <c r="B4">
        <v>5</v>
      </c>
      <c r="C4">
        <v>9</v>
      </c>
      <c r="D4">
        <v>3010</v>
      </c>
      <c r="F4">
        <v>7010</v>
      </c>
      <c r="G4" t="str">
        <f>INDEX([1]Define!E:E,MATCH(F4,[1]Define!D:D))</f>
        <v>ダメージ床</v>
      </c>
      <c r="H4">
        <v>20</v>
      </c>
      <c r="I4">
        <v>0</v>
      </c>
      <c r="J4">
        <v>0</v>
      </c>
      <c r="K4" t="b">
        <v>0</v>
      </c>
    </row>
    <row r="5" spans="1:11">
      <c r="A5">
        <v>52</v>
      </c>
      <c r="B5">
        <v>8</v>
      </c>
      <c r="C5">
        <v>10</v>
      </c>
      <c r="D5">
        <v>3010</v>
      </c>
      <c r="F5">
        <v>7010</v>
      </c>
      <c r="G5" t="str">
        <f>INDEX([1]Define!E:E,MATCH(F5,[1]Define!D:D))</f>
        <v>ダメージ床</v>
      </c>
      <c r="H5">
        <v>20</v>
      </c>
      <c r="I5">
        <v>0</v>
      </c>
      <c r="J5">
        <v>0</v>
      </c>
      <c r="K5" t="b">
        <v>0</v>
      </c>
    </row>
    <row r="6" spans="1:11">
      <c r="A6">
        <v>52</v>
      </c>
      <c r="B6">
        <v>7</v>
      </c>
      <c r="C6">
        <v>5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40020</v>
      </c>
      <c r="J6">
        <v>2</v>
      </c>
      <c r="K6" t="b">
        <v>1</v>
      </c>
    </row>
    <row r="7" spans="1:11">
      <c r="A7">
        <v>52</v>
      </c>
      <c r="B7">
        <v>9</v>
      </c>
      <c r="C7">
        <v>5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40020</v>
      </c>
      <c r="J7">
        <v>2</v>
      </c>
      <c r="K7" t="b">
        <v>1</v>
      </c>
    </row>
    <row r="8" spans="1:11">
      <c r="A8">
        <v>52</v>
      </c>
      <c r="B8">
        <v>5</v>
      </c>
      <c r="C8">
        <v>5</v>
      </c>
      <c r="D8">
        <v>3010</v>
      </c>
      <c r="F8">
        <v>1010</v>
      </c>
      <c r="G8" t="str">
        <f>INDEX([1]Define!E:E,MATCH(F8,[1]Define!D:D))</f>
        <v>Adv再生</v>
      </c>
      <c r="H8">
        <v>1060</v>
      </c>
      <c r="I8">
        <v>0</v>
      </c>
      <c r="J8">
        <v>0</v>
      </c>
      <c r="K8" t="b">
        <v>1</v>
      </c>
    </row>
    <row r="9" spans="1:11">
      <c r="A9">
        <v>52</v>
      </c>
      <c r="B9">
        <v>5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