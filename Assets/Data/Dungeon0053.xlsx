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<sst xmlns="http://schemas.openxmlformats.org/spreadsheetml/2006/main" count="449" uniqueCount="24">
  <si>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</si>
  <si>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</si>
  <si>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</si>
  <si>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</si>
  <si>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</si>
  <si>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</si>
  <si>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</si>
  <si>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</si>
  <si>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</si>
  <si>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</si>
  <si>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Un</t>
  </si>
  <si>
    <t>Tr:D3</t>
  </si>
  <si>
    <t>Dm</t>
  </si>
  <si>
    <t>Mv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</si>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</sst>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0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9" fillId="9" borderId="3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8" fillId="8" borderId="2" applyNumberForma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3" sqref="E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53</v>
      </c>
      <c r="B2">
        <v>53</v>
      </c>
      <c r="C2">
        <v>1</v>
      </c>
      <c r="D2">
        <v>18</v>
      </c>
      <c r="E2">
        <v>18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D12" sqref="D12:D1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 t="s">
        <v>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/>
      <c r="K5" s="2" t="s">
        <v>10</v>
      </c>
      <c r="L5" s="2"/>
      <c r="M5" s="2"/>
      <c r="N5" s="2"/>
      <c r="O5" s="2"/>
      <c r="P5" s="2"/>
      <c r="Q5" s="2" t="s">
        <v>11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 t="s">
        <v>9</v>
      </c>
      <c r="M6" s="2" t="s">
        <v>9</v>
      </c>
      <c r="N6" s="2" t="s">
        <v>9</v>
      </c>
      <c r="O6" s="2"/>
      <c r="P6" s="2" t="s">
        <v>12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 t="s">
        <v>13</v>
      </c>
      <c r="K7" s="2" t="s">
        <v>9</v>
      </c>
      <c r="L7" s="2" t="s">
        <v>9</v>
      </c>
      <c r="M7" s="2" t="s">
        <v>9</v>
      </c>
      <c r="N7" s="2" t="s">
        <v>9</v>
      </c>
      <c r="O7" s="2"/>
      <c r="P7" s="2"/>
      <c r="Q7" s="2" t="s">
        <v>12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12</v>
      </c>
      <c r="P8" s="2"/>
      <c r="Q8" s="2"/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9</v>
      </c>
      <c r="J9" s="2" t="s">
        <v>9</v>
      </c>
      <c r="K9" s="2" t="s">
        <v>9</v>
      </c>
      <c r="L9" s="2"/>
      <c r="M9" s="2"/>
      <c r="N9" s="2"/>
      <c r="O9" s="2"/>
      <c r="P9" s="2" t="s">
        <v>12</v>
      </c>
      <c r="Q9" s="2"/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9</v>
      </c>
      <c r="O10" s="2"/>
      <c r="P10" s="2"/>
      <c r="Q10" s="2"/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13</v>
      </c>
      <c r="G13" s="2"/>
      <c r="H13" s="2"/>
      <c r="I13" s="2"/>
      <c r="J13" s="2"/>
      <c r="K13" s="2"/>
      <c r="L13" s="2"/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O9" sqref="O9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 t="s">
        <v>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J5" s="2"/>
      <c r="K5" s="2" t="s">
        <v>10</v>
      </c>
      <c r="L5" s="2"/>
      <c r="M5" s="2"/>
      <c r="N5" s="2"/>
      <c r="O5" s="2" t="s">
        <v>14</v>
      </c>
      <c r="P5" s="2" t="s">
        <v>14</v>
      </c>
      <c r="Q5" s="2" t="s">
        <v>11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 t="s">
        <v>9</v>
      </c>
      <c r="M6" s="2" t="s">
        <v>9</v>
      </c>
      <c r="N6" s="2" t="s">
        <v>9</v>
      </c>
      <c r="O6" s="2" t="s">
        <v>14</v>
      </c>
      <c r="P6" s="2" t="s">
        <v>14</v>
      </c>
      <c r="Q6" s="2" t="s">
        <v>9</v>
      </c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 t="s">
        <v>13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14</v>
      </c>
      <c r="P7" s="2" t="s">
        <v>14</v>
      </c>
      <c r="Q7" s="2" t="s">
        <v>14</v>
      </c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14</v>
      </c>
      <c r="P8" s="2" t="s">
        <v>14</v>
      </c>
      <c r="Q8" s="2" t="s">
        <v>14</v>
      </c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9</v>
      </c>
      <c r="J9" s="2" t="s">
        <v>9</v>
      </c>
      <c r="K9" s="2" t="s">
        <v>9</v>
      </c>
      <c r="L9" s="2"/>
      <c r="M9" s="2"/>
      <c r="N9" s="2"/>
      <c r="O9" s="2" t="s">
        <v>14</v>
      </c>
      <c r="P9" s="2" t="s">
        <v>14</v>
      </c>
      <c r="Q9" s="2" t="s">
        <v>14</v>
      </c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9</v>
      </c>
      <c r="J10" s="2" t="s">
        <v>9</v>
      </c>
      <c r="K10" s="2" t="s">
        <v>9</v>
      </c>
      <c r="L10" s="2"/>
      <c r="M10" s="2" t="s">
        <v>9</v>
      </c>
      <c r="N10" s="2" t="s">
        <v>9</v>
      </c>
      <c r="O10" s="2" t="s">
        <v>14</v>
      </c>
      <c r="P10" s="2" t="s">
        <v>14</v>
      </c>
      <c r="Q10" s="2" t="s">
        <v>14</v>
      </c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9</v>
      </c>
      <c r="J11" s="2" t="s">
        <v>9</v>
      </c>
      <c r="K11" s="2" t="s">
        <v>9</v>
      </c>
      <c r="L11" s="2"/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/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13</v>
      </c>
      <c r="G13" s="2"/>
      <c r="H13" s="2"/>
      <c r="I13" s="2"/>
      <c r="J13" s="2"/>
      <c r="K13" s="2"/>
      <c r="L13" s="2"/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A2" sqref="$A2:$XFD11"/>
    </sheetView>
  </sheetViews>
  <sheetFormatPr defaultColWidth="8.72727272727273" defaultRowHeight="13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53</v>
      </c>
      <c r="B2">
        <v>4</v>
      </c>
      <c r="C2">
        <v>11</v>
      </c>
      <c r="D2">
        <v>3010</v>
      </c>
      <c r="F2">
        <v>2020</v>
      </c>
      <c r="G2" t="str">
        <f>INDEX([1]Define!E:E,MATCH(F2,[1]Define!D:D))</f>
        <v>ダンジョン移動</v>
      </c>
      <c r="H2">
        <v>52</v>
      </c>
      <c r="I2">
        <v>15</v>
      </c>
      <c r="J2">
        <v>5</v>
      </c>
      <c r="K2" t="b">
        <v>0</v>
      </c>
    </row>
    <row r="3" spans="1:11">
      <c r="A3">
        <v>53</v>
      </c>
      <c r="B3">
        <v>8</v>
      </c>
      <c r="C3">
        <v>5</v>
      </c>
      <c r="D3">
        <v>3010</v>
      </c>
      <c r="F3">
        <v>2020</v>
      </c>
      <c r="G3" t="str">
        <f>INDEX([1]Define!E:E,MATCH(F3,[1]Define!D:D))</f>
        <v>ダンジョン移動</v>
      </c>
      <c r="H3">
        <v>54</v>
      </c>
      <c r="I3">
        <v>8</v>
      </c>
      <c r="J3">
        <v>5</v>
      </c>
      <c r="K3" t="b">
        <v>0</v>
      </c>
    </row>
    <row r="4" spans="1:11">
      <c r="A4">
        <v>53</v>
      </c>
      <c r="B4">
        <v>15</v>
      </c>
      <c r="C4">
        <v>3</v>
      </c>
      <c r="D4">
        <v>3010</v>
      </c>
      <c r="F4">
        <v>3020</v>
      </c>
      <c r="G4" t="str">
        <f>INDEX([1]Define!E:E,MATCH(F4,[1]Define!D:D))</f>
        <v>アイテム取得</v>
      </c>
      <c r="H4">
        <v>3020</v>
      </c>
      <c r="I4">
        <v>0</v>
      </c>
      <c r="J4">
        <v>0</v>
      </c>
      <c r="K4" t="b">
        <v>1</v>
      </c>
    </row>
    <row r="5" spans="1:11">
      <c r="A5">
        <v>53</v>
      </c>
      <c r="B5">
        <v>14</v>
      </c>
      <c r="C5">
        <v>4</v>
      </c>
      <c r="D5">
        <v>3010</v>
      </c>
      <c r="F5">
        <v>7010</v>
      </c>
      <c r="G5" t="str">
        <f>INDEX([1]Define!E:E,MATCH(F5,[1]Define!D:D))</f>
        <v>ダメージ床</v>
      </c>
      <c r="H5">
        <v>20</v>
      </c>
      <c r="I5">
        <v>0</v>
      </c>
      <c r="J5">
        <v>0</v>
      </c>
      <c r="K5" t="b">
        <v>0</v>
      </c>
    </row>
    <row r="6" spans="1:11">
      <c r="A6">
        <v>53</v>
      </c>
      <c r="B6">
        <v>15</v>
      </c>
      <c r="C6">
        <v>5</v>
      </c>
      <c r="D6">
        <v>3010</v>
      </c>
      <c r="F6">
        <v>7010</v>
      </c>
      <c r="G6" t="str">
        <f>INDEX([1]Define!E:E,MATCH(F6,[1]Define!D:D))</f>
        <v>ダメージ床</v>
      </c>
      <c r="H6">
        <v>20</v>
      </c>
      <c r="I6">
        <v>0</v>
      </c>
      <c r="J6">
        <v>0</v>
      </c>
      <c r="K6" t="b">
        <v>0</v>
      </c>
    </row>
    <row r="7" spans="1:11">
      <c r="A7">
        <v>53</v>
      </c>
      <c r="B7">
        <v>13</v>
      </c>
      <c r="C7">
        <v>6</v>
      </c>
      <c r="D7">
        <v>3010</v>
      </c>
      <c r="F7">
        <v>7010</v>
      </c>
      <c r="G7" t="str">
        <f>INDEX([1]Define!E:E,MATCH(F7,[1]Define!D:D))</f>
        <v>ダメージ床</v>
      </c>
      <c r="H7">
        <v>20</v>
      </c>
      <c r="I7">
        <v>0</v>
      </c>
      <c r="J7">
        <v>0</v>
      </c>
      <c r="K7" t="b">
        <v>0</v>
      </c>
    </row>
    <row r="8" spans="1:11">
      <c r="A8">
        <v>53</v>
      </c>
      <c r="B8">
        <v>14</v>
      </c>
      <c r="C8">
        <v>7</v>
      </c>
      <c r="D8">
        <v>3010</v>
      </c>
      <c r="F8">
        <v>7010</v>
      </c>
      <c r="G8" t="str">
        <f>INDEX([1]Define!E:E,MATCH(F8,[1]Define!D:D))</f>
        <v>ダメージ床</v>
      </c>
      <c r="H8">
        <v>20</v>
      </c>
      <c r="I8">
        <v>0</v>
      </c>
      <c r="J8">
        <v>0</v>
      </c>
      <c r="K8" t="b">
        <v>0</v>
      </c>
    </row>
    <row r="9" spans="1:11">
      <c r="A9">
        <v>53</v>
      </c>
      <c r="B9">
        <v>9</v>
      </c>
      <c r="C9">
        <v>3</v>
      </c>
      <c r="D9">
        <v>3010</v>
      </c>
      <c r="F9">
        <v>2030</v>
      </c>
      <c r="G9" t="str">
        <f>INDEX([1]Define!E:E,MATCH(F9,[1]Define!D:D))</f>
        <v>ダンジョンクリア</v>
      </c>
      <c r="H9">
        <v>0</v>
      </c>
      <c r="I9">
        <v>0</v>
      </c>
      <c r="J9">
        <v>0</v>
      </c>
      <c r="K9" t="b">
        <v>1</v>
      </c>
    </row>
    <row r="10" spans="1:11">
      <c r="A10">
        <v>53</v>
      </c>
      <c r="B10">
        <v>9</v>
      </c>
      <c r="C10">
        <v>3</v>
      </c>
      <c r="D10">
        <v>3010</v>
      </c>
      <c r="F10">
        <v>5020</v>
      </c>
      <c r="G10" t="str">
        <f>INDEX([1]Define!E:E,MATCH(F10,[1]Define!D:D))</f>
        <v>強制ボス戦闘</v>
      </c>
      <c r="H10">
        <v>4010</v>
      </c>
      <c r="I10">
        <v>0</v>
      </c>
      <c r="J10">
        <v>0</v>
      </c>
      <c r="K10" t="b">
        <v>1</v>
      </c>
    </row>
    <row r="11" spans="1:11">
      <c r="A11">
        <v>53</v>
      </c>
      <c r="B11">
        <v>13</v>
      </c>
      <c r="C11">
        <v>7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1</v>
      </c>
      <c r="I11">
        <v>0</v>
      </c>
      <c r="J11">
        <v>0</v>
      </c>
      <c r="K11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