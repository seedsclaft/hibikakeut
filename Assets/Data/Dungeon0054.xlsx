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<sst xmlns="http://schemas.openxmlformats.org/spreadsheetml/2006/main" count="495" uniqueCount="25">
  <si>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</si>
  <si>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</si>
  <si>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</si>
  <si>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</si>
  <si>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</si>
  <si>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</si>
  <si>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</si>
  <si>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</si>
  <si>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</si>
  <si>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</si>
  <si>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</si>
  <si>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No</t>
  </si>
  <si>
    <t>Ar:D1</t>
  </si>
  <si>
    <t>Ar:D3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</si>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</sst>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4" fillId="3" borderId="3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C2" sqref="C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54</v>
      </c>
      <c r="B2">
        <v>54</v>
      </c>
      <c r="C2">
        <v>1</v>
      </c>
      <c r="D2">
        <v>18</v>
      </c>
      <c r="E2">
        <v>14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2" sqref="J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 t="s">
        <v>9</v>
      </c>
      <c r="K6" s="2" t="s">
        <v>9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 t="s">
        <v>8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9</v>
      </c>
      <c r="J7" s="2" t="s">
        <v>10</v>
      </c>
      <c r="K7" s="2" t="s">
        <v>9</v>
      </c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 t="s">
        <v>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9</v>
      </c>
      <c r="H8" s="2" t="s">
        <v>9</v>
      </c>
      <c r="I8" s="2" t="s">
        <v>11</v>
      </c>
      <c r="J8" s="2" t="s">
        <v>11</v>
      </c>
      <c r="K8" s="2" t="s">
        <v>11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 t="s">
        <v>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9</v>
      </c>
      <c r="H9" s="2" t="s">
        <v>12</v>
      </c>
      <c r="I9" s="2" t="s">
        <v>11</v>
      </c>
      <c r="J9" s="2" t="s">
        <v>11</v>
      </c>
      <c r="K9" s="2" t="s">
        <v>11</v>
      </c>
      <c r="L9" s="2" t="s">
        <v>13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9</v>
      </c>
      <c r="H10" s="2" t="s">
        <v>9</v>
      </c>
      <c r="I10" s="2" t="s">
        <v>11</v>
      </c>
      <c r="J10" s="2" t="s">
        <v>11</v>
      </c>
      <c r="K10" s="2" t="s">
        <v>11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9</v>
      </c>
      <c r="I11" s="2" t="s">
        <v>9</v>
      </c>
      <c r="J11" s="2" t="s">
        <v>14</v>
      </c>
      <c r="K11" s="2" t="s">
        <v>9</v>
      </c>
      <c r="L11" s="2" t="s">
        <v>9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9</v>
      </c>
      <c r="J12" s="2" t="s">
        <v>9</v>
      </c>
      <c r="K12" s="2" t="s">
        <v>9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0" sqref="J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 t="s">
        <v>9</v>
      </c>
      <c r="K6" s="2" t="s">
        <v>9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 t="s">
        <v>8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9</v>
      </c>
      <c r="J7" s="2" t="s">
        <v>10</v>
      </c>
      <c r="K7" s="2" t="s">
        <v>9</v>
      </c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 t="s">
        <v>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9</v>
      </c>
      <c r="H8" s="2" t="s">
        <v>9</v>
      </c>
      <c r="I8" s="2" t="s">
        <v>15</v>
      </c>
      <c r="J8" s="2" t="s">
        <v>15</v>
      </c>
      <c r="K8" s="2" t="s">
        <v>15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 t="s">
        <v>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9</v>
      </c>
      <c r="H9" s="2" t="s">
        <v>12</v>
      </c>
      <c r="I9" s="2" t="s">
        <v>15</v>
      </c>
      <c r="J9" s="2" t="s">
        <v>15</v>
      </c>
      <c r="K9" s="2" t="s">
        <v>15</v>
      </c>
      <c r="L9" s="2" t="s">
        <v>13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9</v>
      </c>
      <c r="H10" s="2" t="s">
        <v>9</v>
      </c>
      <c r="I10" s="2" t="s">
        <v>15</v>
      </c>
      <c r="J10" s="2" t="s">
        <v>15</v>
      </c>
      <c r="K10" s="2" t="s">
        <v>15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9</v>
      </c>
      <c r="I11" s="2" t="s">
        <v>9</v>
      </c>
      <c r="J11" s="2" t="s">
        <v>14</v>
      </c>
      <c r="K11" s="2" t="s">
        <v>9</v>
      </c>
      <c r="L11" s="2" t="s">
        <v>9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9</v>
      </c>
      <c r="J12" s="2" t="s">
        <v>9</v>
      </c>
      <c r="K12" s="2" t="s">
        <v>9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workbookViewId="0">
      <selection activeCell="A1" sqref="$A1:$XFD1"/>
    </sheetView>
  </sheetViews>
  <sheetFormatPr defaultColWidth="8.72727272727273" defaultRowHeight="13" outlineLevelRow="5"/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54</v>
      </c>
      <c r="B2">
        <v>8</v>
      </c>
      <c r="C2">
        <v>5</v>
      </c>
      <c r="D2">
        <v>3010</v>
      </c>
      <c r="F2">
        <v>2020</v>
      </c>
      <c r="G2" t="str">
        <f>INDEX([1]Define!E:E,MATCH(F2,[1]Define!D:D))</f>
        <v>ダンジョン移動</v>
      </c>
      <c r="H2">
        <v>53</v>
      </c>
      <c r="I2">
        <v>8</v>
      </c>
      <c r="J2">
        <v>5</v>
      </c>
      <c r="K2" t="b">
        <v>0</v>
      </c>
    </row>
    <row r="3" spans="1:11">
      <c r="A3">
        <v>54</v>
      </c>
      <c r="B3">
        <v>6</v>
      </c>
      <c r="C3">
        <v>7</v>
      </c>
      <c r="D3">
        <v>3010</v>
      </c>
      <c r="F3">
        <v>3010</v>
      </c>
      <c r="G3" t="str">
        <f>INDEX([1]Define!E:E,MATCH(F3,[1]Define!D:D))</f>
        <v>アーティファクト取得</v>
      </c>
      <c r="H3">
        <v>2060</v>
      </c>
      <c r="I3">
        <v>0</v>
      </c>
      <c r="J3">
        <v>0</v>
      </c>
      <c r="K3" t="b">
        <v>1</v>
      </c>
    </row>
    <row r="4" spans="1:11">
      <c r="A4">
        <v>54</v>
      </c>
      <c r="B4">
        <v>8</v>
      </c>
      <c r="C4">
        <v>9</v>
      </c>
      <c r="D4">
        <v>3010</v>
      </c>
      <c r="F4">
        <v>3010</v>
      </c>
      <c r="G4" t="str">
        <f>INDEX([1]Define!E:E,MATCH(F4,[1]Define!D:D))</f>
        <v>アーティファクト取得</v>
      </c>
      <c r="H4">
        <v>2070</v>
      </c>
      <c r="I4">
        <v>0</v>
      </c>
      <c r="J4">
        <v>0</v>
      </c>
      <c r="K4" t="b">
        <v>1</v>
      </c>
    </row>
    <row r="5" spans="1:11">
      <c r="A5">
        <v>54</v>
      </c>
      <c r="B5">
        <v>10</v>
      </c>
      <c r="C5">
        <v>7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2080</v>
      </c>
      <c r="I5">
        <v>0</v>
      </c>
      <c r="J5">
        <v>0</v>
      </c>
      <c r="K5" t="b">
        <v>1</v>
      </c>
    </row>
    <row r="6" spans="1:11">
      <c r="A6">
        <v>54</v>
      </c>
      <c r="B6">
        <v>8</v>
      </c>
      <c r="C6">
        <v>6</v>
      </c>
      <c r="D6">
        <v>3010</v>
      </c>
      <c r="F6">
        <v>8010</v>
      </c>
      <c r="G6" t="str">
        <f>INDEX([1]Define!E:E,MATCH(F6,[1]Define!D:D))</f>
        <v>指定リージョンを開示する</v>
      </c>
      <c r="H6">
        <v>1</v>
      </c>
      <c r="I6">
        <v>0</v>
      </c>
      <c r="J6">
        <v>0</v>
      </c>
      <c r="K6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