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<sst xmlns="http://schemas.openxmlformats.org/spreadsheetml/2006/main" count="453" uniqueCount="26">
  <si>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</si>
  <si>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</si>
  <si>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</si>
  <si>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</si>
  <si>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</si>
  <si>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</si>
  <si>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</si>
  <si>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</si>
  <si>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</si>
  <si>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</si>
  <si>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Ar:D4</t>
  </si>
  <si>
    <t>No</t>
  </si>
  <si>
    <t>Ar:D1</t>
  </si>
  <si>
    <t>Mg</t>
  </si>
  <si>
    <t>Mv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</si>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</sst>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16" borderId="4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C30" sqref="C30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54</v>
      </c>
      <c r="B2">
        <v>54</v>
      </c>
      <c r="C2">
        <v>1</v>
      </c>
      <c r="D2">
        <v>14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P2" sqref="P2:R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 t="s">
        <v>9</v>
      </c>
      <c r="H6" s="2" t="s">
        <v>9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 t="s">
        <v>9</v>
      </c>
      <c r="G7" s="2" t="s">
        <v>10</v>
      </c>
      <c r="H7" s="2" t="s">
        <v>9</v>
      </c>
      <c r="I7" s="2" t="s">
        <v>9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9</v>
      </c>
      <c r="E8" s="2" t="s">
        <v>9</v>
      </c>
      <c r="F8" s="2" t="s">
        <v>11</v>
      </c>
      <c r="G8" s="2" t="s">
        <v>11</v>
      </c>
      <c r="H8" s="2" t="s">
        <v>11</v>
      </c>
      <c r="I8" s="2" t="s">
        <v>9</v>
      </c>
      <c r="J8" s="2" t="s">
        <v>9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9</v>
      </c>
      <c r="E9" s="2" t="s">
        <v>12</v>
      </c>
      <c r="F9" s="2" t="s">
        <v>11</v>
      </c>
      <c r="G9" s="2" t="s">
        <v>11</v>
      </c>
      <c r="H9" s="2" t="s">
        <v>11</v>
      </c>
      <c r="I9" s="2" t="s">
        <v>13</v>
      </c>
      <c r="J9" s="2" t="s">
        <v>14</v>
      </c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9</v>
      </c>
      <c r="E10" s="2" t="s">
        <v>9</v>
      </c>
      <c r="F10" s="2" t="s">
        <v>11</v>
      </c>
      <c r="G10" s="2" t="s">
        <v>11</v>
      </c>
      <c r="H10" s="2" t="s">
        <v>11</v>
      </c>
      <c r="I10" s="2" t="s">
        <v>9</v>
      </c>
      <c r="J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15</v>
      </c>
      <c r="H11" s="2" t="s">
        <v>9</v>
      </c>
      <c r="I11" s="2" t="s">
        <v>9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 t="s">
        <v>9</v>
      </c>
      <c r="H12" s="2" t="s">
        <v>9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12" sqref="H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 t="s">
        <v>9</v>
      </c>
      <c r="H6" s="2" t="s">
        <v>9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 t="s">
        <v>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 t="s">
        <v>9</v>
      </c>
      <c r="G7" s="2" t="s">
        <v>10</v>
      </c>
      <c r="H7" s="2" t="s">
        <v>9</v>
      </c>
      <c r="I7" s="2" t="s">
        <v>9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 t="s">
        <v>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9</v>
      </c>
      <c r="E8" s="2" t="s">
        <v>9</v>
      </c>
      <c r="F8" s="2" t="s">
        <v>9</v>
      </c>
      <c r="G8" s="2" t="s">
        <v>16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 t="s">
        <v>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9</v>
      </c>
      <c r="E9" s="2" t="s">
        <v>12</v>
      </c>
      <c r="F9" s="2" t="s">
        <v>16</v>
      </c>
      <c r="G9" s="2" t="s">
        <v>16</v>
      </c>
      <c r="H9" s="2" t="s">
        <v>16</v>
      </c>
      <c r="I9" s="2" t="s">
        <v>16</v>
      </c>
      <c r="J9" s="2" t="s">
        <v>14</v>
      </c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9</v>
      </c>
      <c r="E10" s="2" t="s">
        <v>9</v>
      </c>
      <c r="F10" s="2" t="s">
        <v>16</v>
      </c>
      <c r="G10" s="2" t="s">
        <v>16</v>
      </c>
      <c r="H10" s="2" t="s">
        <v>16</v>
      </c>
      <c r="I10" s="2" t="s">
        <v>9</v>
      </c>
      <c r="J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15</v>
      </c>
      <c r="H11" s="2" t="s">
        <v>9</v>
      </c>
      <c r="I11" s="2" t="s">
        <v>9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 t="s">
        <v>9</v>
      </c>
      <c r="H12" s="2" t="s">
        <v>9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zoomScale="110" zoomScaleNormal="110" workbookViewId="0">
      <selection activeCell="C9" sqref="C9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54</v>
      </c>
      <c r="B2">
        <v>8</v>
      </c>
      <c r="C2">
        <v>7</v>
      </c>
      <c r="D2">
        <v>3010</v>
      </c>
      <c r="F2">
        <v>2020</v>
      </c>
      <c r="G2" t="str">
        <f>INDEX([1]Define!E:E,MATCH(F2,[1]Define!D:D))</f>
        <v>ダンジョン移動</v>
      </c>
      <c r="H2">
        <v>53</v>
      </c>
      <c r="I2">
        <v>8</v>
      </c>
      <c r="J2">
        <v>7</v>
      </c>
      <c r="K2" t="b">
        <v>0</v>
      </c>
    </row>
    <row r="3" spans="1:11">
      <c r="A3">
        <v>54</v>
      </c>
      <c r="B3">
        <v>3</v>
      </c>
      <c r="C3">
        <v>7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2060</v>
      </c>
      <c r="I3">
        <v>0</v>
      </c>
      <c r="J3">
        <v>0</v>
      </c>
      <c r="K3" t="b">
        <v>1</v>
      </c>
    </row>
    <row r="4" spans="1:11">
      <c r="A4">
        <v>54</v>
      </c>
      <c r="B4">
        <v>5</v>
      </c>
      <c r="C4">
        <v>5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2070</v>
      </c>
      <c r="I4">
        <v>0</v>
      </c>
      <c r="J4">
        <v>0</v>
      </c>
      <c r="K4" t="b">
        <v>1</v>
      </c>
    </row>
    <row r="5" spans="1:11">
      <c r="A5">
        <v>54</v>
      </c>
      <c r="B5">
        <v>5</v>
      </c>
      <c r="C5">
        <v>9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2080</v>
      </c>
      <c r="I5">
        <v>0</v>
      </c>
      <c r="J5">
        <v>0</v>
      </c>
      <c r="K5" t="b">
        <v>1</v>
      </c>
    </row>
    <row r="6" spans="1:11">
      <c r="A6">
        <v>54</v>
      </c>
      <c r="B6">
        <v>7</v>
      </c>
      <c r="C6">
        <v>7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54</v>
      </c>
      <c r="B7">
        <v>7</v>
      </c>
      <c r="C7">
        <v>7</v>
      </c>
      <c r="D7">
        <v>3010</v>
      </c>
      <c r="F7">
        <v>1020</v>
      </c>
      <c r="G7" t="str">
        <f>INDEX([1]Define!E:E,MATCH(F7,[1]Define!D:D))</f>
        <v>エンフェリアイベント再生</v>
      </c>
      <c r="H7">
        <v>4</v>
      </c>
      <c r="I7">
        <v>3</v>
      </c>
      <c r="J7">
        <v>0</v>
      </c>
      <c r="K7" t="b">
        <v>1</v>
      </c>
    </row>
    <row r="8" spans="1:11">
      <c r="A8">
        <v>54</v>
      </c>
      <c r="B8">
        <v>7</v>
      </c>
      <c r="C8">
        <v>7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1</v>
      </c>
    </row>
    <row r="9" spans="1:11">
      <c r="A9">
        <v>54</v>
      </c>
      <c r="B9">
        <v>7</v>
      </c>
      <c r="C9">
        <v>7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2026-10-04T08:34:31Z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