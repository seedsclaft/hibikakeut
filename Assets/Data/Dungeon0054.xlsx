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<sst xmlns="http://schemas.openxmlformats.org/spreadsheetml/2006/main" count="453" uniqueCount="26">
  <si>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</si>
  <si>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</si>
  <si>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</si>
  <si>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</si>
  <si>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</si>
  <si>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</si>
  <si>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</si>
  <si>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</si>
  <si>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</si>
  <si>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</si>
  <si>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Ar:D4</t>
  </si>
  <si>
    <t>No</t>
  </si>
  <si>
    <t>Ar:D1</t>
  </si>
  <si>
    <t>Mg</t>
  </si>
  <si>
    <t>Mv</t>
  </si>
  <si>
    <t>Ar:D2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</si>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</sst>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9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1" fillId="3" borderId="6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3" borderId="1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workbookViewId="0">
      <selection activeCell="C30" sqref="C30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54</v>
      </c>
      <c r="B2">
        <v>54</v>
      </c>
      <c r="C2">
        <v>1</v>
      </c>
      <c r="D2">
        <v>14</v>
      </c>
      <c r="E2">
        <v>14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P2" sqref="P2:R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 t="s">
        <v>9</v>
      </c>
      <c r="H6" s="2" t="s">
        <v>9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 t="s">
        <v>9</v>
      </c>
      <c r="G7" s="2" t="s">
        <v>10</v>
      </c>
      <c r="H7" s="2" t="s">
        <v>9</v>
      </c>
      <c r="I7" s="2" t="s">
        <v>9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9</v>
      </c>
      <c r="E8" s="2" t="s">
        <v>9</v>
      </c>
      <c r="F8" s="2" t="s">
        <v>11</v>
      </c>
      <c r="G8" s="2" t="s">
        <v>11</v>
      </c>
      <c r="H8" s="2" t="s">
        <v>11</v>
      </c>
      <c r="I8" s="2" t="s">
        <v>9</v>
      </c>
      <c r="J8" s="2" t="s">
        <v>9</v>
      </c>
      <c r="K8" s="2" t="s">
        <v>9</v>
      </c>
      <c r="L8" s="2" t="s">
        <v>8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9</v>
      </c>
      <c r="E9" s="2" t="s">
        <v>12</v>
      </c>
      <c r="F9" s="2" t="s">
        <v>11</v>
      </c>
      <c r="G9" s="2" t="s">
        <v>11</v>
      </c>
      <c r="H9" s="2" t="s">
        <v>11</v>
      </c>
      <c r="I9" s="2" t="s">
        <v>13</v>
      </c>
      <c r="J9" s="2" t="s">
        <v>14</v>
      </c>
      <c r="K9" s="2" t="s">
        <v>9</v>
      </c>
      <c r="L9" s="2" t="s">
        <v>8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9</v>
      </c>
      <c r="E10" s="2" t="s">
        <v>9</v>
      </c>
      <c r="F10" s="2" t="s">
        <v>11</v>
      </c>
      <c r="G10" s="2" t="s">
        <v>11</v>
      </c>
      <c r="H10" s="2" t="s">
        <v>11</v>
      </c>
      <c r="I10" s="2" t="s">
        <v>9</v>
      </c>
      <c r="J10" s="2" t="s">
        <v>9</v>
      </c>
      <c r="K10" s="2" t="s">
        <v>9</v>
      </c>
      <c r="L10" s="2" t="s">
        <v>8</v>
      </c>
      <c r="M10" s="2" t="s">
        <v>8</v>
      </c>
      <c r="N10" s="2" t="s">
        <v>8</v>
      </c>
      <c r="O10" s="2" t="s">
        <v>8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15</v>
      </c>
      <c r="H11" s="2" t="s">
        <v>9</v>
      </c>
      <c r="I11" s="2" t="s">
        <v>9</v>
      </c>
      <c r="J11" s="2" t="s">
        <v>8</v>
      </c>
      <c r="K11" s="2" t="s">
        <v>8</v>
      </c>
      <c r="L11" s="2" t="s">
        <v>8</v>
      </c>
      <c r="M11" s="2" t="s">
        <v>8</v>
      </c>
      <c r="N11" s="2" t="s">
        <v>8</v>
      </c>
      <c r="O11" s="2" t="s">
        <v>8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 t="s">
        <v>9</v>
      </c>
      <c r="H12" s="2" t="s">
        <v>9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12" sqref="H1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 t="s">
        <v>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 t="s">
        <v>9</v>
      </c>
      <c r="H6" s="2" t="s">
        <v>9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 t="s">
        <v>8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 t="s">
        <v>9</v>
      </c>
      <c r="G7" s="2" t="s">
        <v>10</v>
      </c>
      <c r="H7" s="2" t="s">
        <v>9</v>
      </c>
      <c r="I7" s="2" t="s">
        <v>9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 t="s">
        <v>8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9</v>
      </c>
      <c r="E8" s="2" t="s">
        <v>9</v>
      </c>
      <c r="F8" s="2" t="s">
        <v>9</v>
      </c>
      <c r="G8" s="2" t="s">
        <v>16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8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 t="s">
        <v>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9</v>
      </c>
      <c r="E9" s="2" t="s">
        <v>12</v>
      </c>
      <c r="F9" s="2" t="s">
        <v>16</v>
      </c>
      <c r="G9" s="2" t="s">
        <v>16</v>
      </c>
      <c r="H9" s="2" t="s">
        <v>16</v>
      </c>
      <c r="I9" s="2" t="s">
        <v>16</v>
      </c>
      <c r="J9" s="2" t="s">
        <v>14</v>
      </c>
      <c r="K9" s="2" t="s">
        <v>9</v>
      </c>
      <c r="L9" s="2" t="s">
        <v>8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 t="s">
        <v>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9</v>
      </c>
      <c r="E10" s="2" t="s">
        <v>9</v>
      </c>
      <c r="F10" s="2" t="s">
        <v>16</v>
      </c>
      <c r="G10" s="2" t="s">
        <v>16</v>
      </c>
      <c r="H10" s="2" t="s">
        <v>16</v>
      </c>
      <c r="I10" s="2" t="s">
        <v>9</v>
      </c>
      <c r="J10" s="2" t="s">
        <v>9</v>
      </c>
      <c r="K10" s="2" t="s">
        <v>9</v>
      </c>
      <c r="L10" s="2" t="s">
        <v>8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15</v>
      </c>
      <c r="H11" s="2" t="s">
        <v>9</v>
      </c>
      <c r="I11" s="2" t="s">
        <v>9</v>
      </c>
      <c r="J11" s="2" t="s">
        <v>8</v>
      </c>
      <c r="K11" s="2" t="s">
        <v>8</v>
      </c>
      <c r="L11" s="2" t="s">
        <v>8</v>
      </c>
      <c r="M11" s="2" t="s">
        <v>8</v>
      </c>
      <c r="N11" s="2" t="s">
        <v>8</v>
      </c>
      <c r="O11" s="2" t="s">
        <v>8</v>
      </c>
      <c r="P11" s="2" t="s">
        <v>8</v>
      </c>
      <c r="Q11" s="2" t="s">
        <v>8</v>
      </c>
      <c r="R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 t="s">
        <v>9</v>
      </c>
      <c r="H12" s="2" t="s">
        <v>9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zoomScale="110" zoomScaleNormal="110" workbookViewId="0">
      <selection activeCell="C9" sqref="C9"/>
    </sheetView>
  </sheetViews>
  <sheetFormatPr defaultColWidth="8.72727272727273" defaultRowHeight="13"/>
  <cols>
    <col min="7" max="7" width="24.4545454545455" customWidth="1"/>
  </cols>
  <sheetData>
    <row r="1" spans="1:11">
      <c r="A1" t="s">
        <v>0</v>
      </c>
      <c r="B1" t="s">
        <v>17</v>
      </c>
      <c r="C1" t="s">
        <v>18</v>
      </c>
      <c r="D1" t="s">
        <v>19</v>
      </c>
      <c r="E1" s="1" t="s">
        <v>20</v>
      </c>
      <c r="F1" t="s">
        <v>21</v>
      </c>
      <c r="G1" s="1" t="s">
        <v>20</v>
      </c>
      <c r="H1" t="s">
        <v>22</v>
      </c>
      <c r="I1" t="s">
        <v>23</v>
      </c>
      <c r="J1" t="s">
        <v>24</v>
      </c>
      <c r="K1" t="s">
        <v>25</v>
      </c>
    </row>
    <row r="2" spans="1:11">
      <c r="A2">
        <v>54</v>
      </c>
      <c r="B2">
        <v>8</v>
      </c>
      <c r="C2">
        <v>7</v>
      </c>
      <c r="D2">
        <v>3010</v>
      </c>
      <c r="F2">
        <v>2020</v>
      </c>
      <c r="G2" t="str">
        <f>INDEX([1]Define!E:E,MATCH(F2,[1]Define!D:D))</f>
        <v>ダンジョン移動</v>
      </c>
      <c r="H2">
        <v>53</v>
      </c>
      <c r="I2">
        <v>8</v>
      </c>
      <c r="J2">
        <v>7</v>
      </c>
      <c r="K2" t="b">
        <v>0</v>
      </c>
    </row>
    <row r="3" spans="1:11">
      <c r="A3">
        <v>54</v>
      </c>
      <c r="B3">
        <v>3</v>
      </c>
      <c r="C3">
        <v>7</v>
      </c>
      <c r="D3">
        <v>3010</v>
      </c>
      <c r="F3">
        <v>3010</v>
      </c>
      <c r="G3" t="str">
        <f>INDEX([1]Define!E:E,MATCH(F3,[1]Define!D:D))</f>
        <v>アーティファクト取得</v>
      </c>
      <c r="H3">
        <v>2060</v>
      </c>
      <c r="I3">
        <v>0</v>
      </c>
      <c r="J3">
        <v>0</v>
      </c>
      <c r="K3" t="b">
        <v>1</v>
      </c>
    </row>
    <row r="4" spans="1:11">
      <c r="A4">
        <v>54</v>
      </c>
      <c r="B4">
        <v>5</v>
      </c>
      <c r="C4">
        <v>5</v>
      </c>
      <c r="D4">
        <v>3010</v>
      </c>
      <c r="F4">
        <v>3010</v>
      </c>
      <c r="G4" t="str">
        <f>INDEX([1]Define!E:E,MATCH(F4,[1]Define!D:D))</f>
        <v>アーティファクト取得</v>
      </c>
      <c r="H4">
        <v>2070</v>
      </c>
      <c r="I4">
        <v>0</v>
      </c>
      <c r="J4">
        <v>0</v>
      </c>
      <c r="K4" t="b">
        <v>1</v>
      </c>
    </row>
    <row r="5" spans="1:11">
      <c r="A5">
        <v>54</v>
      </c>
      <c r="B5">
        <v>5</v>
      </c>
      <c r="C5">
        <v>9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2080</v>
      </c>
      <c r="I5">
        <v>0</v>
      </c>
      <c r="J5">
        <v>0</v>
      </c>
      <c r="K5" t="b">
        <v>1</v>
      </c>
    </row>
    <row r="6" spans="1:11">
      <c r="A6">
        <v>54</v>
      </c>
      <c r="B6">
        <v>7</v>
      </c>
      <c r="C6">
        <v>7</v>
      </c>
      <c r="D6">
        <v>3010</v>
      </c>
      <c r="F6">
        <v>1010</v>
      </c>
      <c r="G6" t="str">
        <f>INDEX([1]Define!E:E,MATCH(F6,[1]Define!D:D))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54</v>
      </c>
      <c r="B7">
        <v>7</v>
      </c>
      <c r="C7">
        <v>7</v>
      </c>
      <c r="D7">
        <v>3010</v>
      </c>
      <c r="F7">
        <v>1020</v>
      </c>
      <c r="G7" t="str">
        <f>INDEX([1]Define!E:E,MATCH(F7,[1]Define!D:D))</f>
        <v>エンフェリアイベント再生</v>
      </c>
      <c r="H7">
        <v>4</v>
      </c>
      <c r="I7">
        <v>3</v>
      </c>
      <c r="J7">
        <v>0</v>
      </c>
      <c r="K7" t="b">
        <v>1</v>
      </c>
    </row>
    <row r="8" spans="1:11">
      <c r="A8">
        <v>54</v>
      </c>
      <c r="B8">
        <v>7</v>
      </c>
      <c r="C8">
        <v>7</v>
      </c>
      <c r="D8">
        <v>3010</v>
      </c>
      <c r="F8">
        <v>9010</v>
      </c>
      <c r="G8" t="str">
        <f>INDEX([1]Define!E:E,MATCH(F8,[1]Define!D:D))</f>
        <v>イベント終了明示</v>
      </c>
      <c r="H8">
        <v>0</v>
      </c>
      <c r="I8">
        <v>0</v>
      </c>
      <c r="J8">
        <v>0</v>
      </c>
      <c r="K8" t="b">
        <v>1</v>
      </c>
    </row>
    <row r="9" spans="1:11">
      <c r="A9">
        <v>54</v>
      </c>
      <c r="B9">
        <v>7</v>
      </c>
      <c r="C9">
        <v>7</v>
      </c>
      <c r="D9">
        <v>3010</v>
      </c>
      <c r="F9">
        <v>8010</v>
      </c>
      <c r="G9" t="str">
        <f>INDEX([1]Define!E:E,MATCH(F9,[1]Define!D:D))</f>
        <v>指定リージョンを開示する</v>
      </c>
      <c r="H9">
        <v>1</v>
      </c>
      <c r="I9">
        <v>0</v>
      </c>
      <c r="J9">
        <v>0</v>
      </c>
      <c r="K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2026-10-04T15:36:18Z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