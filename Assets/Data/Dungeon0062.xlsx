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<sst xmlns="http://schemas.openxmlformats.org/spreadsheetml/2006/main" count="314" uniqueCount="23">
  <si>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</si>
  <si>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</si>
  <si>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</si>
  <si>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</si>
  <si>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</si>
  <si>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</si>
  <si>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</si>
  <si>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</si>
  <si>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</si>
  <si>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</si>
  <si>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Tr:D1</t>
  </si>
  <si>
    <t>Mv</t>
  </si>
  <si>
    <t>Tr:D2</t>
  </si>
  <si>
    <t>Ev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</si>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</sst>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62</v>
      </c>
      <c r="B2">
        <v>62</v>
      </c>
      <c r="C2">
        <v>1</v>
      </c>
      <c r="D2">
        <v>13</v>
      </c>
      <c r="E2">
        <v>13</v>
      </c>
      <c r="F2">
        <v>5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zoomScale="110" zoomScaleNormal="110" workbookViewId="0">
      <selection activeCell="K5" sqref="K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8</v>
      </c>
      <c r="N4" s="2" t="s">
        <v>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9</v>
      </c>
      <c r="E5" s="2"/>
      <c r="F5" s="2"/>
      <c r="G5" s="2"/>
      <c r="H5" s="2"/>
      <c r="I5" s="2"/>
      <c r="J5" s="2"/>
      <c r="K5" s="2" t="s">
        <v>10</v>
      </c>
      <c r="L5" s="2" t="s">
        <v>9</v>
      </c>
      <c r="M5" s="2" t="s">
        <v>8</v>
      </c>
      <c r="N5" s="2" t="s">
        <v>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9</v>
      </c>
      <c r="E6" s="2"/>
      <c r="F6" s="2" t="s">
        <v>9</v>
      </c>
      <c r="G6" s="2" t="s">
        <v>9</v>
      </c>
      <c r="H6" s="2" t="s">
        <v>9</v>
      </c>
      <c r="I6" s="2" t="s">
        <v>9</v>
      </c>
      <c r="J6" s="2"/>
      <c r="K6" s="2" t="s">
        <v>9</v>
      </c>
      <c r="L6" s="2" t="s">
        <v>9</v>
      </c>
      <c r="M6" s="2" t="s">
        <v>8</v>
      </c>
      <c r="N6" s="2" t="s">
        <v>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9</v>
      </c>
      <c r="D7" s="2" t="s">
        <v>9</v>
      </c>
      <c r="E7" s="2"/>
      <c r="F7" s="2" t="s">
        <v>9</v>
      </c>
      <c r="G7" s="2"/>
      <c r="H7" s="2" t="s">
        <v>11</v>
      </c>
      <c r="I7" s="2" t="s">
        <v>9</v>
      </c>
      <c r="J7" s="2"/>
      <c r="K7" s="2" t="s">
        <v>9</v>
      </c>
      <c r="L7" s="2" t="s">
        <v>8</v>
      </c>
      <c r="M7" s="2" t="s">
        <v>8</v>
      </c>
      <c r="N7" s="2" t="s">
        <v>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9</v>
      </c>
      <c r="D8" s="2" t="s">
        <v>11</v>
      </c>
      <c r="E8" s="2"/>
      <c r="F8" s="2" t="s">
        <v>9</v>
      </c>
      <c r="G8" s="2"/>
      <c r="H8" s="2" t="s">
        <v>9</v>
      </c>
      <c r="I8" s="2" t="s">
        <v>9</v>
      </c>
      <c r="J8" s="2"/>
      <c r="K8" s="2" t="s">
        <v>9</v>
      </c>
      <c r="L8" s="2" t="s">
        <v>8</v>
      </c>
      <c r="M8" s="2" t="s">
        <v>8</v>
      </c>
      <c r="N8" s="2" t="s">
        <v>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9</v>
      </c>
      <c r="D9" s="2" t="s">
        <v>9</v>
      </c>
      <c r="E9" s="2" t="s">
        <v>9</v>
      </c>
      <c r="F9" s="2" t="s">
        <v>9</v>
      </c>
      <c r="G9" s="2"/>
      <c r="H9" s="2" t="s">
        <v>11</v>
      </c>
      <c r="I9" s="2" t="s">
        <v>9</v>
      </c>
      <c r="J9" s="2"/>
      <c r="K9" s="2" t="s">
        <v>9</v>
      </c>
      <c r="L9" s="2" t="s">
        <v>8</v>
      </c>
      <c r="M9" s="2" t="s">
        <v>8</v>
      </c>
      <c r="N9" s="2" t="s">
        <v>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K10" s="2" t="s">
        <v>9</v>
      </c>
      <c r="L10" s="2" t="s">
        <v>8</v>
      </c>
      <c r="M10" s="2" t="s">
        <v>8</v>
      </c>
      <c r="N10" s="2" t="s">
        <v>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9</v>
      </c>
      <c r="E11" s="2" t="s">
        <v>11</v>
      </c>
      <c r="F11" s="2"/>
      <c r="G11" s="2"/>
      <c r="H11" s="2"/>
      <c r="K11" s="2" t="s">
        <v>9</v>
      </c>
      <c r="L11" s="2" t="s">
        <v>8</v>
      </c>
      <c r="M11" s="2" t="s">
        <v>8</v>
      </c>
      <c r="N11" s="2" t="s">
        <v>8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8</v>
      </c>
      <c r="M12" s="2" t="s">
        <v>8</v>
      </c>
      <c r="N12" s="2" t="s">
        <v>8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8</v>
      </c>
      <c r="L13" s="2" t="s">
        <v>8</v>
      </c>
      <c r="M13" s="2" t="s">
        <v>8</v>
      </c>
      <c r="N13" s="2" t="s">
        <v>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8</v>
      </c>
      <c r="M14" s="2" t="s">
        <v>8</v>
      </c>
      <c r="N14" s="2" t="s">
        <v>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B2" sqref="B2:N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9</v>
      </c>
      <c r="D5" s="2" t="s">
        <v>9</v>
      </c>
      <c r="E5" s="2"/>
      <c r="F5" s="2"/>
      <c r="G5" s="2"/>
      <c r="H5" s="2"/>
      <c r="I5" s="2"/>
      <c r="J5" s="2"/>
      <c r="K5" s="2" t="s">
        <v>12</v>
      </c>
      <c r="L5" s="2" t="s">
        <v>9</v>
      </c>
      <c r="M5" s="2" t="s">
        <v>9</v>
      </c>
      <c r="N5" s="2" t="s">
        <v>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 t="s">
        <v>9</v>
      </c>
      <c r="D6" s="2" t="s">
        <v>9</v>
      </c>
      <c r="E6" s="2"/>
      <c r="F6" s="2" t="s">
        <v>9</v>
      </c>
      <c r="G6" s="2" t="s">
        <v>9</v>
      </c>
      <c r="H6" s="2" t="s">
        <v>9</v>
      </c>
      <c r="I6" s="2" t="s">
        <v>9</v>
      </c>
      <c r="J6" s="2"/>
      <c r="K6" s="2" t="s">
        <v>9</v>
      </c>
      <c r="L6" s="2" t="s">
        <v>9</v>
      </c>
      <c r="M6" s="2" t="s">
        <v>9</v>
      </c>
      <c r="N6" s="2" t="s">
        <v>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 t="s">
        <v>9</v>
      </c>
      <c r="D7" s="2" t="s">
        <v>9</v>
      </c>
      <c r="E7" s="2"/>
      <c r="F7" s="2" t="s">
        <v>9</v>
      </c>
      <c r="G7" s="2"/>
      <c r="H7" s="2" t="s">
        <v>11</v>
      </c>
      <c r="I7" s="2" t="s">
        <v>9</v>
      </c>
      <c r="J7" s="2"/>
      <c r="K7" s="2" t="s">
        <v>9</v>
      </c>
      <c r="L7" s="2" t="s">
        <v>9</v>
      </c>
      <c r="M7" s="2" t="s">
        <v>9</v>
      </c>
      <c r="N7" s="2" t="s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 t="s">
        <v>9</v>
      </c>
      <c r="D8" s="2" t="s">
        <v>11</v>
      </c>
      <c r="E8" s="2"/>
      <c r="F8" s="2" t="s">
        <v>9</v>
      </c>
      <c r="G8" s="2"/>
      <c r="H8" s="2" t="s">
        <v>9</v>
      </c>
      <c r="I8" s="2" t="s">
        <v>9</v>
      </c>
      <c r="J8" s="2"/>
      <c r="K8" s="2" t="s">
        <v>9</v>
      </c>
      <c r="L8" s="2" t="s">
        <v>9</v>
      </c>
      <c r="M8" s="2" t="s">
        <v>9</v>
      </c>
      <c r="N8" s="2" t="s">
        <v>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/>
      <c r="H9" s="2" t="s">
        <v>11</v>
      </c>
      <c r="I9" s="2" t="s">
        <v>9</v>
      </c>
      <c r="J9" s="2"/>
      <c r="K9" s="2" t="s">
        <v>9</v>
      </c>
      <c r="L9" s="2" t="s">
        <v>9</v>
      </c>
      <c r="M9" s="2" t="s">
        <v>9</v>
      </c>
      <c r="N9" s="2" t="s">
        <v>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 t="s">
        <v>9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K10" s="2" t="s">
        <v>9</v>
      </c>
      <c r="L10" s="2" t="s">
        <v>9</v>
      </c>
      <c r="M10" s="2" t="s">
        <v>9</v>
      </c>
      <c r="N10" s="2" t="s">
        <v>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 t="s">
        <v>9</v>
      </c>
      <c r="D11" s="2" t="s">
        <v>9</v>
      </c>
      <c r="E11" s="2" t="s">
        <v>11</v>
      </c>
      <c r="F11" s="2" t="s">
        <v>13</v>
      </c>
      <c r="G11" s="2"/>
      <c r="H11" s="2"/>
      <c r="K11" s="2" t="s">
        <v>9</v>
      </c>
      <c r="L11" s="2" t="s">
        <v>9</v>
      </c>
      <c r="M11" s="2" t="s">
        <v>9</v>
      </c>
      <c r="N11" s="2" t="s">
        <v>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/>
      <c r="P12" s="2"/>
      <c r="Q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9</v>
      </c>
      <c r="I14" s="2" t="s">
        <v>9</v>
      </c>
      <c r="J14" s="2" t="s">
        <v>9</v>
      </c>
      <c r="K14" s="2" t="s">
        <v>9</v>
      </c>
      <c r="L14" s="2" t="s">
        <v>9</v>
      </c>
      <c r="M14" s="2" t="s">
        <v>9</v>
      </c>
      <c r="N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10" zoomScaleNormal="110" workbookViewId="0">
      <selection activeCell="C6" sqref="C6"/>
    </sheetView>
  </sheetViews>
  <sheetFormatPr defaultColWidth="8.72727272727273" defaultRowHeight="13" outlineLevelRow="5"/>
  <cols>
    <col min="7" max="7" width="16.7272727272727" customWidth="1"/>
  </cols>
  <sheetData>
    <row r="1" spans="1:11">
      <c r="A1" t="s">
        <v>0</v>
      </c>
      <c r="B1" t="s">
        <v>14</v>
      </c>
      <c r="C1" t="s">
        <v>15</v>
      </c>
      <c r="D1" t="s">
        <v>16</v>
      </c>
      <c r="E1" s="1" t="s">
        <v>17</v>
      </c>
      <c r="F1" t="s">
        <v>18</v>
      </c>
      <c r="G1" s="1" t="s">
        <v>17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62</v>
      </c>
      <c r="B2">
        <v>2</v>
      </c>
      <c r="C2">
        <v>6</v>
      </c>
      <c r="D2">
        <v>3010</v>
      </c>
      <c r="F2">
        <v>2020</v>
      </c>
      <c r="G2" t="str">
        <f>INDEX([1]Define!E:E,MATCH(F2,[1]Define!D:D))</f>
        <v>ダンジョン移動</v>
      </c>
      <c r="H2">
        <v>61</v>
      </c>
      <c r="I2">
        <v>2</v>
      </c>
      <c r="J2">
        <v>6</v>
      </c>
      <c r="K2" t="b">
        <v>0</v>
      </c>
    </row>
    <row r="3" spans="1:11">
      <c r="A3">
        <v>62</v>
      </c>
      <c r="B3">
        <v>3</v>
      </c>
      <c r="C3">
        <v>9</v>
      </c>
      <c r="D3">
        <v>3010</v>
      </c>
      <c r="F3">
        <v>2020</v>
      </c>
      <c r="G3" t="str">
        <f>INDEX([1]Define!E:E,MATCH(F3,[1]Define!D:D))</f>
        <v>ダンジョン移動</v>
      </c>
      <c r="H3">
        <v>63</v>
      </c>
      <c r="I3">
        <v>3</v>
      </c>
      <c r="J3">
        <v>9</v>
      </c>
      <c r="K3" t="b">
        <v>0</v>
      </c>
    </row>
    <row r="4" spans="1:11">
      <c r="A4">
        <v>62</v>
      </c>
      <c r="B4">
        <v>6</v>
      </c>
      <c r="C4">
        <v>7</v>
      </c>
      <c r="D4">
        <v>3010</v>
      </c>
      <c r="F4">
        <v>2020</v>
      </c>
      <c r="G4" t="str">
        <f>INDEX([1]Define!E:E,MATCH(F4,[1]Define!D:D))</f>
        <v>ダンジョン移動</v>
      </c>
      <c r="H4">
        <v>63</v>
      </c>
      <c r="I4">
        <v>6</v>
      </c>
      <c r="J4">
        <v>7</v>
      </c>
      <c r="K4" t="b">
        <v>0</v>
      </c>
    </row>
    <row r="5" spans="1:11">
      <c r="A5">
        <v>62</v>
      </c>
      <c r="B5">
        <v>6</v>
      </c>
      <c r="C5">
        <v>5</v>
      </c>
      <c r="D5">
        <v>3010</v>
      </c>
      <c r="F5">
        <v>2020</v>
      </c>
      <c r="G5" t="str">
        <f>INDEX([1]Define!E:E,MATCH(F5,[1]Define!D:D))</f>
        <v>ダンジョン移動</v>
      </c>
      <c r="H5">
        <v>61</v>
      </c>
      <c r="I5">
        <v>6</v>
      </c>
      <c r="J5">
        <v>5</v>
      </c>
      <c r="K5" t="b">
        <v>0</v>
      </c>
    </row>
    <row r="6" spans="1:11">
      <c r="A6">
        <v>62</v>
      </c>
      <c r="B6">
        <v>9</v>
      </c>
      <c r="C6">
        <v>3</v>
      </c>
      <c r="D6">
        <v>3010</v>
      </c>
      <c r="F6">
        <v>3020</v>
      </c>
      <c r="G6" t="str">
        <f>INDEX([1]Define!E:E,MATCH(F6,[1]Define!D:D))</f>
        <v>アイテム取得</v>
      </c>
      <c r="H6">
        <v>4030</v>
      </c>
      <c r="I6">
        <v>0</v>
      </c>
      <c r="J6">
        <v>0</v>
      </c>
      <c r="K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2026-10-12T02:01:10Z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