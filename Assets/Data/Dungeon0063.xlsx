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<sst xmlns="http://schemas.openxmlformats.org/spreadsheetml/2006/main" count="331" uniqueCount="25">
  <si>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</si>
  <si>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</si>
  <si>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</si>
  <si>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</si>
  <si>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</si>
  <si>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</si>
  <si>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</si>
  <si>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</si>
  <si>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</si>
  <si>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</si>
  <si>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Ba</t>
  </si>
  <si>
    <t>No</t>
  </si>
  <si>
    <t>◆</t>
  </si>
  <si>
    <t>Mv</t>
  </si>
  <si>
    <t>Mg</t>
  </si>
  <si>
    <t>Ev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</si>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</sst>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63</v>
      </c>
      <c r="B2">
        <v>63</v>
      </c>
      <c r="C2">
        <v>1</v>
      </c>
      <c r="D2">
        <v>13</v>
      </c>
      <c r="E2">
        <v>13</v>
      </c>
      <c r="F2">
        <v>5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zoomScale="110" zoomScaleNormal="110" workbookViewId="0">
      <selection activeCell="L4" sqref="L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  <c r="K4" s="2" t="s">
        <v>11</v>
      </c>
      <c r="L4" s="2" t="s">
        <v>10</v>
      </c>
      <c r="M4" s="2" t="s">
        <v>9</v>
      </c>
      <c r="N4" s="2" t="s">
        <v>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9</v>
      </c>
      <c r="D5" s="2" t="s">
        <v>11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11</v>
      </c>
      <c r="M5" s="2" t="s">
        <v>9</v>
      </c>
      <c r="N5" s="2" t="s">
        <v>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9</v>
      </c>
      <c r="D6" s="2" t="s">
        <v>11</v>
      </c>
      <c r="E6" s="2" t="s">
        <v>12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12</v>
      </c>
      <c r="K6" s="2" t="s">
        <v>12</v>
      </c>
      <c r="L6" s="2" t="s">
        <v>11</v>
      </c>
      <c r="M6" s="2" t="s">
        <v>9</v>
      </c>
      <c r="N6" s="2" t="s">
        <v>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9</v>
      </c>
      <c r="D7" s="2" t="s">
        <v>11</v>
      </c>
      <c r="E7" s="2" t="s">
        <v>12</v>
      </c>
      <c r="F7" s="2" t="s">
        <v>13</v>
      </c>
      <c r="G7" s="2" t="s">
        <v>12</v>
      </c>
      <c r="H7" s="2" t="s">
        <v>12</v>
      </c>
      <c r="I7" s="2" t="s">
        <v>11</v>
      </c>
      <c r="J7" s="2" t="s">
        <v>12</v>
      </c>
      <c r="K7" s="2" t="s">
        <v>12</v>
      </c>
      <c r="L7" s="2" t="s">
        <v>11</v>
      </c>
      <c r="M7" s="2" t="s">
        <v>9</v>
      </c>
      <c r="N7" s="2" t="s">
        <v>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9</v>
      </c>
      <c r="D8" s="2" t="s">
        <v>11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9</v>
      </c>
      <c r="N8" s="2" t="s">
        <v>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9</v>
      </c>
      <c r="D9" s="2" t="s">
        <v>11</v>
      </c>
      <c r="E9" s="2" t="s">
        <v>12</v>
      </c>
      <c r="F9" s="2" t="s">
        <v>12</v>
      </c>
      <c r="G9" s="2" t="s">
        <v>12</v>
      </c>
      <c r="H9" s="2" t="s">
        <v>13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9</v>
      </c>
      <c r="N9" s="2" t="s">
        <v>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9</v>
      </c>
      <c r="D10" s="2" t="s">
        <v>11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8</v>
      </c>
      <c r="L10" s="2" t="s">
        <v>8</v>
      </c>
      <c r="M10" s="2" t="s">
        <v>8</v>
      </c>
      <c r="N10" s="2" t="s">
        <v>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9</v>
      </c>
      <c r="D11" s="2" t="s">
        <v>11</v>
      </c>
      <c r="E11" s="2" t="s">
        <v>13</v>
      </c>
      <c r="F11" s="2" t="s">
        <v>12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  <c r="N11" s="2" t="s">
        <v>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B2" sqref="B2:N1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/>
      <c r="E4" s="2"/>
      <c r="F4" s="2"/>
      <c r="G4" s="2"/>
      <c r="H4" s="2"/>
      <c r="I4" s="2"/>
      <c r="J4" s="2"/>
      <c r="K4" s="2"/>
      <c r="L4" s="2"/>
      <c r="M4" s="2" t="s">
        <v>9</v>
      </c>
      <c r="N4" s="2" t="s">
        <v>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/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/>
      <c r="M5" s="2" t="s">
        <v>9</v>
      </c>
      <c r="N5" s="2" t="s">
        <v>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/>
      <c r="E6" s="2" t="s">
        <v>9</v>
      </c>
      <c r="F6" s="2"/>
      <c r="G6" s="2"/>
      <c r="H6" s="2"/>
      <c r="I6" s="2"/>
      <c r="J6" s="2" t="s">
        <v>9</v>
      </c>
      <c r="K6" s="2" t="s">
        <v>9</v>
      </c>
      <c r="L6" s="2"/>
      <c r="M6" s="2" t="s">
        <v>9</v>
      </c>
      <c r="N6" s="2" t="s">
        <v>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/>
      <c r="E7" s="2" t="s">
        <v>9</v>
      </c>
      <c r="F7" s="2" t="s">
        <v>13</v>
      </c>
      <c r="G7" s="2" t="s">
        <v>9</v>
      </c>
      <c r="H7" s="2" t="s">
        <v>9</v>
      </c>
      <c r="I7" s="2"/>
      <c r="J7" s="2" t="s">
        <v>9</v>
      </c>
      <c r="K7" s="2" t="s">
        <v>9</v>
      </c>
      <c r="L7" s="2"/>
      <c r="M7" s="2" t="s">
        <v>9</v>
      </c>
      <c r="N7" s="2" t="s">
        <v>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/>
      <c r="E8" s="2" t="s">
        <v>9</v>
      </c>
      <c r="F8" s="2" t="s">
        <v>9</v>
      </c>
      <c r="G8" s="2" t="s">
        <v>9</v>
      </c>
      <c r="H8" s="2" t="s">
        <v>9</v>
      </c>
      <c r="I8" s="2"/>
      <c r="J8" s="2" t="s">
        <v>9</v>
      </c>
      <c r="K8" s="2" t="s">
        <v>13</v>
      </c>
      <c r="L8" s="2" t="s">
        <v>15</v>
      </c>
      <c r="M8" s="2" t="s">
        <v>9</v>
      </c>
      <c r="N8" s="2" t="s">
        <v>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/>
      <c r="E9" s="2" t="s">
        <v>9</v>
      </c>
      <c r="F9" s="2" t="s">
        <v>9</v>
      </c>
      <c r="G9" s="2" t="s">
        <v>9</v>
      </c>
      <c r="H9" s="2" t="s">
        <v>13</v>
      </c>
      <c r="I9" s="2"/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/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9</v>
      </c>
      <c r="D11" s="2"/>
      <c r="E11" s="2" t="s">
        <v>13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110" zoomScaleNormal="110" workbookViewId="0">
      <selection activeCell="B15" sqref="B15"/>
    </sheetView>
  </sheetViews>
  <sheetFormatPr defaultColWidth="8.72727272727273" defaultRowHeight="13"/>
  <cols>
    <col min="7" max="7" width="16.7272727272727" customWidth="1"/>
  </cols>
  <sheetData>
    <row r="1" spans="1:11">
      <c r="A1" t="s">
        <v>0</v>
      </c>
      <c r="B1" t="s">
        <v>16</v>
      </c>
      <c r="C1" t="s">
        <v>17</v>
      </c>
      <c r="D1" t="s">
        <v>18</v>
      </c>
      <c r="E1" s="1" t="s">
        <v>19</v>
      </c>
      <c r="F1" t="s">
        <v>20</v>
      </c>
      <c r="G1" s="1" t="s">
        <v>19</v>
      </c>
      <c r="H1" t="s">
        <v>21</v>
      </c>
      <c r="I1" t="s">
        <v>22</v>
      </c>
      <c r="J1" t="s">
        <v>23</v>
      </c>
      <c r="K1" t="s">
        <v>24</v>
      </c>
    </row>
    <row r="2" spans="1:11">
      <c r="A2">
        <v>63</v>
      </c>
      <c r="B2">
        <v>3</v>
      </c>
      <c r="C2">
        <v>9</v>
      </c>
      <c r="D2">
        <v>3010</v>
      </c>
      <c r="F2">
        <v>2020</v>
      </c>
      <c r="G2" t="str">
        <f>INDEX([1]Define!E:E,MATCH(F2,[1]Define!D:D))</f>
        <v>ダンジョン移動</v>
      </c>
      <c r="H2">
        <v>62</v>
      </c>
      <c r="I2">
        <v>3</v>
      </c>
      <c r="J2">
        <v>9</v>
      </c>
      <c r="K2" t="b">
        <v>0</v>
      </c>
    </row>
    <row r="3" spans="1:11">
      <c r="A3">
        <v>63</v>
      </c>
      <c r="B3">
        <v>4</v>
      </c>
      <c r="C3">
        <v>5</v>
      </c>
      <c r="D3">
        <v>3010</v>
      </c>
      <c r="F3">
        <v>2020</v>
      </c>
      <c r="G3" t="str">
        <f>INDEX([1]Define!E:E,MATCH(F3,[1]Define!D:D))</f>
        <v>ダンジョン移動</v>
      </c>
      <c r="H3">
        <v>64</v>
      </c>
      <c r="I3">
        <v>4</v>
      </c>
      <c r="J3">
        <v>5</v>
      </c>
      <c r="K3" t="b">
        <v>0</v>
      </c>
    </row>
    <row r="4" spans="1:11">
      <c r="A4">
        <v>63</v>
      </c>
      <c r="B4">
        <v>6</v>
      </c>
      <c r="C4">
        <v>7</v>
      </c>
      <c r="D4">
        <v>3010</v>
      </c>
      <c r="F4">
        <v>2020</v>
      </c>
      <c r="G4" t="str">
        <f>INDEX([1]Define!E:E,MATCH(F4,[1]Define!D:D))</f>
        <v>ダンジョン移動</v>
      </c>
      <c r="H4">
        <v>62</v>
      </c>
      <c r="I4">
        <v>6</v>
      </c>
      <c r="J4">
        <v>7</v>
      </c>
      <c r="K4" t="b">
        <v>0</v>
      </c>
    </row>
    <row r="5" spans="1:11">
      <c r="A5">
        <v>63</v>
      </c>
      <c r="B5">
        <v>9</v>
      </c>
      <c r="C5">
        <v>6</v>
      </c>
      <c r="D5">
        <v>3010</v>
      </c>
      <c r="F5">
        <v>2020</v>
      </c>
      <c r="G5" t="str">
        <f>INDEX([1]Define!E:E,MATCH(F5,[1]Define!D:D))</f>
        <v>ダンジョン移動</v>
      </c>
      <c r="H5">
        <v>64</v>
      </c>
      <c r="I5">
        <v>9</v>
      </c>
      <c r="J5">
        <v>6</v>
      </c>
      <c r="K5" t="b">
        <v>0</v>
      </c>
    </row>
    <row r="6" spans="1:11">
      <c r="A6">
        <v>63</v>
      </c>
      <c r="B6">
        <v>2</v>
      </c>
      <c r="C6">
        <v>9</v>
      </c>
      <c r="D6">
        <v>3010</v>
      </c>
      <c r="F6">
        <v>1010</v>
      </c>
      <c r="G6" t="str">
        <f>INDEX([1]Define!E:E,MATCH(F6,[1]Define!D:D))</f>
        <v>Adv再生</v>
      </c>
      <c r="H6">
        <v>110</v>
      </c>
      <c r="I6">
        <v>0</v>
      </c>
      <c r="J6">
        <v>0</v>
      </c>
      <c r="K6" t="b">
        <v>1</v>
      </c>
    </row>
    <row r="7" spans="1:11">
      <c r="A7">
        <v>63</v>
      </c>
      <c r="B7">
        <v>2</v>
      </c>
      <c r="C7">
        <v>9</v>
      </c>
      <c r="D7">
        <v>3010</v>
      </c>
      <c r="F7">
        <v>7020</v>
      </c>
      <c r="G7" t="str">
        <f>INDEX([1]Define!E:E,MATCH(F7,[1]Define!D:D))</f>
        <v>怨嗟床</v>
      </c>
      <c r="H7">
        <v>0</v>
      </c>
      <c r="I7">
        <v>0</v>
      </c>
      <c r="J7">
        <v>0</v>
      </c>
      <c r="K7" t="b">
        <v>1</v>
      </c>
    </row>
    <row r="8" spans="1:11">
      <c r="A8">
        <v>63</v>
      </c>
      <c r="B8">
        <v>2</v>
      </c>
      <c r="C8">
        <v>9</v>
      </c>
      <c r="D8">
        <v>3010</v>
      </c>
      <c r="F8">
        <v>1010</v>
      </c>
      <c r="G8" t="str">
        <f>INDEX([1]Define!E:E,MATCH(F8,[1]Define!D:D))</f>
        <v>Adv再生</v>
      </c>
      <c r="H8">
        <v>120</v>
      </c>
      <c r="I8">
        <v>0</v>
      </c>
      <c r="J8">
        <v>0</v>
      </c>
      <c r="K8" t="b">
        <v>1</v>
      </c>
    </row>
    <row r="9" spans="1:11">
      <c r="A9">
        <v>63</v>
      </c>
      <c r="B9">
        <v>2</v>
      </c>
      <c r="C9">
        <v>9</v>
      </c>
      <c r="D9">
        <v>3010</v>
      </c>
      <c r="F9">
        <v>9010</v>
      </c>
      <c r="G9" t="str">
        <f>INDEX([1]Define!E:E,MATCH(F9,[1]Define!D:D))</f>
        <v>イベント終了明示</v>
      </c>
      <c r="H9">
        <v>0</v>
      </c>
      <c r="I9">
        <v>0</v>
      </c>
      <c r="J9">
        <v>0</v>
      </c>
      <c r="K9" t="b">
        <v>1</v>
      </c>
    </row>
    <row r="10" spans="1:11">
      <c r="A10">
        <v>63</v>
      </c>
      <c r="B10">
        <v>10</v>
      </c>
      <c r="C10">
        <v>6</v>
      </c>
      <c r="D10">
        <v>3010</v>
      </c>
      <c r="F10">
        <v>1010</v>
      </c>
      <c r="G10" t="str">
        <f>INDEX([1]Define!E:E,MATCH(F10,[1]Define!D:D))</f>
        <v>Adv再生</v>
      </c>
      <c r="H10">
        <v>130</v>
      </c>
      <c r="I10">
        <v>0</v>
      </c>
      <c r="J10">
        <v>0</v>
      </c>
      <c r="K10" t="b">
        <v>1</v>
      </c>
    </row>
    <row r="11" spans="1:11">
      <c r="A11">
        <v>63</v>
      </c>
      <c r="B11">
        <v>10</v>
      </c>
      <c r="C11">
        <v>6</v>
      </c>
      <c r="D11">
        <v>3010</v>
      </c>
      <c r="F11">
        <v>7021</v>
      </c>
      <c r="G11" t="str">
        <f>INDEX([1]Define!E:E,MATCH(F11,[1]Define!D:D))</f>
        <v>怨嗟床解除</v>
      </c>
      <c r="H11">
        <v>0</v>
      </c>
      <c r="I11">
        <v>0</v>
      </c>
      <c r="J11">
        <v>0</v>
      </c>
      <c r="K11" t="b">
        <v>1</v>
      </c>
    </row>
    <row r="12" spans="1:11">
      <c r="A12">
        <v>63</v>
      </c>
      <c r="B12">
        <v>10</v>
      </c>
      <c r="C12">
        <v>6</v>
      </c>
      <c r="D12">
        <v>3010</v>
      </c>
      <c r="F12">
        <v>1020</v>
      </c>
      <c r="G12" t="str">
        <f>INDEX([1]Define!E:E,MATCH(F12,[1]Define!D:D))</f>
        <v>エンフェリアイベント再生</v>
      </c>
      <c r="H12">
        <v>5</v>
      </c>
      <c r="I12">
        <v>2</v>
      </c>
      <c r="J12">
        <v>0</v>
      </c>
      <c r="K12" t="b">
        <v>1</v>
      </c>
    </row>
    <row r="13" spans="1:11">
      <c r="A13">
        <v>63</v>
      </c>
      <c r="B13">
        <v>10</v>
      </c>
      <c r="C13">
        <v>6</v>
      </c>
      <c r="D13">
        <v>3010</v>
      </c>
      <c r="F13">
        <v>9010</v>
      </c>
      <c r="G13" t="str">
        <f>INDEX([1]Define!E:E,MATCH(F13,[1]Define!D:D))</f>
        <v>イベント終了明示</v>
      </c>
      <c r="H13">
        <v>0</v>
      </c>
      <c r="I13">
        <v>0</v>
      </c>
      <c r="J13">
        <v>0</v>
      </c>
      <c r="K13" t="b">
        <v>1</v>
      </c>
    </row>
    <row r="14" spans="1:11">
      <c r="A14">
        <v>63</v>
      </c>
      <c r="B14">
        <v>2</v>
      </c>
      <c r="C14">
        <v>2</v>
      </c>
      <c r="D14">
        <v>3010</v>
      </c>
      <c r="F14">
        <v>5010</v>
      </c>
      <c r="G14" t="str">
        <f>INDEX([1]Define!E:E,MATCH(F14,[1]Define!D:D))</f>
        <v>強制戦闘</v>
      </c>
      <c r="H14">
        <v>-1</v>
      </c>
      <c r="I14">
        <v>0</v>
      </c>
      <c r="J14">
        <v>0</v>
      </c>
      <c r="K14" t="b">
        <v>1</v>
      </c>
    </row>
    <row r="15" spans="1:11">
      <c r="A15">
        <v>63</v>
      </c>
      <c r="B15">
        <v>10</v>
      </c>
      <c r="C15">
        <v>2</v>
      </c>
      <c r="D15">
        <v>3010</v>
      </c>
      <c r="F15">
        <v>5010</v>
      </c>
      <c r="G15" t="str">
        <f>INDEX([1]Define!E:E,MATCH(F15,[1]Define!D:D))</f>
        <v>強制戦闘</v>
      </c>
      <c r="H15">
        <v>-1</v>
      </c>
      <c r="I15">
        <v>0</v>
      </c>
      <c r="J15">
        <v>0</v>
      </c>
      <c r="K1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2026-10-12T02:16:12Z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