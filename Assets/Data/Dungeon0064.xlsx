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3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<sst xmlns="http://schemas.openxmlformats.org/spreadsheetml/2006/main" count="349" uniqueCount="23">
  <si>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</si>
  <si>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</si>
  <si>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</si>
  <si>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</si>
  <si>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</si>
  <si>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</si>
  <si>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</si>
  <si>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</si>
  <si>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</si>
  <si>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</si>
  <si>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Mv</t>
  </si>
  <si>
    <t>Ba</t>
  </si>
  <si>
    <t>Ar:D2</t>
  </si>
  <si>
    <t>Un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</si>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</sst>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1"/>
      <color theme="1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4" fillId="19" borderId="4" applyNumberFormat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64</v>
      </c>
      <c r="B2">
        <v>64</v>
      </c>
      <c r="C2">
        <v>1</v>
      </c>
      <c r="D2">
        <v>13</v>
      </c>
      <c r="E2">
        <v>13</v>
      </c>
      <c r="F2">
        <v>5</v>
      </c>
      <c r="G2">
        <v>10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G9" sqref="G9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9</v>
      </c>
      <c r="F6" s="2" t="s">
        <v>9</v>
      </c>
      <c r="G6" s="2" t="s">
        <v>9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9</v>
      </c>
      <c r="F7" s="2" t="s">
        <v>10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8</v>
      </c>
      <c r="N7" s="2" t="s">
        <v>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9</v>
      </c>
      <c r="F8" s="2"/>
      <c r="G8" s="2" t="s">
        <v>11</v>
      </c>
      <c r="H8" s="2"/>
      <c r="I8" s="2"/>
      <c r="J8" s="2"/>
      <c r="K8" s="2" t="s">
        <v>10</v>
      </c>
      <c r="L8" s="2" t="s">
        <v>9</v>
      </c>
      <c r="M8" s="2" t="s">
        <v>8</v>
      </c>
      <c r="N8" s="2" t="s">
        <v>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9</v>
      </c>
      <c r="F9" s="2" t="s">
        <v>12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8</v>
      </c>
      <c r="N9" s="2" t="s">
        <v>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9</v>
      </c>
      <c r="F10" s="2" t="s">
        <v>9</v>
      </c>
      <c r="G10" s="2" t="s">
        <v>9</v>
      </c>
      <c r="H10" s="2" t="s">
        <v>8</v>
      </c>
      <c r="I10" s="2" t="s">
        <v>8</v>
      </c>
      <c r="J10" s="2" t="s">
        <v>8</v>
      </c>
      <c r="K10" s="2" t="s">
        <v>8</v>
      </c>
      <c r="L10" s="2" t="s">
        <v>8</v>
      </c>
      <c r="M10" s="2" t="s">
        <v>8</v>
      </c>
      <c r="N10" s="2" t="s">
        <v>8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8</v>
      </c>
      <c r="L11" s="2" t="s">
        <v>8</v>
      </c>
      <c r="M11" s="2" t="s">
        <v>8</v>
      </c>
      <c r="N11" s="2" t="s">
        <v>8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8</v>
      </c>
      <c r="G12" s="2" t="s">
        <v>8</v>
      </c>
      <c r="H12" s="2" t="s">
        <v>8</v>
      </c>
      <c r="I12" s="2" t="s">
        <v>8</v>
      </c>
      <c r="J12" s="2" t="s">
        <v>8</v>
      </c>
      <c r="K12" s="2" t="s">
        <v>8</v>
      </c>
      <c r="L12" s="2" t="s">
        <v>8</v>
      </c>
      <c r="M12" s="2" t="s">
        <v>8</v>
      </c>
      <c r="N12" s="2" t="s">
        <v>8</v>
      </c>
      <c r="O12" s="2"/>
      <c r="P12" s="2"/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B2" sqref="B2:N1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10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9</v>
      </c>
      <c r="D8" s="2" t="s">
        <v>9</v>
      </c>
      <c r="E8" s="2" t="s">
        <v>9</v>
      </c>
      <c r="F8" s="2"/>
      <c r="G8" s="2" t="s">
        <v>13</v>
      </c>
      <c r="H8" s="2"/>
      <c r="I8" s="2"/>
      <c r="J8" s="2"/>
      <c r="K8" s="2" t="s">
        <v>10</v>
      </c>
      <c r="L8" s="2" t="s">
        <v>9</v>
      </c>
      <c r="M8" s="2" t="s">
        <v>9</v>
      </c>
      <c r="N8" s="2" t="s">
        <v>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12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/>
      <c r="P12" s="2"/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zoomScale="110" zoomScaleNormal="110" workbookViewId="0">
      <selection activeCell="A5" sqref="$A5:$XFD5"/>
    </sheetView>
  </sheetViews>
  <sheetFormatPr defaultColWidth="8.72727272727273" defaultRowHeight="13" outlineLevelRow="4"/>
  <cols>
    <col min="7" max="7" width="19.3636363636364" customWidth="1"/>
  </cols>
  <sheetData>
    <row r="1" spans="1:11">
      <c r="A1" t="s">
        <v>0</v>
      </c>
      <c r="B1" t="s">
        <v>14</v>
      </c>
      <c r="C1" t="s">
        <v>15</v>
      </c>
      <c r="D1" t="s">
        <v>16</v>
      </c>
      <c r="E1" s="1" t="s">
        <v>17</v>
      </c>
      <c r="F1" t="s">
        <v>18</v>
      </c>
      <c r="G1" s="1" t="s">
        <v>17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64</v>
      </c>
      <c r="B2">
        <v>9</v>
      </c>
      <c r="C2">
        <v>6</v>
      </c>
      <c r="D2">
        <v>3010</v>
      </c>
      <c r="F2">
        <v>2020</v>
      </c>
      <c r="G2" t="str">
        <f>INDEX([1]Define!E:E,MATCH(F2,[1]Define!D:D))</f>
        <v>ダンジョン移動</v>
      </c>
      <c r="H2">
        <v>63</v>
      </c>
      <c r="I2">
        <v>9</v>
      </c>
      <c r="J2">
        <v>6</v>
      </c>
      <c r="K2" t="b">
        <v>0</v>
      </c>
    </row>
    <row r="3" spans="1:11">
      <c r="A3">
        <v>64</v>
      </c>
      <c r="B3">
        <v>4</v>
      </c>
      <c r="C3">
        <v>5</v>
      </c>
      <c r="D3">
        <v>3010</v>
      </c>
      <c r="F3">
        <v>2020</v>
      </c>
      <c r="G3" t="str">
        <f>INDEX([1]Define!E:E,MATCH(F3,[1]Define!D:D))</f>
        <v>ダンジョン移動</v>
      </c>
      <c r="H3">
        <v>63</v>
      </c>
      <c r="I3">
        <v>4</v>
      </c>
      <c r="J3">
        <v>5</v>
      </c>
      <c r="K3" t="b">
        <v>0</v>
      </c>
    </row>
    <row r="4" spans="1:11">
      <c r="A4">
        <v>64</v>
      </c>
      <c r="B4">
        <v>4</v>
      </c>
      <c r="C4">
        <v>7</v>
      </c>
      <c r="D4">
        <v>3010</v>
      </c>
      <c r="F4">
        <v>3010</v>
      </c>
      <c r="G4" t="str">
        <f>INDEX([1]Define!E:E,MATCH(F4,[1]Define!D:D))</f>
        <v>アーティファクト取得</v>
      </c>
      <c r="H4">
        <v>2120</v>
      </c>
      <c r="I4">
        <v>0</v>
      </c>
      <c r="J4">
        <v>0</v>
      </c>
      <c r="K4" t="b">
        <v>1</v>
      </c>
    </row>
    <row r="5" spans="1:11">
      <c r="A5">
        <v>64</v>
      </c>
      <c r="B5">
        <v>5</v>
      </c>
      <c r="C5">
        <v>6</v>
      </c>
      <c r="D5">
        <v>3010</v>
      </c>
      <c r="F5">
        <v>5010</v>
      </c>
      <c r="G5" t="str">
        <f>INDEX([1]Define!E:E,MATCH(F5,[1]Define!D:D))</f>
        <v>強制戦闘</v>
      </c>
      <c r="H5">
        <v>-1</v>
      </c>
      <c r="I5">
        <v>0</v>
      </c>
      <c r="J5">
        <v>0</v>
      </c>
      <c r="K5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2026-10-12T02:24:18Z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