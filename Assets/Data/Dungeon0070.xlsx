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960" activeTab="3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<sst xmlns="http://schemas.openxmlformats.org/spreadsheetml/2006/main" count="298" uniqueCount="24">
  <si>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</si>
  <si>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</si>
  <si>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</si>
  <si>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</si>
  <si>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</si>
  <si>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</si>
  <si>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</si>
  <si>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</si>
  <si>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</si>
  <si>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</si>
  <si>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Mv</t>
  </si>
  <si>
    <t>Mg</t>
  </si>
  <si>
    <t>DrS</t>
  </si>
  <si>
    <t>Out</t>
  </si>
  <si>
    <t>①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</si>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</sst>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 * #,##0_ ;_ * \-#,##0_ ;_ * &quot;-&quot;??_ ;_ @_ "/>
    <numFmt numFmtId="178" formatCode="_-&quot;\&quot;* #,##0.00_-\ ;\-&quot;\&quot;* #,##0.00_-\ ;_-&quot;\&quot;* &quot;-&quot;??_-\ ;_-@_-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rgb="FF3F3F76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8" fillId="24" borderId="1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29" borderId="8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vents"/>
      <sheetName val="StageEnemyRates"/>
      <sheetName val="Tutorials"/>
      <sheetName val="TextData"/>
      <sheetName val="Define"/>
    </sheetNames>
    <sheetDataSet>
      <sheetData sheetId="0"/>
      <sheetData sheetId="1"/>
      <sheetData sheetId="2"/>
      <sheetData sheetId="3"/>
      <sheetData sheetId="4"/>
      <sheetData sheetId="5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2010</v>
          </cell>
          <cell r="E4" t="str">
            <v>ダンジョンから出る</v>
          </cell>
        </row>
        <row r="5">
          <cell r="D5">
            <v>2020</v>
          </cell>
          <cell r="E5" t="str">
            <v>ダンジョン移動</v>
          </cell>
        </row>
        <row r="6">
          <cell r="D6">
            <v>2021</v>
          </cell>
          <cell r="E6" t="str">
            <v>移動判定なしでダンジョン移動</v>
          </cell>
        </row>
        <row r="7">
          <cell r="D7">
            <v>2030</v>
          </cell>
          <cell r="E7" t="str">
            <v>ダンジョンクリア</v>
          </cell>
        </row>
        <row r="8">
          <cell r="D8">
            <v>3010</v>
          </cell>
          <cell r="E8" t="str">
            <v>アーティファクト取得</v>
          </cell>
        </row>
        <row r="9">
          <cell r="D9">
            <v>3020</v>
          </cell>
          <cell r="E9" t="str">
            <v>アイテム取得</v>
          </cell>
        </row>
        <row r="10">
          <cell r="D10">
            <v>3030</v>
          </cell>
          <cell r="E10" t="str">
            <v>魔法入手</v>
          </cell>
        </row>
        <row r="11">
          <cell r="D11">
            <v>4010</v>
          </cell>
          <cell r="E11" t="str">
            <v>仲間を増やす</v>
          </cell>
        </row>
        <row r="12">
          <cell r="D12">
            <v>4011</v>
          </cell>
          <cell r="E12" t="str">
            <v>仲間を外す</v>
          </cell>
        </row>
        <row r="13">
          <cell r="D13">
            <v>4020</v>
          </cell>
          <cell r="E13" t="str">
            <v>選択して仲間を増やす</v>
          </cell>
        </row>
        <row r="14">
          <cell r="D14">
            <v>5010</v>
          </cell>
          <cell r="E14" t="str">
            <v>強制戦闘</v>
          </cell>
        </row>
        <row r="15">
          <cell r="D15">
            <v>5020</v>
          </cell>
          <cell r="E15" t="str">
            <v>強制ボス戦闘</v>
          </cell>
        </row>
        <row r="16">
          <cell r="D16">
            <v>6010</v>
          </cell>
          <cell r="E16" t="str">
            <v>指定のイベントマスを消す</v>
          </cell>
        </row>
        <row r="17">
          <cell r="D17">
            <v>6011</v>
          </cell>
          <cell r="E17" t="str">
            <v>指定のイベントマスを表示する</v>
          </cell>
        </row>
        <row r="18">
          <cell r="D18">
            <v>6020</v>
          </cell>
          <cell r="E18" t="str">
            <v>同フロアの強制戦闘が終わってたらイベントマスを消す</v>
          </cell>
        </row>
        <row r="19">
          <cell r="D19">
            <v>6030</v>
          </cell>
          <cell r="E19" t="str">
            <v>同フロアの強制戦闘が終わってたらイベントマスを表示する</v>
          </cell>
        </row>
        <row r="20">
          <cell r="D20">
            <v>7010</v>
          </cell>
          <cell r="E20" t="str">
            <v>ダメージ床</v>
          </cell>
        </row>
        <row r="21">
          <cell r="D21">
            <v>7020</v>
          </cell>
          <cell r="E21" t="str">
            <v>怨嗟床</v>
          </cell>
        </row>
        <row r="22">
          <cell r="D22">
            <v>7021</v>
          </cell>
          <cell r="E22" t="str">
            <v>怨嗟床解除</v>
          </cell>
        </row>
        <row r="23">
          <cell r="D23">
            <v>8010</v>
          </cell>
          <cell r="E23" t="str">
            <v>指定リージョンを開示する</v>
          </cell>
        </row>
        <row r="24">
          <cell r="D24">
            <v>9010</v>
          </cell>
          <cell r="E24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2" sqref="F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70</v>
      </c>
      <c r="B2">
        <v>70</v>
      </c>
      <c r="C2">
        <v>1</v>
      </c>
      <c r="D2">
        <v>12</v>
      </c>
      <c r="E2">
        <v>12</v>
      </c>
      <c r="F2">
        <v>6</v>
      </c>
      <c r="G2">
        <v>8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E8" sqref="E8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8</v>
      </c>
      <c r="L5" s="2" t="s">
        <v>8</v>
      </c>
      <c r="M5" s="2" t="s">
        <v>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9</v>
      </c>
      <c r="G6" s="2" t="s">
        <v>9</v>
      </c>
      <c r="H6" s="2" t="s">
        <v>10</v>
      </c>
      <c r="I6" s="2" t="s">
        <v>9</v>
      </c>
      <c r="J6" s="2" t="s">
        <v>9</v>
      </c>
      <c r="K6" s="2" t="s">
        <v>8</v>
      </c>
      <c r="L6" s="2" t="s">
        <v>8</v>
      </c>
      <c r="M6" s="2" t="s">
        <v>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9</v>
      </c>
      <c r="D7" s="2" t="s">
        <v>9</v>
      </c>
      <c r="E7" s="2" t="s">
        <v>9</v>
      </c>
      <c r="F7" s="2" t="s">
        <v>9</v>
      </c>
      <c r="G7" s="2"/>
      <c r="H7" s="2"/>
      <c r="I7" s="2"/>
      <c r="J7" s="2" t="s">
        <v>9</v>
      </c>
      <c r="K7" s="2" t="s">
        <v>8</v>
      </c>
      <c r="L7" s="2" t="s">
        <v>8</v>
      </c>
      <c r="M7" s="2" t="s">
        <v>8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/>
      <c r="H8" s="2"/>
      <c r="I8" s="2"/>
      <c r="J8" s="2" t="s">
        <v>9</v>
      </c>
      <c r="K8" s="2" t="s">
        <v>8</v>
      </c>
      <c r="L8" s="2" t="s">
        <v>8</v>
      </c>
      <c r="M8" s="2" t="s">
        <v>8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9</v>
      </c>
      <c r="D9" s="2" t="s">
        <v>9</v>
      </c>
      <c r="E9" s="2" t="s">
        <v>9</v>
      </c>
      <c r="F9" s="2" t="s">
        <v>9</v>
      </c>
      <c r="G9" s="2"/>
      <c r="H9" s="2"/>
      <c r="I9" s="2"/>
      <c r="J9" s="2" t="s">
        <v>9</v>
      </c>
      <c r="K9" s="2" t="s">
        <v>8</v>
      </c>
      <c r="L9" s="2" t="s">
        <v>8</v>
      </c>
      <c r="M9" s="2" t="s">
        <v>8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8</v>
      </c>
      <c r="E10" s="2" t="s">
        <v>8</v>
      </c>
      <c r="F10" s="2" t="s">
        <v>9</v>
      </c>
      <c r="G10" s="2" t="s">
        <v>9</v>
      </c>
      <c r="H10" s="2" t="s">
        <v>13</v>
      </c>
      <c r="I10" s="2" t="s">
        <v>9</v>
      </c>
      <c r="J10" s="2" t="s">
        <v>9</v>
      </c>
      <c r="K10" s="2" t="s">
        <v>8</v>
      </c>
      <c r="L10" s="2" t="s">
        <v>8</v>
      </c>
      <c r="M10" s="2" t="s">
        <v>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8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8</v>
      </c>
      <c r="L11" s="2" t="s">
        <v>8</v>
      </c>
      <c r="M11" s="2" t="s">
        <v>8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8</v>
      </c>
      <c r="F12" s="2" t="s">
        <v>8</v>
      </c>
      <c r="G12" s="2" t="s">
        <v>8</v>
      </c>
      <c r="H12" s="2" t="s">
        <v>8</v>
      </c>
      <c r="I12" s="2" t="s">
        <v>8</v>
      </c>
      <c r="J12" s="2" t="s">
        <v>8</v>
      </c>
      <c r="K12" s="2" t="s">
        <v>8</v>
      </c>
      <c r="L12" s="2" t="s">
        <v>8</v>
      </c>
      <c r="M12" s="2" t="s">
        <v>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8</v>
      </c>
      <c r="H13" s="2" t="s">
        <v>8</v>
      </c>
      <c r="I13" s="2" t="s">
        <v>8</v>
      </c>
      <c r="J13" s="2" t="s">
        <v>8</v>
      </c>
      <c r="K13" s="2" t="s">
        <v>8</v>
      </c>
      <c r="L13" s="2" t="s">
        <v>8</v>
      </c>
      <c r="M13" s="2" t="s">
        <v>8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E8" sqref="E8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8</v>
      </c>
      <c r="L5" s="2" t="s">
        <v>8</v>
      </c>
      <c r="M5" s="2" t="s">
        <v>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9</v>
      </c>
      <c r="G6" s="2" t="s">
        <v>9</v>
      </c>
      <c r="H6" s="2" t="s">
        <v>10</v>
      </c>
      <c r="I6" s="2" t="s">
        <v>9</v>
      </c>
      <c r="J6" s="2" t="s">
        <v>9</v>
      </c>
      <c r="K6" s="2" t="s">
        <v>8</v>
      </c>
      <c r="L6" s="2" t="s">
        <v>8</v>
      </c>
      <c r="M6" s="2" t="s">
        <v>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14</v>
      </c>
      <c r="H7" s="2" t="s">
        <v>14</v>
      </c>
      <c r="I7" s="2" t="s">
        <v>14</v>
      </c>
      <c r="J7" s="2" t="s">
        <v>9</v>
      </c>
      <c r="K7" s="2" t="s">
        <v>8</v>
      </c>
      <c r="L7" s="2" t="s">
        <v>8</v>
      </c>
      <c r="M7" s="2" t="s">
        <v>8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14</v>
      </c>
      <c r="H8" s="2" t="s">
        <v>14</v>
      </c>
      <c r="I8" s="2" t="s">
        <v>14</v>
      </c>
      <c r="J8" s="2" t="s">
        <v>9</v>
      </c>
      <c r="K8" s="2" t="s">
        <v>8</v>
      </c>
      <c r="L8" s="2" t="s">
        <v>8</v>
      </c>
      <c r="M8" s="2" t="s">
        <v>8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14</v>
      </c>
      <c r="H9" s="2" t="s">
        <v>14</v>
      </c>
      <c r="I9" s="2" t="s">
        <v>14</v>
      </c>
      <c r="J9" s="2" t="s">
        <v>9</v>
      </c>
      <c r="K9" s="2" t="s">
        <v>8</v>
      </c>
      <c r="L9" s="2" t="s">
        <v>8</v>
      </c>
      <c r="M9" s="2" t="s">
        <v>8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8</v>
      </c>
      <c r="E10" s="2" t="s">
        <v>8</v>
      </c>
      <c r="F10" s="2" t="s">
        <v>9</v>
      </c>
      <c r="G10" s="2" t="s">
        <v>9</v>
      </c>
      <c r="H10" s="2" t="s">
        <v>13</v>
      </c>
      <c r="I10" s="2" t="s">
        <v>9</v>
      </c>
      <c r="J10" s="2" t="s">
        <v>9</v>
      </c>
      <c r="K10" s="2" t="s">
        <v>8</v>
      </c>
      <c r="L10" s="2" t="s">
        <v>8</v>
      </c>
      <c r="M10" s="2" t="s">
        <v>8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8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8</v>
      </c>
      <c r="L11" s="2" t="s">
        <v>8</v>
      </c>
      <c r="M11" s="2" t="s">
        <v>8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8</v>
      </c>
      <c r="F12" s="2" t="s">
        <v>8</v>
      </c>
      <c r="G12" s="2" t="s">
        <v>8</v>
      </c>
      <c r="H12" s="2" t="s">
        <v>8</v>
      </c>
      <c r="I12" s="2" t="s">
        <v>8</v>
      </c>
      <c r="J12" s="2" t="s">
        <v>8</v>
      </c>
      <c r="K12" s="2" t="s">
        <v>8</v>
      </c>
      <c r="L12" s="2" t="s">
        <v>8</v>
      </c>
      <c r="M12" s="2" t="s">
        <v>8</v>
      </c>
      <c r="N12" s="2"/>
      <c r="O12" s="2"/>
      <c r="P12" s="2"/>
      <c r="Q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8</v>
      </c>
      <c r="H13" s="2" t="s">
        <v>8</v>
      </c>
      <c r="I13" s="2" t="s">
        <v>8</v>
      </c>
      <c r="J13" s="2" t="s">
        <v>8</v>
      </c>
      <c r="K13" s="2" t="s">
        <v>8</v>
      </c>
      <c r="L13" s="2" t="s">
        <v>8</v>
      </c>
      <c r="M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A2" sqref="$A2:$XFD8"/>
    </sheetView>
  </sheetViews>
  <sheetFormatPr defaultColWidth="8.72727272727273" defaultRowHeight="13" outlineLevelRow="7"/>
  <cols>
    <col min="7" max="7" width="24.6363636363636" customWidth="1"/>
  </cols>
  <sheetData>
    <row r="1" spans="1:11">
      <c r="A1" t="s">
        <v>0</v>
      </c>
      <c r="B1" t="s">
        <v>15</v>
      </c>
      <c r="C1" t="s">
        <v>16</v>
      </c>
      <c r="D1" t="s">
        <v>17</v>
      </c>
      <c r="E1" s="1" t="s">
        <v>18</v>
      </c>
      <c r="F1" t="s">
        <v>19</v>
      </c>
      <c r="G1" s="1" t="s">
        <v>18</v>
      </c>
      <c r="H1" t="s">
        <v>20</v>
      </c>
      <c r="I1" t="s">
        <v>21</v>
      </c>
      <c r="J1" t="s">
        <v>22</v>
      </c>
      <c r="K1" t="s">
        <v>23</v>
      </c>
    </row>
    <row r="2" spans="1:11">
      <c r="A2">
        <v>70</v>
      </c>
      <c r="B2">
        <v>6</v>
      </c>
      <c r="C2">
        <v>8</v>
      </c>
      <c r="D2">
        <v>3010</v>
      </c>
      <c r="F2">
        <v>2010</v>
      </c>
      <c r="G2" t="str">
        <f>INDEX([1]Define!E:E,MATCH(F2,[1]Define!D:D))</f>
        <v>ダンジョンから出る</v>
      </c>
      <c r="H2">
        <v>0</v>
      </c>
      <c r="I2">
        <v>0</v>
      </c>
      <c r="J2">
        <v>0</v>
      </c>
      <c r="K2" t="b">
        <v>0</v>
      </c>
    </row>
    <row r="3" spans="1:11">
      <c r="A3">
        <v>70</v>
      </c>
      <c r="B3">
        <v>6</v>
      </c>
      <c r="C3">
        <v>4</v>
      </c>
      <c r="D3">
        <v>3010</v>
      </c>
      <c r="F3">
        <v>2020</v>
      </c>
      <c r="G3" t="str">
        <f>INDEX([1]Define!E:E,MATCH(F3,[1]Define!D:D))</f>
        <v>ダンジョン移動</v>
      </c>
      <c r="H3">
        <v>71</v>
      </c>
      <c r="I3">
        <v>12</v>
      </c>
      <c r="J3">
        <v>12</v>
      </c>
      <c r="K3" t="b">
        <v>0</v>
      </c>
    </row>
    <row r="4" spans="1:11">
      <c r="A4">
        <v>70</v>
      </c>
      <c r="B4">
        <v>2</v>
      </c>
      <c r="C4">
        <v>6</v>
      </c>
      <c r="D4">
        <v>3010</v>
      </c>
      <c r="F4">
        <v>2020</v>
      </c>
      <c r="G4" t="str">
        <f>INDEX([1]Define!E:E,MATCH(F4,[1]Define!D:D))</f>
        <v>ダンジョン移動</v>
      </c>
      <c r="H4">
        <v>71</v>
      </c>
      <c r="I4">
        <v>8</v>
      </c>
      <c r="J4">
        <v>14</v>
      </c>
      <c r="K4" t="b">
        <v>0</v>
      </c>
    </row>
    <row r="5" spans="1:11">
      <c r="A5">
        <v>70</v>
      </c>
      <c r="B5">
        <v>3</v>
      </c>
      <c r="C5">
        <v>6</v>
      </c>
      <c r="D5">
        <v>3010</v>
      </c>
      <c r="F5">
        <v>1010</v>
      </c>
      <c r="G5" t="str">
        <f>INDEX([1]Define!E:E,MATCH(F5,[1]Define!D:D))</f>
        <v>Adv再生</v>
      </c>
      <c r="H5">
        <v>140</v>
      </c>
      <c r="I5">
        <v>0</v>
      </c>
      <c r="J5">
        <v>0</v>
      </c>
      <c r="K5" t="b">
        <v>1</v>
      </c>
    </row>
    <row r="6" spans="1:11">
      <c r="A6">
        <v>70</v>
      </c>
      <c r="B6">
        <v>3</v>
      </c>
      <c r="C6">
        <v>6</v>
      </c>
      <c r="D6">
        <v>3010</v>
      </c>
      <c r="F6">
        <v>6010</v>
      </c>
      <c r="G6" t="str">
        <f>INDEX([1]Define!E:E,MATCH(F6,[1]Define!D:D))</f>
        <v>指定のイベントマスを消す</v>
      </c>
      <c r="H6">
        <v>46</v>
      </c>
      <c r="I6">
        <v>0</v>
      </c>
      <c r="J6">
        <v>0</v>
      </c>
      <c r="K6" t="b">
        <v>1</v>
      </c>
    </row>
    <row r="7" spans="1:11">
      <c r="A7">
        <v>70</v>
      </c>
      <c r="B7">
        <v>4</v>
      </c>
      <c r="C7">
        <v>6</v>
      </c>
      <c r="D7">
        <v>3010</v>
      </c>
      <c r="F7">
        <v>0</v>
      </c>
      <c r="H7">
        <v>46</v>
      </c>
      <c r="I7">
        <v>0</v>
      </c>
      <c r="J7">
        <v>0</v>
      </c>
      <c r="K7" t="b">
        <v>1</v>
      </c>
    </row>
    <row r="8" spans="1:11">
      <c r="A8">
        <v>70</v>
      </c>
      <c r="B8">
        <v>3</v>
      </c>
      <c r="C8">
        <v>6</v>
      </c>
      <c r="D8">
        <v>3010</v>
      </c>
      <c r="F8">
        <v>9010</v>
      </c>
      <c r="G8" t="str">
        <f>INDEX([1]Define!E:E,MATCH(F8,[1]Define!D:D))</f>
        <v>イベント終了明示</v>
      </c>
      <c r="H8">
        <v>0</v>
      </c>
      <c r="I8">
        <v>0</v>
      </c>
      <c r="J8">
        <v>0</v>
      </c>
      <c r="K8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2026-01-06T10:36:22Z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2E3622C9CFC04301AB34AF26463F41F7</vt:lpwstr>
  </property>
</Properties>
</file>