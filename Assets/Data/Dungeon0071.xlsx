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<sst xmlns="http://schemas.openxmlformats.org/spreadsheetml/2006/main" count="479" uniqueCount="23">
  <si>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</si>
  <si>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</si>
  <si>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</si>
  <si>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</si>
  <si>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</si>
  <si>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</si>
  <si>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</si>
  <si>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</si>
  <si>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</si>
  <si>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</si>
  <si>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</si>
  <si>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</si>
  <si>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DrS</t>
  </si>
  <si>
    <t>Mg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</si>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</sst>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5" fillId="3" borderId="4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8" fillId="3" borderId="2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C2" sqref="C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71</v>
      </c>
      <c r="B2">
        <v>71</v>
      </c>
      <c r="C2">
        <v>1</v>
      </c>
      <c r="D2">
        <v>16</v>
      </c>
      <c r="E2">
        <v>16</v>
      </c>
      <c r="F2">
        <v>6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16" sqref="I1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10</v>
      </c>
      <c r="E4" s="2"/>
      <c r="F4" s="2"/>
      <c r="G4" s="2"/>
      <c r="H4" s="2"/>
      <c r="I4" s="2"/>
      <c r="J4" s="2"/>
      <c r="K4" s="2" t="s">
        <v>9</v>
      </c>
      <c r="L4" s="2" t="s">
        <v>9</v>
      </c>
      <c r="M4" s="2" t="s">
        <v>9</v>
      </c>
      <c r="N4" s="2" t="s">
        <v>9</v>
      </c>
      <c r="O4" s="2" t="s">
        <v>11</v>
      </c>
      <c r="P4" s="2"/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/>
      <c r="K5" s="2"/>
      <c r="L5" s="2" t="s">
        <v>12</v>
      </c>
      <c r="M5" s="2"/>
      <c r="N5" s="2"/>
      <c r="O5" s="2"/>
      <c r="P5" s="2"/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11</v>
      </c>
      <c r="P6" s="2"/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 t="s">
        <v>9</v>
      </c>
      <c r="P7" s="2"/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8</v>
      </c>
      <c r="N8" s="2" t="s">
        <v>8</v>
      </c>
      <c r="O8" s="2" t="s">
        <v>9</v>
      </c>
      <c r="P8" s="2"/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8</v>
      </c>
      <c r="N9" s="2" t="s">
        <v>8</v>
      </c>
      <c r="O9" s="2" t="s">
        <v>9</v>
      </c>
      <c r="P9" s="2"/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 t="s">
        <v>9</v>
      </c>
      <c r="P10" s="2"/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/>
      <c r="O11" s="2"/>
      <c r="P11" s="2"/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9</v>
      </c>
      <c r="N12" s="2"/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9</v>
      </c>
      <c r="N14" s="2" t="s">
        <v>10</v>
      </c>
      <c r="O14" s="2" t="s">
        <v>9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10</v>
      </c>
      <c r="G16" s="2"/>
      <c r="H16" s="2"/>
      <c r="I16" s="2"/>
      <c r="J16" s="2" t="s">
        <v>10</v>
      </c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N14" sqref="N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10</v>
      </c>
      <c r="E4" s="2"/>
      <c r="F4" s="2"/>
      <c r="G4" s="2"/>
      <c r="H4" s="2"/>
      <c r="I4" s="2"/>
      <c r="J4" s="2"/>
      <c r="K4" s="2" t="s">
        <v>9</v>
      </c>
      <c r="L4" s="2" t="s">
        <v>9</v>
      </c>
      <c r="M4" s="2" t="s">
        <v>9</v>
      </c>
      <c r="N4" s="2"/>
      <c r="O4" s="2" t="s">
        <v>11</v>
      </c>
      <c r="P4" s="2"/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/>
      <c r="K5" s="2"/>
      <c r="L5" s="2"/>
      <c r="M5" s="2" t="s">
        <v>12</v>
      </c>
      <c r="N5" s="2" t="s">
        <v>11</v>
      </c>
      <c r="O5" s="2"/>
      <c r="P5" s="2"/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/>
      <c r="O6" s="2" t="s">
        <v>11</v>
      </c>
      <c r="P6" s="2"/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 t="s">
        <v>9</v>
      </c>
      <c r="P7" s="2"/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8</v>
      </c>
      <c r="N8" s="2" t="s">
        <v>8</v>
      </c>
      <c r="O8" s="2" t="s">
        <v>9</v>
      </c>
      <c r="P8" s="2"/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8</v>
      </c>
      <c r="N9" s="2" t="s">
        <v>8</v>
      </c>
      <c r="O9" s="2" t="s">
        <v>9</v>
      </c>
      <c r="P9" s="2"/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 t="s">
        <v>9</v>
      </c>
      <c r="P10" s="2"/>
      <c r="Q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/>
      <c r="O11" s="2"/>
      <c r="P11" s="2"/>
      <c r="Q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9</v>
      </c>
      <c r="N12" s="2"/>
      <c r="O12" s="2" t="s">
        <v>9</v>
      </c>
      <c r="P12" s="2" t="s">
        <v>9</v>
      </c>
      <c r="Q12" s="2" t="s">
        <v>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9</v>
      </c>
      <c r="N14" s="2" t="s">
        <v>10</v>
      </c>
      <c r="O14" s="2" t="s">
        <v>9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10</v>
      </c>
      <c r="G16" s="2"/>
      <c r="H16" s="2"/>
      <c r="I16" s="2" t="s">
        <v>13</v>
      </c>
      <c r="J16" s="2" t="s">
        <v>10</v>
      </c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A2" sqref="$A2:$XFD13"/>
    </sheetView>
  </sheetViews>
  <sheetFormatPr defaultColWidth="8.72727272727273" defaultRowHeight="13"/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71</v>
      </c>
      <c r="B2">
        <v>12</v>
      </c>
      <c r="C2">
        <v>12</v>
      </c>
      <c r="D2">
        <v>3010</v>
      </c>
      <c r="F2">
        <v>2020</v>
      </c>
      <c r="G2" t="str">
        <f>INDEX([1]Define!E:E,MATCH(F2,[1]Define!D:D))</f>
        <v>ダンジョン移動</v>
      </c>
      <c r="H2">
        <v>70</v>
      </c>
      <c r="I2">
        <v>6</v>
      </c>
      <c r="J2">
        <v>4</v>
      </c>
      <c r="K2" t="b">
        <v>0</v>
      </c>
    </row>
    <row r="3" spans="1:11">
      <c r="A3">
        <v>71</v>
      </c>
      <c r="B3">
        <v>2</v>
      </c>
      <c r="C3">
        <v>2</v>
      </c>
      <c r="D3">
        <v>3010</v>
      </c>
      <c r="F3">
        <v>2020</v>
      </c>
      <c r="G3" t="str">
        <f>INDEX([1]Define!E:E,MATCH(F3,[1]Define!D:D))</f>
        <v>ダンジョン移動</v>
      </c>
      <c r="H3">
        <v>72</v>
      </c>
      <c r="I3">
        <v>14</v>
      </c>
      <c r="J3">
        <v>2</v>
      </c>
      <c r="K3" t="b">
        <v>0</v>
      </c>
    </row>
    <row r="4" spans="1:11">
      <c r="A4">
        <v>71</v>
      </c>
      <c r="B4">
        <v>4</v>
      </c>
      <c r="C4">
        <v>14</v>
      </c>
      <c r="D4">
        <v>3010</v>
      </c>
      <c r="F4">
        <v>2020</v>
      </c>
      <c r="G4" t="str">
        <f>INDEX([1]Define!E:E,MATCH(F4,[1]Define!D:D))</f>
        <v>ダンジョン移動</v>
      </c>
      <c r="H4">
        <v>72</v>
      </c>
      <c r="I4">
        <v>6</v>
      </c>
      <c r="J4">
        <v>13</v>
      </c>
      <c r="K4" t="b">
        <v>0</v>
      </c>
    </row>
    <row r="5" spans="1:11">
      <c r="A5">
        <v>71</v>
      </c>
      <c r="B5">
        <v>8</v>
      </c>
      <c r="C5">
        <v>14</v>
      </c>
      <c r="D5">
        <v>3010</v>
      </c>
      <c r="F5">
        <v>2020</v>
      </c>
      <c r="G5" t="str">
        <f>INDEX([1]Define!E:E,MATCH(F5,[1]Define!D:D))</f>
        <v>ダンジョン移動</v>
      </c>
      <c r="H5">
        <v>70</v>
      </c>
      <c r="I5">
        <v>2</v>
      </c>
      <c r="J5">
        <v>6</v>
      </c>
      <c r="K5" t="b">
        <v>0</v>
      </c>
    </row>
    <row r="6" spans="1:11">
      <c r="A6">
        <v>71</v>
      </c>
      <c r="B6">
        <v>13</v>
      </c>
      <c r="C6">
        <v>2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0</v>
      </c>
      <c r="J6">
        <v>0</v>
      </c>
      <c r="K6" t="b">
        <v>1</v>
      </c>
    </row>
    <row r="7" spans="1:11">
      <c r="A7">
        <v>71</v>
      </c>
      <c r="B7">
        <v>13</v>
      </c>
      <c r="C7">
        <v>4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0</v>
      </c>
      <c r="J7">
        <v>0</v>
      </c>
      <c r="K7" t="b">
        <v>1</v>
      </c>
    </row>
    <row r="8" spans="1:11">
      <c r="A8">
        <v>71</v>
      </c>
      <c r="B8">
        <v>12</v>
      </c>
      <c r="C8">
        <v>3</v>
      </c>
      <c r="D8">
        <v>3010</v>
      </c>
      <c r="F8">
        <v>6020</v>
      </c>
      <c r="G8" t="str">
        <f>INDEX([1]Define!E:E,MATCH(F8,[1]Define!D:D))</f>
        <v>同フロアの強制戦闘が終わってたらイベントマスを消す</v>
      </c>
      <c r="H8">
        <v>103</v>
      </c>
      <c r="I8">
        <v>0</v>
      </c>
      <c r="J8">
        <v>0</v>
      </c>
      <c r="K8" t="b">
        <v>1</v>
      </c>
    </row>
    <row r="9" spans="1:11">
      <c r="A9">
        <v>71</v>
      </c>
      <c r="B9">
        <v>10</v>
      </c>
      <c r="C9">
        <v>3</v>
      </c>
      <c r="D9">
        <v>3010</v>
      </c>
      <c r="F9">
        <v>0</v>
      </c>
      <c r="H9">
        <v>103</v>
      </c>
      <c r="I9">
        <v>0</v>
      </c>
      <c r="J9">
        <v>0</v>
      </c>
      <c r="K9" t="b">
        <v>1</v>
      </c>
    </row>
    <row r="10" spans="1:11">
      <c r="A10">
        <v>71</v>
      </c>
      <c r="B10">
        <v>12</v>
      </c>
      <c r="C10">
        <v>3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0</v>
      </c>
    </row>
    <row r="11" spans="1:11">
      <c r="A11">
        <v>71</v>
      </c>
      <c r="B11">
        <v>13</v>
      </c>
      <c r="C11">
        <v>3</v>
      </c>
      <c r="D11">
        <v>3010</v>
      </c>
      <c r="F11">
        <v>6020</v>
      </c>
      <c r="G11" t="str">
        <f>INDEX([1]Define!E:E,MATCH(F11,[1]Define!D:D))</f>
        <v>同フロアの強制戦闘が終わってたらイベントマスを消す</v>
      </c>
      <c r="H11">
        <v>103</v>
      </c>
      <c r="I11">
        <v>0</v>
      </c>
      <c r="J11">
        <v>0</v>
      </c>
      <c r="K11" t="b">
        <v>1</v>
      </c>
    </row>
    <row r="12" spans="1:11">
      <c r="A12">
        <v>71</v>
      </c>
      <c r="B12">
        <v>10</v>
      </c>
      <c r="C12">
        <v>3</v>
      </c>
      <c r="D12">
        <v>3010</v>
      </c>
      <c r="F12">
        <v>0</v>
      </c>
      <c r="H12">
        <v>103</v>
      </c>
      <c r="I12">
        <v>0</v>
      </c>
      <c r="J12">
        <v>0</v>
      </c>
      <c r="K12" t="b">
        <v>1</v>
      </c>
    </row>
    <row r="13" spans="1:11">
      <c r="A13">
        <v>71</v>
      </c>
      <c r="B13">
        <v>13</v>
      </c>
      <c r="C13">
        <v>3</v>
      </c>
      <c r="D13">
        <v>3010</v>
      </c>
      <c r="F13">
        <v>9010</v>
      </c>
      <c r="G13" t="str">
        <f>INDEX([1]Define!E:E,MATCH(F13,[1]Define!D:D))</f>
        <v>イベント終了明示</v>
      </c>
      <c r="H13">
        <v>0</v>
      </c>
      <c r="I13">
        <v>0</v>
      </c>
      <c r="J13">
        <v>0</v>
      </c>
      <c r="K13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