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<sst xmlns="http://schemas.openxmlformats.org/spreadsheetml/2006/main" count="383" uniqueCount="22">
  <si>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</si>
  <si>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</si>
  <si>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</si>
  <si>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</si>
  <si>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</si>
  <si>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</si>
  <si>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</si>
  <si>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</si>
  <si>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</si>
  <si>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</si>
  <si>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Tr:D1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</si>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</sst>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17" borderId="2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1020</v>
      </c>
      <c r="B2">
        <v>1020</v>
      </c>
      <c r="C2">
        <v>1</v>
      </c>
      <c r="D2">
        <v>15</v>
      </c>
      <c r="E2">
        <v>15</v>
      </c>
      <c r="F2">
        <v>7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6" sqref="K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13" sqref="P13:P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zoomScale="110" zoomScaleNormal="110" workbookViewId="0">
      <selection activeCell="F3" sqref="F3"/>
    </sheetView>
  </sheetViews>
  <sheetFormatPr defaultColWidth="8.72727272727273" defaultRowHeight="13" outlineLevelRow="5"/>
  <cols>
    <col min="6" max="6" width="6.54545454545455" customWidth="1"/>
    <col min="7" max="7" width="18.0909090909091" customWidth="1"/>
  </cols>
  <sheetData>
    <row r="1" spans="1:11">
      <c r="A1" t="s">
        <v>0</v>
      </c>
      <c r="B1" t="s">
        <v>13</v>
      </c>
      <c r="C1" t="s">
        <v>14</v>
      </c>
      <c r="D1" t="s">
        <v>15</v>
      </c>
      <c r="E1" s="1" t="s">
        <v>16</v>
      </c>
      <c r="F1" t="s">
        <v>17</v>
      </c>
      <c r="G1" s="1" t="s">
        <v>16</v>
      </c>
      <c r="H1" t="s">
        <v>18</v>
      </c>
      <c r="I1" t="s">
        <v>19</v>
      </c>
      <c r="J1" t="s">
        <v>20</v>
      </c>
      <c r="K1" t="s">
        <v>21</v>
      </c>
    </row>
    <row r="2" spans="1:11">
      <c r="A2">
        <v>1020</v>
      </c>
      <c r="B2">
        <v>7</v>
      </c>
      <c r="C2">
        <v>8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1020</v>
      </c>
      <c r="B3">
        <v>12</v>
      </c>
      <c r="C3">
        <v>12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2100</v>
      </c>
      <c r="I3">
        <v>0</v>
      </c>
      <c r="J3">
        <v>0</v>
      </c>
      <c r="K3" t="b">
        <v>1</v>
      </c>
    </row>
    <row r="4" spans="1:11">
      <c r="A4">
        <v>1020</v>
      </c>
      <c r="B4">
        <v>2</v>
      </c>
      <c r="C4">
        <v>1</v>
      </c>
      <c r="D4">
        <v>3010</v>
      </c>
      <c r="F4">
        <v>3020</v>
      </c>
      <c r="G4" t="str">
        <f>INDEX([1]Define!E:E,MATCH(F4,[1]Define!D:D))</f>
        <v>アイテム取得</v>
      </c>
      <c r="H4">
        <v>4110</v>
      </c>
      <c r="I4">
        <v>0</v>
      </c>
      <c r="J4">
        <v>0</v>
      </c>
      <c r="K4" t="b">
        <v>1</v>
      </c>
    </row>
    <row r="5" spans="1:11">
      <c r="A5">
        <v>1020</v>
      </c>
      <c r="B5">
        <v>9</v>
      </c>
      <c r="C5">
        <v>4</v>
      </c>
      <c r="D5">
        <v>3010</v>
      </c>
      <c r="F5">
        <v>3020</v>
      </c>
      <c r="G5" t="str">
        <f>INDEX([1]Define!E:E,MATCH(F5,[1]Define!D:D))</f>
        <v>アイテム取得</v>
      </c>
      <c r="H5">
        <v>4120</v>
      </c>
      <c r="I5">
        <v>0</v>
      </c>
      <c r="J5">
        <v>0</v>
      </c>
      <c r="K5" t="b">
        <v>1</v>
      </c>
    </row>
    <row r="6" spans="1:11">
      <c r="A6">
        <v>1020</v>
      </c>
      <c r="B6">
        <v>10</v>
      </c>
      <c r="C6">
        <v>12</v>
      </c>
      <c r="D6">
        <v>3010</v>
      </c>
      <c r="F6">
        <v>3020</v>
      </c>
      <c r="G6" t="str">
        <f>INDEX([1]Define!E:E,MATCH(F6,[1]Define!D:D))</f>
        <v>アイテム取得</v>
      </c>
      <c r="H6">
        <v>4130</v>
      </c>
      <c r="I6">
        <v>0</v>
      </c>
      <c r="J6">
        <v>0</v>
      </c>
      <c r="K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2026-10-02T14:14:01Z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