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<sst xmlns="http://schemas.openxmlformats.org/spreadsheetml/2006/main" count="727" uniqueCount="25">
  <si>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</si>
  <si>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</si>
  <si>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</si>
  <si>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</si>
  <si>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</si>
  <si>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</si>
  <si>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</si>
  <si>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</si>
  <si>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</si>
  <si>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</si>
  <si>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Mg</t>
  </si>
  <si>
    <t>Un</t>
  </si>
  <si>
    <t>Ev</t>
  </si>
  <si>
    <t>Ba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</si>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</sst>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0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9" fillId="19" borderId="7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8" borderId="4" applyNumberForma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zoomScale="110" zoomScaleNormal="110" workbookViewId="0">
      <selection activeCell="G2" sqref="G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2010</v>
      </c>
      <c r="B2">
        <v>2010</v>
      </c>
      <c r="C2">
        <v>1</v>
      </c>
      <c r="D2">
        <v>16</v>
      </c>
      <c r="E2">
        <v>24</v>
      </c>
      <c r="F2">
        <v>7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8" sqref="I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9</v>
      </c>
      <c r="I7" s="2" t="s">
        <v>9</v>
      </c>
      <c r="J7" s="2" t="s">
        <v>9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10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/>
      <c r="I9" s="2"/>
      <c r="J9" s="2"/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11</v>
      </c>
      <c r="J10" s="2" t="s">
        <v>9</v>
      </c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/>
      <c r="I11" s="2"/>
      <c r="J11" s="2"/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12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13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/>
      <c r="G15" s="2"/>
      <c r="H15" s="2"/>
      <c r="I15" s="2"/>
      <c r="J15" s="2"/>
      <c r="K15" s="2"/>
      <c r="L15" s="2"/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/>
      <c r="G16" s="2" t="s">
        <v>13</v>
      </c>
      <c r="H16" s="2"/>
      <c r="I16" s="2"/>
      <c r="J16" s="2"/>
      <c r="K16" s="2" t="s">
        <v>13</v>
      </c>
      <c r="L16" s="2"/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/>
      <c r="G17" s="2"/>
      <c r="H17" s="2"/>
      <c r="I17" s="2"/>
      <c r="J17" s="2"/>
      <c r="K17" s="2"/>
      <c r="L17" s="2"/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/>
      <c r="I18" s="2"/>
      <c r="J18" s="2"/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/>
      <c r="I19" s="2"/>
      <c r="J19" s="2"/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/>
      <c r="G20" s="2"/>
      <c r="H20" s="2"/>
      <c r="I20" s="2"/>
      <c r="J20" s="2"/>
      <c r="K20" s="2"/>
      <c r="L20" s="2"/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/>
      <c r="G21" s="2" t="s">
        <v>13</v>
      </c>
      <c r="H21" s="2"/>
      <c r="I21" s="2"/>
      <c r="J21" s="2"/>
      <c r="K21" s="2" t="s">
        <v>13</v>
      </c>
      <c r="L21" s="2"/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/>
      <c r="G22" s="2"/>
      <c r="H22" s="2"/>
      <c r="I22" s="2"/>
      <c r="J22" s="2"/>
      <c r="K22" s="2"/>
      <c r="L22" s="2"/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9" sqref="H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9</v>
      </c>
      <c r="I7" s="2" t="s">
        <v>9</v>
      </c>
      <c r="J7" s="2" t="s">
        <v>9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/>
      <c r="I9" s="2"/>
      <c r="J9" s="2"/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14</v>
      </c>
      <c r="J10" s="2" t="s">
        <v>9</v>
      </c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14</v>
      </c>
      <c r="I11" s="2" t="s">
        <v>14</v>
      </c>
      <c r="J11" s="2" t="s">
        <v>14</v>
      </c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12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13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15</v>
      </c>
      <c r="G15" s="2" t="s">
        <v>15</v>
      </c>
      <c r="H15" s="2" t="s">
        <v>15</v>
      </c>
      <c r="I15" s="2" t="s">
        <v>15</v>
      </c>
      <c r="J15" s="2" t="s">
        <v>15</v>
      </c>
      <c r="K15" s="2" t="s">
        <v>15</v>
      </c>
      <c r="L15" s="2" t="s">
        <v>15</v>
      </c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 t="s">
        <v>15</v>
      </c>
      <c r="G16" s="2" t="s">
        <v>15</v>
      </c>
      <c r="H16" s="2" t="s">
        <v>15</v>
      </c>
      <c r="I16" s="2" t="s">
        <v>15</v>
      </c>
      <c r="J16" s="2" t="s">
        <v>15</v>
      </c>
      <c r="K16" s="2" t="s">
        <v>15</v>
      </c>
      <c r="L16" s="2" t="s">
        <v>15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 t="s">
        <v>15</v>
      </c>
      <c r="G17" s="2" t="s">
        <v>15</v>
      </c>
      <c r="H17" s="2" t="s">
        <v>15</v>
      </c>
      <c r="I17" s="2" t="s">
        <v>15</v>
      </c>
      <c r="J17" s="2" t="s">
        <v>15</v>
      </c>
      <c r="K17" s="2" t="s">
        <v>15</v>
      </c>
      <c r="L17" s="2" t="s">
        <v>15</v>
      </c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 t="s">
        <v>15</v>
      </c>
      <c r="I18" s="2" t="s">
        <v>15</v>
      </c>
      <c r="J18" s="2" t="s">
        <v>15</v>
      </c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 t="s">
        <v>15</v>
      </c>
      <c r="I19" s="2" t="s">
        <v>15</v>
      </c>
      <c r="J19" s="2" t="s">
        <v>15</v>
      </c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 t="s">
        <v>15</v>
      </c>
      <c r="G20" s="2" t="s">
        <v>15</v>
      </c>
      <c r="H20" s="2" t="s">
        <v>15</v>
      </c>
      <c r="I20" s="2" t="s">
        <v>15</v>
      </c>
      <c r="J20" s="2" t="s">
        <v>15</v>
      </c>
      <c r="K20" s="2" t="s">
        <v>15</v>
      </c>
      <c r="L20" s="2" t="s">
        <v>15</v>
      </c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 t="s">
        <v>15</v>
      </c>
      <c r="G21" s="2" t="s">
        <v>15</v>
      </c>
      <c r="H21" s="2" t="s">
        <v>15</v>
      </c>
      <c r="I21" s="2" t="s">
        <v>15</v>
      </c>
      <c r="J21" s="2" t="s">
        <v>15</v>
      </c>
      <c r="K21" s="2" t="s">
        <v>15</v>
      </c>
      <c r="L21" s="2" t="s">
        <v>15</v>
      </c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 t="s">
        <v>15</v>
      </c>
      <c r="G22" s="2" t="s">
        <v>15</v>
      </c>
      <c r="H22" s="2" t="s">
        <v>15</v>
      </c>
      <c r="I22" s="2" t="s">
        <v>15</v>
      </c>
      <c r="J22" s="2" t="s">
        <v>15</v>
      </c>
      <c r="K22" s="2" t="s">
        <v>15</v>
      </c>
      <c r="L22" s="2" t="s">
        <v>15</v>
      </c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tabSelected="1" zoomScale="110" zoomScaleNormal="110" workbookViewId="0">
      <selection activeCell="H5" sqref="H5"/>
    </sheetView>
  </sheetViews>
  <sheetFormatPr defaultColWidth="8.72727272727273" defaultRowHeight="13"/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2010</v>
      </c>
      <c r="B2">
        <v>7</v>
      </c>
      <c r="C2">
        <v>8</v>
      </c>
      <c r="D2">
        <v>3010</v>
      </c>
      <c r="F2">
        <v>5020</v>
      </c>
      <c r="G2" t="str">
        <f>INDEX([1]Define!E:E,MATCH(F2,[1]Define!D:D))</f>
        <v>強制ボス戦闘</v>
      </c>
      <c r="H2">
        <v>20010</v>
      </c>
      <c r="I2">
        <v>60010</v>
      </c>
      <c r="J2">
        <v>0</v>
      </c>
      <c r="K2" t="b">
        <v>1</v>
      </c>
    </row>
    <row r="3" spans="1:11">
      <c r="A3">
        <v>2010</v>
      </c>
      <c r="B3">
        <v>7</v>
      </c>
      <c r="C3">
        <v>10</v>
      </c>
      <c r="D3">
        <v>3010</v>
      </c>
      <c r="F3">
        <v>1010</v>
      </c>
      <c r="G3" t="str">
        <f>INDEX([1]Define!E:E,MATCH(F3,[1]Define!D:D))</f>
        <v>Adv再生</v>
      </c>
      <c r="H3">
        <v>150</v>
      </c>
      <c r="I3">
        <v>0</v>
      </c>
      <c r="J3">
        <v>0</v>
      </c>
      <c r="K3" t="b">
        <v>1</v>
      </c>
    </row>
    <row r="4" spans="1:11">
      <c r="A4">
        <v>2010</v>
      </c>
      <c r="B4">
        <v>7</v>
      </c>
      <c r="C4">
        <v>10</v>
      </c>
      <c r="D4">
        <v>3010</v>
      </c>
      <c r="F4">
        <v>9010</v>
      </c>
      <c r="G4" t="str">
        <f>INDEX([1]Define!E:E,MATCH(F4,[1]Define!D:D))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2010</v>
      </c>
      <c r="B5">
        <v>7</v>
      </c>
      <c r="C5">
        <v>6</v>
      </c>
      <c r="D5">
        <v>3010</v>
      </c>
      <c r="F5">
        <v>1010</v>
      </c>
      <c r="G5" t="str">
        <f>INDEX([1]Define!E:E,MATCH(F5,[1]Define!D:D))</f>
        <v>Adv再生</v>
      </c>
      <c r="H5">
        <v>12010</v>
      </c>
      <c r="I5">
        <v>0</v>
      </c>
      <c r="J5">
        <v>0</v>
      </c>
      <c r="K5" t="b">
        <v>1</v>
      </c>
    </row>
    <row r="6" spans="1:11">
      <c r="A6">
        <v>2010</v>
      </c>
      <c r="B6">
        <v>7</v>
      </c>
      <c r="C6">
        <v>6</v>
      </c>
      <c r="D6">
        <v>3010</v>
      </c>
      <c r="F6">
        <v>9010</v>
      </c>
      <c r="G6" t="str">
        <f>INDEX([1]Define!E:E,MATCH(F6,[1]Define!D:D))</f>
        <v>イベント終了明示</v>
      </c>
      <c r="H6">
        <v>0</v>
      </c>
      <c r="I6">
        <v>0</v>
      </c>
      <c r="J6">
        <v>0</v>
      </c>
      <c r="K6" t="b">
        <v>0</v>
      </c>
    </row>
    <row r="7" spans="1:11">
      <c r="A7">
        <v>2010</v>
      </c>
      <c r="B7">
        <v>7</v>
      </c>
      <c r="C7">
        <v>12</v>
      </c>
      <c r="D7">
        <v>3010</v>
      </c>
      <c r="F7">
        <v>5010</v>
      </c>
      <c r="G7" t="str">
        <f>INDEX([1]Define!E:E,MATCH(F7,[1]Define!D:D))</f>
        <v>強制戦闘</v>
      </c>
      <c r="H7">
        <v>-1</v>
      </c>
      <c r="I7">
        <v>60010</v>
      </c>
      <c r="J7">
        <v>0</v>
      </c>
      <c r="K7" t="b">
        <v>1</v>
      </c>
    </row>
    <row r="8" spans="1:11">
      <c r="A8">
        <v>2010</v>
      </c>
      <c r="B8">
        <v>5</v>
      </c>
      <c r="C8">
        <v>14</v>
      </c>
      <c r="D8">
        <v>3010</v>
      </c>
      <c r="F8">
        <v>5010</v>
      </c>
      <c r="G8" t="str">
        <f>INDEX([1]Define!E:E,MATCH(F8,[1]Define!D:D))</f>
        <v>強制戦闘</v>
      </c>
      <c r="H8">
        <v>-1</v>
      </c>
      <c r="I8">
        <v>60010</v>
      </c>
      <c r="J8">
        <v>0</v>
      </c>
      <c r="K8" t="b">
        <v>1</v>
      </c>
    </row>
    <row r="9" spans="1:11">
      <c r="A9">
        <v>2010</v>
      </c>
      <c r="B9">
        <v>5</v>
      </c>
      <c r="C9">
        <v>19</v>
      </c>
      <c r="D9">
        <v>3010</v>
      </c>
      <c r="F9">
        <v>5010</v>
      </c>
      <c r="G9" t="str">
        <f>INDEX([1]Define!E:E,MATCH(F9,[1]Define!D:D))</f>
        <v>強制戦闘</v>
      </c>
      <c r="H9">
        <v>-1</v>
      </c>
      <c r="I9">
        <v>60010</v>
      </c>
      <c r="J9">
        <v>0</v>
      </c>
      <c r="K9" t="b">
        <v>1</v>
      </c>
    </row>
    <row r="10" spans="1:11">
      <c r="A10">
        <v>2010</v>
      </c>
      <c r="B10">
        <v>9</v>
      </c>
      <c r="C10">
        <v>14</v>
      </c>
      <c r="D10">
        <v>3010</v>
      </c>
      <c r="F10">
        <v>5010</v>
      </c>
      <c r="G10" t="str">
        <f>INDEX([1]Define!E:E,MATCH(F10,[1]Define!D:D))</f>
        <v>強制戦闘</v>
      </c>
      <c r="H10">
        <v>-1</v>
      </c>
      <c r="I10">
        <v>60010</v>
      </c>
      <c r="J10">
        <v>0</v>
      </c>
      <c r="K10" t="b">
        <v>1</v>
      </c>
    </row>
    <row r="11" spans="1:11">
      <c r="A11">
        <v>2010</v>
      </c>
      <c r="B11">
        <v>9</v>
      </c>
      <c r="C11">
        <v>19</v>
      </c>
      <c r="D11">
        <v>3010</v>
      </c>
      <c r="F11">
        <v>5010</v>
      </c>
      <c r="G11" t="str">
        <f>INDEX([1]Define!E:E,MATCH(F11,[1]Define!D:D))</f>
        <v>強制戦闘</v>
      </c>
      <c r="H11">
        <v>-1</v>
      </c>
      <c r="I11">
        <v>60010</v>
      </c>
      <c r="J11">
        <v>0</v>
      </c>
      <c r="K11" t="b">
        <v>1</v>
      </c>
    </row>
    <row r="12" spans="1:11">
      <c r="A12">
        <v>2010</v>
      </c>
      <c r="B12">
        <v>7</v>
      </c>
      <c r="C12">
        <v>20</v>
      </c>
      <c r="D12">
        <v>3010</v>
      </c>
      <c r="F12">
        <v>8010</v>
      </c>
      <c r="G12" t="str">
        <f>INDEX([1]Define!E:E,MATCH(F12,[1]Define!D:D))</f>
        <v>指定リージョンを開示する</v>
      </c>
      <c r="H12">
        <v>1</v>
      </c>
      <c r="I12">
        <v>0</v>
      </c>
      <c r="J12">
        <v>0</v>
      </c>
      <c r="K12" t="b">
        <v>0</v>
      </c>
    </row>
    <row r="13" spans="1:11">
      <c r="A13">
        <v>2010</v>
      </c>
      <c r="B13">
        <v>7</v>
      </c>
      <c r="C13">
        <v>9</v>
      </c>
      <c r="D13">
        <v>3010</v>
      </c>
      <c r="F13">
        <v>8010</v>
      </c>
      <c r="G13" t="str">
        <f>INDEX([1]Define!E:E,MATCH(F13,[1]Define!D:D))</f>
        <v>指定リージョンを開示する</v>
      </c>
      <c r="H13">
        <v>2</v>
      </c>
      <c r="I13">
        <v>0</v>
      </c>
      <c r="J13">
        <v>0</v>
      </c>
      <c r="K13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2026-07-01T00:12:19Z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