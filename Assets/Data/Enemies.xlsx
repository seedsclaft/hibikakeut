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<sst xmlns="http://schemas.openxmlformats.org/spreadsheetml/2006/main" count="169" uniqueCount="144">
  <si>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</si>
  <si>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</si>
  <si>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</si>
  <si>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</si>
  <si>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</si>
  <si>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</si>
  <si>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</si>
  <si>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</si>
  <si>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</si>
  <si>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</si>
  <si>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</si>
  <si>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</si>
  <si>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</si>
  <si>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</si>
  <si>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</si>
  <si>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</si>
  <si>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</si>
  <si>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</si>
  <si>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</si>
  <si>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</si>
  <si>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</si>
  <si>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</si>
  <si>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</si>
  <si>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</si>
  <si>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</si>
  <si>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</si>
  <si>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</si>
  <si>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</si>
  <si>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</si>
  <si>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</si>
  <si>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</si>
  <si>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白</t>
  </si>
  <si>
    <t>ハンター</t>
  </si>
  <si>
    <t>NY_CJ_monster_010_3</t>
  </si>
  <si>
    <t>ウィザード</t>
  </si>
  <si>
    <t>Seacher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</si>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</sst>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9" fillId="25" borderId="8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25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310090</v>
          </cell>
          <cell r="B234" t="str">
            <v>ラーニングピアス</v>
          </cell>
        </row>
        <row r="235">
          <cell r="A235">
            <v>310130</v>
          </cell>
          <cell r="B235" t="str">
            <v>ヒールユニット</v>
          </cell>
        </row>
        <row r="236">
          <cell r="A236">
            <v>320010</v>
          </cell>
          <cell r="B236" t="str">
            <v>訓練所Lv1</v>
          </cell>
        </row>
        <row r="237">
          <cell r="A237">
            <v>320011</v>
          </cell>
          <cell r="B237" t="str">
            <v>訓練所Lv2</v>
          </cell>
        </row>
        <row r="238">
          <cell r="A238">
            <v>320012</v>
          </cell>
          <cell r="B238" t="str">
            <v>訓練所Lv3</v>
          </cell>
        </row>
        <row r="239">
          <cell r="A239">
            <v>320020</v>
          </cell>
          <cell r="B239" t="str">
            <v>研究施設Lv1</v>
          </cell>
        </row>
        <row r="240">
          <cell r="A240">
            <v>320021</v>
          </cell>
          <cell r="B240" t="str">
            <v>研究施設Lv2</v>
          </cell>
        </row>
        <row r="241">
          <cell r="A241">
            <v>320022</v>
          </cell>
          <cell r="B241" t="str">
            <v>研究施設Lv3</v>
          </cell>
        </row>
        <row r="242">
          <cell r="A242">
            <v>320030</v>
          </cell>
          <cell r="B242" t="str">
            <v>資料館Lv1</v>
          </cell>
        </row>
        <row r="243">
          <cell r="A243">
            <v>320031</v>
          </cell>
          <cell r="B243" t="str">
            <v>資料館Lv2</v>
          </cell>
        </row>
        <row r="244">
          <cell r="A244">
            <v>320032</v>
          </cell>
          <cell r="B244" t="str">
            <v>資料館Lv3</v>
          </cell>
        </row>
        <row r="245">
          <cell r="A245">
            <v>320040</v>
          </cell>
          <cell r="B245" t="str">
            <v>潜伏技術Lv1</v>
          </cell>
        </row>
        <row r="246">
          <cell r="A246">
            <v>321010</v>
          </cell>
          <cell r="B246" t="str">
            <v>炎の祭壇</v>
          </cell>
        </row>
        <row r="247">
          <cell r="A247">
            <v>321020</v>
          </cell>
          <cell r="B247" t="str">
            <v>稲妻の祭壇</v>
          </cell>
        </row>
        <row r="248">
          <cell r="A248">
            <v>321030</v>
          </cell>
          <cell r="B248" t="str">
            <v>蒼の祭壇</v>
          </cell>
        </row>
        <row r="249">
          <cell r="A249">
            <v>321040</v>
          </cell>
          <cell r="B249" t="str">
            <v>光の祭壇</v>
          </cell>
        </row>
        <row r="250">
          <cell r="A250">
            <v>321050</v>
          </cell>
          <cell r="B250" t="str">
            <v>月の祭壇</v>
          </cell>
        </row>
        <row r="251">
          <cell r="A251">
            <v>322010</v>
          </cell>
          <cell r="B251" t="str">
            <v>食糧庫Lv1</v>
          </cell>
        </row>
        <row r="252">
          <cell r="A252">
            <v>322020</v>
          </cell>
          <cell r="B252" t="str">
            <v>攻撃技術Lv1</v>
          </cell>
        </row>
        <row r="253">
          <cell r="A253">
            <v>322030</v>
          </cell>
          <cell r="B253" t="str">
            <v>防御技術Lv1</v>
          </cell>
        </row>
        <row r="254">
          <cell r="A254">
            <v>322040</v>
          </cell>
          <cell r="B254" t="str">
            <v>詠唱技術Lv1</v>
          </cell>
        </row>
        <row r="255">
          <cell r="A255">
            <v>401010</v>
          </cell>
          <cell r="B255" t="str">
            <v>ファイアボール+</v>
          </cell>
        </row>
        <row r="256">
          <cell r="A256">
            <v>401020</v>
          </cell>
          <cell r="B256" t="str">
            <v>バーンストーム+</v>
          </cell>
        </row>
        <row r="257">
          <cell r="A257">
            <v>401030</v>
          </cell>
          <cell r="B257" t="str">
            <v>ヒートスタンプ+</v>
          </cell>
        </row>
        <row r="258">
          <cell r="A258">
            <v>401040</v>
          </cell>
          <cell r="B258" t="str">
            <v>ソードアダプト+</v>
          </cell>
        </row>
        <row r="259">
          <cell r="A259">
            <v>401050</v>
          </cell>
          <cell r="B259" t="str">
            <v>フレイムレイン+</v>
          </cell>
        </row>
        <row r="260">
          <cell r="A260">
            <v>401060</v>
          </cell>
          <cell r="B260" t="str">
            <v>イクスティンクション+</v>
          </cell>
        </row>
        <row r="261">
          <cell r="A261">
            <v>401070</v>
          </cell>
          <cell r="B261" t="str">
            <v>バーニングソウル+</v>
          </cell>
        </row>
        <row r="262">
          <cell r="A262">
            <v>401080</v>
          </cell>
          <cell r="B262" t="str">
            <v>レイジングバウンサー+</v>
          </cell>
        </row>
        <row r="263">
          <cell r="A263">
            <v>402010</v>
          </cell>
          <cell r="B263" t="str">
            <v>ディスチャージ+</v>
          </cell>
        </row>
        <row r="264">
          <cell r="A264">
            <v>402020</v>
          </cell>
          <cell r="B264" t="str">
            <v>イベイドコード+</v>
          </cell>
        </row>
        <row r="265">
          <cell r="A265">
            <v>402030</v>
          </cell>
          <cell r="B265" t="str">
            <v>ショックインパルス+</v>
          </cell>
        </row>
        <row r="266">
          <cell r="A266">
            <v>402040</v>
          </cell>
          <cell r="B266" t="str">
            <v>トラストチェイン+</v>
          </cell>
        </row>
        <row r="267">
          <cell r="A267">
            <v>402050</v>
          </cell>
          <cell r="B267" t="str">
            <v>スペルバニシング+</v>
          </cell>
        </row>
        <row r="268">
          <cell r="A268">
            <v>402060</v>
          </cell>
          <cell r="B268" t="str">
            <v>アーテニーストライク+</v>
          </cell>
        </row>
        <row r="269">
          <cell r="A269">
            <v>402070</v>
          </cell>
          <cell r="B269" t="str">
            <v>コンセントレイト+</v>
          </cell>
        </row>
        <row r="270">
          <cell r="A270">
            <v>402080</v>
          </cell>
          <cell r="B270" t="str">
            <v>ディレイマジック+</v>
          </cell>
        </row>
        <row r="271">
          <cell r="A271">
            <v>403010</v>
          </cell>
          <cell r="B271" t="str">
            <v>アイスブレイド+</v>
          </cell>
        </row>
        <row r="272">
          <cell r="A272">
            <v>403020</v>
          </cell>
          <cell r="B272" t="str">
            <v>カウンターオーラ+</v>
          </cell>
        </row>
        <row r="273">
          <cell r="A273">
            <v>403030</v>
          </cell>
          <cell r="B273" t="str">
            <v>ラインプロテクト+</v>
          </cell>
        </row>
        <row r="274">
          <cell r="A274">
            <v>403040</v>
          </cell>
          <cell r="B274" t="str">
            <v>エスコートソール+</v>
          </cell>
        </row>
        <row r="275">
          <cell r="A275">
            <v>403050</v>
          </cell>
          <cell r="B275" t="str">
            <v>ディープフリーズ+</v>
          </cell>
        </row>
        <row r="276">
          <cell r="A276">
            <v>403060</v>
          </cell>
          <cell r="B276" t="str">
            <v>バブルブロウ+</v>
          </cell>
        </row>
        <row r="277">
          <cell r="A277">
            <v>403070</v>
          </cell>
          <cell r="B277" t="str">
            <v>アクアミラージュ+</v>
          </cell>
        </row>
        <row r="278">
          <cell r="A278">
            <v>403080</v>
          </cell>
          <cell r="B278" t="str">
            <v>フロストシールド+</v>
          </cell>
        </row>
        <row r="279">
          <cell r="A279">
            <v>404010</v>
          </cell>
          <cell r="B279" t="str">
            <v>セイントレーザー+</v>
          </cell>
        </row>
        <row r="280">
          <cell r="A280">
            <v>404020</v>
          </cell>
          <cell r="B280" t="str">
            <v>ペネトレイト+</v>
          </cell>
        </row>
        <row r="281">
          <cell r="A281">
            <v>404030</v>
          </cell>
          <cell r="B281" t="str">
            <v>ヒーリング+</v>
          </cell>
        </row>
        <row r="282">
          <cell r="A282">
            <v>404040</v>
          </cell>
          <cell r="B282" t="str">
            <v>リザイアフォトン+</v>
          </cell>
        </row>
        <row r="283">
          <cell r="A283">
            <v>404050</v>
          </cell>
          <cell r="B283" t="str">
            <v>べネディクション+</v>
          </cell>
        </row>
        <row r="284">
          <cell r="A284">
            <v>404060</v>
          </cell>
          <cell r="B284" t="str">
            <v>ホーリーグレイス+</v>
          </cell>
        </row>
        <row r="285">
          <cell r="A285">
            <v>404070</v>
          </cell>
          <cell r="B285" t="str">
            <v>キュアエール+</v>
          </cell>
        </row>
        <row r="286">
          <cell r="A286">
            <v>404080</v>
          </cell>
          <cell r="B286" t="str">
            <v>ラインバリア+</v>
          </cell>
        </row>
        <row r="287">
          <cell r="A287">
            <v>405010</v>
          </cell>
          <cell r="B287" t="str">
            <v>ダークプリズン+</v>
          </cell>
        </row>
        <row r="288">
          <cell r="A288">
            <v>405020</v>
          </cell>
          <cell r="B288" t="str">
            <v>ユーサネイジア+</v>
          </cell>
        </row>
        <row r="289">
          <cell r="A289">
            <v>405030</v>
          </cell>
          <cell r="B289" t="str">
            <v>ドレインヒール+</v>
          </cell>
        </row>
        <row r="290">
          <cell r="A290">
            <v>405040</v>
          </cell>
          <cell r="B290" t="str">
            <v>アビサルデスペア+</v>
          </cell>
        </row>
        <row r="291">
          <cell r="A291">
            <v>405050</v>
          </cell>
          <cell r="B291" t="str">
            <v>ディプラヴィティ+</v>
          </cell>
        </row>
        <row r="292">
          <cell r="A292">
            <v>405060</v>
          </cell>
          <cell r="B292" t="str">
            <v>ダークネス+</v>
          </cell>
        </row>
        <row r="293">
          <cell r="A293">
            <v>405070</v>
          </cell>
          <cell r="B293" t="str">
            <v>シェイディークラウド+</v>
          </cell>
        </row>
        <row r="294">
          <cell r="A294">
            <v>405080</v>
          </cell>
          <cell r="B294" t="str">
            <v>ポイズンブロウ+</v>
          </cell>
        </row>
        <row r="295">
          <cell r="A295">
            <v>411010</v>
          </cell>
          <cell r="B295" t="str">
            <v>ウルフソウル+</v>
          </cell>
        </row>
        <row r="296">
          <cell r="A296">
            <v>411020</v>
          </cell>
          <cell r="B296" t="str">
            <v>プリディカメント+</v>
          </cell>
        </row>
        <row r="297">
          <cell r="A297">
            <v>411030</v>
          </cell>
          <cell r="B297" t="str">
            <v>アサルトシフト+</v>
          </cell>
        </row>
        <row r="298">
          <cell r="A298">
            <v>411040</v>
          </cell>
          <cell r="B298" t="str">
            <v>アクティブギフト+</v>
          </cell>
        </row>
        <row r="299">
          <cell r="A299">
            <v>411050</v>
          </cell>
          <cell r="B299" t="str">
            <v>イグナイテッド+</v>
          </cell>
        </row>
        <row r="300">
          <cell r="A300">
            <v>411060</v>
          </cell>
          <cell r="B300" t="str">
            <v>ライジングファイア+</v>
          </cell>
        </row>
        <row r="301">
          <cell r="A301">
            <v>411070</v>
          </cell>
          <cell r="B301" t="str">
            <v>ルージュバック+</v>
          </cell>
        </row>
        <row r="302">
          <cell r="A302">
            <v>411080</v>
          </cell>
          <cell r="B302" t="str">
            <v>パワーエール+</v>
          </cell>
        </row>
        <row r="303">
          <cell r="A303">
            <v>411090</v>
          </cell>
          <cell r="B303" t="str">
            <v>スレイプニル+</v>
          </cell>
        </row>
        <row r="304">
          <cell r="A304">
            <v>412010</v>
          </cell>
          <cell r="B304" t="str">
            <v>エクステンション+</v>
          </cell>
        </row>
        <row r="305">
          <cell r="A305">
            <v>412020</v>
          </cell>
          <cell r="B305" t="str">
            <v>ヘブンリーラック+</v>
          </cell>
        </row>
        <row r="306">
          <cell r="A306">
            <v>412030</v>
          </cell>
          <cell r="B306" t="str">
            <v>スウィフトカレント+</v>
          </cell>
        </row>
        <row r="307">
          <cell r="A307">
            <v>412040</v>
          </cell>
          <cell r="B307" t="str">
            <v>イヴェイドオール+</v>
          </cell>
        </row>
        <row r="308">
          <cell r="A308">
            <v>412050</v>
          </cell>
          <cell r="B308" t="str">
            <v>クイックムーブ+</v>
          </cell>
        </row>
        <row r="309">
          <cell r="A309">
            <v>412060</v>
          </cell>
          <cell r="B309" t="str">
            <v>チェイスマジック+</v>
          </cell>
        </row>
        <row r="310">
          <cell r="A310">
            <v>412070</v>
          </cell>
          <cell r="B310" t="str">
            <v>ソーサリーコネクト+</v>
          </cell>
        </row>
        <row r="311">
          <cell r="A311">
            <v>412080</v>
          </cell>
          <cell r="B311" t="str">
            <v>ウィンドライズ+</v>
          </cell>
        </row>
        <row r="312">
          <cell r="A312">
            <v>412090</v>
          </cell>
          <cell r="B312" t="str">
            <v>アウトオブオーダー+</v>
          </cell>
        </row>
        <row r="313">
          <cell r="A313">
            <v>413010</v>
          </cell>
          <cell r="B313" t="str">
            <v>アーマーコード+</v>
          </cell>
        </row>
        <row r="314">
          <cell r="A314">
            <v>413020</v>
          </cell>
          <cell r="B314" t="str">
            <v>クイックバリア+</v>
          </cell>
        </row>
        <row r="315">
          <cell r="A315">
            <v>413030</v>
          </cell>
          <cell r="B315" t="str">
            <v>クイックキュア+</v>
          </cell>
        </row>
        <row r="316">
          <cell r="A316">
            <v>413040</v>
          </cell>
          <cell r="B316" t="str">
            <v>セルフシールド+</v>
          </cell>
        </row>
        <row r="317">
          <cell r="A317">
            <v>413050</v>
          </cell>
          <cell r="B317" t="str">
            <v>パッシブジャミング+</v>
          </cell>
        </row>
        <row r="318">
          <cell r="A318">
            <v>413060</v>
          </cell>
          <cell r="B318" t="str">
            <v>サプライカバー+</v>
          </cell>
        </row>
        <row r="319">
          <cell r="A319">
            <v>413070</v>
          </cell>
          <cell r="B319" t="str">
            <v>アシッドラッシュ+</v>
          </cell>
        </row>
        <row r="320">
          <cell r="A320">
            <v>413080</v>
          </cell>
          <cell r="B320" t="str">
            <v>ライフスティール+</v>
          </cell>
        </row>
        <row r="321">
          <cell r="A321">
            <v>413090</v>
          </cell>
          <cell r="B321" t="str">
            <v>アイスセイバー+</v>
          </cell>
        </row>
        <row r="322">
          <cell r="A322">
            <v>414010</v>
          </cell>
          <cell r="B322" t="str">
            <v>ディバインシールド+</v>
          </cell>
        </row>
        <row r="323">
          <cell r="A323">
            <v>414020</v>
          </cell>
          <cell r="B323" t="str">
            <v>ライフディバイド+</v>
          </cell>
        </row>
        <row r="324">
          <cell r="A324">
            <v>414030</v>
          </cell>
          <cell r="B324" t="str">
            <v>エイミングスコープ+</v>
          </cell>
        </row>
        <row r="325">
          <cell r="A325">
            <v>414040</v>
          </cell>
          <cell r="B325" t="str">
            <v>リジェネレーション+</v>
          </cell>
        </row>
        <row r="326">
          <cell r="A326">
            <v>414050</v>
          </cell>
          <cell r="B326" t="str">
            <v>ホープフルアイリス+</v>
          </cell>
        </row>
        <row r="327">
          <cell r="A327">
            <v>414060</v>
          </cell>
          <cell r="B327" t="str">
            <v>パッシブサプライ+</v>
          </cell>
        </row>
        <row r="328">
          <cell r="A328">
            <v>414070</v>
          </cell>
          <cell r="B328" t="str">
            <v>ホーミングクルセイド+</v>
          </cell>
        </row>
        <row r="329">
          <cell r="A329">
            <v>414080</v>
          </cell>
          <cell r="B329" t="str">
            <v>クイックヒール+</v>
          </cell>
        </row>
        <row r="330">
          <cell r="A330">
            <v>414090</v>
          </cell>
          <cell r="B330" t="str">
            <v>リレイズ+</v>
          </cell>
        </row>
        <row r="331">
          <cell r="A331">
            <v>415010</v>
          </cell>
          <cell r="B331" t="str">
            <v>イーグルアイ+</v>
          </cell>
        </row>
        <row r="332">
          <cell r="A332">
            <v>415020</v>
          </cell>
          <cell r="B332" t="str">
            <v>ネヴァーエンド+</v>
          </cell>
        </row>
        <row r="333">
          <cell r="A333">
            <v>415030</v>
          </cell>
          <cell r="B333" t="str">
            <v>グレイブアクト+</v>
          </cell>
        </row>
        <row r="334">
          <cell r="A334">
            <v>415040</v>
          </cell>
          <cell r="B334" t="str">
            <v>スカルグラッジ+</v>
          </cell>
        </row>
        <row r="335">
          <cell r="A335">
            <v>415050</v>
          </cell>
          <cell r="B335" t="str">
            <v>ネガティブドレイン+</v>
          </cell>
        </row>
        <row r="336">
          <cell r="A336">
            <v>415060</v>
          </cell>
          <cell r="B336" t="str">
            <v>アンデッドペイン+</v>
          </cell>
        </row>
        <row r="337">
          <cell r="A337">
            <v>415070</v>
          </cell>
          <cell r="B337" t="str">
            <v>ジャックポッド+</v>
          </cell>
        </row>
        <row r="338">
          <cell r="A338">
            <v>415080</v>
          </cell>
          <cell r="B338" t="str">
            <v>ヒールハント+</v>
          </cell>
        </row>
        <row r="339">
          <cell r="A339">
            <v>415090</v>
          </cell>
          <cell r="B339" t="str">
            <v>クイックカース+</v>
          </cell>
        </row>
        <row r="340">
          <cell r="A340">
            <v>501010</v>
          </cell>
          <cell r="B340" t="str">
            <v>火傷耐性+20%</v>
          </cell>
        </row>
        <row r="341">
          <cell r="A341">
            <v>501020</v>
          </cell>
          <cell r="B341" t="str">
            <v>命中率+5%</v>
          </cell>
        </row>
        <row r="342">
          <cell r="A342">
            <v>501030</v>
          </cell>
          <cell r="B342" t="str">
            <v>最大HP+2</v>
          </cell>
        </row>
        <row r="343">
          <cell r="A343">
            <v>501040</v>
          </cell>
          <cell r="B343" t="str">
            <v>ATK+2</v>
          </cell>
        </row>
        <row r="344">
          <cell r="A344">
            <v>502010</v>
          </cell>
          <cell r="B344" t="str">
            <v>DEF+1</v>
          </cell>
        </row>
        <row r="345">
          <cell r="A345">
            <v>502020</v>
          </cell>
          <cell r="B345" t="str">
            <v>SPD+1</v>
          </cell>
        </row>
        <row r="346">
          <cell r="A346">
            <v>502030</v>
          </cell>
          <cell r="B346" t="str">
            <v>SPD+1</v>
          </cell>
        </row>
        <row r="347">
          <cell r="A347">
            <v>502040</v>
          </cell>
          <cell r="B347" t="str">
            <v>回避率+5%</v>
          </cell>
        </row>
        <row r="348">
          <cell r="A348">
            <v>503010</v>
          </cell>
          <cell r="B348" t="str">
            <v>DEF+1</v>
          </cell>
        </row>
        <row r="349">
          <cell r="A349">
            <v>503020</v>
          </cell>
          <cell r="B349" t="str">
            <v>凍結耐性+20%</v>
          </cell>
        </row>
        <row r="350">
          <cell r="A350">
            <v>503030</v>
          </cell>
          <cell r="B350" t="str">
            <v>最大HP+2</v>
          </cell>
        </row>
        <row r="351">
          <cell r="A351">
            <v>503040</v>
          </cell>
          <cell r="B351" t="str">
            <v>DEF+2</v>
          </cell>
        </row>
        <row r="352">
          <cell r="A352">
            <v>504010</v>
          </cell>
          <cell r="B352" t="str">
            <v>Hp回復効果+2</v>
          </cell>
        </row>
        <row r="353">
          <cell r="A353">
            <v>504020</v>
          </cell>
          <cell r="B353" t="str">
            <v>SPD+1</v>
          </cell>
        </row>
        <row r="354">
          <cell r="A354">
            <v>504030</v>
          </cell>
          <cell r="B354" t="str">
            <v>命中率+5%</v>
          </cell>
        </row>
        <row r="355">
          <cell r="A355">
            <v>504040</v>
          </cell>
          <cell r="B355" t="str">
            <v>最大HP+2</v>
          </cell>
        </row>
        <row r="356">
          <cell r="A356">
            <v>505010</v>
          </cell>
          <cell r="B356" t="str">
            <v>回避率+5%</v>
          </cell>
        </row>
        <row r="357">
          <cell r="A357">
            <v>505020</v>
          </cell>
          <cell r="B357" t="str">
            <v>SPD+1</v>
          </cell>
        </row>
        <row r="358">
          <cell r="A358">
            <v>505030</v>
          </cell>
          <cell r="B358" t="str">
            <v>最大HP+2</v>
          </cell>
        </row>
        <row r="359">
          <cell r="A359">
            <v>505040</v>
          </cell>
          <cell r="B359" t="str">
            <v>ATK+1</v>
          </cell>
        </row>
        <row r="360">
          <cell r="A360">
            <v>506010</v>
          </cell>
          <cell r="B360" t="str">
            <v>最大HP+3</v>
          </cell>
        </row>
        <row r="361">
          <cell r="A361">
            <v>506011</v>
          </cell>
          <cell r="B361" t="str">
            <v>ATK+1</v>
          </cell>
        </row>
        <row r="362">
          <cell r="A362">
            <v>506012</v>
          </cell>
          <cell r="B362" t="str">
            <v>DEF+1</v>
          </cell>
        </row>
        <row r="363">
          <cell r="A363">
            <v>506013</v>
          </cell>
          <cell r="B363" t="str">
            <v>SPD+1</v>
          </cell>
        </row>
        <row r="364">
          <cell r="A364">
            <v>507010</v>
          </cell>
          <cell r="B364" t="str">
            <v>獲得Exp+30%</v>
          </cell>
        </row>
        <row r="365">
          <cell r="A365">
            <v>507020</v>
          </cell>
          <cell r="B365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A12" sqref="A1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5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31</v>
      </c>
      <c r="T6" t="s">
        <v>32</v>
      </c>
    </row>
    <row r="7" spans="1:20">
      <c r="A7">
        <v>6</v>
      </c>
      <c r="B7">
        <v>6</v>
      </c>
      <c r="C7" t="s">
        <v>33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34</v>
      </c>
    </row>
    <row r="8" spans="1:20">
      <c r="A8">
        <v>7</v>
      </c>
      <c r="B8">
        <v>7</v>
      </c>
      <c r="C8" t="s">
        <v>35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31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19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31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1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28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31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4"/>
  <sheetViews>
    <sheetView tabSelected="1" zoomScale="115" zoomScaleNormal="115" topLeftCell="A19" workbookViewId="0">
      <selection activeCell="A13" sqref="$A13:$XFD13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11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21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11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21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11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21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150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11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21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4010</v>
      </c>
      <c r="C22" t="str">
        <f>INDEX([1]TextData!B:B,MATCH(B22,[1]TextData!A:A))</f>
        <v>セイントレーザー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4020</v>
      </c>
      <c r="C23" t="str">
        <f>INDEX([1]TextData!B:B,MATCH(B23,[1]TextData!A:A))</f>
        <v>ペネトレイト</v>
      </c>
      <c r="D23">
        <v>1</v>
      </c>
      <c r="E23">
        <v>100</v>
      </c>
      <c r="F23">
        <v>14213</v>
      </c>
      <c r="G23">
        <v>0</v>
      </c>
    </row>
    <row r="24" spans="1:7">
      <c r="A24">
        <v>5</v>
      </c>
      <c r="B24">
        <v>4110</v>
      </c>
      <c r="C24" t="str">
        <f>INDEX([1]TextData!B:B,MATCH(B24,[1]TextData!A:A))</f>
        <v>ダブルレーザー</v>
      </c>
      <c r="D24">
        <v>11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ヘブンリーラック</v>
      </c>
      <c r="D25">
        <v>21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11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21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11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21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11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21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11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21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11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21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12030</v>
      </c>
      <c r="C53" t="str">
        <f>INDEX([1]TextData!B:B,MATCH(B53,[1]TextData!A:A))</f>
        <v>クイックムーブ</v>
      </c>
      <c r="D53">
        <v>1</v>
      </c>
      <c r="E53">
        <v>100</v>
      </c>
      <c r="F53">
        <v>0</v>
      </c>
      <c r="G53">
        <v>0</v>
      </c>
    </row>
    <row r="54" spans="1:7">
      <c r="A54">
        <v>11</v>
      </c>
      <c r="B54">
        <v>13120</v>
      </c>
      <c r="C54" t="str">
        <f>INDEX([1]TextData!B:B,MATCH(B54,[1]TextData!A:A))</f>
        <v>ライフセーブ</v>
      </c>
      <c r="D54">
        <v>11</v>
      </c>
      <c r="E54">
        <v>200</v>
      </c>
      <c r="F54">
        <v>0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パッシブジャミング</v>
      </c>
      <c r="D55">
        <v>21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11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21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11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11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21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11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21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フレイムレイン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フレイムクラッシュ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イーグルアイ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ルージュバック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カウントジャグラー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ホーミングクルセイド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4010</v>
      </c>
      <c r="C107" t="str">
        <f>INDEX([1]TextData!B:B,MATCH(B107,[1]TextData!A:A))</f>
        <v>セイントレーザー</v>
      </c>
      <c r="D107">
        <v>1</v>
      </c>
      <c r="E107">
        <v>50</v>
      </c>
      <c r="F107">
        <v>0</v>
      </c>
      <c r="G107">
        <v>0</v>
      </c>
    </row>
    <row r="108" spans="1:7">
      <c r="A108">
        <v>1001</v>
      </c>
      <c r="B108">
        <v>1010</v>
      </c>
      <c r="C108" t="str">
        <f>INDEX([1]TextData!B:B,MATCH(B108,[1]TextData!A:A))</f>
        <v>ファイアボール</v>
      </c>
      <c r="D108">
        <v>1</v>
      </c>
      <c r="E108">
        <v>50</v>
      </c>
      <c r="F108">
        <v>5061</v>
      </c>
      <c r="G108">
        <v>0</v>
      </c>
    </row>
    <row r="109" spans="1:7">
      <c r="A109">
        <v>1001</v>
      </c>
      <c r="B109">
        <v>1060</v>
      </c>
      <c r="C109" t="str">
        <f>INDEX([1]TextData!B:B,MATCH(B109,[1]TextData!A:A))</f>
        <v>フレイムレイン</v>
      </c>
      <c r="D109">
        <v>1</v>
      </c>
      <c r="E109">
        <v>150</v>
      </c>
      <c r="F109">
        <v>5061</v>
      </c>
      <c r="G109">
        <v>0</v>
      </c>
    </row>
    <row r="110" spans="1:7">
      <c r="A110">
        <v>1001</v>
      </c>
      <c r="B110">
        <v>100110</v>
      </c>
      <c r="C110" t="str">
        <f>INDEX([1]TextData!B:B,MATCH(B110,[1]TextData!A:A))</f>
        <v>ソーイングアームド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100120</v>
      </c>
      <c r="C111" t="str">
        <f>INDEX([1]TextData!B:B,MATCH(B111,[1]TextData!A:A))</f>
        <v>エターナルロンド</v>
      </c>
      <c r="D111">
        <v>1</v>
      </c>
      <c r="E111">
        <v>200</v>
      </c>
      <c r="F111">
        <v>0</v>
      </c>
      <c r="G111">
        <v>0</v>
      </c>
    </row>
    <row r="112" spans="1:7">
      <c r="A112">
        <v>1001</v>
      </c>
      <c r="B112">
        <v>11060</v>
      </c>
      <c r="C112" t="str">
        <f>INDEX([1]TextData!B:B,MATCH(B112,[1]TextData!A:A))</f>
        <v>イグナイテッド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14010</v>
      </c>
      <c r="C113" t="str">
        <f>INDEX([1]TextData!B:B,MATCH(B113,[1]TextData!A:A))</f>
        <v>ファーストエイド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12010</v>
      </c>
      <c r="C114" t="str">
        <f>INDEX([1]TextData!B:B,MATCH(B114,[1]TextData!A:A))</f>
        <v>クロースエッジ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12060</v>
      </c>
      <c r="C115" t="str">
        <f>INDEX([1]TextData!B:B,MATCH(B115,[1]TextData!A:A))</f>
        <v>ヘブンリーラック</v>
      </c>
      <c r="D115">
        <v>1</v>
      </c>
      <c r="E115">
        <v>0</v>
      </c>
      <c r="F115">
        <v>0</v>
      </c>
      <c r="G115">
        <v>0</v>
      </c>
    </row>
    <row r="116" spans="1:7">
      <c r="A116">
        <v>1002</v>
      </c>
      <c r="B116">
        <v>2010</v>
      </c>
      <c r="C116" t="str">
        <f>INDEX([1]TextData!B:B,MATCH(B116,[1]TextData!A:A))</f>
        <v>ディスチャージ</v>
      </c>
      <c r="D116">
        <v>1</v>
      </c>
      <c r="E116">
        <v>50</v>
      </c>
      <c r="F116">
        <v>5060</v>
      </c>
      <c r="G116">
        <v>0</v>
      </c>
    </row>
    <row r="117" spans="1:7">
      <c r="A117">
        <v>1002</v>
      </c>
      <c r="B117">
        <v>2070</v>
      </c>
      <c r="C117" t="str">
        <f>INDEX([1]TextData!B:B,MATCH(B117,[1]TextData!A:A))</f>
        <v>コンセントレイト</v>
      </c>
      <c r="D117">
        <v>1</v>
      </c>
      <c r="E117">
        <v>150</v>
      </c>
      <c r="F117">
        <v>0</v>
      </c>
      <c r="G117">
        <v>0</v>
      </c>
    </row>
    <row r="118" spans="1:7">
      <c r="A118">
        <v>1002</v>
      </c>
      <c r="B118">
        <v>100210</v>
      </c>
      <c r="C118" t="str">
        <f>INDEX([1]TextData!B:B,MATCH(B118,[1]TextData!A:A))</f>
        <v>アブソリュートパリィ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100220</v>
      </c>
      <c r="C119" t="str">
        <f>INDEX([1]TextData!B:B,MATCH(B119,[1]TextData!A:A))</f>
        <v>レヴェリー</v>
      </c>
      <c r="D119">
        <v>1</v>
      </c>
      <c r="E119">
        <v>200</v>
      </c>
      <c r="F119">
        <v>14211</v>
      </c>
      <c r="G119">
        <v>5060</v>
      </c>
    </row>
    <row r="120" spans="1:7">
      <c r="A120">
        <v>1002</v>
      </c>
      <c r="B120">
        <v>402070</v>
      </c>
      <c r="C120" t="str">
        <f>INDEX([1]TextData!B:B,MATCH(B120,[1]TextData!A:A))</f>
        <v>コンセントレイト+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12080</v>
      </c>
      <c r="C121" t="str">
        <f>INDEX([1]TextData!B:B,MATCH(B121,[1]TextData!A:A))</f>
        <v>ソーサリーコネクト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12040</v>
      </c>
      <c r="C122" t="str">
        <f>INDEX([1]TextData!B:B,MATCH(B122,[1]TextData!A:A))</f>
        <v>ヘブンリーラック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12050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12010</v>
      </c>
      <c r="C124" t="str">
        <f>INDEX([1]TextData!B:B,MATCH(B124,[1]TextData!A:A))</f>
        <v>クロースエッジ</v>
      </c>
      <c r="D124">
        <v>1</v>
      </c>
      <c r="E124">
        <v>0</v>
      </c>
      <c r="F124">
        <v>0</v>
      </c>
      <c r="G124">
        <v>0</v>
      </c>
    </row>
    <row r="125" spans="1:7">
      <c r="A125">
        <v>1003</v>
      </c>
      <c r="B125">
        <v>3010</v>
      </c>
      <c r="C125" t="str">
        <f>INDEX([1]TextData!B:B,MATCH(B125,[1]TextData!A:A))</f>
        <v>アイスブレイド</v>
      </c>
      <c r="D125">
        <v>1</v>
      </c>
      <c r="E125">
        <v>50</v>
      </c>
      <c r="F125">
        <v>0</v>
      </c>
      <c r="G125">
        <v>0</v>
      </c>
    </row>
    <row r="126" spans="1:7">
      <c r="A126">
        <v>1003</v>
      </c>
      <c r="B126">
        <v>3020</v>
      </c>
      <c r="C126" t="str">
        <f>INDEX([1]TextData!B:B,MATCH(B126,[1]TextData!A:A))</f>
        <v>シールドバッシュ</v>
      </c>
      <c r="D126">
        <v>1</v>
      </c>
      <c r="E126">
        <v>100</v>
      </c>
      <c r="F126">
        <v>1023</v>
      </c>
      <c r="G126">
        <v>0</v>
      </c>
    </row>
    <row r="127" spans="1:7">
      <c r="A127">
        <v>1003</v>
      </c>
      <c r="B127">
        <v>100310</v>
      </c>
      <c r="C127" t="str">
        <f>INDEX([1]TextData!B:B,MATCH(B127,[1]TextData!A:A))</f>
        <v>セイクリッドバリア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100320</v>
      </c>
      <c r="C128" t="str">
        <f>INDEX([1]TextData!B:B,MATCH(B128,[1]TextData!A:A))</f>
        <v>リベンジニードル</v>
      </c>
      <c r="D128">
        <v>1</v>
      </c>
      <c r="E128">
        <v>200</v>
      </c>
      <c r="F128">
        <v>14214</v>
      </c>
      <c r="G128">
        <v>0</v>
      </c>
    </row>
    <row r="129" spans="1:7">
      <c r="A129">
        <v>1003</v>
      </c>
      <c r="B129">
        <v>403020</v>
      </c>
      <c r="C129" t="str">
        <f>INDEX([1]TextData!B:B,MATCH(B129,[1]TextData!A:A))</f>
        <v>カウンターオーラ+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403010</v>
      </c>
      <c r="C130" t="str">
        <f>INDEX([1]TextData!B:B,MATCH(B130,[1]TextData!A:A))</f>
        <v>アイスブレイド+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13020</v>
      </c>
      <c r="C131" t="str">
        <f>INDEX([1]TextData!B:B,MATCH(B131,[1]TextData!A:A))</f>
        <v>アイシクルエッジ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13080</v>
      </c>
      <c r="C132" t="str">
        <f>INDEX([1]TextData!B:B,MATCH(B132,[1]TextData!A:A))</f>
        <v>アシッドラッシュ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14050</v>
      </c>
      <c r="C133" t="str">
        <f>INDEX([1]TextData!B:B,MATCH(B133,[1]TextData!A:A))</f>
        <v>ホープフルアイリス</v>
      </c>
      <c r="D133">
        <v>1</v>
      </c>
      <c r="E133">
        <v>0</v>
      </c>
      <c r="F133">
        <v>0</v>
      </c>
      <c r="G133">
        <v>0</v>
      </c>
    </row>
    <row r="134" spans="1:7">
      <c r="A134">
        <v>1004</v>
      </c>
      <c r="B134">
        <v>4010</v>
      </c>
      <c r="C134" t="str">
        <f>INDEX([1]TextData!B:B,MATCH(B134,[1]TextData!A:A))</f>
        <v>セイントレーザー</v>
      </c>
      <c r="D134">
        <v>1</v>
      </c>
      <c r="E134">
        <v>50</v>
      </c>
      <c r="F134">
        <v>0</v>
      </c>
      <c r="G134">
        <v>0</v>
      </c>
    </row>
    <row r="135" spans="1:7">
      <c r="A135">
        <v>1004</v>
      </c>
      <c r="B135">
        <v>4030</v>
      </c>
      <c r="C135" t="str">
        <f>INDEX([1]TextData!B:B,MATCH(B135,[1]TextData!A:A))</f>
        <v>ヒーリング</v>
      </c>
      <c r="D135">
        <v>1</v>
      </c>
      <c r="E135">
        <v>100</v>
      </c>
      <c r="F135">
        <v>1033</v>
      </c>
      <c r="G135">
        <v>0</v>
      </c>
    </row>
    <row r="136" spans="1:7">
      <c r="A136">
        <v>1004</v>
      </c>
      <c r="B136">
        <v>100410</v>
      </c>
      <c r="C136" t="str">
        <f>INDEX([1]TextData!B:B,MATCH(B136,[1]TextData!A:A))</f>
        <v>アバンデンス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100420</v>
      </c>
      <c r="C137" t="str">
        <f>INDEX([1]TextData!B:B,MATCH(B137,[1]TextData!A:A))</f>
        <v>ハーヴェスト</v>
      </c>
      <c r="D137">
        <v>1</v>
      </c>
      <c r="E137">
        <v>200</v>
      </c>
      <c r="F137">
        <v>0</v>
      </c>
      <c r="G137">
        <v>0</v>
      </c>
    </row>
    <row r="138" spans="1:7">
      <c r="A138">
        <v>1004</v>
      </c>
      <c r="B138">
        <v>404030</v>
      </c>
      <c r="C138" t="str">
        <f>INDEX([1]TextData!B:B,MATCH(B138,[1]TextData!A:A))</f>
        <v>ヒーリング+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14080</v>
      </c>
      <c r="C139" t="str">
        <f>INDEX([1]TextData!B:B,MATCH(B139,[1]TextData!A:A))</f>
        <v>ホーミングクルセイド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14010</v>
      </c>
      <c r="C140" t="str">
        <f>INDEX([1]TextData!B:B,MATCH(B140,[1]TextData!A:A))</f>
        <v>ファーストエイド</v>
      </c>
      <c r="D140">
        <v>1</v>
      </c>
      <c r="E140">
        <v>0</v>
      </c>
      <c r="F140">
        <v>1023</v>
      </c>
      <c r="G140">
        <v>0</v>
      </c>
    </row>
    <row r="141" spans="1:7">
      <c r="A141">
        <v>1004</v>
      </c>
      <c r="B141">
        <v>14040</v>
      </c>
      <c r="C141" t="str">
        <f>INDEX([1]TextData!B:B,MATCH(B141,[1]TextData!A:A))</f>
        <v>ホープフルアイリス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14090</v>
      </c>
      <c r="C142" t="str">
        <f>INDEX([1]TextData!B:B,MATCH(B142,[1]TextData!A:A))</f>
        <v>リレイズ</v>
      </c>
      <c r="D142">
        <v>1</v>
      </c>
      <c r="E142">
        <v>0</v>
      </c>
      <c r="F142">
        <v>0</v>
      </c>
      <c r="G142">
        <v>0</v>
      </c>
    </row>
    <row r="143" spans="1:7">
      <c r="A143">
        <v>1005</v>
      </c>
      <c r="B143">
        <v>5010</v>
      </c>
      <c r="C143" t="str">
        <f>INDEX([1]TextData!B:B,MATCH(B143,[1]TextData!A:A))</f>
        <v>ダークプリズン</v>
      </c>
      <c r="D143">
        <v>1</v>
      </c>
      <c r="E143">
        <v>50</v>
      </c>
      <c r="F143">
        <v>0</v>
      </c>
      <c r="G143">
        <v>0</v>
      </c>
    </row>
    <row r="144" spans="1:7">
      <c r="A144">
        <v>1005</v>
      </c>
      <c r="B144">
        <v>5070</v>
      </c>
      <c r="C144" t="str">
        <f>INDEX([1]TextData!B:B,MATCH(B144,[1]TextData!A:A))</f>
        <v>ダークネス</v>
      </c>
      <c r="D144">
        <v>1</v>
      </c>
      <c r="E144">
        <v>100</v>
      </c>
      <c r="F144">
        <v>5061</v>
      </c>
      <c r="G144">
        <v>0</v>
      </c>
    </row>
    <row r="145" spans="1:7">
      <c r="A145">
        <v>1005</v>
      </c>
      <c r="B145">
        <v>100510</v>
      </c>
      <c r="C145" t="str">
        <f>INDEX([1]TextData!B:B,MATCH(B145,[1]TextData!A:A))</f>
        <v>カースドブレイク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100520</v>
      </c>
      <c r="C146" t="str">
        <f>INDEX([1]TextData!B:B,MATCH(B146,[1]TextData!A:A))</f>
        <v>ムーンライトレイ</v>
      </c>
      <c r="D146">
        <v>1</v>
      </c>
      <c r="E146">
        <v>200</v>
      </c>
      <c r="F146">
        <v>0</v>
      </c>
      <c r="G146">
        <v>0</v>
      </c>
    </row>
    <row r="147" spans="1:7">
      <c r="A147">
        <v>1005</v>
      </c>
      <c r="B147">
        <v>15090</v>
      </c>
      <c r="C147" t="str">
        <f>INDEX([1]TextData!B:B,MATCH(B147,[1]TextData!A:A))</f>
        <v>ヒールハント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405070</v>
      </c>
      <c r="C148" t="str">
        <f>INDEX([1]TextData!B:B,MATCH(B148,[1]TextData!A:A))</f>
        <v>シェイディークラウド+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15080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405010</v>
      </c>
      <c r="C150" t="str">
        <f>INDEX([1]TextData!B:B,MATCH(B150,[1]TextData!A:A))</f>
        <v>ダークプリズン+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415090</v>
      </c>
      <c r="C151" t="str">
        <f>INDEX([1]TextData!B:B,MATCH(B151,[1]TextData!A:A))</f>
        <v>クイックカース+</v>
      </c>
      <c r="D151">
        <v>1</v>
      </c>
      <c r="E151">
        <v>0</v>
      </c>
      <c r="F151">
        <v>0</v>
      </c>
      <c r="G151">
        <v>0</v>
      </c>
    </row>
    <row r="152" spans="1:7">
      <c r="A152">
        <v>1006</v>
      </c>
      <c r="B152">
        <v>1010</v>
      </c>
      <c r="C152" t="str">
        <f>INDEX([1]TextData!B:B,MATCH(B152,[1]TextData!A:A))</f>
        <v>ファイアボール</v>
      </c>
      <c r="D152">
        <v>1</v>
      </c>
      <c r="E152">
        <v>50</v>
      </c>
      <c r="F152">
        <v>0</v>
      </c>
      <c r="G152">
        <v>0</v>
      </c>
    </row>
    <row r="153" spans="1:7">
      <c r="A153">
        <v>1006</v>
      </c>
      <c r="B153">
        <v>1030</v>
      </c>
      <c r="C153" t="str">
        <f>INDEX([1]TextData!B:B,MATCH(B153,[1]TextData!A:A))</f>
        <v>ブレイクウォール</v>
      </c>
      <c r="D153">
        <v>1</v>
      </c>
      <c r="E153">
        <v>100</v>
      </c>
      <c r="F153">
        <v>9120</v>
      </c>
      <c r="G153">
        <v>1023</v>
      </c>
    </row>
    <row r="154" spans="1:7">
      <c r="A154">
        <v>1006</v>
      </c>
      <c r="B154">
        <v>1070</v>
      </c>
      <c r="C154" t="str">
        <f>INDEX([1]TextData!B:B,MATCH(B154,[1]TextData!A:A))</f>
        <v>バーニングソウル</v>
      </c>
      <c r="D154">
        <v>1</v>
      </c>
      <c r="E154">
        <v>150</v>
      </c>
      <c r="F154">
        <v>6322</v>
      </c>
      <c r="G154">
        <v>0</v>
      </c>
    </row>
    <row r="155" spans="1:7">
      <c r="A155">
        <v>1006</v>
      </c>
      <c r="B155">
        <v>100610</v>
      </c>
      <c r="C155" t="str">
        <f>INDEX([1]TextData!B:B,MATCH(B155,[1]TextData!A:A))</f>
        <v>サンフレイム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100620</v>
      </c>
      <c r="C156" t="str">
        <f>INDEX([1]TextData!B:B,MATCH(B156,[1]TextData!A:A))</f>
        <v>フレイムタン</v>
      </c>
      <c r="D156">
        <v>1</v>
      </c>
      <c r="E156">
        <v>200</v>
      </c>
      <c r="F156">
        <v>0</v>
      </c>
      <c r="G156">
        <v>0</v>
      </c>
    </row>
    <row r="157" spans="1:7">
      <c r="A157">
        <v>1006</v>
      </c>
      <c r="B157">
        <v>11040</v>
      </c>
      <c r="C157" t="str">
        <f>INDEX([1]TextData!B:B,MATCH(B157,[1]TextData!A:A))</f>
        <v>ウルフソウル</v>
      </c>
      <c r="D157">
        <v>1</v>
      </c>
      <c r="E157">
        <v>0</v>
      </c>
      <c r="F157">
        <v>5042</v>
      </c>
      <c r="G157">
        <v>0</v>
      </c>
    </row>
    <row r="158" spans="1:7">
      <c r="A158">
        <v>1006</v>
      </c>
      <c r="B158">
        <v>401030</v>
      </c>
      <c r="C158" t="str">
        <f>INDEX([1]TextData!B:B,MATCH(B158,[1]TextData!A:A))</f>
        <v>ヒートスタンプ+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411040</v>
      </c>
      <c r="C159" t="str">
        <f>INDEX([1]TextData!B:B,MATCH(B159,[1]TextData!A:A))</f>
        <v>アクティブギフト+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13040</v>
      </c>
      <c r="C160" t="str">
        <f>INDEX([1]TextData!B:B,MATCH(B160,[1]TextData!A:A))</f>
        <v>アーマーコード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1007</v>
      </c>
      <c r="B161">
        <v>2010</v>
      </c>
      <c r="C161" t="str">
        <f>INDEX([1]TextData!B:B,MATCH(B161,[1]TextData!A:A))</f>
        <v>ディスチャージ</v>
      </c>
      <c r="D161">
        <v>1</v>
      </c>
      <c r="E161">
        <v>50</v>
      </c>
      <c r="F161">
        <v>0</v>
      </c>
      <c r="G161">
        <v>0</v>
      </c>
    </row>
    <row r="162" spans="1:7">
      <c r="A162">
        <v>1007</v>
      </c>
      <c r="B162">
        <v>2040</v>
      </c>
      <c r="C162" t="str">
        <f>INDEX([1]TextData!B:B,MATCH(B162,[1]TextData!A:A))</f>
        <v>トラストチェイン</v>
      </c>
      <c r="D162">
        <v>1</v>
      </c>
      <c r="E162">
        <v>100</v>
      </c>
      <c r="F162">
        <v>1023</v>
      </c>
      <c r="G162">
        <v>0</v>
      </c>
    </row>
    <row r="163" spans="1:7">
      <c r="A163">
        <v>1007</v>
      </c>
      <c r="B163">
        <v>100710</v>
      </c>
      <c r="C163" t="str">
        <f>INDEX([1]TextData!B:B,MATCH(B163,[1]TextData!A:A))</f>
        <v>ライズザフラッグ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100720</v>
      </c>
      <c r="C164" t="str">
        <f>INDEX([1]TextData!B:B,MATCH(B164,[1]TextData!A:A))</f>
        <v>オーバーリミット</v>
      </c>
      <c r="D164">
        <v>1</v>
      </c>
      <c r="E164">
        <v>200</v>
      </c>
      <c r="F164">
        <v>0</v>
      </c>
      <c r="G164">
        <v>0</v>
      </c>
    </row>
    <row r="165" spans="1:7">
      <c r="A165">
        <v>1007</v>
      </c>
      <c r="B165">
        <v>12090</v>
      </c>
      <c r="C165" t="str">
        <f>INDEX([1]TextData!B:B,MATCH(B165,[1]TextData!A:A))</f>
        <v>アウトオブオーダー</v>
      </c>
      <c r="D165">
        <v>1</v>
      </c>
      <c r="E165">
        <v>0</v>
      </c>
      <c r="F165">
        <v>5042</v>
      </c>
      <c r="G165">
        <v>0</v>
      </c>
    </row>
    <row r="166" spans="1:7">
      <c r="A166">
        <v>1007</v>
      </c>
      <c r="B166">
        <v>412090</v>
      </c>
      <c r="C166" t="str">
        <f>INDEX([1]TextData!B:B,MATCH(B166,[1]TextData!A:A))</f>
        <v>アウトオブオーダー+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12050</v>
      </c>
      <c r="C167" t="str">
        <f>INDEX([1]TextData!B:B,MATCH(B167,[1]TextData!A:A))</f>
        <v>ヘブンリーラック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12070</v>
      </c>
      <c r="C168" t="str">
        <f>INDEX([1]TextData!B:B,MATCH(B168,[1]TextData!A:A))</f>
        <v>ソーサリーコネクト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14030</v>
      </c>
      <c r="C169" t="str">
        <f>INDEX([1]TextData!B:B,MATCH(B169,[1]TextData!A:A))</f>
        <v>ガードバインド</v>
      </c>
      <c r="D169">
        <v>1</v>
      </c>
      <c r="E169">
        <v>0</v>
      </c>
      <c r="F169">
        <v>0</v>
      </c>
      <c r="G169">
        <v>0</v>
      </c>
    </row>
    <row r="170" spans="1:7">
      <c r="A170">
        <v>1008</v>
      </c>
      <c r="B170">
        <v>3010</v>
      </c>
      <c r="C170" t="str">
        <f>INDEX([1]TextData!B:B,MATCH(B170,[1]TextData!A:A))</f>
        <v>アイスブレイド</v>
      </c>
      <c r="D170">
        <v>1</v>
      </c>
      <c r="E170">
        <v>50</v>
      </c>
      <c r="F170">
        <v>0</v>
      </c>
      <c r="G170">
        <v>0</v>
      </c>
    </row>
    <row r="171" spans="1:7">
      <c r="A171">
        <v>1008</v>
      </c>
      <c r="B171">
        <v>3070</v>
      </c>
      <c r="C171" t="str">
        <f>INDEX([1]TextData!B:B,MATCH(B171,[1]TextData!A:A))</f>
        <v>アクアミラージュ</v>
      </c>
      <c r="D171">
        <v>1</v>
      </c>
      <c r="E171">
        <v>100</v>
      </c>
      <c r="F171">
        <v>0</v>
      </c>
      <c r="G171">
        <v>0</v>
      </c>
    </row>
    <row r="172" spans="1:7">
      <c r="A172">
        <v>1008</v>
      </c>
      <c r="B172">
        <v>100810</v>
      </c>
      <c r="C172" t="str">
        <f>INDEX([1]TextData!B:B,MATCH(B172,[1]TextData!A:A))</f>
        <v>テンパランス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100820</v>
      </c>
      <c r="C173" t="str">
        <f>INDEX([1]TextData!B:B,MATCH(B173,[1]TextData!A:A))</f>
        <v>シエルクルセイダー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1008</v>
      </c>
      <c r="B174">
        <v>13060</v>
      </c>
      <c r="C174" t="str">
        <f>INDEX([1]TextData!B:B,MATCH(B174,[1]TextData!A:A))</f>
        <v>パッシブジャミング</v>
      </c>
      <c r="D174">
        <v>1</v>
      </c>
      <c r="E174">
        <v>0</v>
      </c>
      <c r="F174">
        <v>1023</v>
      </c>
      <c r="G174">
        <v>0</v>
      </c>
    </row>
    <row r="175" spans="1:7">
      <c r="A175">
        <v>1008</v>
      </c>
      <c r="B175">
        <v>403070</v>
      </c>
      <c r="C175" t="str">
        <f>INDEX([1]TextData!B:B,MATCH(B175,[1]TextData!A:A))</f>
        <v>アクアミラージュ+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13010</v>
      </c>
      <c r="C176" t="str">
        <f>INDEX([1]TextData!B:B,MATCH(B176,[1]TextData!A:A))</f>
        <v>ヘビィカバー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13020</v>
      </c>
      <c r="C177" t="str">
        <f>INDEX([1]TextData!B:B,MATCH(B177,[1]TextData!A:A))</f>
        <v>アイシクルエッジ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13040</v>
      </c>
      <c r="C178" t="str">
        <f>INDEX([1]TextData!B:B,MATCH(B178,[1]TextData!A:A))</f>
        <v>アーマーコード</v>
      </c>
      <c r="D178">
        <v>1</v>
      </c>
      <c r="E178">
        <v>0</v>
      </c>
      <c r="F178">
        <v>0</v>
      </c>
      <c r="G178">
        <v>0</v>
      </c>
    </row>
    <row r="179" spans="1:7">
      <c r="A179">
        <v>1009</v>
      </c>
      <c r="B179">
        <v>1010</v>
      </c>
      <c r="C179" t="str">
        <f>INDEX([1]TextData!B:B,MATCH(B179,[1]TextData!A:A))</f>
        <v>ファイアボール</v>
      </c>
      <c r="D179">
        <v>1</v>
      </c>
      <c r="E179">
        <v>50</v>
      </c>
      <c r="F179">
        <v>0</v>
      </c>
      <c r="G179">
        <v>0</v>
      </c>
    </row>
    <row r="180" spans="1:7">
      <c r="A180">
        <v>1009</v>
      </c>
      <c r="B180">
        <v>1050</v>
      </c>
      <c r="C180" t="str">
        <f>INDEX([1]TextData!B:B,MATCH(B180,[1]TextData!A:A))</f>
        <v>フレイムレイン</v>
      </c>
      <c r="D180">
        <v>1</v>
      </c>
      <c r="E180">
        <v>100</v>
      </c>
      <c r="F180">
        <v>1151</v>
      </c>
      <c r="G180">
        <v>0</v>
      </c>
    </row>
    <row r="181" spans="1:7">
      <c r="A181">
        <v>1009</v>
      </c>
      <c r="B181">
        <v>100910</v>
      </c>
      <c r="C181" t="str">
        <f>INDEX([1]TextData!B:B,MATCH(B181,[1]TextData!A:A))</f>
        <v>バーニングカウンター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100920</v>
      </c>
      <c r="C182" t="str">
        <f>INDEX([1]TextData!B:B,MATCH(B182,[1]TextData!A:A))</f>
        <v>プロミネンス</v>
      </c>
      <c r="D182">
        <v>1</v>
      </c>
      <c r="E182">
        <v>200</v>
      </c>
      <c r="F182">
        <v>0</v>
      </c>
      <c r="G182">
        <v>0</v>
      </c>
    </row>
    <row r="183" spans="1:7">
      <c r="A183">
        <v>1009</v>
      </c>
      <c r="B183">
        <v>11070</v>
      </c>
      <c r="C183" t="str">
        <f>INDEX([1]TextData!B:B,MATCH(B183,[1]TextData!A:A))</f>
        <v>ルージュバック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401050</v>
      </c>
      <c r="C184" t="str">
        <f>INDEX([1]TextData!B:B,MATCH(B184,[1]TextData!A:A))</f>
        <v>フレイムレイン+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11030</v>
      </c>
      <c r="C185" t="str">
        <f>INDEX([1]TextData!B:B,MATCH(B185,[1]TextData!A:A))</f>
        <v>ウォークライ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11020</v>
      </c>
      <c r="C186" t="str">
        <f>INDEX([1]TextData!B:B,MATCH(B186,[1]TextData!A:A))</f>
        <v>イーグルアイ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15040</v>
      </c>
      <c r="C187" t="str">
        <f>INDEX([1]TextData!B:B,MATCH(B187,[1]TextData!A:A))</f>
        <v>ネガティブドレイン</v>
      </c>
      <c r="D187">
        <v>1</v>
      </c>
      <c r="E187">
        <v>0</v>
      </c>
      <c r="F187">
        <v>0</v>
      </c>
      <c r="G187">
        <v>0</v>
      </c>
    </row>
    <row r="188" spans="1:7">
      <c r="A188">
        <v>1010</v>
      </c>
      <c r="B188">
        <v>2010</v>
      </c>
      <c r="C188" t="str">
        <f>INDEX([1]TextData!B:B,MATCH(B188,[1]TextData!A:A))</f>
        <v>ディスチャージ</v>
      </c>
      <c r="D188">
        <v>1</v>
      </c>
      <c r="E188">
        <v>50</v>
      </c>
      <c r="F188">
        <v>0</v>
      </c>
      <c r="G188">
        <v>0</v>
      </c>
    </row>
    <row r="189" spans="1:7">
      <c r="A189">
        <v>1010</v>
      </c>
      <c r="B189">
        <v>2030</v>
      </c>
      <c r="C189" t="str">
        <f>INDEX([1]TextData!B:B,MATCH(B189,[1]TextData!A:A))</f>
        <v>ロングスラスト</v>
      </c>
      <c r="D189">
        <v>1</v>
      </c>
      <c r="E189">
        <v>100</v>
      </c>
      <c r="F189">
        <v>14215</v>
      </c>
      <c r="G189">
        <v>0</v>
      </c>
    </row>
    <row r="190" spans="1:7">
      <c r="A190">
        <v>1010</v>
      </c>
      <c r="B190">
        <v>101010</v>
      </c>
      <c r="C190" t="str">
        <f>INDEX([1]TextData!B:B,MATCH(B190,[1]TextData!A:A))</f>
        <v>エウロス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101020</v>
      </c>
      <c r="C191" t="str">
        <f>INDEX([1]TextData!B:B,MATCH(B191,[1]TextData!A:A))</f>
        <v>ボレアス</v>
      </c>
      <c r="D191">
        <v>1</v>
      </c>
      <c r="E191">
        <v>200</v>
      </c>
      <c r="F191">
        <v>0</v>
      </c>
      <c r="G191">
        <v>0</v>
      </c>
    </row>
    <row r="192" spans="1:7">
      <c r="A192">
        <v>1010</v>
      </c>
      <c r="B192">
        <v>12010</v>
      </c>
      <c r="C192" t="str">
        <f>INDEX([1]TextData!B:B,MATCH(B192,[1]TextData!A:A))</f>
        <v>クロースエッジ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402030</v>
      </c>
      <c r="C193" t="str">
        <f>INDEX([1]TextData!B:B,MATCH(B193,[1]TextData!A:A))</f>
        <v>ショックインパルス+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12020</v>
      </c>
      <c r="C194" t="str">
        <f>INDEX([1]TextData!B:B,MATCH(B194,[1]TextData!A:A))</f>
        <v>ファストファクション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12030</v>
      </c>
      <c r="C195" t="str">
        <f>INDEX([1]TextData!B:B,MATCH(B195,[1]TextData!A:A))</f>
        <v>クイックムーブ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15070</v>
      </c>
      <c r="C196" t="str">
        <f>INDEX([1]TextData!B:B,MATCH(B196,[1]TextData!A:A))</f>
        <v>ジャックポッド</v>
      </c>
      <c r="D196">
        <v>1</v>
      </c>
      <c r="E196">
        <v>0</v>
      </c>
      <c r="F196">
        <v>0</v>
      </c>
      <c r="G196">
        <v>0</v>
      </c>
    </row>
    <row r="197" spans="1:7">
      <c r="A197">
        <v>1011</v>
      </c>
      <c r="B197">
        <v>3010</v>
      </c>
      <c r="C197" t="str">
        <f>INDEX([1]TextData!B:B,MATCH(B197,[1]TextData!A:A))</f>
        <v>アイスブレイド</v>
      </c>
      <c r="D197">
        <v>1</v>
      </c>
      <c r="E197">
        <v>50</v>
      </c>
      <c r="F197">
        <v>0</v>
      </c>
      <c r="G197">
        <v>0</v>
      </c>
    </row>
    <row r="198" spans="1:7">
      <c r="A198">
        <v>1011</v>
      </c>
      <c r="B198">
        <v>3050</v>
      </c>
      <c r="C198" t="str">
        <f>INDEX([1]TextData!B:B,MATCH(B198,[1]TextData!A:A))</f>
        <v>ディープフリーズ</v>
      </c>
      <c r="D198">
        <v>1</v>
      </c>
      <c r="E198">
        <v>100</v>
      </c>
      <c r="F198">
        <v>0</v>
      </c>
      <c r="G198">
        <v>0</v>
      </c>
    </row>
    <row r="199" spans="1:7">
      <c r="A199">
        <v>1011</v>
      </c>
      <c r="B199">
        <v>101110</v>
      </c>
      <c r="C199" t="str">
        <f>INDEX([1]TextData!B:B,MATCH(B199,[1]TextData!A:A))</f>
        <v>アバランシュ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101120</v>
      </c>
      <c r="C200" t="str">
        <f>INDEX([1]TextData!B:B,MATCH(B200,[1]TextData!A:A))</f>
        <v>ブリザードコフィン</v>
      </c>
      <c r="D200">
        <v>1</v>
      </c>
      <c r="E200">
        <v>200</v>
      </c>
      <c r="F200">
        <v>0</v>
      </c>
      <c r="G200">
        <v>0</v>
      </c>
    </row>
    <row r="201" spans="1:7">
      <c r="A201">
        <v>1011</v>
      </c>
      <c r="B201">
        <v>13090</v>
      </c>
      <c r="C201" t="str">
        <f>INDEX([1]TextData!B:B,MATCH(B201,[1]TextData!A:A))</f>
        <v>アイスセイバー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403050</v>
      </c>
      <c r="C202" t="str">
        <f>INDEX([1]TextData!B:B,MATCH(B202,[1]TextData!A:A))</f>
        <v>ディープフリーズ+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13050</v>
      </c>
      <c r="C203" t="str">
        <f>INDEX([1]TextData!B:B,MATCH(B203,[1]TextData!A:A))</f>
        <v>パッシブジャミング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13070</v>
      </c>
      <c r="C204" t="str">
        <f>INDEX([1]TextData!B:B,MATCH(B204,[1]TextData!A:A))</f>
        <v>アシッドラッシュ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14070</v>
      </c>
      <c r="C205" t="str">
        <f>INDEX([1]TextData!B:B,MATCH(B205,[1]TextData!A:A))</f>
        <v>ホーミングクルセイド</v>
      </c>
      <c r="D205">
        <v>1</v>
      </c>
      <c r="E205">
        <v>0</v>
      </c>
      <c r="F205">
        <v>0</v>
      </c>
      <c r="G205">
        <v>0</v>
      </c>
    </row>
    <row r="206" spans="1:7">
      <c r="A206">
        <v>1101</v>
      </c>
      <c r="B206">
        <v>3010</v>
      </c>
      <c r="C206" t="str">
        <f>INDEX([1]TextData!B:B,MATCH(B206,[1]TextData!A:A))</f>
        <v>アイスブレイド</v>
      </c>
      <c r="D206">
        <v>1</v>
      </c>
      <c r="E206">
        <v>50</v>
      </c>
      <c r="F206">
        <v>0</v>
      </c>
      <c r="G206">
        <v>0</v>
      </c>
    </row>
    <row r="207" spans="1:7">
      <c r="A207">
        <v>1101</v>
      </c>
      <c r="B207">
        <v>3070</v>
      </c>
      <c r="C207" t="str">
        <f>INDEX([1]TextData!B:B,MATCH(B207,[1]TextData!A:A))</f>
        <v>アクアミラージュ</v>
      </c>
      <c r="D207">
        <v>1</v>
      </c>
      <c r="E207">
        <v>100</v>
      </c>
      <c r="F207">
        <v>0</v>
      </c>
      <c r="G207">
        <v>0</v>
      </c>
    </row>
    <row r="208" spans="1:7">
      <c r="A208">
        <v>1101</v>
      </c>
      <c r="B208">
        <v>110110</v>
      </c>
      <c r="C208" t="str">
        <f>INDEX([1]TextData!B:B,MATCH(B208,[1]TextData!A:A))</f>
        <v>ウィビングヒストリー</v>
      </c>
      <c r="D208">
        <v>1</v>
      </c>
      <c r="E208">
        <v>0</v>
      </c>
      <c r="F208">
        <v>0</v>
      </c>
      <c r="G208">
        <v>0</v>
      </c>
    </row>
    <row r="209" spans="1:7">
      <c r="A209">
        <v>1101</v>
      </c>
      <c r="B209">
        <v>110120</v>
      </c>
      <c r="C209" t="str">
        <f>INDEX([1]TextData!B:B,MATCH(B209,[1]TextData!A:A))</f>
        <v>アンライバルド</v>
      </c>
      <c r="D209">
        <v>1</v>
      </c>
      <c r="E209">
        <v>200</v>
      </c>
      <c r="F209">
        <v>0</v>
      </c>
      <c r="G209">
        <v>0</v>
      </c>
    </row>
    <row r="210" spans="1:7">
      <c r="A210">
        <v>1101</v>
      </c>
      <c r="B210">
        <v>13100</v>
      </c>
      <c r="C210" t="str">
        <f>INDEX([1]TextData!B:B,MATCH(B210,[1]TextData!A:A))</f>
        <v>アイスセイバー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403050</v>
      </c>
      <c r="C211" t="str">
        <f>INDEX([1]TextData!B:B,MATCH(B211,[1]TextData!A:A))</f>
        <v>ディープフリーズ+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13050</v>
      </c>
      <c r="C212" t="str">
        <f>INDEX([1]TextData!B:B,MATCH(B212,[1]TextData!A:A))</f>
        <v>パッシブジャミング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13070</v>
      </c>
      <c r="C213" t="str">
        <f>INDEX([1]TextData!B:B,MATCH(B213,[1]TextData!A:A))</f>
        <v>アシッドラッシュ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14070</v>
      </c>
      <c r="C214" t="str">
        <f>INDEX([1]TextData!B:B,MATCH(B214,[1]TextData!A:A))</f>
        <v>ホーミングクルセイド</v>
      </c>
      <c r="D214">
        <v>1</v>
      </c>
      <c r="E214">
        <v>0</v>
      </c>
      <c r="F214">
        <v>0</v>
      </c>
      <c r="G214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2026-09-05T02:05:38Z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