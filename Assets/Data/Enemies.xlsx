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<sst xmlns="http://schemas.openxmlformats.org/spreadsheetml/2006/main" count="169" uniqueCount="144">
  <si>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</si>
  <si>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</si>
  <si>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</si>
  <si>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</si>
  <si>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</si>
  <si>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</si>
  <si>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</si>
  <si>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</si>
  <si>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</si>
  <si>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</si>
  <si>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</si>
  <si>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</si>
  <si>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</si>
  <si>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</si>
  <si>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</si>
  <si>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</si>
  <si>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</si>
  <si>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</si>
  <si>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</si>
  <si>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</si>
  <si>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</si>
  <si>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</si>
  <si>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</si>
  <si>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</si>
  <si>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</si>
  <si>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</si>
  <si>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</si>
  <si>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</si>
  <si>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</si>
  <si>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</si>
  <si>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</si>
  <si>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</si>
  <si>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NY_CJ_monster_010_3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</si>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</sst>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3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0" fillId="16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5" fillId="16" borderId="4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8" borderId="3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イグナイテッド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12010</v>
          </cell>
          <cell r="B91" t="str">
            <v>クロースエッジ</v>
          </cell>
        </row>
        <row r="92">
          <cell r="A92">
            <v>12020</v>
          </cell>
          <cell r="B92" t="str">
            <v>ファストファクション</v>
          </cell>
        </row>
        <row r="93">
          <cell r="A93">
            <v>12030</v>
          </cell>
          <cell r="B93" t="str">
            <v>クイックムーブ</v>
          </cell>
        </row>
        <row r="94">
          <cell r="A94">
            <v>12040</v>
          </cell>
          <cell r="B94" t="str">
            <v>ヘブンリーラック</v>
          </cell>
        </row>
        <row r="95">
          <cell r="A95">
            <v>12070</v>
          </cell>
          <cell r="B95" t="str">
            <v>ソーサリーコネクト</v>
          </cell>
        </row>
        <row r="96">
          <cell r="A96">
            <v>12090</v>
          </cell>
          <cell r="B96" t="str">
            <v>アウトオブオーダー</v>
          </cell>
        </row>
        <row r="97">
          <cell r="A97">
            <v>12100</v>
          </cell>
          <cell r="B97" t="str">
            <v>ワンスパニッシュ</v>
          </cell>
        </row>
        <row r="98">
          <cell r="A98">
            <v>12110</v>
          </cell>
          <cell r="B98" t="str">
            <v>コンセントレイト</v>
          </cell>
        </row>
        <row r="99">
          <cell r="A99">
            <v>12120</v>
          </cell>
          <cell r="B99" t="str">
            <v>パリィ</v>
          </cell>
        </row>
        <row r="100">
          <cell r="A100">
            <v>12130</v>
          </cell>
          <cell r="B100" t="str">
            <v>チェイスマジック</v>
          </cell>
        </row>
        <row r="101">
          <cell r="A101">
            <v>12140</v>
          </cell>
          <cell r="B101" t="str">
            <v>ウィンドライズ</v>
          </cell>
        </row>
        <row r="102">
          <cell r="A102">
            <v>12510</v>
          </cell>
          <cell r="B102" t="str">
            <v>アクトスタンス</v>
          </cell>
        </row>
        <row r="103">
          <cell r="A103">
            <v>12910</v>
          </cell>
          <cell r="B103" t="str">
            <v>コンセントレイト</v>
          </cell>
        </row>
        <row r="104">
          <cell r="A104">
            <v>12930</v>
          </cell>
          <cell r="B104" t="str">
            <v>スウィフトカレント</v>
          </cell>
        </row>
        <row r="105">
          <cell r="A105">
            <v>12940</v>
          </cell>
          <cell r="B105" t="str">
            <v>イヴェイドオール</v>
          </cell>
        </row>
        <row r="106">
          <cell r="A106">
            <v>13010</v>
          </cell>
          <cell r="B106" t="str">
            <v>ヘビィカバー</v>
          </cell>
        </row>
        <row r="107">
          <cell r="A107">
            <v>13020</v>
          </cell>
          <cell r="B107" t="str">
            <v>アイシクルエッジ</v>
          </cell>
        </row>
        <row r="108">
          <cell r="A108">
            <v>13030</v>
          </cell>
          <cell r="B108" t="str">
            <v>カウンターマジック</v>
          </cell>
        </row>
        <row r="109">
          <cell r="A109">
            <v>13040</v>
          </cell>
          <cell r="B109" t="str">
            <v>アーマーコード</v>
          </cell>
        </row>
        <row r="110">
          <cell r="A110">
            <v>13050</v>
          </cell>
          <cell r="B110" t="str">
            <v>パッシブジャミング</v>
          </cell>
        </row>
        <row r="111">
          <cell r="A111">
            <v>13070</v>
          </cell>
          <cell r="B111" t="str">
            <v>アシッドラッシュ</v>
          </cell>
        </row>
        <row r="112">
          <cell r="A112">
            <v>13090</v>
          </cell>
          <cell r="B112" t="str">
            <v>アイスセイバー</v>
          </cell>
        </row>
        <row r="113">
          <cell r="A113">
            <v>13110</v>
          </cell>
          <cell r="B113" t="str">
            <v>ガーディアン</v>
          </cell>
        </row>
        <row r="114">
          <cell r="A114">
            <v>13120</v>
          </cell>
          <cell r="B114" t="str">
            <v>ライフセーブ</v>
          </cell>
        </row>
        <row r="115">
          <cell r="A115">
            <v>13130</v>
          </cell>
          <cell r="B115" t="str">
            <v>ライフスティール</v>
          </cell>
        </row>
        <row r="116">
          <cell r="A116">
            <v>13210</v>
          </cell>
          <cell r="B116" t="str">
            <v>ルミナスカバー</v>
          </cell>
        </row>
        <row r="117">
          <cell r="A117">
            <v>13510</v>
          </cell>
          <cell r="B117" t="str">
            <v>デコイプラス</v>
          </cell>
        </row>
        <row r="118">
          <cell r="A118">
            <v>13511</v>
          </cell>
          <cell r="B118" t="str">
            <v>デコイプラス</v>
          </cell>
        </row>
        <row r="119">
          <cell r="A119">
            <v>13520</v>
          </cell>
          <cell r="B119" t="str">
            <v>アフターシールド</v>
          </cell>
        </row>
        <row r="120">
          <cell r="A120">
            <v>13530</v>
          </cell>
          <cell r="B120" t="str">
            <v>カバープラス</v>
          </cell>
        </row>
        <row r="121">
          <cell r="A121">
            <v>13920</v>
          </cell>
          <cell r="B121" t="str">
            <v>クイックバリア</v>
          </cell>
        </row>
        <row r="122">
          <cell r="A122">
            <v>13930</v>
          </cell>
          <cell r="B122" t="str">
            <v>クイックキュア</v>
          </cell>
        </row>
        <row r="123">
          <cell r="A123">
            <v>13940</v>
          </cell>
          <cell r="B123" t="str">
            <v>セルフシールド</v>
          </cell>
        </row>
        <row r="124">
          <cell r="A124">
            <v>14010</v>
          </cell>
          <cell r="B124" t="str">
            <v>ファーストエイド</v>
          </cell>
        </row>
        <row r="125">
          <cell r="A125">
            <v>14020</v>
          </cell>
          <cell r="B125" t="str">
            <v>クイックヒール</v>
          </cell>
        </row>
        <row r="126">
          <cell r="A126">
            <v>14030</v>
          </cell>
          <cell r="B126" t="str">
            <v>ガードバインド</v>
          </cell>
        </row>
        <row r="127">
          <cell r="A127">
            <v>14040</v>
          </cell>
          <cell r="B127" t="str">
            <v>ホープフルアイリス</v>
          </cell>
        </row>
        <row r="128">
          <cell r="A128">
            <v>14060</v>
          </cell>
          <cell r="B128" t="str">
            <v>パッシブサプライ</v>
          </cell>
        </row>
        <row r="129">
          <cell r="A129">
            <v>14070</v>
          </cell>
          <cell r="B129" t="str">
            <v>ホーミングクルセイド</v>
          </cell>
        </row>
        <row r="130">
          <cell r="A130">
            <v>14090</v>
          </cell>
          <cell r="B130" t="str">
            <v>リレイズ</v>
          </cell>
        </row>
        <row r="131">
          <cell r="A131">
            <v>14100</v>
          </cell>
          <cell r="B131" t="str">
            <v>ファストヒール</v>
          </cell>
        </row>
        <row r="132">
          <cell r="A132">
            <v>14110</v>
          </cell>
          <cell r="B132" t="str">
            <v>リフレッシュ</v>
          </cell>
        </row>
        <row r="133">
          <cell r="A133">
            <v>14120</v>
          </cell>
          <cell r="B133" t="str">
            <v>ファストメディック</v>
          </cell>
        </row>
        <row r="134">
          <cell r="A134">
            <v>14130</v>
          </cell>
          <cell r="B134" t="str">
            <v>ディバインシールド</v>
          </cell>
        </row>
        <row r="135">
          <cell r="A135">
            <v>14920</v>
          </cell>
          <cell r="B135" t="str">
            <v>ライフディバイド</v>
          </cell>
        </row>
        <row r="136">
          <cell r="A136">
            <v>14930</v>
          </cell>
          <cell r="B136" t="str">
            <v>エイミングスコープ</v>
          </cell>
        </row>
        <row r="137">
          <cell r="A137">
            <v>14940</v>
          </cell>
          <cell r="B137" t="str">
            <v>リジェネレーション</v>
          </cell>
        </row>
        <row r="138">
          <cell r="A138">
            <v>15010</v>
          </cell>
          <cell r="B138" t="str">
            <v>ワンスパニッシュ</v>
          </cell>
        </row>
        <row r="139">
          <cell r="A139">
            <v>15020</v>
          </cell>
          <cell r="B139" t="str">
            <v>クイックカース</v>
          </cell>
        </row>
        <row r="140">
          <cell r="A140">
            <v>15030</v>
          </cell>
          <cell r="B140" t="str">
            <v>バイタリティ</v>
          </cell>
        </row>
        <row r="141">
          <cell r="A141">
            <v>15040</v>
          </cell>
          <cell r="B141" t="str">
            <v>ネガティブドレイン</v>
          </cell>
        </row>
        <row r="142">
          <cell r="A142">
            <v>15060</v>
          </cell>
          <cell r="B142" t="str">
            <v>アンデッドペイン</v>
          </cell>
        </row>
        <row r="143">
          <cell r="A143">
            <v>15070</v>
          </cell>
          <cell r="B143" t="str">
            <v>ジャックポッド</v>
          </cell>
        </row>
        <row r="144">
          <cell r="A144">
            <v>15080</v>
          </cell>
          <cell r="B144" t="str">
            <v>ヒールハント</v>
          </cell>
        </row>
        <row r="145">
          <cell r="A145">
            <v>15110</v>
          </cell>
          <cell r="B145" t="str">
            <v>フォーカサイト</v>
          </cell>
        </row>
        <row r="146">
          <cell r="A146">
            <v>15120</v>
          </cell>
          <cell r="B146" t="str">
            <v>ガードハント</v>
          </cell>
        </row>
        <row r="147">
          <cell r="A147">
            <v>15130</v>
          </cell>
          <cell r="B147" t="str">
            <v>リヴェンジャー</v>
          </cell>
        </row>
        <row r="148">
          <cell r="A148">
            <v>15510</v>
          </cell>
          <cell r="B148" t="str">
            <v>リープリアクト</v>
          </cell>
        </row>
        <row r="149">
          <cell r="A149">
            <v>15512</v>
          </cell>
          <cell r="B149" t="str">
            <v>リープリアクト</v>
          </cell>
        </row>
        <row r="150">
          <cell r="A150">
            <v>15520</v>
          </cell>
          <cell r="B150" t="str">
            <v>ディレイドパッシブ</v>
          </cell>
        </row>
        <row r="151">
          <cell r="A151">
            <v>15530</v>
          </cell>
          <cell r="B151" t="str">
            <v>シャドウケイプ</v>
          </cell>
        </row>
        <row r="152">
          <cell r="A152">
            <v>15910</v>
          </cell>
          <cell r="B152" t="str">
            <v>イーグルアイ</v>
          </cell>
        </row>
        <row r="153">
          <cell r="A153">
            <v>15920</v>
          </cell>
          <cell r="B153" t="str">
            <v>ネヴァーエンド</v>
          </cell>
        </row>
        <row r="154">
          <cell r="A154">
            <v>15930</v>
          </cell>
          <cell r="B154" t="str">
            <v>グレイブアクト</v>
          </cell>
        </row>
        <row r="155">
          <cell r="A155">
            <v>15940</v>
          </cell>
          <cell r="B155" t="str">
            <v>スカルグラッジ</v>
          </cell>
        </row>
        <row r="156">
          <cell r="A156">
            <v>20010</v>
          </cell>
          <cell r="B156" t="str">
            <v>ウェイトユニゾン</v>
          </cell>
        </row>
        <row r="157">
          <cell r="A157">
            <v>30010</v>
          </cell>
          <cell r="B157" t="str">
            <v>ラーニングピアス</v>
          </cell>
        </row>
        <row r="158">
          <cell r="A158">
            <v>30020</v>
          </cell>
          <cell r="B158" t="str">
            <v>スティールヒール</v>
          </cell>
        </row>
        <row r="159">
          <cell r="A159">
            <v>30030</v>
          </cell>
          <cell r="B159" t="str">
            <v>ガッツ</v>
          </cell>
        </row>
        <row r="160">
          <cell r="A160">
            <v>100110</v>
          </cell>
          <cell r="B160" t="str">
            <v>ソーイングアームド</v>
          </cell>
        </row>
        <row r="161">
          <cell r="A161">
            <v>100120</v>
          </cell>
          <cell r="B161" t="str">
            <v>エターナルロンド</v>
          </cell>
        </row>
        <row r="162">
          <cell r="A162">
            <v>100210</v>
          </cell>
          <cell r="B162" t="str">
            <v>アブソリュートパリィ</v>
          </cell>
        </row>
        <row r="163">
          <cell r="A163">
            <v>100220</v>
          </cell>
          <cell r="B163" t="str">
            <v>レヴェリー</v>
          </cell>
        </row>
        <row r="164">
          <cell r="A164">
            <v>100310</v>
          </cell>
          <cell r="B164" t="str">
            <v>セイクリッドバリア</v>
          </cell>
        </row>
        <row r="165">
          <cell r="A165">
            <v>100320</v>
          </cell>
          <cell r="B165" t="str">
            <v>リベンジニードル</v>
          </cell>
        </row>
        <row r="166">
          <cell r="A166">
            <v>100410</v>
          </cell>
          <cell r="B166" t="str">
            <v>アバンデンス</v>
          </cell>
        </row>
        <row r="167">
          <cell r="A167">
            <v>100420</v>
          </cell>
          <cell r="B167" t="str">
            <v>ハーヴェスト</v>
          </cell>
        </row>
        <row r="168">
          <cell r="A168">
            <v>100510</v>
          </cell>
          <cell r="B168" t="str">
            <v>カースドブレイク</v>
          </cell>
        </row>
        <row r="169">
          <cell r="A169">
            <v>100520</v>
          </cell>
          <cell r="B169" t="str">
            <v>ムーンライトレイ</v>
          </cell>
        </row>
        <row r="170">
          <cell r="A170">
            <v>100610</v>
          </cell>
          <cell r="B170" t="str">
            <v>サンフレイム</v>
          </cell>
        </row>
        <row r="171">
          <cell r="A171">
            <v>100620</v>
          </cell>
          <cell r="B171" t="str">
            <v>フレイムタン</v>
          </cell>
        </row>
        <row r="172">
          <cell r="A172">
            <v>100710</v>
          </cell>
          <cell r="B172" t="str">
            <v>ライズザフラッグ</v>
          </cell>
        </row>
        <row r="173">
          <cell r="A173">
            <v>100720</v>
          </cell>
          <cell r="B173" t="str">
            <v>オーバーリミット</v>
          </cell>
        </row>
        <row r="174">
          <cell r="A174">
            <v>100810</v>
          </cell>
          <cell r="B174" t="str">
            <v>テンパランス</v>
          </cell>
        </row>
        <row r="175">
          <cell r="A175">
            <v>100820</v>
          </cell>
          <cell r="B175" t="str">
            <v>シエルクルセイダー</v>
          </cell>
        </row>
        <row r="176">
          <cell r="A176">
            <v>100910</v>
          </cell>
          <cell r="B176" t="str">
            <v>バーニングカウンター</v>
          </cell>
        </row>
        <row r="177">
          <cell r="A177">
            <v>100911</v>
          </cell>
          <cell r="B177" t="str">
            <v>バーニングカウンター</v>
          </cell>
        </row>
        <row r="178">
          <cell r="A178">
            <v>100920</v>
          </cell>
          <cell r="B178" t="str">
            <v>プロミネンス</v>
          </cell>
        </row>
        <row r="179">
          <cell r="A179">
            <v>100921</v>
          </cell>
          <cell r="B179" t="str">
            <v>プロミネンス</v>
          </cell>
        </row>
        <row r="180">
          <cell r="A180">
            <v>101010</v>
          </cell>
          <cell r="B180" t="str">
            <v>エウロス</v>
          </cell>
        </row>
        <row r="181">
          <cell r="A181">
            <v>101020</v>
          </cell>
          <cell r="B181" t="str">
            <v>ボレアス</v>
          </cell>
        </row>
        <row r="182">
          <cell r="A182">
            <v>101110</v>
          </cell>
          <cell r="B182" t="str">
            <v>アバランシュ</v>
          </cell>
        </row>
        <row r="183">
          <cell r="A183">
            <v>101120</v>
          </cell>
          <cell r="B183" t="str">
            <v>ブリザードコフィン</v>
          </cell>
        </row>
        <row r="184">
          <cell r="A184">
            <v>110110</v>
          </cell>
          <cell r="B184" t="str">
            <v>ウィビングヒストリー</v>
          </cell>
        </row>
        <row r="185">
          <cell r="A185">
            <v>110120</v>
          </cell>
          <cell r="B185" t="str">
            <v>アンライバルド</v>
          </cell>
        </row>
        <row r="186">
          <cell r="A186">
            <v>110210</v>
          </cell>
          <cell r="B186" t="str">
            <v>リベリオンスピリッツ</v>
          </cell>
        </row>
        <row r="187">
          <cell r="A187">
            <v>110220</v>
          </cell>
          <cell r="B187" t="str">
            <v>ファイナリティアビス</v>
          </cell>
        </row>
        <row r="188">
          <cell r="A188">
            <v>200110</v>
          </cell>
          <cell r="B188" t="str">
            <v>スリータイムス</v>
          </cell>
        </row>
        <row r="189">
          <cell r="A189">
            <v>200120</v>
          </cell>
          <cell r="B189" t="str">
            <v>アングリークライ</v>
          </cell>
        </row>
        <row r="190">
          <cell r="A190">
            <v>200210</v>
          </cell>
          <cell r="B190" t="str">
            <v>マイトレインフォース</v>
          </cell>
        </row>
        <row r="191">
          <cell r="A191">
            <v>200220</v>
          </cell>
          <cell r="B191" t="str">
            <v>カタストロフィ</v>
          </cell>
        </row>
        <row r="192">
          <cell r="A192">
            <v>200230</v>
          </cell>
          <cell r="B192" t="str">
            <v>悪魔(ベリト)</v>
          </cell>
        </row>
        <row r="193">
          <cell r="A193">
            <v>200310</v>
          </cell>
          <cell r="B193" t="str">
            <v>プルガシオン</v>
          </cell>
        </row>
        <row r="194">
          <cell r="A194">
            <v>200320</v>
          </cell>
          <cell r="B194" t="str">
            <v>プリエステス</v>
          </cell>
        </row>
        <row r="195">
          <cell r="A195">
            <v>200330</v>
          </cell>
          <cell r="B195" t="str">
            <v>悪魔(パイモン)</v>
          </cell>
        </row>
        <row r="196">
          <cell r="A196">
            <v>200410</v>
          </cell>
          <cell r="B196" t="str">
            <v>コウソクテンショウ</v>
          </cell>
        </row>
        <row r="197">
          <cell r="A197">
            <v>200411</v>
          </cell>
          <cell r="B197" t="str">
            <v>コウソクテンショウ</v>
          </cell>
        </row>
        <row r="198">
          <cell r="A198">
            <v>200420</v>
          </cell>
          <cell r="B198" t="str">
            <v>アンチバフ</v>
          </cell>
        </row>
        <row r="199">
          <cell r="A199">
            <v>200430</v>
          </cell>
          <cell r="B199" t="str">
            <v>悪魔(アンドラス)</v>
          </cell>
        </row>
        <row r="200">
          <cell r="A200">
            <v>200510</v>
          </cell>
          <cell r="B200" t="str">
            <v>カウントダウン</v>
          </cell>
        </row>
        <row r="201">
          <cell r="A201">
            <v>200520</v>
          </cell>
          <cell r="B201" t="str">
            <v>グラウンドゼロ</v>
          </cell>
        </row>
        <row r="202">
          <cell r="A202">
            <v>200530</v>
          </cell>
          <cell r="B202" t="str">
            <v>悪魔(ビフロンス)</v>
          </cell>
        </row>
        <row r="203">
          <cell r="A203">
            <v>201010</v>
          </cell>
          <cell r="B203" t="str">
            <v>カオスペイン</v>
          </cell>
        </row>
        <row r="204">
          <cell r="A204">
            <v>201020</v>
          </cell>
          <cell r="B204" t="str">
            <v>フォールンワン</v>
          </cell>
        </row>
        <row r="205">
          <cell r="A205">
            <v>201030</v>
          </cell>
          <cell r="B205" t="str">
            <v>アンリマユ</v>
          </cell>
        </row>
        <row r="206">
          <cell r="A206">
            <v>300010</v>
          </cell>
          <cell r="B206" t="str">
            <v>ライフブースト</v>
          </cell>
        </row>
        <row r="207">
          <cell r="A207">
            <v>300020</v>
          </cell>
          <cell r="B207" t="str">
            <v>スピリットチャージ</v>
          </cell>
        </row>
        <row r="208">
          <cell r="A208">
            <v>300030</v>
          </cell>
          <cell r="B208" t="str">
            <v>フォースライズ</v>
          </cell>
        </row>
        <row r="209">
          <cell r="A209">
            <v>300040</v>
          </cell>
          <cell r="B209" t="str">
            <v>ディフェンスオーラ</v>
          </cell>
        </row>
        <row r="210">
          <cell r="A210">
            <v>300050</v>
          </cell>
          <cell r="B210" t="str">
            <v>ラピッドムーブ</v>
          </cell>
        </row>
        <row r="211">
          <cell r="A211">
            <v>300130</v>
          </cell>
          <cell r="B211" t="str">
            <v>アタックブレイク</v>
          </cell>
        </row>
        <row r="212">
          <cell r="A212">
            <v>300140</v>
          </cell>
          <cell r="B212" t="str">
            <v>シールドバニッシュ</v>
          </cell>
        </row>
        <row r="213">
          <cell r="A213">
            <v>300210</v>
          </cell>
          <cell r="B213" t="str">
            <v>エーテルリチャージ</v>
          </cell>
        </row>
        <row r="214">
          <cell r="A214">
            <v>300220</v>
          </cell>
          <cell r="B214" t="str">
            <v>リカバリーエンハンス</v>
          </cell>
        </row>
        <row r="215">
          <cell r="A215">
            <v>300230</v>
          </cell>
          <cell r="B215" t="str">
            <v>ヴェンジェンス</v>
          </cell>
        </row>
        <row r="216">
          <cell r="A216">
            <v>301010</v>
          </cell>
          <cell r="B216" t="str">
            <v>ディケイドリセット</v>
          </cell>
        </row>
        <row r="217">
          <cell r="A217">
            <v>301020</v>
          </cell>
          <cell r="B217" t="str">
            <v>ウォーリアーブラッド</v>
          </cell>
        </row>
        <row r="218">
          <cell r="A218">
            <v>301030</v>
          </cell>
          <cell r="B218" t="str">
            <v>トライアングルガード</v>
          </cell>
        </row>
        <row r="219">
          <cell r="A219">
            <v>301040</v>
          </cell>
          <cell r="B219" t="str">
            <v>セーフティバリア</v>
          </cell>
        </row>
        <row r="220">
          <cell r="A220">
            <v>301050</v>
          </cell>
          <cell r="B220" t="str">
            <v>ヒロインズハイ</v>
          </cell>
        </row>
        <row r="221">
          <cell r="A221">
            <v>301060</v>
          </cell>
          <cell r="B221" t="str">
            <v>セカンドステージ</v>
          </cell>
        </row>
        <row r="222">
          <cell r="A222">
            <v>301070</v>
          </cell>
          <cell r="B222" t="str">
            <v>ハイヒットポイント</v>
          </cell>
        </row>
        <row r="223">
          <cell r="A223">
            <v>301080</v>
          </cell>
          <cell r="B223" t="str">
            <v>セプタブラスト</v>
          </cell>
        </row>
        <row r="224">
          <cell r="A224">
            <v>301090</v>
          </cell>
          <cell r="B224" t="str">
            <v>イニシャルブロッカー</v>
          </cell>
        </row>
        <row r="225">
          <cell r="A225">
            <v>301100</v>
          </cell>
          <cell r="B225" t="str">
            <v>ファーストテイク</v>
          </cell>
        </row>
        <row r="226">
          <cell r="A226">
            <v>310010</v>
          </cell>
          <cell r="B226" t="str">
            <v>妖精の祈り</v>
          </cell>
        </row>
        <row r="227">
          <cell r="A227">
            <v>310020</v>
          </cell>
          <cell r="B227" t="str">
            <v>月のかけら</v>
          </cell>
        </row>
        <row r="228">
          <cell r="A228">
            <v>310030</v>
          </cell>
          <cell r="B228" t="str">
            <v>商売の才覚書</v>
          </cell>
        </row>
        <row r="229">
          <cell r="A229">
            <v>310040</v>
          </cell>
          <cell r="B229" t="str">
            <v>メビウスの砂時計</v>
          </cell>
        </row>
        <row r="230">
          <cell r="A230">
            <v>310050</v>
          </cell>
          <cell r="B230" t="str">
            <v>先陣の心得</v>
          </cell>
        </row>
        <row r="231">
          <cell r="A231">
            <v>310060</v>
          </cell>
          <cell r="B231" t="str">
            <v>ヒスイの勾玉</v>
          </cell>
        </row>
        <row r="232">
          <cell r="A232">
            <v>310070</v>
          </cell>
          <cell r="B232" t="str">
            <v>英傑の盾</v>
          </cell>
        </row>
        <row r="233">
          <cell r="A233">
            <v>310080</v>
          </cell>
          <cell r="B233" t="str">
            <v>鷹の目</v>
          </cell>
        </row>
        <row r="234">
          <cell r="A234">
            <v>310090</v>
          </cell>
          <cell r="B234" t="str">
            <v>ラーニングピアス</v>
          </cell>
        </row>
        <row r="235">
          <cell r="A235">
            <v>310130</v>
          </cell>
          <cell r="B235" t="str">
            <v>ヒールユニット</v>
          </cell>
        </row>
        <row r="236">
          <cell r="A236">
            <v>320010</v>
          </cell>
          <cell r="B236" t="str">
            <v>訓練所Lv1</v>
          </cell>
        </row>
        <row r="237">
          <cell r="A237">
            <v>320011</v>
          </cell>
          <cell r="B237" t="str">
            <v>訓練所Lv2</v>
          </cell>
        </row>
        <row r="238">
          <cell r="A238">
            <v>320012</v>
          </cell>
          <cell r="B238" t="str">
            <v>訓練所Lv3</v>
          </cell>
        </row>
        <row r="239">
          <cell r="A239">
            <v>320020</v>
          </cell>
          <cell r="B239" t="str">
            <v>研究施設Lv1</v>
          </cell>
        </row>
        <row r="240">
          <cell r="A240">
            <v>320021</v>
          </cell>
          <cell r="B240" t="str">
            <v>研究施設Lv2</v>
          </cell>
        </row>
        <row r="241">
          <cell r="A241">
            <v>320022</v>
          </cell>
          <cell r="B241" t="str">
            <v>研究施設Lv3</v>
          </cell>
        </row>
        <row r="242">
          <cell r="A242">
            <v>320030</v>
          </cell>
          <cell r="B242" t="str">
            <v>資料館Lv1</v>
          </cell>
        </row>
        <row r="243">
          <cell r="A243">
            <v>320031</v>
          </cell>
          <cell r="B243" t="str">
            <v>資料館Lv2</v>
          </cell>
        </row>
        <row r="244">
          <cell r="A244">
            <v>320032</v>
          </cell>
          <cell r="B244" t="str">
            <v>資料館Lv3</v>
          </cell>
        </row>
        <row r="245">
          <cell r="A245">
            <v>320040</v>
          </cell>
          <cell r="B245" t="str">
            <v>潜伏技術Lv1</v>
          </cell>
        </row>
        <row r="246">
          <cell r="A246">
            <v>321010</v>
          </cell>
          <cell r="B246" t="str">
            <v>炎の祭壇</v>
          </cell>
        </row>
        <row r="247">
          <cell r="A247">
            <v>321020</v>
          </cell>
          <cell r="B247" t="str">
            <v>稲妻の祭壇</v>
          </cell>
        </row>
        <row r="248">
          <cell r="A248">
            <v>321030</v>
          </cell>
          <cell r="B248" t="str">
            <v>蒼の祭壇</v>
          </cell>
        </row>
        <row r="249">
          <cell r="A249">
            <v>321040</v>
          </cell>
          <cell r="B249" t="str">
            <v>光の祭壇</v>
          </cell>
        </row>
        <row r="250">
          <cell r="A250">
            <v>321050</v>
          </cell>
          <cell r="B250" t="str">
            <v>月の祭壇</v>
          </cell>
        </row>
        <row r="251">
          <cell r="A251">
            <v>322010</v>
          </cell>
          <cell r="B251" t="str">
            <v>食糧庫Lv1</v>
          </cell>
        </row>
        <row r="252">
          <cell r="A252">
            <v>322020</v>
          </cell>
          <cell r="B252" t="str">
            <v>攻撃技術Lv1</v>
          </cell>
        </row>
        <row r="253">
          <cell r="A253">
            <v>322030</v>
          </cell>
          <cell r="B253" t="str">
            <v>防御技術Lv1</v>
          </cell>
        </row>
        <row r="254">
          <cell r="A254">
            <v>322040</v>
          </cell>
          <cell r="B254" t="str">
            <v>詠唱技術Lv1</v>
          </cell>
        </row>
        <row r="255">
          <cell r="A255">
            <v>401010</v>
          </cell>
          <cell r="B255" t="str">
            <v>ファイアボール+</v>
          </cell>
        </row>
        <row r="256">
          <cell r="A256">
            <v>401020</v>
          </cell>
          <cell r="B256" t="str">
            <v>バーンストーム+</v>
          </cell>
        </row>
        <row r="257">
          <cell r="A257">
            <v>401030</v>
          </cell>
          <cell r="B257" t="str">
            <v>ヒートスタンプ+</v>
          </cell>
        </row>
        <row r="258">
          <cell r="A258">
            <v>401040</v>
          </cell>
          <cell r="B258" t="str">
            <v>ソードアダプト+</v>
          </cell>
        </row>
        <row r="259">
          <cell r="A259">
            <v>401050</v>
          </cell>
          <cell r="B259" t="str">
            <v>フレイムレイン+</v>
          </cell>
        </row>
        <row r="260">
          <cell r="A260">
            <v>401060</v>
          </cell>
          <cell r="B260" t="str">
            <v>イクスティンクション+</v>
          </cell>
        </row>
        <row r="261">
          <cell r="A261">
            <v>401070</v>
          </cell>
          <cell r="B261" t="str">
            <v>バーニングソウル+</v>
          </cell>
        </row>
        <row r="262">
          <cell r="A262">
            <v>401080</v>
          </cell>
          <cell r="B262" t="str">
            <v>レイジングバウンサー+</v>
          </cell>
        </row>
        <row r="263">
          <cell r="A263">
            <v>402010</v>
          </cell>
          <cell r="B263" t="str">
            <v>ディスチャージ+</v>
          </cell>
        </row>
        <row r="264">
          <cell r="A264">
            <v>402020</v>
          </cell>
          <cell r="B264" t="str">
            <v>イベイドコード+</v>
          </cell>
        </row>
        <row r="265">
          <cell r="A265">
            <v>402030</v>
          </cell>
          <cell r="B265" t="str">
            <v>ショックインパルス+</v>
          </cell>
        </row>
        <row r="266">
          <cell r="A266">
            <v>402040</v>
          </cell>
          <cell r="B266" t="str">
            <v>トラストチェイン+</v>
          </cell>
        </row>
        <row r="267">
          <cell r="A267">
            <v>402050</v>
          </cell>
          <cell r="B267" t="str">
            <v>スペルバニシング+</v>
          </cell>
        </row>
        <row r="268">
          <cell r="A268">
            <v>402060</v>
          </cell>
          <cell r="B268" t="str">
            <v>アーテニーストライク+</v>
          </cell>
        </row>
        <row r="269">
          <cell r="A269">
            <v>402070</v>
          </cell>
          <cell r="B269" t="str">
            <v>コンセントレイト+</v>
          </cell>
        </row>
        <row r="270">
          <cell r="A270">
            <v>402080</v>
          </cell>
          <cell r="B270" t="str">
            <v>ディレイマジック+</v>
          </cell>
        </row>
        <row r="271">
          <cell r="A271">
            <v>403010</v>
          </cell>
          <cell r="B271" t="str">
            <v>アイスブレイド+</v>
          </cell>
        </row>
        <row r="272">
          <cell r="A272">
            <v>403020</v>
          </cell>
          <cell r="B272" t="str">
            <v>カウンターオーラ+</v>
          </cell>
        </row>
        <row r="273">
          <cell r="A273">
            <v>403030</v>
          </cell>
          <cell r="B273" t="str">
            <v>ラインプロテクト+</v>
          </cell>
        </row>
        <row r="274">
          <cell r="A274">
            <v>403040</v>
          </cell>
          <cell r="B274" t="str">
            <v>エスコートソール+</v>
          </cell>
        </row>
        <row r="275">
          <cell r="A275">
            <v>403050</v>
          </cell>
          <cell r="B275" t="str">
            <v>ディープフリーズ+</v>
          </cell>
        </row>
        <row r="276">
          <cell r="A276">
            <v>403060</v>
          </cell>
          <cell r="B276" t="str">
            <v>バブルブロウ+</v>
          </cell>
        </row>
        <row r="277">
          <cell r="A277">
            <v>403070</v>
          </cell>
          <cell r="B277" t="str">
            <v>アクアミラージュ+</v>
          </cell>
        </row>
        <row r="278">
          <cell r="A278">
            <v>403080</v>
          </cell>
          <cell r="B278" t="str">
            <v>フロストシールド+</v>
          </cell>
        </row>
        <row r="279">
          <cell r="A279">
            <v>404010</v>
          </cell>
          <cell r="B279" t="str">
            <v>セイントレーザー+</v>
          </cell>
        </row>
        <row r="280">
          <cell r="A280">
            <v>404020</v>
          </cell>
          <cell r="B280" t="str">
            <v>ペネトレイト+</v>
          </cell>
        </row>
        <row r="281">
          <cell r="A281">
            <v>404030</v>
          </cell>
          <cell r="B281" t="str">
            <v>ヒーリング+</v>
          </cell>
        </row>
        <row r="282">
          <cell r="A282">
            <v>404040</v>
          </cell>
          <cell r="B282" t="str">
            <v>リザイアフォトン+</v>
          </cell>
        </row>
        <row r="283">
          <cell r="A283">
            <v>404050</v>
          </cell>
          <cell r="B283" t="str">
            <v>べネディクション+</v>
          </cell>
        </row>
        <row r="284">
          <cell r="A284">
            <v>404060</v>
          </cell>
          <cell r="B284" t="str">
            <v>ホーリーグレイス+</v>
          </cell>
        </row>
        <row r="285">
          <cell r="A285">
            <v>404070</v>
          </cell>
          <cell r="B285" t="str">
            <v>キュアエール+</v>
          </cell>
        </row>
        <row r="286">
          <cell r="A286">
            <v>404080</v>
          </cell>
          <cell r="B286" t="str">
            <v>ラインバリア+</v>
          </cell>
        </row>
        <row r="287">
          <cell r="A287">
            <v>405010</v>
          </cell>
          <cell r="B287" t="str">
            <v>ダークプリズン+</v>
          </cell>
        </row>
        <row r="288">
          <cell r="A288">
            <v>405020</v>
          </cell>
          <cell r="B288" t="str">
            <v>ユーサネイジア+</v>
          </cell>
        </row>
        <row r="289">
          <cell r="A289">
            <v>405030</v>
          </cell>
          <cell r="B289" t="str">
            <v>ドレインヒール+</v>
          </cell>
        </row>
        <row r="290">
          <cell r="A290">
            <v>405040</v>
          </cell>
          <cell r="B290" t="str">
            <v>アビサルデスペア+</v>
          </cell>
        </row>
        <row r="291">
          <cell r="A291">
            <v>405050</v>
          </cell>
          <cell r="B291" t="str">
            <v>ディプラヴィティ+</v>
          </cell>
        </row>
        <row r="292">
          <cell r="A292">
            <v>405060</v>
          </cell>
          <cell r="B292" t="str">
            <v>ダークネス+</v>
          </cell>
        </row>
        <row r="293">
          <cell r="A293">
            <v>405070</v>
          </cell>
          <cell r="B293" t="str">
            <v>シェイディークラウド+</v>
          </cell>
        </row>
        <row r="294">
          <cell r="A294">
            <v>405080</v>
          </cell>
          <cell r="B294" t="str">
            <v>ポイズンブロウ+</v>
          </cell>
        </row>
        <row r="295">
          <cell r="A295">
            <v>411010</v>
          </cell>
          <cell r="B295" t="str">
            <v>ウルフソウル+</v>
          </cell>
        </row>
        <row r="296">
          <cell r="A296">
            <v>411020</v>
          </cell>
          <cell r="B296" t="str">
            <v>プリディカメント+</v>
          </cell>
        </row>
        <row r="297">
          <cell r="A297">
            <v>411030</v>
          </cell>
          <cell r="B297" t="str">
            <v>アサルトシフト+</v>
          </cell>
        </row>
        <row r="298">
          <cell r="A298">
            <v>411040</v>
          </cell>
          <cell r="B298" t="str">
            <v>アクティブギフト+</v>
          </cell>
        </row>
        <row r="299">
          <cell r="A299">
            <v>411050</v>
          </cell>
          <cell r="B299" t="str">
            <v>イグナイテッド+</v>
          </cell>
        </row>
        <row r="300">
          <cell r="A300">
            <v>411060</v>
          </cell>
          <cell r="B300" t="str">
            <v>ライジングファイア+</v>
          </cell>
        </row>
        <row r="301">
          <cell r="A301">
            <v>411070</v>
          </cell>
          <cell r="B301" t="str">
            <v>ルージュバック+</v>
          </cell>
        </row>
        <row r="302">
          <cell r="A302">
            <v>411080</v>
          </cell>
          <cell r="B302" t="str">
            <v>パワーエール+</v>
          </cell>
        </row>
        <row r="303">
          <cell r="A303">
            <v>411090</v>
          </cell>
          <cell r="B303" t="str">
            <v>スレイプニル+</v>
          </cell>
        </row>
        <row r="304">
          <cell r="A304">
            <v>412010</v>
          </cell>
          <cell r="B304" t="str">
            <v>エクステンション+</v>
          </cell>
        </row>
        <row r="305">
          <cell r="A305">
            <v>412020</v>
          </cell>
          <cell r="B305" t="str">
            <v>ヘブンリーラック+</v>
          </cell>
        </row>
        <row r="306">
          <cell r="A306">
            <v>412030</v>
          </cell>
          <cell r="B306" t="str">
            <v>スウィフトカレント+</v>
          </cell>
        </row>
        <row r="307">
          <cell r="A307">
            <v>412040</v>
          </cell>
          <cell r="B307" t="str">
            <v>イヴェイドオール+</v>
          </cell>
        </row>
        <row r="308">
          <cell r="A308">
            <v>412050</v>
          </cell>
          <cell r="B308" t="str">
            <v>クイックムーブ+</v>
          </cell>
        </row>
        <row r="309">
          <cell r="A309">
            <v>412060</v>
          </cell>
          <cell r="B309" t="str">
            <v>チェイスマジック+</v>
          </cell>
        </row>
        <row r="310">
          <cell r="A310">
            <v>412070</v>
          </cell>
          <cell r="B310" t="str">
            <v>ソーサリーコネクト+</v>
          </cell>
        </row>
        <row r="311">
          <cell r="A311">
            <v>412080</v>
          </cell>
          <cell r="B311" t="str">
            <v>ウィンドライズ+</v>
          </cell>
        </row>
        <row r="312">
          <cell r="A312">
            <v>412090</v>
          </cell>
          <cell r="B312" t="str">
            <v>アウトオブオーダー+</v>
          </cell>
        </row>
        <row r="313">
          <cell r="A313">
            <v>413010</v>
          </cell>
          <cell r="B313" t="str">
            <v>アーマーコード+</v>
          </cell>
        </row>
        <row r="314">
          <cell r="A314">
            <v>413020</v>
          </cell>
          <cell r="B314" t="str">
            <v>クイックバリア+</v>
          </cell>
        </row>
        <row r="315">
          <cell r="A315">
            <v>413030</v>
          </cell>
          <cell r="B315" t="str">
            <v>クイックキュア+</v>
          </cell>
        </row>
        <row r="316">
          <cell r="A316">
            <v>413040</v>
          </cell>
          <cell r="B316" t="str">
            <v>セルフシールド+</v>
          </cell>
        </row>
        <row r="317">
          <cell r="A317">
            <v>413050</v>
          </cell>
          <cell r="B317" t="str">
            <v>パッシブジャミング+</v>
          </cell>
        </row>
        <row r="318">
          <cell r="A318">
            <v>413060</v>
          </cell>
          <cell r="B318" t="str">
            <v>サプライカバー+</v>
          </cell>
        </row>
        <row r="319">
          <cell r="A319">
            <v>413070</v>
          </cell>
          <cell r="B319" t="str">
            <v>アシッドラッシュ+</v>
          </cell>
        </row>
        <row r="320">
          <cell r="A320">
            <v>413080</v>
          </cell>
          <cell r="B320" t="str">
            <v>ライフスティール+</v>
          </cell>
        </row>
        <row r="321">
          <cell r="A321">
            <v>413090</v>
          </cell>
          <cell r="B321" t="str">
            <v>アイスセイバー+</v>
          </cell>
        </row>
        <row r="322">
          <cell r="A322">
            <v>414010</v>
          </cell>
          <cell r="B322" t="str">
            <v>ディバインシールド+</v>
          </cell>
        </row>
        <row r="323">
          <cell r="A323">
            <v>414020</v>
          </cell>
          <cell r="B323" t="str">
            <v>ライフディバイド+</v>
          </cell>
        </row>
        <row r="324">
          <cell r="A324">
            <v>414030</v>
          </cell>
          <cell r="B324" t="str">
            <v>エイミングスコープ+</v>
          </cell>
        </row>
        <row r="325">
          <cell r="A325">
            <v>414040</v>
          </cell>
          <cell r="B325" t="str">
            <v>リジェネレーション+</v>
          </cell>
        </row>
        <row r="326">
          <cell r="A326">
            <v>414050</v>
          </cell>
          <cell r="B326" t="str">
            <v>ホープフルアイリス+</v>
          </cell>
        </row>
        <row r="327">
          <cell r="A327">
            <v>414060</v>
          </cell>
          <cell r="B327" t="str">
            <v>パッシブサプライ+</v>
          </cell>
        </row>
        <row r="328">
          <cell r="A328">
            <v>414070</v>
          </cell>
          <cell r="B328" t="str">
            <v>ホーミングクルセイド+</v>
          </cell>
        </row>
        <row r="329">
          <cell r="A329">
            <v>414080</v>
          </cell>
          <cell r="B329" t="str">
            <v>クイックヒール+</v>
          </cell>
        </row>
        <row r="330">
          <cell r="A330">
            <v>414090</v>
          </cell>
          <cell r="B330" t="str">
            <v>リレイズ+</v>
          </cell>
        </row>
        <row r="331">
          <cell r="A331">
            <v>415010</v>
          </cell>
          <cell r="B331" t="str">
            <v>イーグルアイ+</v>
          </cell>
        </row>
        <row r="332">
          <cell r="A332">
            <v>415020</v>
          </cell>
          <cell r="B332" t="str">
            <v>ネヴァーエンド+</v>
          </cell>
        </row>
        <row r="333">
          <cell r="A333">
            <v>415030</v>
          </cell>
          <cell r="B333" t="str">
            <v>グレイブアクト+</v>
          </cell>
        </row>
        <row r="334">
          <cell r="A334">
            <v>415040</v>
          </cell>
          <cell r="B334" t="str">
            <v>スカルグラッジ+</v>
          </cell>
        </row>
        <row r="335">
          <cell r="A335">
            <v>415050</v>
          </cell>
          <cell r="B335" t="str">
            <v>ネガティブドレイン+</v>
          </cell>
        </row>
        <row r="336">
          <cell r="A336">
            <v>415060</v>
          </cell>
          <cell r="B336" t="str">
            <v>アンデッドペイン+</v>
          </cell>
        </row>
        <row r="337">
          <cell r="A337">
            <v>415070</v>
          </cell>
          <cell r="B337" t="str">
            <v>ジャックポッド+</v>
          </cell>
        </row>
        <row r="338">
          <cell r="A338">
            <v>415080</v>
          </cell>
          <cell r="B338" t="str">
            <v>ヒールハント+</v>
          </cell>
        </row>
        <row r="339">
          <cell r="A339">
            <v>415090</v>
          </cell>
          <cell r="B339" t="str">
            <v>クイックカース+</v>
          </cell>
        </row>
        <row r="340">
          <cell r="A340">
            <v>501010</v>
          </cell>
          <cell r="B340" t="str">
            <v>火傷耐性+20%</v>
          </cell>
        </row>
        <row r="341">
          <cell r="A341">
            <v>501020</v>
          </cell>
          <cell r="B341" t="str">
            <v>命中率+5%</v>
          </cell>
        </row>
        <row r="342">
          <cell r="A342">
            <v>501030</v>
          </cell>
          <cell r="B342" t="str">
            <v>最大HP+2</v>
          </cell>
        </row>
        <row r="343">
          <cell r="A343">
            <v>501040</v>
          </cell>
          <cell r="B343" t="str">
            <v>ATK+2</v>
          </cell>
        </row>
        <row r="344">
          <cell r="A344">
            <v>502010</v>
          </cell>
          <cell r="B344" t="str">
            <v>DEF+1</v>
          </cell>
        </row>
        <row r="345">
          <cell r="A345">
            <v>502020</v>
          </cell>
          <cell r="B345" t="str">
            <v>SPD+1</v>
          </cell>
        </row>
        <row r="346">
          <cell r="A346">
            <v>502030</v>
          </cell>
          <cell r="B346" t="str">
            <v>SPD+1</v>
          </cell>
        </row>
        <row r="347">
          <cell r="A347">
            <v>502040</v>
          </cell>
          <cell r="B347" t="str">
            <v>回避率+5%</v>
          </cell>
        </row>
        <row r="348">
          <cell r="A348">
            <v>503010</v>
          </cell>
          <cell r="B348" t="str">
            <v>DEF+1</v>
          </cell>
        </row>
        <row r="349">
          <cell r="A349">
            <v>503020</v>
          </cell>
          <cell r="B349" t="str">
            <v>凍結耐性+20%</v>
          </cell>
        </row>
        <row r="350">
          <cell r="A350">
            <v>503030</v>
          </cell>
          <cell r="B350" t="str">
            <v>最大HP+2</v>
          </cell>
        </row>
        <row r="351">
          <cell r="A351">
            <v>503040</v>
          </cell>
          <cell r="B351" t="str">
            <v>DEF+2</v>
          </cell>
        </row>
        <row r="352">
          <cell r="A352">
            <v>504010</v>
          </cell>
          <cell r="B352" t="str">
            <v>Hp回復効果+2</v>
          </cell>
        </row>
        <row r="353">
          <cell r="A353">
            <v>504020</v>
          </cell>
          <cell r="B353" t="str">
            <v>SPD+1</v>
          </cell>
        </row>
        <row r="354">
          <cell r="A354">
            <v>504030</v>
          </cell>
          <cell r="B354" t="str">
            <v>命中率+5%</v>
          </cell>
        </row>
        <row r="355">
          <cell r="A355">
            <v>504040</v>
          </cell>
          <cell r="B355" t="str">
            <v>最大HP+2</v>
          </cell>
        </row>
        <row r="356">
          <cell r="A356">
            <v>505010</v>
          </cell>
          <cell r="B356" t="str">
            <v>回避率+5%</v>
          </cell>
        </row>
        <row r="357">
          <cell r="A357">
            <v>505020</v>
          </cell>
          <cell r="B357" t="str">
            <v>SPD+1</v>
          </cell>
        </row>
        <row r="358">
          <cell r="A358">
            <v>505030</v>
          </cell>
          <cell r="B358" t="str">
            <v>最大HP+2</v>
          </cell>
        </row>
        <row r="359">
          <cell r="A359">
            <v>505040</v>
          </cell>
          <cell r="B359" t="str">
            <v>ATK+1</v>
          </cell>
        </row>
        <row r="360">
          <cell r="A360">
            <v>506010</v>
          </cell>
          <cell r="B360" t="str">
            <v>最大HP+3</v>
          </cell>
        </row>
        <row r="361">
          <cell r="A361">
            <v>506011</v>
          </cell>
          <cell r="B361" t="str">
            <v>ATK+1</v>
          </cell>
        </row>
        <row r="362">
          <cell r="A362">
            <v>506012</v>
          </cell>
          <cell r="B362" t="str">
            <v>DEF+1</v>
          </cell>
        </row>
        <row r="363">
          <cell r="A363">
            <v>506013</v>
          </cell>
          <cell r="B363" t="str">
            <v>SPD+1</v>
          </cell>
        </row>
        <row r="364">
          <cell r="A364">
            <v>507010</v>
          </cell>
          <cell r="B364" t="str">
            <v>獲得Exp+30%</v>
          </cell>
        </row>
        <row r="365">
          <cell r="A365">
            <v>507020</v>
          </cell>
          <cell r="B365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workbookViewId="0">
      <selection activeCell="M17" sqref="M17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5"/>
  <sheetViews>
    <sheetView zoomScale="115" zoomScaleNormal="115" topLeftCell="A31" workbookViewId="0">
      <selection activeCell="B79" sqref="B79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11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21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5020</v>
      </c>
      <c r="C8" t="str">
        <f>INDEX([1]TextData!B:B,MATCH(B8,[1]TextData!A:A))</f>
        <v>カウントジャグラー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11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21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11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21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150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11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21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11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21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11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21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11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21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11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21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11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21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11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21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11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ヘブンリーラック</v>
      </c>
      <c r="D55">
        <v>21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5030</v>
      </c>
      <c r="C58" t="str">
        <f>INDEX([1]TextData!B:B,MATCH(B58,[1]TextData!A:A))</f>
        <v>パッシブカース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11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21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11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11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21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11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21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1020</v>
      </c>
      <c r="C80" t="str">
        <f>INDEX([1]TextData!B:B,MATCH(B80,[1]TextData!A:A))</f>
        <v>フレイムクラッシュ</v>
      </c>
      <c r="D80">
        <v>1</v>
      </c>
      <c r="E80">
        <v>100</v>
      </c>
      <c r="F80">
        <v>5061</v>
      </c>
      <c r="G80">
        <v>0</v>
      </c>
    </row>
    <row r="81" spans="1:7">
      <c r="A81">
        <v>101</v>
      </c>
      <c r="B81">
        <v>1010</v>
      </c>
      <c r="C81" t="str">
        <f>INDEX([1]TextData!B:B,MATCH(B81,[1]TextData!A:A))</f>
        <v>ファイアボール</v>
      </c>
      <c r="D81">
        <v>1</v>
      </c>
      <c r="E81">
        <v>50</v>
      </c>
      <c r="F81">
        <v>0</v>
      </c>
      <c r="G81">
        <v>0</v>
      </c>
    </row>
    <row r="82" spans="1:7">
      <c r="A82">
        <v>101</v>
      </c>
      <c r="B82">
        <v>11020</v>
      </c>
      <c r="C82" t="str">
        <f>INDEX([1]TextData!B:B,MATCH(B82,[1]TextData!A:A))</f>
        <v>イーグルアイ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11080</v>
      </c>
      <c r="C83" t="str">
        <f>INDEX([1]TextData!B:B,MATCH(B83,[1]TextData!A:A))</f>
        <v>ルージュバック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200110</v>
      </c>
      <c r="C84" t="str">
        <f>INDEX([1]TextData!B:B,MATCH(B84,[1]TextData!A:A))</f>
        <v>スリータイムス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200120</v>
      </c>
      <c r="C85" t="str">
        <f>INDEX([1]TextData!B:B,MATCH(B85,[1]TextData!A:A))</f>
        <v>アングリークライ</v>
      </c>
      <c r="D85">
        <v>1</v>
      </c>
      <c r="E85">
        <v>150</v>
      </c>
      <c r="F85">
        <v>0</v>
      </c>
      <c r="G85">
        <v>0</v>
      </c>
    </row>
    <row r="86" spans="1:7">
      <c r="A86">
        <v>102</v>
      </c>
      <c r="B86">
        <v>5010</v>
      </c>
      <c r="C86" t="str">
        <f>INDEX([1]TextData!B:B,MATCH(B86,[1]TextData!A:A))</f>
        <v>ダークプリズン</v>
      </c>
      <c r="D86">
        <v>1</v>
      </c>
      <c r="E86">
        <v>50</v>
      </c>
      <c r="F86">
        <v>0</v>
      </c>
      <c r="G86">
        <v>0</v>
      </c>
    </row>
    <row r="87" spans="1:7">
      <c r="A87">
        <v>102</v>
      </c>
      <c r="B87">
        <v>5020</v>
      </c>
      <c r="C87" t="str">
        <f>INDEX([1]TextData!B:B,MATCH(B87,[1]TextData!A:A))</f>
        <v>カウントジャグラー</v>
      </c>
      <c r="D87">
        <v>1</v>
      </c>
      <c r="E87">
        <v>100</v>
      </c>
      <c r="F87">
        <v>1013</v>
      </c>
      <c r="G87">
        <v>0</v>
      </c>
    </row>
    <row r="88" spans="1:7">
      <c r="A88">
        <v>102</v>
      </c>
      <c r="B88">
        <v>15050</v>
      </c>
      <c r="C88" t="str">
        <f>INDEX([1]TextData!B:B,MATCH(B88,[1]TextData!A:A))</f>
        <v>ネガティブドレイン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200210</v>
      </c>
      <c r="C89" t="str">
        <f>INDEX([1]TextData!B:B,MATCH(B89,[1]TextData!A:A))</f>
        <v>マイトレインフォース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200220</v>
      </c>
      <c r="C90" t="str">
        <f>INDEX([1]TextData!B:B,MATCH(B90,[1]TextData!A:A))</f>
        <v>カタストロフィ</v>
      </c>
      <c r="D90">
        <v>1</v>
      </c>
      <c r="E90">
        <v>150</v>
      </c>
      <c r="F90">
        <v>0</v>
      </c>
      <c r="G90">
        <v>0</v>
      </c>
    </row>
    <row r="91" spans="1:7">
      <c r="A91">
        <v>102</v>
      </c>
      <c r="B91">
        <v>200230</v>
      </c>
      <c r="C91" t="str">
        <f>INDEX([1]TextData!B:B,MATCH(B91,[1]TextData!A:A))</f>
        <v>悪魔(ベリト)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4010</v>
      </c>
      <c r="C92" t="str">
        <f>INDEX([1]TextData!B:B,MATCH(B92,[1]TextData!A:A))</f>
        <v>セイントレーザー</v>
      </c>
      <c r="D92">
        <v>1</v>
      </c>
      <c r="E92">
        <v>50</v>
      </c>
      <c r="F92">
        <v>0</v>
      </c>
      <c r="G92">
        <v>0</v>
      </c>
    </row>
    <row r="93" spans="1:7">
      <c r="A93">
        <v>103</v>
      </c>
      <c r="B93">
        <v>4030</v>
      </c>
      <c r="C93" t="str">
        <f>INDEX([1]TextData!B:B,MATCH(B93,[1]TextData!A:A))</f>
        <v>ヒーリング</v>
      </c>
      <c r="D93">
        <v>1</v>
      </c>
      <c r="E93">
        <v>100</v>
      </c>
      <c r="F93">
        <v>1033</v>
      </c>
      <c r="G93">
        <v>0</v>
      </c>
    </row>
    <row r="94" spans="1:7">
      <c r="A94">
        <v>103</v>
      </c>
      <c r="B94">
        <v>14080</v>
      </c>
      <c r="C94" t="str">
        <f>INDEX([1]TextData!B:B,MATCH(B94,[1]TextData!A:A))</f>
        <v>ホーミングクルセイド</v>
      </c>
      <c r="D94">
        <v>1</v>
      </c>
      <c r="E94">
        <v>0</v>
      </c>
      <c r="F94">
        <v>1033</v>
      </c>
      <c r="G94">
        <v>0</v>
      </c>
    </row>
    <row r="95" spans="1:7">
      <c r="A95">
        <v>103</v>
      </c>
      <c r="B95">
        <v>200310</v>
      </c>
      <c r="C95" t="str">
        <f>INDEX([1]TextData!B:B,MATCH(B95,[1]TextData!A:A))</f>
        <v>プルガシオン</v>
      </c>
      <c r="D95">
        <v>1</v>
      </c>
      <c r="E95">
        <v>0</v>
      </c>
      <c r="F95">
        <v>0</v>
      </c>
      <c r="G95">
        <v>0</v>
      </c>
    </row>
    <row r="96" spans="1:7">
      <c r="A96">
        <v>103</v>
      </c>
      <c r="B96">
        <v>200320</v>
      </c>
      <c r="C96" t="str">
        <f>INDEX([1]TextData!B:B,MATCH(B96,[1]TextData!A:A))</f>
        <v>プリエステス</v>
      </c>
      <c r="D96">
        <v>1</v>
      </c>
      <c r="E96">
        <v>150</v>
      </c>
      <c r="F96">
        <v>0</v>
      </c>
      <c r="G96">
        <v>0</v>
      </c>
    </row>
    <row r="97" spans="1:7">
      <c r="A97">
        <v>103</v>
      </c>
      <c r="B97">
        <v>200330</v>
      </c>
      <c r="C97" t="str">
        <f>INDEX([1]TextData!B:B,MATCH(B97,[1]TextData!A:A))</f>
        <v>悪魔(パイモン)</v>
      </c>
      <c r="D97">
        <v>1</v>
      </c>
      <c r="E97">
        <v>0</v>
      </c>
      <c r="F97">
        <v>0</v>
      </c>
      <c r="G97">
        <v>0</v>
      </c>
    </row>
    <row r="98" spans="1:7">
      <c r="A98">
        <v>104</v>
      </c>
      <c r="B98">
        <v>2010</v>
      </c>
      <c r="C98" t="str">
        <f>INDEX([1]TextData!B:B,MATCH(B98,[1]TextData!A:A))</f>
        <v>ディスチャージ</v>
      </c>
      <c r="D98">
        <v>1</v>
      </c>
      <c r="E98">
        <v>50</v>
      </c>
      <c r="F98">
        <v>0</v>
      </c>
      <c r="G98">
        <v>0</v>
      </c>
    </row>
    <row r="99" spans="1:7">
      <c r="A99">
        <v>104</v>
      </c>
      <c r="B99">
        <v>200410</v>
      </c>
      <c r="C99" t="str">
        <f>INDEX([1]TextData!B:B,MATCH(B99,[1]TextData!A:A))</f>
        <v>コウソクテンショウ</v>
      </c>
      <c r="D99">
        <v>1</v>
      </c>
      <c r="E99">
        <v>0</v>
      </c>
      <c r="F99">
        <v>0</v>
      </c>
      <c r="G99">
        <v>0</v>
      </c>
    </row>
    <row r="100" spans="1:7">
      <c r="A100">
        <v>104</v>
      </c>
      <c r="B100">
        <v>200420</v>
      </c>
      <c r="C100" t="str">
        <f>INDEX([1]TextData!B:B,MATCH(B100,[1]TextData!A:A))</f>
        <v>アンチバフ</v>
      </c>
      <c r="D100">
        <v>1</v>
      </c>
      <c r="E100">
        <v>0</v>
      </c>
      <c r="F100">
        <v>1024</v>
      </c>
      <c r="G100">
        <v>0</v>
      </c>
    </row>
    <row r="101" spans="1:7">
      <c r="A101">
        <v>104</v>
      </c>
      <c r="B101">
        <v>200430</v>
      </c>
      <c r="C101" t="str">
        <f>INDEX([1]TextData!B:B,MATCH(B101,[1]TextData!A:A))</f>
        <v>悪魔(アンドラス)</v>
      </c>
      <c r="D101">
        <v>1</v>
      </c>
      <c r="E101">
        <v>0</v>
      </c>
      <c r="F101">
        <v>0</v>
      </c>
      <c r="G101">
        <v>0</v>
      </c>
    </row>
    <row r="102" spans="1:7">
      <c r="A102">
        <v>105</v>
      </c>
      <c r="B102">
        <v>3010</v>
      </c>
      <c r="C102" t="str">
        <f>INDEX([1]TextData!B:B,MATCH(B102,[1]TextData!A:A))</f>
        <v>アイスブレイド</v>
      </c>
      <c r="D102">
        <v>1</v>
      </c>
      <c r="E102">
        <v>20</v>
      </c>
      <c r="F102">
        <v>0</v>
      </c>
      <c r="G102">
        <v>0</v>
      </c>
    </row>
    <row r="103" spans="1:7">
      <c r="A103">
        <v>105</v>
      </c>
      <c r="B103">
        <v>3070</v>
      </c>
      <c r="C103" t="str">
        <f>INDEX([1]TextData!B:B,MATCH(B103,[1]TextData!A:A))</f>
        <v>アクアミラージュ</v>
      </c>
      <c r="D103">
        <v>1</v>
      </c>
      <c r="E103">
        <v>80</v>
      </c>
      <c r="F103">
        <v>0</v>
      </c>
      <c r="G103">
        <v>0</v>
      </c>
    </row>
    <row r="104" spans="1:7">
      <c r="A104">
        <v>105</v>
      </c>
      <c r="B104">
        <v>200510</v>
      </c>
      <c r="C104" t="str">
        <f>INDEX([1]TextData!B:B,MATCH(B104,[1]TextData!A:A))</f>
        <v>カウントダウン</v>
      </c>
      <c r="D104">
        <v>1</v>
      </c>
      <c r="E104">
        <v>0</v>
      </c>
      <c r="F104">
        <v>0</v>
      </c>
      <c r="G104">
        <v>0</v>
      </c>
    </row>
    <row r="105" spans="1:7">
      <c r="A105">
        <v>105</v>
      </c>
      <c r="B105">
        <v>200520</v>
      </c>
      <c r="C105" t="str">
        <f>INDEX([1]TextData!B:B,MATCH(B105,[1]TextData!A:A))</f>
        <v>グラウンドゼロ</v>
      </c>
      <c r="D105">
        <v>1</v>
      </c>
      <c r="E105">
        <v>100</v>
      </c>
      <c r="F105">
        <v>0</v>
      </c>
      <c r="G105">
        <v>0</v>
      </c>
    </row>
    <row r="106" spans="1:7">
      <c r="A106">
        <v>105</v>
      </c>
      <c r="B106">
        <v>200530</v>
      </c>
      <c r="C106" t="str">
        <f>INDEX([1]TextData!B:B,MATCH(B106,[1]TextData!A:A))</f>
        <v>悪魔(ビフロンス)</v>
      </c>
      <c r="D106">
        <v>1</v>
      </c>
      <c r="E106">
        <v>0</v>
      </c>
      <c r="F106">
        <v>0</v>
      </c>
      <c r="G106">
        <v>0</v>
      </c>
    </row>
    <row r="107" spans="1:7">
      <c r="A107">
        <v>105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フレイムレイン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イグナイテッド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ファーストエイド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クロースエッジ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ヘブンリーラック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ソーサリーコネクト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ヘブンリーラック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クロースエッジ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シールドバッシュ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アイシクルエッジ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アシッドラッシュ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ホーミングクルセイド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ファーストエイド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ホープフルアイリス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ダークネス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ヒールハント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ブレイクウォール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ウルフソウル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アーマーコード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ヘブンリーラック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ガードバインド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パッシブジャミング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ヘビィカバー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アイシクルエッジ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アーマーコード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ウォークライ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イーグルアイ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ネガティブドレイン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ロングスラスト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クロースエッジ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ファストファクション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クイックムーブ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  <row r="207" spans="1:7">
      <c r="A207">
        <v>1101</v>
      </c>
      <c r="B207">
        <v>3010</v>
      </c>
      <c r="C207" t="str">
        <f>INDEX([1]TextData!B:B,MATCH(B207,[1]TextData!A:A))</f>
        <v>アイスブレイド</v>
      </c>
      <c r="D207">
        <v>1</v>
      </c>
      <c r="E207">
        <v>50</v>
      </c>
      <c r="F207">
        <v>0</v>
      </c>
      <c r="G207">
        <v>0</v>
      </c>
    </row>
    <row r="208" spans="1:7">
      <c r="A208">
        <v>1101</v>
      </c>
      <c r="B208">
        <v>3070</v>
      </c>
      <c r="C208" t="str">
        <f>INDEX([1]TextData!B:B,MATCH(B208,[1]TextData!A:A))</f>
        <v>アクアミラージュ</v>
      </c>
      <c r="D208">
        <v>1</v>
      </c>
      <c r="E208">
        <v>100</v>
      </c>
      <c r="F208">
        <v>0</v>
      </c>
      <c r="G208">
        <v>0</v>
      </c>
    </row>
    <row r="209" spans="1:7">
      <c r="A209">
        <v>1101</v>
      </c>
      <c r="B209">
        <v>110110</v>
      </c>
      <c r="C209" t="str">
        <f>INDEX([1]TextData!B:B,MATCH(B209,[1]TextData!A:A))</f>
        <v>ウィビングヒストリー</v>
      </c>
      <c r="D209">
        <v>1</v>
      </c>
      <c r="E209">
        <v>0</v>
      </c>
      <c r="F209">
        <v>0</v>
      </c>
      <c r="G209">
        <v>0</v>
      </c>
    </row>
    <row r="210" spans="1:7">
      <c r="A210">
        <v>1101</v>
      </c>
      <c r="B210">
        <v>110120</v>
      </c>
      <c r="C210" t="str">
        <f>INDEX([1]TextData!B:B,MATCH(B210,[1]TextData!A:A))</f>
        <v>アンライバルド</v>
      </c>
      <c r="D210">
        <v>1</v>
      </c>
      <c r="E210">
        <v>200</v>
      </c>
      <c r="F210">
        <v>0</v>
      </c>
      <c r="G210">
        <v>0</v>
      </c>
    </row>
    <row r="211" spans="1:7">
      <c r="A211">
        <v>1101</v>
      </c>
      <c r="B211">
        <v>13100</v>
      </c>
      <c r="C211" t="str">
        <f>INDEX([1]TextData!B:B,MATCH(B211,[1]TextData!A:A))</f>
        <v>アイスセイバー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403050</v>
      </c>
      <c r="C212" t="str">
        <f>INDEX([1]TextData!B:B,MATCH(B212,[1]TextData!A:A))</f>
        <v>ディープフリーズ+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13050</v>
      </c>
      <c r="C213" t="str">
        <f>INDEX([1]TextData!B:B,MATCH(B213,[1]TextData!A:A))</f>
        <v>パッシブジャミング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13070</v>
      </c>
      <c r="C214" t="str">
        <f>INDEX([1]TextData!B:B,MATCH(B214,[1]TextData!A:A))</f>
        <v>アシッドラッシュ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14070</v>
      </c>
      <c r="C215" t="str">
        <f>INDEX([1]TextData!B:B,MATCH(B215,[1]TextData!A:A))</f>
        <v>ホーミングクルセイド</v>
      </c>
      <c r="D215">
        <v>1</v>
      </c>
      <c r="E215">
        <v>0</v>
      </c>
      <c r="F215">
        <v>0</v>
      </c>
      <c r="G215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2026-09-07T00:25:21Z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