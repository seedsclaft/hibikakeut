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<sst xmlns="http://schemas.openxmlformats.org/spreadsheetml/2006/main" count="169" uniqueCount="144">
  <si>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</si>
  <si>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</si>
  <si>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</si>
  <si>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</si>
  <si>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</si>
  <si>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</si>
  <si>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</si>
  <si>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</si>
  <si>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</si>
  <si>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</si>
  <si>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</si>
  <si>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</si>
  <si>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</si>
  <si>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</si>
  <si>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</si>
  <si>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</si>
  <si>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</si>
  <si>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</si>
  <si>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</si>
  <si>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</si>
  <si>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</si>
  <si>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</si>
  <si>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</si>
  <si>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</si>
  <si>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</si>
  <si>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</si>
  <si>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</si>
  <si>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</si>
  <si>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</si>
  <si>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</si>
  <si>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</si>
  <si>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</si>
  <si>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NY_CJ_monster_010_3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</si>
  <si>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</si>
  <si>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</si>
  <si>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</si>
  <si>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</si>
  <si>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</si>
  <si>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</si>
  <si>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</si>
  <si>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</si>
  <si>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</si>
  <si>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</si>
  <si>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</si>
  <si>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</si>
  <si>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Creeper</t>
  </si>
  <si>
    <t>シャーマン</t>
  </si>
  <si>
    <t>Imp</t>
  </si>
  <si>
    <t>クレリック</t>
  </si>
  <si>
    <t>Armor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</si>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</sst>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7" fillId="10" borderId="2" applyNumberFormat="0" applyAlignment="0" applyProtection="0">
      <alignment vertical="center"/>
    </xf>
    <xf numFmtId="0" fontId="6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9" fillId="28" borderId="7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アブソリュートパリィ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スリータイムス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マイトレインフォース</v>
          </cell>
        </row>
        <row r="196">
          <cell r="A196">
            <v>200220</v>
          </cell>
          <cell r="B196" t="str">
            <v>カタストロフィ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ATK+1</v>
          </cell>
        </row>
        <row r="368">
          <cell r="A368">
            <v>506012</v>
          </cell>
          <cell r="B368" t="str">
            <v>DEF+1</v>
          </cell>
        </row>
        <row r="369">
          <cell r="A369">
            <v>506013</v>
          </cell>
          <cell r="B369" t="str">
            <v>SPD+1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C8" sqref="C8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6"/>
  <sheetViews>
    <sheetView tabSelected="1" zoomScale="115" zoomScaleNormal="115" topLeftCell="A79" workbookViewId="0">
      <selection activeCell="E82" sqref="E82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15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5020</v>
      </c>
      <c r="C8" t="str">
        <f>INDEX([1]TextData!B:B,MATCH(B8,[1]TextData!A:A))</f>
        <v>カウントジャグラー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10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ワンスパニッシュ</v>
      </c>
      <c r="D10">
        <v>15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10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15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75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10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15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10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15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10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15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10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15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10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15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10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15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10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15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10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キュアスタン</v>
      </c>
      <c r="D55">
        <v>15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5030</v>
      </c>
      <c r="C58" t="str">
        <f>INDEX([1]TextData!B:B,MATCH(B58,[1]TextData!A:A))</f>
        <v>パッシブカース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10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15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10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15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10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15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10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15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100</v>
      </c>
      <c r="F80">
        <v>0</v>
      </c>
      <c r="G80">
        <v>0</v>
      </c>
    </row>
    <row r="81" spans="1:7">
      <c r="A81">
        <v>101</v>
      </c>
      <c r="B81">
        <v>1110</v>
      </c>
      <c r="C81" t="str">
        <f>INDEX([1]TextData!B:B,MATCH(B81,[1]TextData!A:A))</f>
        <v>バーンストーム</v>
      </c>
      <c r="D81">
        <v>1</v>
      </c>
      <c r="E81">
        <v>150</v>
      </c>
      <c r="F81">
        <v>0</v>
      </c>
      <c r="G81">
        <v>0</v>
      </c>
    </row>
    <row r="82" spans="1:7">
      <c r="A82">
        <v>101</v>
      </c>
      <c r="B82">
        <v>11040</v>
      </c>
      <c r="C82" t="str">
        <f>INDEX([1]TextData!B:B,MATCH(B82,[1]TextData!A:A))</f>
        <v>ウルフソウル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12130</v>
      </c>
      <c r="C83" t="str">
        <f>INDEX([1]TextData!B:B,MATCH(B83,[1]TextData!A:A))</f>
        <v>チェイスマジック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11120</v>
      </c>
      <c r="C84" t="str">
        <f>INDEX([1]TextData!B:B,MATCH(B84,[1]TextData!A:A))</f>
        <v>パワーエール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200110</v>
      </c>
      <c r="C85" t="str">
        <f>INDEX([1]TextData!B:B,MATCH(B85,[1]TextData!A:A))</f>
        <v>スリータイムス</v>
      </c>
      <c r="D85">
        <v>1</v>
      </c>
      <c r="E85">
        <v>0</v>
      </c>
      <c r="F85">
        <v>0</v>
      </c>
      <c r="G85">
        <v>0</v>
      </c>
    </row>
    <row r="86" spans="1:7">
      <c r="A86">
        <v>101</v>
      </c>
      <c r="B86">
        <v>200120</v>
      </c>
      <c r="C86" t="str">
        <f>INDEX([1]TextData!B:B,MATCH(B86,[1]TextData!A:A))</f>
        <v>アングリークライ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5010</v>
      </c>
      <c r="C87" t="str">
        <f>INDEX([1]TextData!B:B,MATCH(B87,[1]TextData!A:A))</f>
        <v>ダークプリズン</v>
      </c>
      <c r="D87">
        <v>1</v>
      </c>
      <c r="E87">
        <v>50</v>
      </c>
      <c r="F87">
        <v>0</v>
      </c>
      <c r="G87">
        <v>0</v>
      </c>
    </row>
    <row r="88" spans="1:7">
      <c r="A88">
        <v>102</v>
      </c>
      <c r="B88">
        <v>5020</v>
      </c>
      <c r="C88" t="str">
        <f>INDEX([1]TextData!B:B,MATCH(B88,[1]TextData!A:A))</f>
        <v>カウントジャグラー</v>
      </c>
      <c r="D88">
        <v>1</v>
      </c>
      <c r="E88">
        <v>100</v>
      </c>
      <c r="F88">
        <v>1013</v>
      </c>
      <c r="G88">
        <v>0</v>
      </c>
    </row>
    <row r="89" spans="1:7">
      <c r="A89">
        <v>102</v>
      </c>
      <c r="B89">
        <v>15050</v>
      </c>
      <c r="C89" t="str">
        <f>INDEX([1]TextData!B:B,MATCH(B89,[1]TextData!A:A))</f>
        <v>キュアシェイド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200210</v>
      </c>
      <c r="C90" t="str">
        <f>INDEX([1]TextData!B:B,MATCH(B90,[1]TextData!A:A))</f>
        <v>マイトレインフォース</v>
      </c>
      <c r="D90">
        <v>1</v>
      </c>
      <c r="E90">
        <v>0</v>
      </c>
      <c r="F90">
        <v>0</v>
      </c>
      <c r="G90">
        <v>0</v>
      </c>
    </row>
    <row r="91" spans="1:7">
      <c r="A91">
        <v>102</v>
      </c>
      <c r="B91">
        <v>200220</v>
      </c>
      <c r="C91" t="str">
        <f>INDEX([1]TextData!B:B,MATCH(B91,[1]TextData!A:A))</f>
        <v>カタストロフィ</v>
      </c>
      <c r="D91">
        <v>1</v>
      </c>
      <c r="E91">
        <v>150</v>
      </c>
      <c r="F91">
        <v>0</v>
      </c>
      <c r="G91">
        <v>0</v>
      </c>
    </row>
    <row r="92" spans="1:7">
      <c r="A92">
        <v>102</v>
      </c>
      <c r="B92">
        <v>200230</v>
      </c>
      <c r="C92" t="str">
        <f>INDEX([1]TextData!B:B,MATCH(B92,[1]TextData!A:A))</f>
        <v>悪魔(ベリト)</v>
      </c>
      <c r="D92">
        <v>1</v>
      </c>
      <c r="E92">
        <v>0</v>
      </c>
      <c r="F92">
        <v>0</v>
      </c>
      <c r="G92">
        <v>0</v>
      </c>
    </row>
    <row r="93" spans="1:7">
      <c r="A93">
        <v>103</v>
      </c>
      <c r="B93">
        <v>4010</v>
      </c>
      <c r="C93" t="str">
        <f>INDEX([1]TextData!B:B,MATCH(B93,[1]TextData!A:A))</f>
        <v>セイントレーザー</v>
      </c>
      <c r="D93">
        <v>1</v>
      </c>
      <c r="E93">
        <v>50</v>
      </c>
      <c r="F93">
        <v>0</v>
      </c>
      <c r="G93">
        <v>0</v>
      </c>
    </row>
    <row r="94" spans="1:7">
      <c r="A94">
        <v>103</v>
      </c>
      <c r="B94">
        <v>4030</v>
      </c>
      <c r="C94" t="str">
        <f>INDEX([1]TextData!B:B,MATCH(B94,[1]TextData!A:A))</f>
        <v>ヒーリング</v>
      </c>
      <c r="D94">
        <v>1</v>
      </c>
      <c r="E94">
        <v>100</v>
      </c>
      <c r="F94">
        <v>1033</v>
      </c>
      <c r="G94">
        <v>0</v>
      </c>
    </row>
    <row r="95" spans="1:7">
      <c r="A95">
        <v>103</v>
      </c>
      <c r="B95">
        <v>14080</v>
      </c>
      <c r="C95" t="str">
        <f>INDEX([1]TextData!B:B,MATCH(B95,[1]TextData!A:A))</f>
        <v>ホーミングクルセイド</v>
      </c>
      <c r="D95">
        <v>1</v>
      </c>
      <c r="E95">
        <v>0</v>
      </c>
      <c r="F95">
        <v>1033</v>
      </c>
      <c r="G95">
        <v>0</v>
      </c>
    </row>
    <row r="96" spans="1:7">
      <c r="A96">
        <v>103</v>
      </c>
      <c r="B96">
        <v>200310</v>
      </c>
      <c r="C96" t="str">
        <f>INDEX([1]TextData!B:B,MATCH(B96,[1]TextData!A:A))</f>
        <v>プルガシオン</v>
      </c>
      <c r="D96">
        <v>1</v>
      </c>
      <c r="E96">
        <v>0</v>
      </c>
      <c r="F96">
        <v>0</v>
      </c>
      <c r="G96">
        <v>0</v>
      </c>
    </row>
    <row r="97" spans="1:7">
      <c r="A97">
        <v>103</v>
      </c>
      <c r="B97">
        <v>200320</v>
      </c>
      <c r="C97" t="str">
        <f>INDEX([1]TextData!B:B,MATCH(B97,[1]TextData!A:A))</f>
        <v>プリエステス</v>
      </c>
      <c r="D97">
        <v>1</v>
      </c>
      <c r="E97">
        <v>150</v>
      </c>
      <c r="F97">
        <v>0</v>
      </c>
      <c r="G97">
        <v>0</v>
      </c>
    </row>
    <row r="98" spans="1:7">
      <c r="A98">
        <v>103</v>
      </c>
      <c r="B98">
        <v>200330</v>
      </c>
      <c r="C98" t="str">
        <f>INDEX([1]TextData!B:B,MATCH(B98,[1]TextData!A:A))</f>
        <v>悪魔(パイモン)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2010</v>
      </c>
      <c r="C99" t="str">
        <f>INDEX([1]TextData!B:B,MATCH(B99,[1]TextData!A:A))</f>
        <v>ディスチャージ</v>
      </c>
      <c r="D99">
        <v>1</v>
      </c>
      <c r="E99">
        <v>50</v>
      </c>
      <c r="F99">
        <v>0</v>
      </c>
      <c r="G99">
        <v>0</v>
      </c>
    </row>
    <row r="100" spans="1:7">
      <c r="A100">
        <v>104</v>
      </c>
      <c r="B100">
        <v>200410</v>
      </c>
      <c r="C100" t="str">
        <f>INDEX([1]TextData!B:B,MATCH(B100,[1]TextData!A:A))</f>
        <v>コウソクテンショウ</v>
      </c>
      <c r="D100">
        <v>1</v>
      </c>
      <c r="E100">
        <v>0</v>
      </c>
      <c r="F100">
        <v>0</v>
      </c>
      <c r="G100">
        <v>0</v>
      </c>
    </row>
    <row r="101" spans="1:7">
      <c r="A101">
        <v>104</v>
      </c>
      <c r="B101">
        <v>200420</v>
      </c>
      <c r="C101" t="str">
        <f>INDEX([1]TextData!B:B,MATCH(B101,[1]TextData!A:A))</f>
        <v>アンチバフ</v>
      </c>
      <c r="D101">
        <v>1</v>
      </c>
      <c r="E101">
        <v>0</v>
      </c>
      <c r="F101">
        <v>1024</v>
      </c>
      <c r="G101">
        <v>0</v>
      </c>
    </row>
    <row r="102" spans="1:7">
      <c r="A102">
        <v>104</v>
      </c>
      <c r="B102">
        <v>200430</v>
      </c>
      <c r="C102" t="str">
        <f>INDEX([1]TextData!B:B,MATCH(B102,[1]TextData!A:A))</f>
        <v>悪魔(アンドラス)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3010</v>
      </c>
      <c r="C103" t="str">
        <f>INDEX([1]TextData!B:B,MATCH(B103,[1]TextData!A:A))</f>
        <v>アイスブレイド</v>
      </c>
      <c r="D103">
        <v>1</v>
      </c>
      <c r="E103">
        <v>20</v>
      </c>
      <c r="F103">
        <v>0</v>
      </c>
      <c r="G103">
        <v>0</v>
      </c>
    </row>
    <row r="104" spans="1:7">
      <c r="A104">
        <v>105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80</v>
      </c>
      <c r="F104">
        <v>0</v>
      </c>
      <c r="G104">
        <v>0</v>
      </c>
    </row>
    <row r="105" spans="1:7">
      <c r="A105">
        <v>105</v>
      </c>
      <c r="B105">
        <v>200510</v>
      </c>
      <c r="C105" t="str">
        <f>INDEX([1]TextData!B:B,MATCH(B105,[1]TextData!A:A))</f>
        <v>カウントダウン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200520</v>
      </c>
      <c r="C106" t="str">
        <f>INDEX([1]TextData!B:B,MATCH(B106,[1]TextData!A:A))</f>
        <v>グラウンドゼロ</v>
      </c>
      <c r="D106">
        <v>1</v>
      </c>
      <c r="E106">
        <v>100</v>
      </c>
      <c r="F106">
        <v>0</v>
      </c>
      <c r="G106">
        <v>0</v>
      </c>
    </row>
    <row r="107" spans="1:7">
      <c r="A107">
        <v>105</v>
      </c>
      <c r="B107">
        <v>200530</v>
      </c>
      <c r="C107" t="str">
        <f>INDEX([1]TextData!B:B,MATCH(B107,[1]TextData!A:A))</f>
        <v>悪魔(ビフロンス)</v>
      </c>
      <c r="D107">
        <v>1</v>
      </c>
      <c r="E107">
        <v>0</v>
      </c>
      <c r="F107">
        <v>0</v>
      </c>
      <c r="G107">
        <v>0</v>
      </c>
    </row>
    <row r="108" spans="1:7">
      <c r="A108">
        <v>105</v>
      </c>
      <c r="B108">
        <v>403070</v>
      </c>
      <c r="C108" t="str">
        <f>INDEX([1]TextData!B:B,MATCH(B108,[1]TextData!A:A))</f>
        <v>アクアミラージュ+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4010</v>
      </c>
      <c r="C109" t="str">
        <f>INDEX([1]TextData!B:B,MATCH(B109,[1]TextData!A:A))</f>
        <v>セイントレーザー</v>
      </c>
      <c r="D109">
        <v>1</v>
      </c>
      <c r="E109">
        <v>50</v>
      </c>
      <c r="F109">
        <v>0</v>
      </c>
      <c r="G109">
        <v>0</v>
      </c>
    </row>
    <row r="110" spans="1:7">
      <c r="A110">
        <v>1001</v>
      </c>
      <c r="B110">
        <v>1010</v>
      </c>
      <c r="C110" t="str">
        <f>INDEX([1]TextData!B:B,MATCH(B110,[1]TextData!A:A))</f>
        <v>ファイアボール</v>
      </c>
      <c r="D110">
        <v>1</v>
      </c>
      <c r="E110">
        <v>50</v>
      </c>
      <c r="F110">
        <v>5061</v>
      </c>
      <c r="G110">
        <v>0</v>
      </c>
    </row>
    <row r="111" spans="1:7">
      <c r="A111">
        <v>1001</v>
      </c>
      <c r="B111">
        <v>1060</v>
      </c>
      <c r="C111" t="str">
        <f>INDEX([1]TextData!B:B,MATCH(B111,[1]TextData!A:A))</f>
        <v>フレイムレイン</v>
      </c>
      <c r="D111">
        <v>1</v>
      </c>
      <c r="E111">
        <v>150</v>
      </c>
      <c r="F111">
        <v>5061</v>
      </c>
      <c r="G111">
        <v>0</v>
      </c>
    </row>
    <row r="112" spans="1:7">
      <c r="A112">
        <v>1001</v>
      </c>
      <c r="B112">
        <v>100110</v>
      </c>
      <c r="C112" t="str">
        <f>INDEX([1]TextData!B:B,MATCH(B112,[1]TextData!A:A))</f>
        <v>ソーイングアームド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100120</v>
      </c>
      <c r="C113" t="str">
        <f>INDEX([1]TextData!B:B,MATCH(B113,[1]TextData!A:A))</f>
        <v>エターナルロンド</v>
      </c>
      <c r="D113">
        <v>1</v>
      </c>
      <c r="E113">
        <v>200</v>
      </c>
      <c r="F113">
        <v>0</v>
      </c>
      <c r="G113">
        <v>0</v>
      </c>
    </row>
    <row r="114" spans="1:7">
      <c r="A114">
        <v>1001</v>
      </c>
      <c r="B114">
        <v>11060</v>
      </c>
      <c r="C114" t="str">
        <f>INDEX([1]TextData!B:B,MATCH(B114,[1]TextData!A:A))</f>
        <v>キュアファイア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14010</v>
      </c>
      <c r="C115" t="str">
        <f>INDEX([1]TextData!B:B,MATCH(B115,[1]TextData!A:A))</f>
        <v>ファーストエイド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12010</v>
      </c>
      <c r="C116" t="str">
        <f>INDEX([1]TextData!B:B,MATCH(B116,[1]TextData!A:A))</f>
        <v>クロースエッジ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12060</v>
      </c>
      <c r="C117" t="str">
        <f>INDEX([1]TextData!B:B,MATCH(B117,[1]TextData!A:A))</f>
        <v>キュアスタン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1002</v>
      </c>
      <c r="B118">
        <v>2010</v>
      </c>
      <c r="C118" t="str">
        <f>INDEX([1]TextData!B:B,MATCH(B118,[1]TextData!A:A))</f>
        <v>ディスチャージ</v>
      </c>
      <c r="D118">
        <v>1</v>
      </c>
      <c r="E118">
        <v>50</v>
      </c>
      <c r="F118">
        <v>5060</v>
      </c>
      <c r="G118">
        <v>0</v>
      </c>
    </row>
    <row r="119" spans="1:7">
      <c r="A119">
        <v>1002</v>
      </c>
      <c r="B119">
        <v>2070</v>
      </c>
      <c r="C119" t="str">
        <f>INDEX([1]TextData!B:B,MATCH(B119,[1]TextData!A:A))</f>
        <v>コンセントレイト</v>
      </c>
      <c r="D119">
        <v>1</v>
      </c>
      <c r="E119">
        <v>150</v>
      </c>
      <c r="F119">
        <v>0</v>
      </c>
      <c r="G119">
        <v>0</v>
      </c>
    </row>
    <row r="120" spans="1:7">
      <c r="A120">
        <v>1002</v>
      </c>
      <c r="B120">
        <v>100210</v>
      </c>
      <c r="C120" t="str">
        <f>INDEX([1]TextData!B:B,MATCH(B120,[1]TextData!A:A))</f>
        <v>アブソリュートパリィ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100220</v>
      </c>
      <c r="C121" t="str">
        <f>INDEX([1]TextData!B:B,MATCH(B121,[1]TextData!A:A))</f>
        <v>レヴェリー</v>
      </c>
      <c r="D121">
        <v>1</v>
      </c>
      <c r="E121">
        <v>200</v>
      </c>
      <c r="F121">
        <v>14211</v>
      </c>
      <c r="G121">
        <v>5060</v>
      </c>
    </row>
    <row r="122" spans="1:7">
      <c r="A122">
        <v>1002</v>
      </c>
      <c r="B122">
        <v>402070</v>
      </c>
      <c r="C122" t="str">
        <f>INDEX([1]TextData!B:B,MATCH(B122,[1]TextData!A:A))</f>
        <v>コンセントレイト+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12080</v>
      </c>
      <c r="C123" t="str">
        <f>INDEX([1]TextData!B:B,MATCH(B123,[1]TextData!A:A))</f>
        <v>ソーサリーコネクト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12040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12050</v>
      </c>
      <c r="C125" t="str">
        <f>INDEX([1]TextData!B:B,MATCH(B125,[1]TextData!A:A))</f>
        <v>キュアスタン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12010</v>
      </c>
      <c r="C126" t="str">
        <f>INDEX([1]TextData!B:B,MATCH(B126,[1]TextData!A:A))</f>
        <v>クロースエッジ</v>
      </c>
      <c r="D126">
        <v>1</v>
      </c>
      <c r="E126">
        <v>0</v>
      </c>
      <c r="F126">
        <v>0</v>
      </c>
      <c r="G126">
        <v>0</v>
      </c>
    </row>
    <row r="127" spans="1:7">
      <c r="A127">
        <v>1003</v>
      </c>
      <c r="B127">
        <v>3010</v>
      </c>
      <c r="C127" t="str">
        <f>INDEX([1]TextData!B:B,MATCH(B127,[1]TextData!A:A))</f>
        <v>アイスブレイド</v>
      </c>
      <c r="D127">
        <v>1</v>
      </c>
      <c r="E127">
        <v>50</v>
      </c>
      <c r="F127">
        <v>0</v>
      </c>
      <c r="G127">
        <v>0</v>
      </c>
    </row>
    <row r="128" spans="1:7">
      <c r="A128">
        <v>1003</v>
      </c>
      <c r="B128">
        <v>3020</v>
      </c>
      <c r="C128" t="str">
        <f>INDEX([1]TextData!B:B,MATCH(B128,[1]TextData!A:A))</f>
        <v>シールドバッシュ</v>
      </c>
      <c r="D128">
        <v>1</v>
      </c>
      <c r="E128">
        <v>100</v>
      </c>
      <c r="F128">
        <v>1023</v>
      </c>
      <c r="G128">
        <v>0</v>
      </c>
    </row>
    <row r="129" spans="1:7">
      <c r="A129">
        <v>1003</v>
      </c>
      <c r="B129">
        <v>100310</v>
      </c>
      <c r="C129" t="str">
        <f>INDEX([1]TextData!B:B,MATCH(B129,[1]TextData!A:A))</f>
        <v>セイクリッドバリア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100320</v>
      </c>
      <c r="C130" t="str">
        <f>INDEX([1]TextData!B:B,MATCH(B130,[1]TextData!A:A))</f>
        <v>リベンジニードル</v>
      </c>
      <c r="D130">
        <v>1</v>
      </c>
      <c r="E130">
        <v>200</v>
      </c>
      <c r="F130">
        <v>14214</v>
      </c>
      <c r="G130">
        <v>0</v>
      </c>
    </row>
    <row r="131" spans="1:7">
      <c r="A131">
        <v>1003</v>
      </c>
      <c r="B131">
        <v>403020</v>
      </c>
      <c r="C131" t="str">
        <f>INDEX([1]TextData!B:B,MATCH(B131,[1]TextData!A:A))</f>
        <v>カウンターオーラ+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403010</v>
      </c>
      <c r="C132" t="str">
        <f>INDEX([1]TextData!B:B,MATCH(B132,[1]TextData!A:A))</f>
        <v>アイスブレイド+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13020</v>
      </c>
      <c r="C133" t="str">
        <f>INDEX([1]TextData!B:B,MATCH(B133,[1]TextData!A:A))</f>
        <v>アイシクルエッジ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13080</v>
      </c>
      <c r="C134" t="str">
        <f>INDEX([1]TextData!B:B,MATCH(B134,[1]TextData!A:A))</f>
        <v>アシッドラッシュ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14050</v>
      </c>
      <c r="C135" t="str">
        <f>INDEX([1]TextData!B:B,MATCH(B135,[1]TextData!A:A))</f>
        <v>キュアパッシブ</v>
      </c>
      <c r="D135">
        <v>1</v>
      </c>
      <c r="E135">
        <v>0</v>
      </c>
      <c r="F135">
        <v>0</v>
      </c>
      <c r="G135">
        <v>0</v>
      </c>
    </row>
    <row r="136" spans="1:7">
      <c r="A136">
        <v>1004</v>
      </c>
      <c r="B136">
        <v>4010</v>
      </c>
      <c r="C136" t="str">
        <f>INDEX([1]TextData!B:B,MATCH(B136,[1]TextData!A:A))</f>
        <v>セイントレーザー</v>
      </c>
      <c r="D136">
        <v>1</v>
      </c>
      <c r="E136">
        <v>50</v>
      </c>
      <c r="F136">
        <v>0</v>
      </c>
      <c r="G136">
        <v>0</v>
      </c>
    </row>
    <row r="137" spans="1:7">
      <c r="A137">
        <v>1004</v>
      </c>
      <c r="B137">
        <v>4030</v>
      </c>
      <c r="C137" t="str">
        <f>INDEX([1]TextData!B:B,MATCH(B137,[1]TextData!A:A))</f>
        <v>ヒーリング</v>
      </c>
      <c r="D137">
        <v>1</v>
      </c>
      <c r="E137">
        <v>100</v>
      </c>
      <c r="F137">
        <v>1033</v>
      </c>
      <c r="G137">
        <v>0</v>
      </c>
    </row>
    <row r="138" spans="1:7">
      <c r="A138">
        <v>1004</v>
      </c>
      <c r="B138">
        <v>100410</v>
      </c>
      <c r="C138" t="str">
        <f>INDEX([1]TextData!B:B,MATCH(B138,[1]TextData!A:A))</f>
        <v>アバンデンス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100420</v>
      </c>
      <c r="C139" t="str">
        <f>INDEX([1]TextData!B:B,MATCH(B139,[1]TextData!A:A))</f>
        <v>ハーヴェスト</v>
      </c>
      <c r="D139">
        <v>1</v>
      </c>
      <c r="E139">
        <v>200</v>
      </c>
      <c r="F139">
        <v>0</v>
      </c>
      <c r="G139">
        <v>0</v>
      </c>
    </row>
    <row r="140" spans="1:7">
      <c r="A140">
        <v>1004</v>
      </c>
      <c r="B140">
        <v>404030</v>
      </c>
      <c r="C140" t="str">
        <f>INDEX([1]TextData!B:B,MATCH(B140,[1]TextData!A:A))</f>
        <v>ヒーリング+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14080</v>
      </c>
      <c r="C141" t="str">
        <f>INDEX([1]TextData!B:B,MATCH(B141,[1]TextData!A:A))</f>
        <v>ホーミングクルセイド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14010</v>
      </c>
      <c r="C142" t="str">
        <f>INDEX([1]TextData!B:B,MATCH(B142,[1]TextData!A:A))</f>
        <v>ファーストエイド</v>
      </c>
      <c r="D142">
        <v>1</v>
      </c>
      <c r="E142">
        <v>0</v>
      </c>
      <c r="F142">
        <v>1023</v>
      </c>
      <c r="G142">
        <v>0</v>
      </c>
    </row>
    <row r="143" spans="1:7">
      <c r="A143">
        <v>1004</v>
      </c>
      <c r="B143">
        <v>14040</v>
      </c>
      <c r="C143" t="str">
        <f>INDEX([1]TextData!B:B,MATCH(B143,[1]TextData!A:A))</f>
        <v>ホープフルアイリス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14090</v>
      </c>
      <c r="C144" t="str">
        <f>INDEX([1]TextData!B:B,MATCH(B144,[1]TextData!A:A))</f>
        <v>リレイズ</v>
      </c>
      <c r="D144">
        <v>1</v>
      </c>
      <c r="E144">
        <v>0</v>
      </c>
      <c r="F144">
        <v>0</v>
      </c>
      <c r="G144">
        <v>0</v>
      </c>
    </row>
    <row r="145" spans="1:7">
      <c r="A145">
        <v>1005</v>
      </c>
      <c r="B145">
        <v>5010</v>
      </c>
      <c r="C145" t="str">
        <f>INDEX([1]TextData!B:B,MATCH(B145,[1]TextData!A:A))</f>
        <v>ダークプリズン</v>
      </c>
      <c r="D145">
        <v>1</v>
      </c>
      <c r="E145">
        <v>50</v>
      </c>
      <c r="F145">
        <v>0</v>
      </c>
      <c r="G145">
        <v>0</v>
      </c>
    </row>
    <row r="146" spans="1:7">
      <c r="A146">
        <v>1005</v>
      </c>
      <c r="B146">
        <v>5070</v>
      </c>
      <c r="C146" t="str">
        <f>INDEX([1]TextData!B:B,MATCH(B146,[1]TextData!A:A))</f>
        <v>ダークネス</v>
      </c>
      <c r="D146">
        <v>1</v>
      </c>
      <c r="E146">
        <v>100</v>
      </c>
      <c r="F146">
        <v>5061</v>
      </c>
      <c r="G146">
        <v>0</v>
      </c>
    </row>
    <row r="147" spans="1:7">
      <c r="A147">
        <v>1005</v>
      </c>
      <c r="B147">
        <v>100510</v>
      </c>
      <c r="C147" t="str">
        <f>INDEX([1]TextData!B:B,MATCH(B147,[1]TextData!A:A))</f>
        <v>カースドブレイク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100520</v>
      </c>
      <c r="C148" t="str">
        <f>INDEX([1]TextData!B:B,MATCH(B148,[1]TextData!A:A))</f>
        <v>ムーンライトレイ</v>
      </c>
      <c r="D148">
        <v>1</v>
      </c>
      <c r="E148">
        <v>200</v>
      </c>
      <c r="F148">
        <v>0</v>
      </c>
      <c r="G148">
        <v>0</v>
      </c>
    </row>
    <row r="149" spans="1:7">
      <c r="A149">
        <v>1005</v>
      </c>
      <c r="B149">
        <v>15090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405070</v>
      </c>
      <c r="C150" t="str">
        <f>INDEX([1]TextData!B:B,MATCH(B150,[1]TextData!A:A))</f>
        <v>シェイディークラウド+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15080</v>
      </c>
      <c r="C151" t="str">
        <f>INDEX([1]TextData!B:B,MATCH(B151,[1]TextData!A:A))</f>
        <v>ヒールハント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405010</v>
      </c>
      <c r="C152" t="str">
        <f>INDEX([1]TextData!B:B,MATCH(B152,[1]TextData!A:A))</f>
        <v>ダークプリズン+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415090</v>
      </c>
      <c r="C153" t="str">
        <f>INDEX([1]TextData!B:B,MATCH(B153,[1]TextData!A:A))</f>
        <v>クイックカース+</v>
      </c>
      <c r="D153">
        <v>1</v>
      </c>
      <c r="E153">
        <v>0</v>
      </c>
      <c r="F153">
        <v>0</v>
      </c>
      <c r="G153">
        <v>0</v>
      </c>
    </row>
    <row r="154" spans="1:7">
      <c r="A154">
        <v>1006</v>
      </c>
      <c r="B154">
        <v>1010</v>
      </c>
      <c r="C154" t="str">
        <f>INDEX([1]TextData!B:B,MATCH(B154,[1]TextData!A:A))</f>
        <v>ファイアボール</v>
      </c>
      <c r="D154">
        <v>1</v>
      </c>
      <c r="E154">
        <v>50</v>
      </c>
      <c r="F154">
        <v>0</v>
      </c>
      <c r="G154">
        <v>0</v>
      </c>
    </row>
    <row r="155" spans="1:7">
      <c r="A155">
        <v>1006</v>
      </c>
      <c r="B155">
        <v>1030</v>
      </c>
      <c r="C155" t="str">
        <f>INDEX([1]TextData!B:B,MATCH(B155,[1]TextData!A:A))</f>
        <v>ブレイクウォール</v>
      </c>
      <c r="D155">
        <v>1</v>
      </c>
      <c r="E155">
        <v>100</v>
      </c>
      <c r="F155">
        <v>9120</v>
      </c>
      <c r="G155">
        <v>1023</v>
      </c>
    </row>
    <row r="156" spans="1:7">
      <c r="A156">
        <v>1006</v>
      </c>
      <c r="B156">
        <v>1070</v>
      </c>
      <c r="C156" t="str">
        <f>INDEX([1]TextData!B:B,MATCH(B156,[1]TextData!A:A))</f>
        <v>バーニングソウル</v>
      </c>
      <c r="D156">
        <v>1</v>
      </c>
      <c r="E156">
        <v>150</v>
      </c>
      <c r="F156">
        <v>6322</v>
      </c>
      <c r="G156">
        <v>0</v>
      </c>
    </row>
    <row r="157" spans="1:7">
      <c r="A157">
        <v>1006</v>
      </c>
      <c r="B157">
        <v>100610</v>
      </c>
      <c r="C157" t="str">
        <f>INDEX([1]TextData!B:B,MATCH(B157,[1]TextData!A:A))</f>
        <v>サンフレイム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100620</v>
      </c>
      <c r="C158" t="str">
        <f>INDEX([1]TextData!B:B,MATCH(B158,[1]TextData!A:A))</f>
        <v>フレイムタン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1006</v>
      </c>
      <c r="B159">
        <v>11040</v>
      </c>
      <c r="C159" t="str">
        <f>INDEX([1]TextData!B:B,MATCH(B159,[1]TextData!A:A))</f>
        <v>ウルフソウル</v>
      </c>
      <c r="D159">
        <v>1</v>
      </c>
      <c r="E159">
        <v>0</v>
      </c>
      <c r="F159">
        <v>5042</v>
      </c>
      <c r="G159">
        <v>0</v>
      </c>
    </row>
    <row r="160" spans="1:7">
      <c r="A160">
        <v>1006</v>
      </c>
      <c r="B160">
        <v>401030</v>
      </c>
      <c r="C160" t="str">
        <f>INDEX([1]TextData!B:B,MATCH(B160,[1]TextData!A:A))</f>
        <v>ヒートスタンプ+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411040</v>
      </c>
      <c r="C161" t="str">
        <f>INDEX([1]TextData!B:B,MATCH(B161,[1]TextData!A:A))</f>
        <v>アクティブギフト+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13040</v>
      </c>
      <c r="C162" t="str">
        <f>INDEX([1]TextData!B:B,MATCH(B162,[1]TextData!A:A))</f>
        <v>アーマーコード</v>
      </c>
      <c r="D162">
        <v>1</v>
      </c>
      <c r="E162">
        <v>0</v>
      </c>
      <c r="F162">
        <v>0</v>
      </c>
      <c r="G162">
        <v>0</v>
      </c>
    </row>
    <row r="163" spans="1:7">
      <c r="A163">
        <v>1007</v>
      </c>
      <c r="B163">
        <v>2010</v>
      </c>
      <c r="C163" t="str">
        <f>INDEX([1]TextData!B:B,MATCH(B163,[1]TextData!A:A))</f>
        <v>ディスチャージ</v>
      </c>
      <c r="D163">
        <v>1</v>
      </c>
      <c r="E163">
        <v>50</v>
      </c>
      <c r="F163">
        <v>0</v>
      </c>
      <c r="G163">
        <v>0</v>
      </c>
    </row>
    <row r="164" spans="1:7">
      <c r="A164">
        <v>1007</v>
      </c>
      <c r="B164">
        <v>2040</v>
      </c>
      <c r="C164" t="str">
        <f>INDEX([1]TextData!B:B,MATCH(B164,[1]TextData!A:A))</f>
        <v>トラストチェイン</v>
      </c>
      <c r="D164">
        <v>1</v>
      </c>
      <c r="E164">
        <v>100</v>
      </c>
      <c r="F164">
        <v>1023</v>
      </c>
      <c r="G164">
        <v>0</v>
      </c>
    </row>
    <row r="165" spans="1:7">
      <c r="A165">
        <v>1007</v>
      </c>
      <c r="B165">
        <v>100710</v>
      </c>
      <c r="C165" t="str">
        <f>INDEX([1]TextData!B:B,MATCH(B165,[1]TextData!A:A))</f>
        <v>ライズザフラッグ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100720</v>
      </c>
      <c r="C166" t="str">
        <f>INDEX([1]TextData!B:B,MATCH(B166,[1]TextData!A:A))</f>
        <v>オーバーリミット</v>
      </c>
      <c r="D166">
        <v>1</v>
      </c>
      <c r="E166">
        <v>200</v>
      </c>
      <c r="F166">
        <v>0</v>
      </c>
      <c r="G166">
        <v>0</v>
      </c>
    </row>
    <row r="167" spans="1:7">
      <c r="A167">
        <v>1007</v>
      </c>
      <c r="B167">
        <v>12090</v>
      </c>
      <c r="C167" t="str">
        <f>INDEX([1]TextData!B:B,MATCH(B167,[1]TextData!A:A))</f>
        <v>アウトオブオーダー</v>
      </c>
      <c r="D167">
        <v>1</v>
      </c>
      <c r="E167">
        <v>0</v>
      </c>
      <c r="F167">
        <v>5042</v>
      </c>
      <c r="G167">
        <v>0</v>
      </c>
    </row>
    <row r="168" spans="1:7">
      <c r="A168">
        <v>1007</v>
      </c>
      <c r="B168">
        <v>412090</v>
      </c>
      <c r="C168" t="str">
        <f>INDEX([1]TextData!B:B,MATCH(B168,[1]TextData!A:A))</f>
        <v>アウトオブオーダー+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12050</v>
      </c>
      <c r="C169" t="str">
        <f>INDEX([1]TextData!B:B,MATCH(B169,[1]TextData!A:A))</f>
        <v>キュアスタン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12070</v>
      </c>
      <c r="C170" t="str">
        <f>INDEX([1]TextData!B:B,MATCH(B170,[1]TextData!A:A))</f>
        <v>ソーサリーコネクト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14030</v>
      </c>
      <c r="C171" t="str">
        <f>INDEX([1]TextData!B:B,MATCH(B171,[1]TextData!A:A))</f>
        <v>ガードバインド</v>
      </c>
      <c r="D171">
        <v>1</v>
      </c>
      <c r="E171">
        <v>0</v>
      </c>
      <c r="F171">
        <v>0</v>
      </c>
      <c r="G171">
        <v>0</v>
      </c>
    </row>
    <row r="172" spans="1:7">
      <c r="A172">
        <v>1008</v>
      </c>
      <c r="B172">
        <v>3010</v>
      </c>
      <c r="C172" t="str">
        <f>INDEX([1]TextData!B:B,MATCH(B172,[1]TextData!A:A))</f>
        <v>アイスブレイド</v>
      </c>
      <c r="D172">
        <v>1</v>
      </c>
      <c r="E172">
        <v>50</v>
      </c>
      <c r="F172">
        <v>0</v>
      </c>
      <c r="G172">
        <v>0</v>
      </c>
    </row>
    <row r="173" spans="1:7">
      <c r="A173">
        <v>1008</v>
      </c>
      <c r="B173">
        <v>3070</v>
      </c>
      <c r="C173" t="str">
        <f>INDEX([1]TextData!B:B,MATCH(B173,[1]TextData!A:A))</f>
        <v>アクアミラージュ</v>
      </c>
      <c r="D173">
        <v>1</v>
      </c>
      <c r="E173">
        <v>100</v>
      </c>
      <c r="F173">
        <v>0</v>
      </c>
      <c r="G173">
        <v>0</v>
      </c>
    </row>
    <row r="174" spans="1:7">
      <c r="A174">
        <v>1008</v>
      </c>
      <c r="B174">
        <v>100810</v>
      </c>
      <c r="C174" t="str">
        <f>INDEX([1]TextData!B:B,MATCH(B174,[1]TextData!A:A))</f>
        <v>テンパランス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100820</v>
      </c>
      <c r="C175" t="str">
        <f>INDEX([1]TextData!B:B,MATCH(B175,[1]TextData!A:A))</f>
        <v>シエルクルセイダー</v>
      </c>
      <c r="D175">
        <v>1</v>
      </c>
      <c r="E175">
        <v>200</v>
      </c>
      <c r="F175">
        <v>0</v>
      </c>
      <c r="G175">
        <v>0</v>
      </c>
    </row>
    <row r="176" spans="1:7">
      <c r="A176">
        <v>1008</v>
      </c>
      <c r="B176">
        <v>13060</v>
      </c>
      <c r="C176" t="str">
        <f>INDEX([1]TextData!B:B,MATCH(B176,[1]TextData!A:A))</f>
        <v>キュアフリーズ</v>
      </c>
      <c r="D176">
        <v>1</v>
      </c>
      <c r="E176">
        <v>0</v>
      </c>
      <c r="F176">
        <v>1023</v>
      </c>
      <c r="G176">
        <v>0</v>
      </c>
    </row>
    <row r="177" spans="1:7">
      <c r="A177">
        <v>1008</v>
      </c>
      <c r="B177">
        <v>403070</v>
      </c>
      <c r="C177" t="str">
        <f>INDEX([1]TextData!B:B,MATCH(B177,[1]TextData!A:A))</f>
        <v>アクアミラージュ+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13010</v>
      </c>
      <c r="C178" t="str">
        <f>INDEX([1]TextData!B:B,MATCH(B178,[1]TextData!A:A))</f>
        <v>ヘビィカバー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13020</v>
      </c>
      <c r="C179" t="str">
        <f>INDEX([1]TextData!B:B,MATCH(B179,[1]TextData!A:A))</f>
        <v>アイシクルエッジ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13040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1009</v>
      </c>
      <c r="B181">
        <v>1010</v>
      </c>
      <c r="C181" t="str">
        <f>INDEX([1]TextData!B:B,MATCH(B181,[1]TextData!A:A))</f>
        <v>ファイアボール</v>
      </c>
      <c r="D181">
        <v>1</v>
      </c>
      <c r="E181">
        <v>50</v>
      </c>
      <c r="F181">
        <v>0</v>
      </c>
      <c r="G181">
        <v>0</v>
      </c>
    </row>
    <row r="182" spans="1:7">
      <c r="A182">
        <v>1009</v>
      </c>
      <c r="B182">
        <v>1050</v>
      </c>
      <c r="C182" t="str">
        <f>INDEX([1]TextData!B:B,MATCH(B182,[1]TextData!A:A))</f>
        <v>フレイムレイン</v>
      </c>
      <c r="D182">
        <v>1</v>
      </c>
      <c r="E182">
        <v>100</v>
      </c>
      <c r="F182">
        <v>1151</v>
      </c>
      <c r="G182">
        <v>0</v>
      </c>
    </row>
    <row r="183" spans="1:7">
      <c r="A183">
        <v>1009</v>
      </c>
      <c r="B183">
        <v>100910</v>
      </c>
      <c r="C183" t="str">
        <f>INDEX([1]TextData!B:B,MATCH(B183,[1]TextData!A:A))</f>
        <v>バーニングカウンター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100920</v>
      </c>
      <c r="C184" t="str">
        <f>INDEX([1]TextData!B:B,MATCH(B184,[1]TextData!A:A))</f>
        <v>プロミネンス</v>
      </c>
      <c r="D184">
        <v>1</v>
      </c>
      <c r="E184">
        <v>200</v>
      </c>
      <c r="F184">
        <v>0</v>
      </c>
      <c r="G184">
        <v>0</v>
      </c>
    </row>
    <row r="185" spans="1:7">
      <c r="A185">
        <v>1009</v>
      </c>
      <c r="B185">
        <v>11070</v>
      </c>
      <c r="C185" t="str">
        <f>INDEX([1]TextData!B:B,MATCH(B185,[1]TextData!A:A))</f>
        <v>ルージュバック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401050</v>
      </c>
      <c r="C186" t="str">
        <f>INDEX([1]TextData!B:B,MATCH(B186,[1]TextData!A:A))</f>
        <v>フレイムレイン+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11030</v>
      </c>
      <c r="C187" t="str">
        <f>INDEX([1]TextData!B:B,MATCH(B187,[1]TextData!A:A))</f>
        <v>ウォークライ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11020</v>
      </c>
      <c r="C188" t="str">
        <f>INDEX([1]TextData!B:B,MATCH(B188,[1]TextData!A:A))</f>
        <v>イーグルアイ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15040</v>
      </c>
      <c r="C189" t="str">
        <f>INDEX([1]TextData!B:B,MATCH(B189,[1]TextData!A:A))</f>
        <v>ネガティブドレイン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1010</v>
      </c>
      <c r="B190">
        <v>2010</v>
      </c>
      <c r="C190" t="str">
        <f>INDEX([1]TextData!B:B,MATCH(B190,[1]TextData!A:A))</f>
        <v>ディスチャージ</v>
      </c>
      <c r="D190">
        <v>1</v>
      </c>
      <c r="E190">
        <v>50</v>
      </c>
      <c r="F190">
        <v>0</v>
      </c>
      <c r="G190">
        <v>0</v>
      </c>
    </row>
    <row r="191" spans="1:7">
      <c r="A191">
        <v>1010</v>
      </c>
      <c r="B191">
        <v>2030</v>
      </c>
      <c r="C191" t="str">
        <f>INDEX([1]TextData!B:B,MATCH(B191,[1]TextData!A:A))</f>
        <v>ロングスラスト</v>
      </c>
      <c r="D191">
        <v>1</v>
      </c>
      <c r="E191">
        <v>100</v>
      </c>
      <c r="F191">
        <v>14215</v>
      </c>
      <c r="G191">
        <v>0</v>
      </c>
    </row>
    <row r="192" spans="1:7">
      <c r="A192">
        <v>1010</v>
      </c>
      <c r="B192">
        <v>101010</v>
      </c>
      <c r="C192" t="str">
        <f>INDEX([1]TextData!B:B,MATCH(B192,[1]TextData!A:A))</f>
        <v>エウロス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101020</v>
      </c>
      <c r="C193" t="str">
        <f>INDEX([1]TextData!B:B,MATCH(B193,[1]TextData!A:A))</f>
        <v>ボレアス</v>
      </c>
      <c r="D193">
        <v>1</v>
      </c>
      <c r="E193">
        <v>200</v>
      </c>
      <c r="F193">
        <v>0</v>
      </c>
      <c r="G193">
        <v>0</v>
      </c>
    </row>
    <row r="194" spans="1:7">
      <c r="A194">
        <v>1010</v>
      </c>
      <c r="B194">
        <v>12010</v>
      </c>
      <c r="C194" t="str">
        <f>INDEX([1]TextData!B:B,MATCH(B194,[1]TextData!A:A))</f>
        <v>クロースエッジ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402030</v>
      </c>
      <c r="C195" t="str">
        <f>INDEX([1]TextData!B:B,MATCH(B195,[1]TextData!A:A))</f>
        <v>ショックインパルス+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12020</v>
      </c>
      <c r="C196" t="str">
        <f>INDEX([1]TextData!B:B,MATCH(B196,[1]TextData!A:A))</f>
        <v>ファストファクション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12030</v>
      </c>
      <c r="C197" t="str">
        <f>INDEX([1]TextData!B:B,MATCH(B197,[1]TextData!A:A))</f>
        <v>クイックムーブ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15070</v>
      </c>
      <c r="C198" t="str">
        <f>INDEX([1]TextData!B:B,MATCH(B198,[1]TextData!A:A))</f>
        <v>ジャックポッド</v>
      </c>
      <c r="D198">
        <v>1</v>
      </c>
      <c r="E198">
        <v>0</v>
      </c>
      <c r="F198">
        <v>0</v>
      </c>
      <c r="G198">
        <v>0</v>
      </c>
    </row>
    <row r="199" spans="1:7">
      <c r="A199">
        <v>1011</v>
      </c>
      <c r="B199">
        <v>3010</v>
      </c>
      <c r="C199" t="str">
        <f>INDEX([1]TextData!B:B,MATCH(B199,[1]TextData!A:A))</f>
        <v>アイスブレイド</v>
      </c>
      <c r="D199">
        <v>1</v>
      </c>
      <c r="E199">
        <v>50</v>
      </c>
      <c r="F199">
        <v>0</v>
      </c>
      <c r="G199">
        <v>0</v>
      </c>
    </row>
    <row r="200" spans="1:7">
      <c r="A200">
        <v>1011</v>
      </c>
      <c r="B200">
        <v>3050</v>
      </c>
      <c r="C200" t="str">
        <f>INDEX([1]TextData!B:B,MATCH(B200,[1]TextData!A:A))</f>
        <v>ディープフリーズ</v>
      </c>
      <c r="D200">
        <v>1</v>
      </c>
      <c r="E200">
        <v>100</v>
      </c>
      <c r="F200">
        <v>0</v>
      </c>
      <c r="G200">
        <v>0</v>
      </c>
    </row>
    <row r="201" spans="1:7">
      <c r="A201">
        <v>1011</v>
      </c>
      <c r="B201">
        <v>101110</v>
      </c>
      <c r="C201" t="str">
        <f>INDEX([1]TextData!B:B,MATCH(B201,[1]TextData!A:A))</f>
        <v>アバランシュ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101120</v>
      </c>
      <c r="C202" t="str">
        <f>INDEX([1]TextData!B:B,MATCH(B202,[1]TextData!A:A))</f>
        <v>ブリザードコフィン</v>
      </c>
      <c r="D202">
        <v>1</v>
      </c>
      <c r="E202">
        <v>200</v>
      </c>
      <c r="F202">
        <v>0</v>
      </c>
      <c r="G202">
        <v>0</v>
      </c>
    </row>
    <row r="203" spans="1:7">
      <c r="A203">
        <v>1011</v>
      </c>
      <c r="B203">
        <v>13090</v>
      </c>
      <c r="C203" t="str">
        <f>INDEX([1]TextData!B:B,MATCH(B203,[1]TextData!A:A))</f>
        <v>アイスセイバー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403050</v>
      </c>
      <c r="C204" t="str">
        <f>INDEX([1]TextData!B:B,MATCH(B204,[1]TextData!A:A))</f>
        <v>ディープフリーズ+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13050</v>
      </c>
      <c r="C205" t="str">
        <f>INDEX([1]TextData!B:B,MATCH(B205,[1]TextData!A:A))</f>
        <v>キュアフリーズ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13070</v>
      </c>
      <c r="C206" t="str">
        <f>INDEX([1]TextData!B:B,MATCH(B206,[1]TextData!A:A))</f>
        <v>アシッドラッシュ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14070</v>
      </c>
      <c r="C207" t="str">
        <f>INDEX([1]TextData!B:B,MATCH(B207,[1]TextData!A:A))</f>
        <v>ホーミングクルセイド</v>
      </c>
      <c r="D207">
        <v>1</v>
      </c>
      <c r="E207">
        <v>0</v>
      </c>
      <c r="F207">
        <v>0</v>
      </c>
      <c r="G207">
        <v>0</v>
      </c>
    </row>
    <row r="208" spans="1:7">
      <c r="A208">
        <v>1101</v>
      </c>
      <c r="B208">
        <v>3010</v>
      </c>
      <c r="C208" t="str">
        <f>INDEX([1]TextData!B:B,MATCH(B208,[1]TextData!A:A))</f>
        <v>アイスブレイド</v>
      </c>
      <c r="D208">
        <v>1</v>
      </c>
      <c r="E208">
        <v>50</v>
      </c>
      <c r="F208">
        <v>0</v>
      </c>
      <c r="G208">
        <v>0</v>
      </c>
    </row>
    <row r="209" spans="1:7">
      <c r="A209">
        <v>1101</v>
      </c>
      <c r="B209">
        <v>3070</v>
      </c>
      <c r="C209" t="str">
        <f>INDEX([1]TextData!B:B,MATCH(B209,[1]TextData!A:A))</f>
        <v>アクアミラージュ</v>
      </c>
      <c r="D209">
        <v>1</v>
      </c>
      <c r="E209">
        <v>100</v>
      </c>
      <c r="F209">
        <v>0</v>
      </c>
      <c r="G209">
        <v>0</v>
      </c>
    </row>
    <row r="210" spans="1:7">
      <c r="A210">
        <v>1101</v>
      </c>
      <c r="B210">
        <v>110110</v>
      </c>
      <c r="C210" t="str">
        <f>INDEX([1]TextData!B:B,MATCH(B210,[1]TextData!A:A))</f>
        <v>ウィビングヒストリー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110120</v>
      </c>
      <c r="C211" t="str">
        <f>INDEX([1]TextData!B:B,MATCH(B211,[1]TextData!A:A))</f>
        <v>アンライバルド</v>
      </c>
      <c r="D211">
        <v>1</v>
      </c>
      <c r="E211">
        <v>200</v>
      </c>
      <c r="F211">
        <v>0</v>
      </c>
      <c r="G211">
        <v>0</v>
      </c>
    </row>
    <row r="212" spans="1:7">
      <c r="A212">
        <v>1101</v>
      </c>
      <c r="B212">
        <v>13100</v>
      </c>
      <c r="C212" t="str">
        <f>INDEX([1]TextData!B:B,MATCH(B212,[1]TextData!A:A))</f>
        <v>アイスセイバー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403050</v>
      </c>
      <c r="C213" t="str">
        <f>INDEX([1]TextData!B:B,MATCH(B213,[1]TextData!A:A))</f>
        <v>ディープフリーズ+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13050</v>
      </c>
      <c r="C214" t="str">
        <f>INDEX([1]TextData!B:B,MATCH(B214,[1]TextData!A:A))</f>
        <v>キュアフリーズ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13070</v>
      </c>
      <c r="C215" t="str">
        <f>INDEX([1]TextData!B:B,MATCH(B215,[1]TextData!A:A))</f>
        <v>アシッドラッシュ</v>
      </c>
      <c r="D215">
        <v>1</v>
      </c>
      <c r="E215">
        <v>0</v>
      </c>
      <c r="F215">
        <v>0</v>
      </c>
      <c r="G215">
        <v>0</v>
      </c>
    </row>
    <row r="216" spans="1:7">
      <c r="A216">
        <v>1101</v>
      </c>
      <c r="B216">
        <v>14070</v>
      </c>
      <c r="C216" t="str">
        <f>INDEX([1]TextData!B:B,MATCH(B216,[1]TextData!A:A))</f>
        <v>ホーミングクルセイド</v>
      </c>
      <c r="D216">
        <v>1</v>
      </c>
      <c r="E216">
        <v>0</v>
      </c>
      <c r="F216">
        <v>0</v>
      </c>
      <c r="G21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2026-09-12T06:48:28Z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