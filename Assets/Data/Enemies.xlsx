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<sst xmlns="http://schemas.openxmlformats.org/spreadsheetml/2006/main" count="149" uniqueCount="124">
  <si>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</si>
  <si>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</si>
  <si>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</si>
  <si>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</si>
  <si>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</si>
  <si>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</si>
  <si>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</si>
  <si>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</si>
  <si>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</si>
  <si>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</si>
  <si>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</si>
  <si>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</si>
  <si>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</si>
  <si>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</si>
  <si>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</si>
  <si>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</si>
  <si>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</si>
  <si>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</si>
  <si>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</si>
  <si>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</si>
  <si>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</si>
  <si>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</si>
  <si>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</si>
  <si>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</si>
  <si>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</si>
  <si>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</si>
  <si>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</si>
  <si>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</si>
  <si>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</si>
  <si>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</si>
  <si>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</si>
  <si>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</si>
  <si>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</si>
  <si>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</si>
  <si>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</si>
  <si>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</si>
  <si>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</si>
  <si>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</si>
  <si>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Orga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</si>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</sst>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7" fillId="9" borderId="3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6" fillId="19" borderId="6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10110</v>
          </cell>
          <cell r="B57" t="str">
            <v>炎の加護</v>
          </cell>
        </row>
        <row r="58">
          <cell r="A58">
            <v>10120</v>
          </cell>
          <cell r="B58" t="str">
            <v>雷の加護</v>
          </cell>
        </row>
        <row r="59">
          <cell r="A59">
            <v>10130</v>
          </cell>
          <cell r="B59" t="str">
            <v>氷の加護</v>
          </cell>
        </row>
        <row r="60">
          <cell r="A60">
            <v>10140</v>
          </cell>
          <cell r="B60" t="str">
            <v>光の加護</v>
          </cell>
        </row>
        <row r="61">
          <cell r="A61">
            <v>10150</v>
          </cell>
          <cell r="B61" t="str">
            <v>闇の加護</v>
          </cell>
        </row>
        <row r="62">
          <cell r="A62">
            <v>11010</v>
          </cell>
          <cell r="B62" t="str">
            <v>ウルフソウル</v>
          </cell>
        </row>
        <row r="63">
          <cell r="A63">
            <v>11020</v>
          </cell>
          <cell r="B63" t="str">
            <v>プリディカメント</v>
          </cell>
        </row>
        <row r="64">
          <cell r="A64">
            <v>11030</v>
          </cell>
          <cell r="B64" t="str">
            <v>アサルトシフト</v>
          </cell>
        </row>
        <row r="65">
          <cell r="A65">
            <v>11040</v>
          </cell>
          <cell r="B65" t="str">
            <v>アクティブギフト</v>
          </cell>
        </row>
        <row r="66">
          <cell r="A66">
            <v>11050</v>
          </cell>
          <cell r="B66" t="str">
            <v>イグナイテッド</v>
          </cell>
        </row>
        <row r="67">
          <cell r="A67">
            <v>11060</v>
          </cell>
          <cell r="B67" t="str">
            <v>ライジングファイア</v>
          </cell>
        </row>
        <row r="68">
          <cell r="A68">
            <v>11070</v>
          </cell>
          <cell r="B68" t="str">
            <v>ルージュバック</v>
          </cell>
        </row>
        <row r="69">
          <cell r="A69">
            <v>11080</v>
          </cell>
          <cell r="B69" t="str">
            <v>パワーエール</v>
          </cell>
        </row>
        <row r="70">
          <cell r="A70">
            <v>11090</v>
          </cell>
          <cell r="B70" t="str">
            <v>スレイプニル</v>
          </cell>
        </row>
        <row r="71">
          <cell r="A71">
            <v>11100</v>
          </cell>
          <cell r="B71" t="str">
            <v>レストア</v>
          </cell>
        </row>
        <row r="72">
          <cell r="A72">
            <v>11110</v>
          </cell>
          <cell r="B72" t="str">
            <v>フレイムセイバー</v>
          </cell>
        </row>
        <row r="73">
          <cell r="A73">
            <v>12010</v>
          </cell>
          <cell r="B73" t="str">
            <v>コンセントレイト</v>
          </cell>
        </row>
        <row r="74">
          <cell r="A74">
            <v>12020</v>
          </cell>
          <cell r="B74" t="str">
            <v>ヘブンリーラック</v>
          </cell>
        </row>
        <row r="75">
          <cell r="A75">
            <v>12030</v>
          </cell>
          <cell r="B75" t="str">
            <v>スウィフトカレント</v>
          </cell>
        </row>
        <row r="76">
          <cell r="A76">
            <v>12040</v>
          </cell>
          <cell r="B76" t="str">
            <v>イヴェイドオール</v>
          </cell>
        </row>
        <row r="77">
          <cell r="A77">
            <v>12050</v>
          </cell>
          <cell r="B77" t="str">
            <v>クイックムーブ</v>
          </cell>
        </row>
        <row r="78">
          <cell r="A78">
            <v>12060</v>
          </cell>
          <cell r="B78" t="str">
            <v>チェイスマジック</v>
          </cell>
        </row>
        <row r="79">
          <cell r="A79">
            <v>12070</v>
          </cell>
          <cell r="B79" t="str">
            <v>ソーサリーコネクト</v>
          </cell>
        </row>
        <row r="80">
          <cell r="A80">
            <v>12080</v>
          </cell>
          <cell r="B80" t="str">
            <v>ウィンドライズ</v>
          </cell>
        </row>
        <row r="81">
          <cell r="A81">
            <v>12090</v>
          </cell>
          <cell r="B81" t="str">
            <v>アウトオブオーダー</v>
          </cell>
        </row>
        <row r="82">
          <cell r="A82">
            <v>12100</v>
          </cell>
          <cell r="B82" t="str">
            <v>ワンスパニッシュ</v>
          </cell>
        </row>
        <row r="83">
          <cell r="A83">
            <v>12110</v>
          </cell>
          <cell r="B83" t="str">
            <v>アクトスタンス</v>
          </cell>
        </row>
        <row r="84">
          <cell r="A84">
            <v>13010</v>
          </cell>
          <cell r="B84" t="str">
            <v>アーマーコード</v>
          </cell>
        </row>
        <row r="85">
          <cell r="A85">
            <v>13020</v>
          </cell>
          <cell r="B85" t="str">
            <v>クイックバリア</v>
          </cell>
        </row>
        <row r="86">
          <cell r="A86">
            <v>13030</v>
          </cell>
          <cell r="B86" t="str">
            <v>クイックキュア</v>
          </cell>
        </row>
        <row r="87">
          <cell r="A87">
            <v>13040</v>
          </cell>
          <cell r="B87" t="str">
            <v>セルフシールド</v>
          </cell>
        </row>
        <row r="88">
          <cell r="A88">
            <v>13050</v>
          </cell>
          <cell r="B88" t="str">
            <v>パッシブジャミング</v>
          </cell>
        </row>
        <row r="89">
          <cell r="A89">
            <v>13060</v>
          </cell>
          <cell r="B89" t="str">
            <v>サプライカバー</v>
          </cell>
        </row>
        <row r="90">
          <cell r="A90">
            <v>13070</v>
          </cell>
          <cell r="B90" t="str">
            <v>アシッドラッシュ</v>
          </cell>
        </row>
        <row r="91">
          <cell r="A91">
            <v>13080</v>
          </cell>
          <cell r="B91" t="str">
            <v>ライフスティール</v>
          </cell>
        </row>
        <row r="92">
          <cell r="A92">
            <v>13090</v>
          </cell>
          <cell r="B92" t="str">
            <v>アイスセイバー</v>
          </cell>
        </row>
        <row r="93">
          <cell r="A93">
            <v>13100</v>
          </cell>
          <cell r="B93" t="str">
            <v>ルミナスカバー</v>
          </cell>
        </row>
        <row r="94">
          <cell r="A94">
            <v>13110</v>
          </cell>
          <cell r="B94" t="str">
            <v>デコイプラス</v>
          </cell>
        </row>
        <row r="95">
          <cell r="A95">
            <v>13111</v>
          </cell>
          <cell r="B95" t="str">
            <v>デコイプラス</v>
          </cell>
        </row>
        <row r="96">
          <cell r="A96">
            <v>14010</v>
          </cell>
          <cell r="B96" t="str">
            <v>ディバインシールド</v>
          </cell>
        </row>
        <row r="97">
          <cell r="A97">
            <v>14020</v>
          </cell>
          <cell r="B97" t="str">
            <v>ライフディバイド</v>
          </cell>
        </row>
        <row r="98">
          <cell r="A98">
            <v>14030</v>
          </cell>
          <cell r="B98" t="str">
            <v>エイミングスコープ</v>
          </cell>
        </row>
        <row r="99">
          <cell r="A99">
            <v>14040</v>
          </cell>
          <cell r="B99" t="str">
            <v>リジェネレーション</v>
          </cell>
        </row>
        <row r="100">
          <cell r="A100">
            <v>14050</v>
          </cell>
          <cell r="B100" t="str">
            <v>ホープフルアイリス</v>
          </cell>
        </row>
        <row r="101">
          <cell r="A101">
            <v>14060</v>
          </cell>
          <cell r="B101" t="str">
            <v>パッシブサプライ</v>
          </cell>
        </row>
        <row r="102">
          <cell r="A102">
            <v>14070</v>
          </cell>
          <cell r="B102" t="str">
            <v>ホーミングクルセイド</v>
          </cell>
        </row>
        <row r="103">
          <cell r="A103">
            <v>14080</v>
          </cell>
          <cell r="B103" t="str">
            <v>クイックヒール</v>
          </cell>
        </row>
        <row r="104">
          <cell r="A104">
            <v>14090</v>
          </cell>
          <cell r="B104" t="str">
            <v>リレイズ</v>
          </cell>
        </row>
        <row r="105">
          <cell r="A105">
            <v>14100</v>
          </cell>
          <cell r="B105" t="str">
            <v>ファストヒール</v>
          </cell>
        </row>
        <row r="106">
          <cell r="A106">
            <v>14110</v>
          </cell>
          <cell r="B106" t="str">
            <v>セルフケア</v>
          </cell>
        </row>
        <row r="107">
          <cell r="A107">
            <v>15010</v>
          </cell>
          <cell r="B107" t="str">
            <v>イーグルアイ</v>
          </cell>
        </row>
        <row r="108">
          <cell r="A108">
            <v>15020</v>
          </cell>
          <cell r="B108" t="str">
            <v>ネヴァーエンド</v>
          </cell>
        </row>
        <row r="109">
          <cell r="A109">
            <v>15030</v>
          </cell>
          <cell r="B109" t="str">
            <v>グレイブアクト</v>
          </cell>
        </row>
        <row r="110">
          <cell r="A110">
            <v>15040</v>
          </cell>
          <cell r="B110" t="str">
            <v>スカルグラッジ</v>
          </cell>
        </row>
        <row r="111">
          <cell r="A111">
            <v>15050</v>
          </cell>
          <cell r="B111" t="str">
            <v>ネガティブドレイン</v>
          </cell>
        </row>
        <row r="112">
          <cell r="A112">
            <v>15060</v>
          </cell>
          <cell r="B112" t="str">
            <v>アンデッドペイン</v>
          </cell>
        </row>
        <row r="113">
          <cell r="A113">
            <v>15070</v>
          </cell>
          <cell r="B113" t="str">
            <v>ジャックポッド</v>
          </cell>
        </row>
        <row r="114">
          <cell r="A114">
            <v>15080</v>
          </cell>
          <cell r="B114" t="str">
            <v>ヒールハント</v>
          </cell>
        </row>
        <row r="115">
          <cell r="A115">
            <v>15090</v>
          </cell>
          <cell r="B115" t="str">
            <v>クイックカース</v>
          </cell>
        </row>
        <row r="116">
          <cell r="A116">
            <v>15100</v>
          </cell>
          <cell r="B116" t="str">
            <v>リヴェンジャー</v>
          </cell>
        </row>
        <row r="117">
          <cell r="A117">
            <v>15110</v>
          </cell>
          <cell r="B117" t="str">
            <v>リープリアクト</v>
          </cell>
        </row>
        <row r="118">
          <cell r="A118">
            <v>15112</v>
          </cell>
          <cell r="B118" t="str">
            <v>リープリアクト</v>
          </cell>
        </row>
        <row r="119">
          <cell r="A119">
            <v>20010</v>
          </cell>
          <cell r="B119" t="str">
            <v>ウェイトユニゾン</v>
          </cell>
        </row>
        <row r="120">
          <cell r="A120">
            <v>30010</v>
          </cell>
          <cell r="B120" t="str">
            <v>ラーニングピアス</v>
          </cell>
        </row>
        <row r="121">
          <cell r="A121">
            <v>30020</v>
          </cell>
          <cell r="B121" t="str">
            <v>スティールヒール</v>
          </cell>
        </row>
        <row r="122">
          <cell r="A122">
            <v>30030</v>
          </cell>
          <cell r="B122" t="str">
            <v>ガッツ</v>
          </cell>
        </row>
        <row r="123">
          <cell r="A123">
            <v>100110</v>
          </cell>
          <cell r="B123" t="str">
            <v>ソーイングアームド</v>
          </cell>
        </row>
        <row r="124">
          <cell r="A124">
            <v>100120</v>
          </cell>
          <cell r="B124" t="str">
            <v>エターナルロンド</v>
          </cell>
        </row>
        <row r="125">
          <cell r="A125">
            <v>100210</v>
          </cell>
          <cell r="B125" t="str">
            <v>アブソリュートパリィ</v>
          </cell>
        </row>
        <row r="126">
          <cell r="A126">
            <v>100220</v>
          </cell>
          <cell r="B126" t="str">
            <v>レヴェリー</v>
          </cell>
        </row>
        <row r="127">
          <cell r="A127">
            <v>100310</v>
          </cell>
          <cell r="B127" t="str">
            <v>セイクリッドバリア</v>
          </cell>
        </row>
        <row r="128">
          <cell r="A128">
            <v>100320</v>
          </cell>
          <cell r="B128" t="str">
            <v>リベンジニードル</v>
          </cell>
        </row>
        <row r="129">
          <cell r="A129">
            <v>100410</v>
          </cell>
          <cell r="B129" t="str">
            <v>アバンデンス</v>
          </cell>
        </row>
        <row r="130">
          <cell r="A130">
            <v>100420</v>
          </cell>
          <cell r="B130" t="str">
            <v>ハーヴェスト</v>
          </cell>
        </row>
        <row r="131">
          <cell r="A131">
            <v>100510</v>
          </cell>
          <cell r="B131" t="str">
            <v>カースドブレイク</v>
          </cell>
        </row>
        <row r="132">
          <cell r="A132">
            <v>100520</v>
          </cell>
          <cell r="B132" t="str">
            <v>ムーンライトレイ</v>
          </cell>
        </row>
        <row r="133">
          <cell r="A133">
            <v>100610</v>
          </cell>
          <cell r="B133" t="str">
            <v>サンフレイム</v>
          </cell>
        </row>
        <row r="134">
          <cell r="A134">
            <v>100620</v>
          </cell>
          <cell r="B134" t="str">
            <v>フレイムタン</v>
          </cell>
        </row>
        <row r="135">
          <cell r="A135">
            <v>100710</v>
          </cell>
          <cell r="B135" t="str">
            <v>ライズザフラッグ</v>
          </cell>
        </row>
        <row r="136">
          <cell r="A136">
            <v>100720</v>
          </cell>
          <cell r="B136" t="str">
            <v>オーバーリミット</v>
          </cell>
        </row>
        <row r="137">
          <cell r="A137">
            <v>100810</v>
          </cell>
          <cell r="B137" t="str">
            <v>テンパランス</v>
          </cell>
        </row>
        <row r="138">
          <cell r="A138">
            <v>100820</v>
          </cell>
          <cell r="B138" t="str">
            <v>シエルクルセイダー</v>
          </cell>
        </row>
        <row r="139">
          <cell r="A139">
            <v>100910</v>
          </cell>
          <cell r="B139" t="str">
            <v>バーニングカウンター</v>
          </cell>
        </row>
        <row r="140">
          <cell r="A140">
            <v>100911</v>
          </cell>
          <cell r="B140" t="str">
            <v>バーニングカウンター</v>
          </cell>
        </row>
        <row r="141">
          <cell r="A141">
            <v>100920</v>
          </cell>
          <cell r="B141" t="str">
            <v>プロミネンス</v>
          </cell>
        </row>
        <row r="142">
          <cell r="A142">
            <v>100921</v>
          </cell>
          <cell r="B142" t="str">
            <v>プロミネンス</v>
          </cell>
        </row>
        <row r="143">
          <cell r="A143">
            <v>101010</v>
          </cell>
          <cell r="B143" t="str">
            <v>エウロス</v>
          </cell>
        </row>
        <row r="144">
          <cell r="A144">
            <v>101020</v>
          </cell>
          <cell r="B144" t="str">
            <v>ボレアス</v>
          </cell>
        </row>
        <row r="145">
          <cell r="A145">
            <v>101110</v>
          </cell>
          <cell r="B145" t="str">
            <v>アバランシュ</v>
          </cell>
        </row>
        <row r="146">
          <cell r="A146">
            <v>101120</v>
          </cell>
          <cell r="B146" t="str">
            <v>ブリザードコフィン</v>
          </cell>
        </row>
        <row r="147">
          <cell r="A147">
            <v>110110</v>
          </cell>
          <cell r="B147" t="str">
            <v>ウィビングヒストリー</v>
          </cell>
        </row>
        <row r="148">
          <cell r="A148">
            <v>110120</v>
          </cell>
          <cell r="B148" t="str">
            <v>アンライバルド</v>
          </cell>
        </row>
        <row r="149">
          <cell r="A149">
            <v>200110</v>
          </cell>
          <cell r="B149" t="str">
            <v>スリータイムス</v>
          </cell>
        </row>
        <row r="150">
          <cell r="A150">
            <v>200120</v>
          </cell>
          <cell r="B150" t="str">
            <v>アングリークライ</v>
          </cell>
        </row>
        <row r="151">
          <cell r="A151">
            <v>200210</v>
          </cell>
          <cell r="B151" t="str">
            <v>マイトレインフォース</v>
          </cell>
        </row>
        <row r="152">
          <cell r="A152">
            <v>200220</v>
          </cell>
          <cell r="B152" t="str">
            <v>カタストロフィ</v>
          </cell>
        </row>
        <row r="153">
          <cell r="A153">
            <v>200230</v>
          </cell>
          <cell r="B153" t="str">
            <v>悪魔(ベリト)</v>
          </cell>
        </row>
        <row r="154">
          <cell r="A154">
            <v>200310</v>
          </cell>
          <cell r="B154" t="str">
            <v>プルガシオン</v>
          </cell>
        </row>
        <row r="155">
          <cell r="A155">
            <v>200320</v>
          </cell>
          <cell r="B155" t="str">
            <v>プリエステス</v>
          </cell>
        </row>
        <row r="156">
          <cell r="A156">
            <v>200330</v>
          </cell>
          <cell r="B156" t="str">
            <v>悪魔(パイモン)</v>
          </cell>
        </row>
        <row r="157">
          <cell r="A157">
            <v>200410</v>
          </cell>
          <cell r="B157" t="str">
            <v>コウソクテンショウ</v>
          </cell>
        </row>
        <row r="158">
          <cell r="A158">
            <v>200411</v>
          </cell>
          <cell r="B158" t="str">
            <v>コウソクテンショウ</v>
          </cell>
        </row>
        <row r="159">
          <cell r="A159">
            <v>200420</v>
          </cell>
          <cell r="B159" t="str">
            <v>アンチバフ</v>
          </cell>
        </row>
        <row r="160">
          <cell r="A160">
            <v>200430</v>
          </cell>
          <cell r="B160" t="str">
            <v>悪魔(アンドラス)</v>
          </cell>
        </row>
        <row r="161">
          <cell r="A161">
            <v>200510</v>
          </cell>
          <cell r="B161" t="str">
            <v>カウントダウン</v>
          </cell>
        </row>
        <row r="162">
          <cell r="A162">
            <v>200520</v>
          </cell>
          <cell r="B162" t="str">
            <v>グラウンドゼロ</v>
          </cell>
        </row>
        <row r="163">
          <cell r="A163">
            <v>200530</v>
          </cell>
          <cell r="B163" t="str">
            <v>悪魔(ビフロンス)</v>
          </cell>
        </row>
        <row r="164">
          <cell r="A164">
            <v>201010</v>
          </cell>
          <cell r="B164" t="str">
            <v>カオスペイン</v>
          </cell>
        </row>
        <row r="165">
          <cell r="A165">
            <v>201020</v>
          </cell>
          <cell r="B165" t="str">
            <v>フォールンワン</v>
          </cell>
        </row>
        <row r="166">
          <cell r="A166">
            <v>201030</v>
          </cell>
          <cell r="B166" t="str">
            <v>アンリマユ</v>
          </cell>
        </row>
        <row r="167">
          <cell r="A167">
            <v>300010</v>
          </cell>
          <cell r="B167" t="str">
            <v>ライフブースト</v>
          </cell>
        </row>
        <row r="168">
          <cell r="A168">
            <v>300020</v>
          </cell>
          <cell r="B168" t="str">
            <v>スピリットチャージ</v>
          </cell>
        </row>
        <row r="169">
          <cell r="A169">
            <v>300030</v>
          </cell>
          <cell r="B169" t="str">
            <v>フォースライズ</v>
          </cell>
        </row>
        <row r="170">
          <cell r="A170">
            <v>300040</v>
          </cell>
          <cell r="B170" t="str">
            <v>ディフェンスオーラ</v>
          </cell>
        </row>
        <row r="171">
          <cell r="A171">
            <v>300050</v>
          </cell>
          <cell r="B171" t="str">
            <v>ラピッドムーブ</v>
          </cell>
        </row>
        <row r="172">
          <cell r="A172">
            <v>300130</v>
          </cell>
          <cell r="B172" t="str">
            <v>アタックブレイク</v>
          </cell>
        </row>
        <row r="173">
          <cell r="A173">
            <v>300140</v>
          </cell>
          <cell r="B173" t="str">
            <v>シールドバニッシュ</v>
          </cell>
        </row>
        <row r="174">
          <cell r="A174">
            <v>300210</v>
          </cell>
          <cell r="B174" t="str">
            <v>エーテルリチャージ</v>
          </cell>
        </row>
        <row r="175">
          <cell r="A175">
            <v>300220</v>
          </cell>
          <cell r="B175" t="str">
            <v>リカバリーエンハンス</v>
          </cell>
        </row>
        <row r="176">
          <cell r="A176">
            <v>300230</v>
          </cell>
          <cell r="B176" t="str">
            <v>ヴェンジェンス</v>
          </cell>
        </row>
        <row r="177">
          <cell r="A177">
            <v>301010</v>
          </cell>
          <cell r="B177" t="str">
            <v>ディケイドリセット</v>
          </cell>
        </row>
        <row r="178">
          <cell r="A178">
            <v>301020</v>
          </cell>
          <cell r="B178" t="str">
            <v>ウォーリアーブラッド</v>
          </cell>
        </row>
        <row r="179">
          <cell r="A179">
            <v>301030</v>
          </cell>
          <cell r="B179" t="str">
            <v>トライアングルガード</v>
          </cell>
        </row>
        <row r="180">
          <cell r="A180">
            <v>301040</v>
          </cell>
          <cell r="B180" t="str">
            <v>セーフティバリア</v>
          </cell>
        </row>
        <row r="181">
          <cell r="A181">
            <v>301050</v>
          </cell>
          <cell r="B181" t="str">
            <v>ヒロインズハイ</v>
          </cell>
        </row>
        <row r="182">
          <cell r="A182">
            <v>301060</v>
          </cell>
          <cell r="B182" t="str">
            <v>セカンドステージ</v>
          </cell>
        </row>
        <row r="183">
          <cell r="A183">
            <v>301070</v>
          </cell>
          <cell r="B183" t="str">
            <v>ハイヒットポイント</v>
          </cell>
        </row>
        <row r="184">
          <cell r="A184">
            <v>301080</v>
          </cell>
          <cell r="B184" t="str">
            <v>セプタブラスト</v>
          </cell>
        </row>
        <row r="185">
          <cell r="A185">
            <v>301090</v>
          </cell>
          <cell r="B185" t="str">
            <v>イニシャルブロッカー</v>
          </cell>
        </row>
        <row r="186">
          <cell r="A186">
            <v>301100</v>
          </cell>
          <cell r="B186" t="str">
            <v>ファーストテイク</v>
          </cell>
        </row>
        <row r="187">
          <cell r="A187">
            <v>310010</v>
          </cell>
          <cell r="B187" t="str">
            <v>妖精の祈り</v>
          </cell>
        </row>
        <row r="188">
          <cell r="A188">
            <v>310020</v>
          </cell>
          <cell r="B188" t="str">
            <v>月のかけら</v>
          </cell>
        </row>
        <row r="189">
          <cell r="A189">
            <v>310030</v>
          </cell>
          <cell r="B189" t="str">
            <v>商売の才覚書</v>
          </cell>
        </row>
        <row r="190">
          <cell r="A190">
            <v>310040</v>
          </cell>
          <cell r="B190" t="str">
            <v>メビウスの砂時計</v>
          </cell>
        </row>
        <row r="191">
          <cell r="A191">
            <v>310050</v>
          </cell>
          <cell r="B191" t="str">
            <v>先陣の心得</v>
          </cell>
        </row>
        <row r="192">
          <cell r="A192">
            <v>310060</v>
          </cell>
          <cell r="B192" t="str">
            <v>ヒスイの勾玉</v>
          </cell>
        </row>
        <row r="193">
          <cell r="A193">
            <v>310070</v>
          </cell>
          <cell r="B193" t="str">
            <v>英傑の盾</v>
          </cell>
        </row>
        <row r="194">
          <cell r="A194">
            <v>310080</v>
          </cell>
          <cell r="B194" t="str">
            <v>鷹の目</v>
          </cell>
        </row>
        <row r="195">
          <cell r="A195">
            <v>310130</v>
          </cell>
          <cell r="B195" t="str">
            <v>ヒールユニット</v>
          </cell>
        </row>
        <row r="196">
          <cell r="A196">
            <v>320010</v>
          </cell>
          <cell r="B196" t="str">
            <v>訓練所Lv1</v>
          </cell>
        </row>
        <row r="197">
          <cell r="A197">
            <v>320011</v>
          </cell>
          <cell r="B197" t="str">
            <v>訓練所Lv2</v>
          </cell>
        </row>
        <row r="198">
          <cell r="A198">
            <v>320012</v>
          </cell>
          <cell r="B198" t="str">
            <v>訓練所Lv3</v>
          </cell>
        </row>
        <row r="199">
          <cell r="A199">
            <v>320020</v>
          </cell>
          <cell r="B199" t="str">
            <v>研究施設Lv1</v>
          </cell>
        </row>
        <row r="200">
          <cell r="A200">
            <v>320021</v>
          </cell>
          <cell r="B200" t="str">
            <v>研究施設Lv2</v>
          </cell>
        </row>
        <row r="201">
          <cell r="A201">
            <v>320022</v>
          </cell>
          <cell r="B201" t="str">
            <v>研究施設Lv3</v>
          </cell>
        </row>
        <row r="202">
          <cell r="A202">
            <v>320030</v>
          </cell>
          <cell r="B202" t="str">
            <v>資料館Lv1</v>
          </cell>
        </row>
        <row r="203">
          <cell r="A203">
            <v>320031</v>
          </cell>
          <cell r="B203" t="str">
            <v>資料館Lv2</v>
          </cell>
        </row>
        <row r="204">
          <cell r="A204">
            <v>320032</v>
          </cell>
          <cell r="B204" t="str">
            <v>資料館Lv3</v>
          </cell>
        </row>
        <row r="205">
          <cell r="A205">
            <v>320040</v>
          </cell>
          <cell r="B205" t="str">
            <v>潜伏技術Lv1</v>
          </cell>
        </row>
        <row r="206">
          <cell r="A206">
            <v>321010</v>
          </cell>
          <cell r="B206" t="str">
            <v>炎の祭壇</v>
          </cell>
        </row>
        <row r="207">
          <cell r="A207">
            <v>321020</v>
          </cell>
          <cell r="B207" t="str">
            <v>稲妻の祭壇</v>
          </cell>
        </row>
        <row r="208">
          <cell r="A208">
            <v>321030</v>
          </cell>
          <cell r="B208" t="str">
            <v>蒼の祭壇</v>
          </cell>
        </row>
        <row r="209">
          <cell r="A209">
            <v>321040</v>
          </cell>
          <cell r="B209" t="str">
            <v>光の祭壇</v>
          </cell>
        </row>
        <row r="210">
          <cell r="A210">
            <v>321050</v>
          </cell>
          <cell r="B210" t="str">
            <v>月の祭壇</v>
          </cell>
        </row>
        <row r="211">
          <cell r="A211">
            <v>322010</v>
          </cell>
          <cell r="B211" t="str">
            <v>食糧庫Lv1</v>
          </cell>
        </row>
        <row r="212">
          <cell r="A212">
            <v>322020</v>
          </cell>
          <cell r="B212" t="str">
            <v>攻撃技術Lv1</v>
          </cell>
        </row>
        <row r="213">
          <cell r="A213">
            <v>322030</v>
          </cell>
          <cell r="B213" t="str">
            <v>防御技術Lv1</v>
          </cell>
        </row>
        <row r="214">
          <cell r="A214">
            <v>322040</v>
          </cell>
          <cell r="B214" t="str">
            <v>詠唱技術Lv1</v>
          </cell>
        </row>
        <row r="215">
          <cell r="A215">
            <v>401010</v>
          </cell>
          <cell r="B215" t="str">
            <v>ファイアボール+</v>
          </cell>
        </row>
        <row r="216">
          <cell r="A216">
            <v>401020</v>
          </cell>
          <cell r="B216" t="str">
            <v>バーンストーム+</v>
          </cell>
        </row>
        <row r="217">
          <cell r="A217">
            <v>401030</v>
          </cell>
          <cell r="B217" t="str">
            <v>ヒートスタンプ+</v>
          </cell>
        </row>
        <row r="218">
          <cell r="A218">
            <v>401040</v>
          </cell>
          <cell r="B218" t="str">
            <v>ソードアダプト+</v>
          </cell>
        </row>
        <row r="219">
          <cell r="A219">
            <v>401050</v>
          </cell>
          <cell r="B219" t="str">
            <v>フレイムレイン+</v>
          </cell>
        </row>
        <row r="220">
          <cell r="A220">
            <v>401060</v>
          </cell>
          <cell r="B220" t="str">
            <v>イクスティンクション+</v>
          </cell>
        </row>
        <row r="221">
          <cell r="A221">
            <v>401070</v>
          </cell>
          <cell r="B221" t="str">
            <v>バーニングソウル+</v>
          </cell>
        </row>
        <row r="222">
          <cell r="A222">
            <v>401080</v>
          </cell>
          <cell r="B222" t="str">
            <v>レイジングバウンサー+</v>
          </cell>
        </row>
        <row r="223">
          <cell r="A223">
            <v>402010</v>
          </cell>
          <cell r="B223" t="str">
            <v>ディスチャージ+</v>
          </cell>
        </row>
        <row r="224">
          <cell r="A224">
            <v>402020</v>
          </cell>
          <cell r="B224" t="str">
            <v>イベイドコード+</v>
          </cell>
        </row>
        <row r="225">
          <cell r="A225">
            <v>402030</v>
          </cell>
          <cell r="B225" t="str">
            <v>ショックインパルス+</v>
          </cell>
        </row>
        <row r="226">
          <cell r="A226">
            <v>402040</v>
          </cell>
          <cell r="B226" t="str">
            <v>トラストチェイン+</v>
          </cell>
        </row>
        <row r="227">
          <cell r="A227">
            <v>402050</v>
          </cell>
          <cell r="B227" t="str">
            <v>スペルバニシング+</v>
          </cell>
        </row>
        <row r="228">
          <cell r="A228">
            <v>402060</v>
          </cell>
          <cell r="B228" t="str">
            <v>アーテニーストライク+</v>
          </cell>
        </row>
        <row r="229">
          <cell r="A229">
            <v>402070</v>
          </cell>
          <cell r="B229" t="str">
            <v>コンセントレイト+</v>
          </cell>
        </row>
        <row r="230">
          <cell r="A230">
            <v>402080</v>
          </cell>
          <cell r="B230" t="str">
            <v>ディレイマジック+</v>
          </cell>
        </row>
        <row r="231">
          <cell r="A231">
            <v>403010</v>
          </cell>
          <cell r="B231" t="str">
            <v>アイスブレイド+</v>
          </cell>
        </row>
        <row r="232">
          <cell r="A232">
            <v>403020</v>
          </cell>
          <cell r="B232" t="str">
            <v>カウンターオーラ+</v>
          </cell>
        </row>
        <row r="233">
          <cell r="A233">
            <v>403030</v>
          </cell>
          <cell r="B233" t="str">
            <v>ラインプロテクト+</v>
          </cell>
        </row>
        <row r="234">
          <cell r="A234">
            <v>403040</v>
          </cell>
          <cell r="B234" t="str">
            <v>エスコートソール+</v>
          </cell>
        </row>
        <row r="235">
          <cell r="A235">
            <v>403050</v>
          </cell>
          <cell r="B235" t="str">
            <v>ディープフリーズ+</v>
          </cell>
        </row>
        <row r="236">
          <cell r="A236">
            <v>403060</v>
          </cell>
          <cell r="B236" t="str">
            <v>バブルブロウ+</v>
          </cell>
        </row>
        <row r="237">
          <cell r="A237">
            <v>403070</v>
          </cell>
          <cell r="B237" t="str">
            <v>アクアミラージュ+</v>
          </cell>
        </row>
        <row r="238">
          <cell r="A238">
            <v>403080</v>
          </cell>
          <cell r="B238" t="str">
            <v>フロストシールド+</v>
          </cell>
        </row>
        <row r="239">
          <cell r="A239">
            <v>404010</v>
          </cell>
          <cell r="B239" t="str">
            <v>セイントレーザー+</v>
          </cell>
        </row>
        <row r="240">
          <cell r="A240">
            <v>404020</v>
          </cell>
          <cell r="B240" t="str">
            <v>ペネトレイト+</v>
          </cell>
        </row>
        <row r="241">
          <cell r="A241">
            <v>404030</v>
          </cell>
          <cell r="B241" t="str">
            <v>ヒーリング+</v>
          </cell>
        </row>
        <row r="242">
          <cell r="A242">
            <v>404040</v>
          </cell>
          <cell r="B242" t="str">
            <v>リザイアフォトン+</v>
          </cell>
        </row>
        <row r="243">
          <cell r="A243">
            <v>404050</v>
          </cell>
          <cell r="B243" t="str">
            <v>べネディクション+</v>
          </cell>
        </row>
        <row r="244">
          <cell r="A244">
            <v>404060</v>
          </cell>
          <cell r="B244" t="str">
            <v>ホーリーグレイス+</v>
          </cell>
        </row>
        <row r="245">
          <cell r="A245">
            <v>404070</v>
          </cell>
          <cell r="B245" t="str">
            <v>キュアエール+</v>
          </cell>
        </row>
        <row r="246">
          <cell r="A246">
            <v>404080</v>
          </cell>
          <cell r="B246" t="str">
            <v>ラインバリア+</v>
          </cell>
        </row>
        <row r="247">
          <cell r="A247">
            <v>405010</v>
          </cell>
          <cell r="B247" t="str">
            <v>ダークプリズン+</v>
          </cell>
        </row>
        <row r="248">
          <cell r="A248">
            <v>405020</v>
          </cell>
          <cell r="B248" t="str">
            <v>ユーサネイジア+</v>
          </cell>
        </row>
        <row r="249">
          <cell r="A249">
            <v>405030</v>
          </cell>
          <cell r="B249" t="str">
            <v>ドレインヒール+</v>
          </cell>
        </row>
        <row r="250">
          <cell r="A250">
            <v>405040</v>
          </cell>
          <cell r="B250" t="str">
            <v>アビサルデスペア+</v>
          </cell>
        </row>
        <row r="251">
          <cell r="A251">
            <v>405050</v>
          </cell>
          <cell r="B251" t="str">
            <v>ディプラヴィティ+</v>
          </cell>
        </row>
        <row r="252">
          <cell r="A252">
            <v>405060</v>
          </cell>
          <cell r="B252" t="str">
            <v>ダークネス+</v>
          </cell>
        </row>
        <row r="253">
          <cell r="A253">
            <v>405070</v>
          </cell>
          <cell r="B253" t="str">
            <v>シェイディークラウド+</v>
          </cell>
        </row>
        <row r="254">
          <cell r="A254">
            <v>405080</v>
          </cell>
          <cell r="B254" t="str">
            <v>ポイズンブロウ+</v>
          </cell>
        </row>
        <row r="255">
          <cell r="A255">
            <v>411010</v>
          </cell>
          <cell r="B255" t="str">
            <v>ウルフソウル+</v>
          </cell>
        </row>
        <row r="256">
          <cell r="A256">
            <v>411020</v>
          </cell>
          <cell r="B256" t="str">
            <v>プリディカメント+</v>
          </cell>
        </row>
        <row r="257">
          <cell r="A257">
            <v>411030</v>
          </cell>
          <cell r="B257" t="str">
            <v>アサルトシフト+</v>
          </cell>
        </row>
        <row r="258">
          <cell r="A258">
            <v>411040</v>
          </cell>
          <cell r="B258" t="str">
            <v>アクティブギフト+</v>
          </cell>
        </row>
        <row r="259">
          <cell r="A259">
            <v>411050</v>
          </cell>
          <cell r="B259" t="str">
            <v>イグナイテッド+</v>
          </cell>
        </row>
        <row r="260">
          <cell r="A260">
            <v>411060</v>
          </cell>
          <cell r="B260" t="str">
            <v>ライジングファイア+</v>
          </cell>
        </row>
        <row r="261">
          <cell r="A261">
            <v>411070</v>
          </cell>
          <cell r="B261" t="str">
            <v>ルージュバック+</v>
          </cell>
        </row>
        <row r="262">
          <cell r="A262">
            <v>411080</v>
          </cell>
          <cell r="B262" t="str">
            <v>パワーエール+</v>
          </cell>
        </row>
        <row r="263">
          <cell r="A263">
            <v>411090</v>
          </cell>
          <cell r="B263" t="str">
            <v>スレイプニル+</v>
          </cell>
        </row>
        <row r="264">
          <cell r="A264">
            <v>412010</v>
          </cell>
          <cell r="B264" t="str">
            <v>エクステンション+</v>
          </cell>
        </row>
        <row r="265">
          <cell r="A265">
            <v>412020</v>
          </cell>
          <cell r="B265" t="str">
            <v>ヘブンリーラック+</v>
          </cell>
        </row>
        <row r="266">
          <cell r="A266">
            <v>412030</v>
          </cell>
          <cell r="B266" t="str">
            <v>スウィフトカレント+</v>
          </cell>
        </row>
        <row r="267">
          <cell r="A267">
            <v>412040</v>
          </cell>
          <cell r="B267" t="str">
            <v>イヴェイドオール+</v>
          </cell>
        </row>
        <row r="268">
          <cell r="A268">
            <v>412050</v>
          </cell>
          <cell r="B268" t="str">
            <v>クイックムーブ+</v>
          </cell>
        </row>
        <row r="269">
          <cell r="A269">
            <v>412060</v>
          </cell>
          <cell r="B269" t="str">
            <v>チェイスマジック+</v>
          </cell>
        </row>
        <row r="270">
          <cell r="A270">
            <v>412070</v>
          </cell>
          <cell r="B270" t="str">
            <v>ソーサリーコネクト+</v>
          </cell>
        </row>
        <row r="271">
          <cell r="A271">
            <v>412080</v>
          </cell>
          <cell r="B271" t="str">
            <v>ウィンドライズ+</v>
          </cell>
        </row>
        <row r="272">
          <cell r="A272">
            <v>412090</v>
          </cell>
          <cell r="B272" t="str">
            <v>アウトオブオーダー+</v>
          </cell>
        </row>
        <row r="273">
          <cell r="A273">
            <v>413010</v>
          </cell>
          <cell r="B273" t="str">
            <v>アーマーコード+</v>
          </cell>
        </row>
        <row r="274">
          <cell r="A274">
            <v>413020</v>
          </cell>
          <cell r="B274" t="str">
            <v>クイックバリア+</v>
          </cell>
        </row>
        <row r="275">
          <cell r="A275">
            <v>413030</v>
          </cell>
          <cell r="B275" t="str">
            <v>クイックキュア+</v>
          </cell>
        </row>
        <row r="276">
          <cell r="A276">
            <v>413040</v>
          </cell>
          <cell r="B276" t="str">
            <v>セルフシールド+</v>
          </cell>
        </row>
        <row r="277">
          <cell r="A277">
            <v>413050</v>
          </cell>
          <cell r="B277" t="str">
            <v>パッシブジャミング+</v>
          </cell>
        </row>
        <row r="278">
          <cell r="A278">
            <v>413060</v>
          </cell>
          <cell r="B278" t="str">
            <v>サプライカバー+</v>
          </cell>
        </row>
        <row r="279">
          <cell r="A279">
            <v>413070</v>
          </cell>
          <cell r="B279" t="str">
            <v>アシッドラッシュ+</v>
          </cell>
        </row>
        <row r="280">
          <cell r="A280">
            <v>413080</v>
          </cell>
          <cell r="B280" t="str">
            <v>ライフスティール+</v>
          </cell>
        </row>
        <row r="281">
          <cell r="A281">
            <v>413090</v>
          </cell>
          <cell r="B281" t="str">
            <v>アイスセイバー+</v>
          </cell>
        </row>
        <row r="282">
          <cell r="A282">
            <v>414010</v>
          </cell>
          <cell r="B282" t="str">
            <v>ディバインシールド+</v>
          </cell>
        </row>
        <row r="283">
          <cell r="A283">
            <v>414020</v>
          </cell>
          <cell r="B283" t="str">
            <v>ライフディバイド+</v>
          </cell>
        </row>
        <row r="284">
          <cell r="A284">
            <v>414030</v>
          </cell>
          <cell r="B284" t="str">
            <v>エイミングスコープ+</v>
          </cell>
        </row>
        <row r="285">
          <cell r="A285">
            <v>414040</v>
          </cell>
          <cell r="B285" t="str">
            <v>リジェネレーション+</v>
          </cell>
        </row>
        <row r="286">
          <cell r="A286">
            <v>414050</v>
          </cell>
          <cell r="B286" t="str">
            <v>ホープフルアイリス+</v>
          </cell>
        </row>
        <row r="287">
          <cell r="A287">
            <v>414060</v>
          </cell>
          <cell r="B287" t="str">
            <v>パッシブサプライ+</v>
          </cell>
        </row>
        <row r="288">
          <cell r="A288">
            <v>414070</v>
          </cell>
          <cell r="B288" t="str">
            <v>ホーミングクルセイド+</v>
          </cell>
        </row>
        <row r="289">
          <cell r="A289">
            <v>414080</v>
          </cell>
          <cell r="B289" t="str">
            <v>クイックヒール+</v>
          </cell>
        </row>
        <row r="290">
          <cell r="A290">
            <v>414090</v>
          </cell>
          <cell r="B290" t="str">
            <v>リレイズ+</v>
          </cell>
        </row>
        <row r="291">
          <cell r="A291">
            <v>415010</v>
          </cell>
          <cell r="B291" t="str">
            <v>イーグルアイ+</v>
          </cell>
        </row>
        <row r="292">
          <cell r="A292">
            <v>415020</v>
          </cell>
          <cell r="B292" t="str">
            <v>ネヴァーエンド+</v>
          </cell>
        </row>
        <row r="293">
          <cell r="A293">
            <v>415030</v>
          </cell>
          <cell r="B293" t="str">
            <v>グレイブアクト+</v>
          </cell>
        </row>
        <row r="294">
          <cell r="A294">
            <v>415040</v>
          </cell>
          <cell r="B294" t="str">
            <v>スカルグラッジ+</v>
          </cell>
        </row>
        <row r="295">
          <cell r="A295">
            <v>415050</v>
          </cell>
          <cell r="B295" t="str">
            <v>ネガティブドレイン+</v>
          </cell>
        </row>
        <row r="296">
          <cell r="A296">
            <v>415060</v>
          </cell>
          <cell r="B296" t="str">
            <v>アンデッドペイン+</v>
          </cell>
        </row>
        <row r="297">
          <cell r="A297">
            <v>415070</v>
          </cell>
          <cell r="B297" t="str">
            <v>ジャックポッド+</v>
          </cell>
        </row>
        <row r="298">
          <cell r="A298">
            <v>415080</v>
          </cell>
          <cell r="B298" t="str">
            <v>ヒールハント+</v>
          </cell>
        </row>
        <row r="299">
          <cell r="A299">
            <v>415090</v>
          </cell>
          <cell r="B299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4"/>
  <sheetViews>
    <sheetView tabSelected="1" workbookViewId="0">
      <selection activeCell="E17" sqref="E17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51</v>
      </c>
      <c r="B17">
        <v>51</v>
      </c>
      <c r="C17" t="s">
        <v>38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3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25</v>
      </c>
    </row>
    <row r="18" spans="1:19">
      <c r="A18">
        <v>101</v>
      </c>
      <c r="B18">
        <v>101</v>
      </c>
      <c r="C18" t="s">
        <v>39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3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25</v>
      </c>
    </row>
    <row r="19" spans="1:19">
      <c r="A19">
        <v>102</v>
      </c>
      <c r="B19">
        <v>102</v>
      </c>
      <c r="C19" t="s">
        <v>40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3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21</v>
      </c>
    </row>
    <row r="20" spans="1:19">
      <c r="A20">
        <v>103</v>
      </c>
      <c r="B20">
        <v>103</v>
      </c>
      <c r="C20" t="s">
        <v>41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3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42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3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23</v>
      </c>
    </row>
    <row r="22" spans="1:19">
      <c r="A22">
        <v>105</v>
      </c>
      <c r="B22">
        <v>105</v>
      </c>
      <c r="C22" t="s">
        <v>43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3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44</v>
      </c>
      <c r="D23">
        <v>1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3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45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3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46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3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47</v>
      </c>
    </row>
    <row r="26" spans="1:20">
      <c r="A26">
        <v>1003</v>
      </c>
      <c r="B26">
        <v>1003</v>
      </c>
      <c r="C26" t="s">
        <v>48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49</v>
      </c>
    </row>
    <row r="27" spans="1:20">
      <c r="A27">
        <v>1004</v>
      </c>
      <c r="B27">
        <v>1004</v>
      </c>
      <c r="C27" t="s">
        <v>50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3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51</v>
      </c>
    </row>
    <row r="28" spans="1:20">
      <c r="A28">
        <v>1005</v>
      </c>
      <c r="B28">
        <v>1005</v>
      </c>
      <c r="C28" t="s">
        <v>52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3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53</v>
      </c>
    </row>
    <row r="29" spans="1:20">
      <c r="A29">
        <v>1006</v>
      </c>
      <c r="B29">
        <v>1006</v>
      </c>
      <c r="C29" t="s">
        <v>54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3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55</v>
      </c>
    </row>
    <row r="30" spans="1:20">
      <c r="A30">
        <v>1007</v>
      </c>
      <c r="B30">
        <v>1007</v>
      </c>
      <c r="C30" t="s">
        <v>56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3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47</v>
      </c>
    </row>
    <row r="31" spans="1:20">
      <c r="A31">
        <v>1008</v>
      </c>
      <c r="B31">
        <v>1008</v>
      </c>
      <c r="C31" t="s">
        <v>57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3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49</v>
      </c>
    </row>
    <row r="32" spans="1:20">
      <c r="A32">
        <v>1009</v>
      </c>
      <c r="B32">
        <v>1009</v>
      </c>
      <c r="C32" t="s">
        <v>58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3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51</v>
      </c>
    </row>
    <row r="33" spans="1:20">
      <c r="A33">
        <v>1010</v>
      </c>
      <c r="B33">
        <v>1010</v>
      </c>
      <c r="C33" t="s">
        <v>59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3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53</v>
      </c>
    </row>
    <row r="34" spans="1:20">
      <c r="A34">
        <v>1011</v>
      </c>
      <c r="B34">
        <v>1011</v>
      </c>
      <c r="C34" t="s">
        <v>60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3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55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1"/>
  <sheetViews>
    <sheetView topLeftCell="A61" workbookViewId="0">
      <selection activeCell="B78" sqref="B7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イクスティンクション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1010</v>
      </c>
      <c r="C79" t="str">
        <f>INDEX([1]TextData!B:B,MATCH(B79,[1]TextData!A:A))</f>
        <v>ファイアボール</v>
      </c>
      <c r="D79">
        <v>1</v>
      </c>
      <c r="E79">
        <v>50</v>
      </c>
      <c r="F79">
        <v>5061</v>
      </c>
      <c r="G79">
        <v>0</v>
      </c>
    </row>
    <row r="80" spans="1:7">
      <c r="A80">
        <v>101</v>
      </c>
      <c r="B80">
        <v>200110</v>
      </c>
      <c r="C80" t="str">
        <f>INDEX([1]TextData!B:B,MATCH(B80,[1]TextData!A:A))</f>
        <v>スリータイムス</v>
      </c>
      <c r="D80">
        <v>1</v>
      </c>
      <c r="E80">
        <v>0</v>
      </c>
      <c r="F80">
        <v>0</v>
      </c>
      <c r="G80">
        <v>0</v>
      </c>
    </row>
    <row r="81" spans="1:7">
      <c r="A81">
        <v>101</v>
      </c>
      <c r="B81">
        <v>200120</v>
      </c>
      <c r="C81" t="str">
        <f>INDEX([1]TextData!B:B,MATCH(B81,[1]TextData!A:A))</f>
        <v>アングリークライ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5010</v>
      </c>
      <c r="C82" t="str">
        <f>INDEX([1]TextData!B:B,MATCH(B82,[1]TextData!A:A))</f>
        <v>ダークプリズン</v>
      </c>
      <c r="D82">
        <v>1</v>
      </c>
      <c r="E82">
        <v>50</v>
      </c>
      <c r="F82">
        <v>0</v>
      </c>
      <c r="G82">
        <v>0</v>
      </c>
    </row>
    <row r="83" spans="1:7">
      <c r="A83">
        <v>102</v>
      </c>
      <c r="B83">
        <v>5020</v>
      </c>
      <c r="C83" t="str">
        <f>INDEX([1]TextData!B:B,MATCH(B83,[1]TextData!A:A))</f>
        <v>ユーサネイジア</v>
      </c>
      <c r="D83">
        <v>1</v>
      </c>
      <c r="E83">
        <v>100</v>
      </c>
      <c r="F83">
        <v>1013</v>
      </c>
      <c r="G83">
        <v>0</v>
      </c>
    </row>
    <row r="84" spans="1:7">
      <c r="A84">
        <v>102</v>
      </c>
      <c r="B84">
        <v>15050</v>
      </c>
      <c r="C84" t="str">
        <f>INDEX([1]TextData!B:B,MATCH(B84,[1]TextData!A:A))</f>
        <v>ネガティブドレイン</v>
      </c>
      <c r="D84">
        <v>1</v>
      </c>
      <c r="E84">
        <v>0</v>
      </c>
      <c r="F84">
        <v>0</v>
      </c>
      <c r="G84">
        <v>0</v>
      </c>
    </row>
    <row r="85" spans="1:7">
      <c r="A85">
        <v>102</v>
      </c>
      <c r="B85">
        <v>200210</v>
      </c>
      <c r="C85" t="str">
        <f>INDEX([1]TextData!B:B,MATCH(B85,[1]TextData!A:A))</f>
        <v>マイトレインフォース</v>
      </c>
      <c r="D85">
        <v>1</v>
      </c>
      <c r="E85">
        <v>0</v>
      </c>
      <c r="F85">
        <v>0</v>
      </c>
      <c r="G85">
        <v>0</v>
      </c>
    </row>
    <row r="86" spans="1:7">
      <c r="A86">
        <v>102</v>
      </c>
      <c r="B86">
        <v>200220</v>
      </c>
      <c r="C86" t="str">
        <f>INDEX([1]TextData!B:B,MATCH(B86,[1]TextData!A:A))</f>
        <v>カタストロフィ</v>
      </c>
      <c r="D86">
        <v>1</v>
      </c>
      <c r="E86">
        <v>150</v>
      </c>
      <c r="F86">
        <v>0</v>
      </c>
      <c r="G86">
        <v>0</v>
      </c>
    </row>
    <row r="87" spans="1:7">
      <c r="A87">
        <v>102</v>
      </c>
      <c r="B87">
        <v>200230</v>
      </c>
      <c r="C87" t="str">
        <f>INDEX([1]TextData!B:B,MATCH(B87,[1]TextData!A:A))</f>
        <v>悪魔(ベリト)</v>
      </c>
      <c r="D87">
        <v>1</v>
      </c>
      <c r="E87">
        <v>0</v>
      </c>
      <c r="F87">
        <v>0</v>
      </c>
      <c r="G87">
        <v>0</v>
      </c>
    </row>
    <row r="88" spans="1:7">
      <c r="A88">
        <v>103</v>
      </c>
      <c r="B88">
        <v>4010</v>
      </c>
      <c r="C88" t="str">
        <f>INDEX([1]TextData!B:B,MATCH(B88,[1]TextData!A:A))</f>
        <v>セイントレーザー</v>
      </c>
      <c r="D88">
        <v>1</v>
      </c>
      <c r="E88">
        <v>50</v>
      </c>
      <c r="F88">
        <v>0</v>
      </c>
      <c r="G88">
        <v>0</v>
      </c>
    </row>
    <row r="89" spans="1:7">
      <c r="A89">
        <v>103</v>
      </c>
      <c r="B89">
        <v>4030</v>
      </c>
      <c r="C89" t="str">
        <f>INDEX([1]TextData!B:B,MATCH(B89,[1]TextData!A:A))</f>
        <v>ヒーリング</v>
      </c>
      <c r="D89">
        <v>1</v>
      </c>
      <c r="E89">
        <v>100</v>
      </c>
      <c r="F89">
        <v>1033</v>
      </c>
      <c r="G89">
        <v>0</v>
      </c>
    </row>
    <row r="90" spans="1:7">
      <c r="A90">
        <v>103</v>
      </c>
      <c r="B90">
        <v>14080</v>
      </c>
      <c r="C90" t="str">
        <f>INDEX([1]TextData!B:B,MATCH(B90,[1]TextData!A:A))</f>
        <v>クイックヒール</v>
      </c>
      <c r="D90">
        <v>1</v>
      </c>
      <c r="E90">
        <v>0</v>
      </c>
      <c r="F90">
        <v>1033</v>
      </c>
      <c r="G90">
        <v>0</v>
      </c>
    </row>
    <row r="91" spans="1:7">
      <c r="A91">
        <v>103</v>
      </c>
      <c r="B91">
        <v>200310</v>
      </c>
      <c r="C91" t="str">
        <f>INDEX([1]TextData!B:B,MATCH(B91,[1]TextData!A:A))</f>
        <v>プルガシオン</v>
      </c>
      <c r="D91">
        <v>1</v>
      </c>
      <c r="E91">
        <v>0</v>
      </c>
      <c r="F91">
        <v>0</v>
      </c>
      <c r="G91">
        <v>0</v>
      </c>
    </row>
    <row r="92" spans="1:7">
      <c r="A92">
        <v>103</v>
      </c>
      <c r="B92">
        <v>200320</v>
      </c>
      <c r="C92" t="str">
        <f>INDEX([1]TextData!B:B,MATCH(B92,[1]TextData!A:A))</f>
        <v>プリエステス</v>
      </c>
      <c r="D92">
        <v>1</v>
      </c>
      <c r="E92">
        <v>150</v>
      </c>
      <c r="F92">
        <v>0</v>
      </c>
      <c r="G92">
        <v>0</v>
      </c>
    </row>
    <row r="93" spans="1:7">
      <c r="A93">
        <v>103</v>
      </c>
      <c r="B93">
        <v>200330</v>
      </c>
      <c r="C93" t="str">
        <f>INDEX([1]TextData!B:B,MATCH(B93,[1]TextData!A:A))</f>
        <v>悪魔(パイモン)</v>
      </c>
      <c r="D93">
        <v>1</v>
      </c>
      <c r="E93">
        <v>0</v>
      </c>
      <c r="F93">
        <v>0</v>
      </c>
      <c r="G93">
        <v>0</v>
      </c>
    </row>
    <row r="94" spans="1:7">
      <c r="A94">
        <v>104</v>
      </c>
      <c r="B94">
        <v>2010</v>
      </c>
      <c r="C94" t="str">
        <f>INDEX([1]TextData!B:B,MATCH(B94,[1]TextData!A:A))</f>
        <v>ディスチャージ</v>
      </c>
      <c r="D94">
        <v>1</v>
      </c>
      <c r="E94">
        <v>50</v>
      </c>
      <c r="F94">
        <v>0</v>
      </c>
      <c r="G94">
        <v>0</v>
      </c>
    </row>
    <row r="95" spans="1:7">
      <c r="A95">
        <v>104</v>
      </c>
      <c r="B95">
        <v>200410</v>
      </c>
      <c r="C95" t="str">
        <f>INDEX([1]TextData!B:B,MATCH(B95,[1]TextData!A:A))</f>
        <v>コウソクテンショウ</v>
      </c>
      <c r="D95">
        <v>1</v>
      </c>
      <c r="E95">
        <v>0</v>
      </c>
      <c r="F95">
        <v>0</v>
      </c>
      <c r="G95">
        <v>0</v>
      </c>
    </row>
    <row r="96" spans="1:7">
      <c r="A96">
        <v>104</v>
      </c>
      <c r="B96">
        <v>200420</v>
      </c>
      <c r="C96" t="str">
        <f>INDEX([1]TextData!B:B,MATCH(B96,[1]TextData!A:A))</f>
        <v>アンチバフ</v>
      </c>
      <c r="D96">
        <v>1</v>
      </c>
      <c r="E96">
        <v>0</v>
      </c>
      <c r="F96">
        <v>1024</v>
      </c>
      <c r="G96">
        <v>0</v>
      </c>
    </row>
    <row r="97" spans="1:7">
      <c r="A97">
        <v>104</v>
      </c>
      <c r="B97">
        <v>200430</v>
      </c>
      <c r="C97" t="str">
        <f>INDEX([1]TextData!B:B,MATCH(B97,[1]TextData!A:A))</f>
        <v>悪魔(アンドラス)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3010</v>
      </c>
      <c r="C98" t="str">
        <f>INDEX([1]TextData!B:B,MATCH(B98,[1]TextData!A:A))</f>
        <v>アイスブレイド</v>
      </c>
      <c r="D98">
        <v>1</v>
      </c>
      <c r="E98">
        <v>20</v>
      </c>
      <c r="F98">
        <v>0</v>
      </c>
      <c r="G98">
        <v>0</v>
      </c>
    </row>
    <row r="99" spans="1:7">
      <c r="A99">
        <v>105</v>
      </c>
      <c r="B99">
        <v>3070</v>
      </c>
      <c r="C99" t="str">
        <f>INDEX([1]TextData!B:B,MATCH(B99,[1]TextData!A:A))</f>
        <v>アクアミラージュ</v>
      </c>
      <c r="D99">
        <v>1</v>
      </c>
      <c r="E99">
        <v>80</v>
      </c>
      <c r="F99">
        <v>0</v>
      </c>
      <c r="G99">
        <v>0</v>
      </c>
    </row>
    <row r="100" spans="1:7">
      <c r="A100">
        <v>105</v>
      </c>
      <c r="B100">
        <v>200510</v>
      </c>
      <c r="C100" t="str">
        <f>INDEX([1]TextData!B:B,MATCH(B100,[1]TextData!A:A))</f>
        <v>カウントダウン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200520</v>
      </c>
      <c r="C101" t="str">
        <f>INDEX([1]TextData!B:B,MATCH(B101,[1]TextData!A:A))</f>
        <v>グラウンドゼロ</v>
      </c>
      <c r="D101">
        <v>1</v>
      </c>
      <c r="E101">
        <v>100</v>
      </c>
      <c r="F101">
        <v>0</v>
      </c>
      <c r="G101">
        <v>0</v>
      </c>
    </row>
    <row r="102" spans="1:7">
      <c r="A102">
        <v>105</v>
      </c>
      <c r="B102">
        <v>200530</v>
      </c>
      <c r="C102" t="str">
        <f>INDEX([1]TextData!B:B,MATCH(B102,[1]TextData!A:A))</f>
        <v>悪魔(ビフロンス)</v>
      </c>
      <c r="D102">
        <v>1</v>
      </c>
      <c r="E102">
        <v>0</v>
      </c>
      <c r="F102">
        <v>0</v>
      </c>
      <c r="G102">
        <v>0</v>
      </c>
    </row>
    <row r="103" spans="1:7">
      <c r="A103">
        <v>105</v>
      </c>
      <c r="B103">
        <v>403070</v>
      </c>
      <c r="C103" t="str">
        <f>INDEX([1]TextData!B:B,MATCH(B103,[1]TextData!A:A))</f>
        <v>アクアミラージュ+</v>
      </c>
      <c r="D103">
        <v>1</v>
      </c>
      <c r="E103">
        <v>0</v>
      </c>
      <c r="F103">
        <v>0</v>
      </c>
      <c r="G103">
        <v>0</v>
      </c>
    </row>
    <row r="104" spans="1:7">
      <c r="A104">
        <v>201</v>
      </c>
      <c r="B104">
        <v>5010</v>
      </c>
      <c r="C104" t="str">
        <f>INDEX([1]TextData!B:B,MATCH(B104,[1]TextData!A:A))</f>
        <v>ダークプリズン</v>
      </c>
      <c r="D104">
        <v>1</v>
      </c>
      <c r="E104">
        <v>50</v>
      </c>
      <c r="F104">
        <v>0</v>
      </c>
      <c r="G104">
        <v>0</v>
      </c>
    </row>
    <row r="105" spans="1:7">
      <c r="A105">
        <v>201</v>
      </c>
      <c r="B105">
        <v>5020</v>
      </c>
      <c r="C105" t="str">
        <f>INDEX([1]TextData!B:B,MATCH(B105,[1]TextData!A:A))</f>
        <v>ユーサネイジア</v>
      </c>
      <c r="D105">
        <v>1</v>
      </c>
      <c r="E105">
        <v>100</v>
      </c>
      <c r="F105">
        <v>0</v>
      </c>
      <c r="G105">
        <v>0</v>
      </c>
    </row>
    <row r="106" spans="1:7">
      <c r="A106">
        <v>201</v>
      </c>
      <c r="B106">
        <v>3070</v>
      </c>
      <c r="C106" t="str">
        <f>INDEX([1]TextData!B:B,MATCH(B106,[1]TextData!A:A))</f>
        <v>アクアミラージュ</v>
      </c>
      <c r="D106">
        <v>1</v>
      </c>
      <c r="E106">
        <v>150</v>
      </c>
      <c r="F106">
        <v>9110</v>
      </c>
      <c r="G106">
        <v>0</v>
      </c>
    </row>
    <row r="107" spans="1:7">
      <c r="A107">
        <v>201</v>
      </c>
      <c r="B107">
        <v>403070</v>
      </c>
      <c r="C107" t="str">
        <f>INDEX([1]TextData!B:B,MATCH(B107,[1]TextData!A:A))</f>
        <v>アクアミラージュ+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201010</v>
      </c>
      <c r="C108" t="str">
        <f>INDEX([1]TextData!B:B,MATCH(B108,[1]TextData!A:A))</f>
        <v>カオスペイン</v>
      </c>
      <c r="D108">
        <v>1</v>
      </c>
      <c r="E108">
        <v>0</v>
      </c>
      <c r="F108">
        <v>5080</v>
      </c>
      <c r="G108">
        <v>0</v>
      </c>
    </row>
    <row r="109" spans="1:7">
      <c r="A109">
        <v>201</v>
      </c>
      <c r="B109">
        <v>201020</v>
      </c>
      <c r="C109" t="str">
        <f>INDEX([1]TextData!B:B,MATCH(B109,[1]TextData!A:A))</f>
        <v>フォールンワン</v>
      </c>
      <c r="D109">
        <v>1</v>
      </c>
      <c r="E109">
        <v>250</v>
      </c>
      <c r="F109">
        <v>0</v>
      </c>
      <c r="G109">
        <v>0</v>
      </c>
    </row>
    <row r="110" spans="1:7">
      <c r="A110">
        <v>201</v>
      </c>
      <c r="B110">
        <v>201030</v>
      </c>
      <c r="C110" t="str">
        <f>INDEX([1]TextData!B:B,MATCH(B110,[1]TextData!A:A))</f>
        <v>アンリマユ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405010</v>
      </c>
      <c r="C111" t="str">
        <f>INDEX([1]TextData!B:B,MATCH(B111,[1]TextData!A:A))</f>
        <v>ダークプリズン+</v>
      </c>
      <c r="D111">
        <v>1</v>
      </c>
      <c r="E111">
        <v>0</v>
      </c>
      <c r="F111">
        <v>0</v>
      </c>
      <c r="G111">
        <v>0</v>
      </c>
    </row>
    <row r="112" spans="1:7">
      <c r="A112">
        <v>201</v>
      </c>
      <c r="B112">
        <v>405020</v>
      </c>
      <c r="C112" t="str">
        <f>INDEX([1]TextData!B:B,MATCH(B112,[1]TextData!A:A))</f>
        <v>ユーサネイジア+</v>
      </c>
      <c r="D112">
        <v>1</v>
      </c>
      <c r="E112">
        <v>0</v>
      </c>
      <c r="F112">
        <v>0</v>
      </c>
      <c r="G112">
        <v>0</v>
      </c>
    </row>
    <row r="113" spans="1:7">
      <c r="A113">
        <v>201</v>
      </c>
      <c r="B113">
        <v>12010</v>
      </c>
      <c r="C113" t="str">
        <f>INDEX([1]TextData!B:B,MATCH(B113,[1]TextData!A:A))</f>
        <v>コンセントレイト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1010</v>
      </c>
      <c r="C114" t="str">
        <f>INDEX([1]TextData!B:B,MATCH(B114,[1]TextData!A:A))</f>
        <v>ファイアボール</v>
      </c>
      <c r="D114">
        <v>1</v>
      </c>
      <c r="E114">
        <v>50</v>
      </c>
      <c r="F114">
        <v>5061</v>
      </c>
      <c r="G114">
        <v>0</v>
      </c>
    </row>
    <row r="115" spans="1:7">
      <c r="A115">
        <v>1001</v>
      </c>
      <c r="B115">
        <v>1060</v>
      </c>
      <c r="C115" t="str">
        <f>INDEX([1]TextData!B:B,MATCH(B115,[1]TextData!A:A))</f>
        <v>イクスティンクション</v>
      </c>
      <c r="D115">
        <v>1</v>
      </c>
      <c r="E115">
        <v>150</v>
      </c>
      <c r="F115">
        <v>5061</v>
      </c>
      <c r="G115">
        <v>0</v>
      </c>
    </row>
    <row r="116" spans="1:7">
      <c r="A116">
        <v>1001</v>
      </c>
      <c r="B116">
        <v>100110</v>
      </c>
      <c r="C116" t="str">
        <f>INDEX([1]TextData!B:B,MATCH(B116,[1]TextData!A:A))</f>
        <v>ソーイングアームド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100120</v>
      </c>
      <c r="C117" t="str">
        <f>INDEX([1]TextData!B:B,MATCH(B117,[1]TextData!A:A))</f>
        <v>エターナルロンド</v>
      </c>
      <c r="D117">
        <v>1</v>
      </c>
      <c r="E117">
        <v>200</v>
      </c>
      <c r="F117">
        <v>0</v>
      </c>
      <c r="G117">
        <v>0</v>
      </c>
    </row>
    <row r="118" spans="1:7">
      <c r="A118">
        <v>1001</v>
      </c>
      <c r="B118">
        <v>11060</v>
      </c>
      <c r="C118" t="str">
        <f>INDEX([1]TextData!B:B,MATCH(B118,[1]TextData!A:A))</f>
        <v>ライジングファイア</v>
      </c>
      <c r="D118">
        <v>1</v>
      </c>
      <c r="E118">
        <v>0</v>
      </c>
      <c r="F118">
        <v>0</v>
      </c>
      <c r="G118">
        <v>0</v>
      </c>
    </row>
    <row r="119" spans="1:7">
      <c r="A119">
        <v>1001</v>
      </c>
      <c r="B119">
        <v>14010</v>
      </c>
      <c r="C119" t="str">
        <f>INDEX([1]TextData!B:B,MATCH(B119,[1]TextData!A:A))</f>
        <v>ディバインシールド</v>
      </c>
      <c r="D119">
        <v>1</v>
      </c>
      <c r="E119">
        <v>0</v>
      </c>
      <c r="F119">
        <v>0</v>
      </c>
      <c r="G119">
        <v>0</v>
      </c>
    </row>
    <row r="120" spans="1:7">
      <c r="A120">
        <v>1001</v>
      </c>
      <c r="B120">
        <v>12010</v>
      </c>
      <c r="C120" t="str">
        <f>INDEX([1]TextData!B:B,MATCH(B120,[1]TextData!A:A))</f>
        <v>コンセントレイト</v>
      </c>
      <c r="D120">
        <v>1</v>
      </c>
      <c r="E120">
        <v>0</v>
      </c>
      <c r="F120">
        <v>0</v>
      </c>
      <c r="G120">
        <v>0</v>
      </c>
    </row>
    <row r="121" spans="1:7">
      <c r="A121">
        <v>1001</v>
      </c>
      <c r="B121">
        <v>12060</v>
      </c>
      <c r="C121" t="str">
        <f>INDEX([1]TextData!B:B,MATCH(B121,[1]TextData!A:A))</f>
        <v>チェイスマジック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2010</v>
      </c>
      <c r="C122" t="str">
        <f>INDEX([1]TextData!B:B,MATCH(B122,[1]TextData!A:A))</f>
        <v>ディスチャージ</v>
      </c>
      <c r="D122">
        <v>1</v>
      </c>
      <c r="E122">
        <v>50</v>
      </c>
      <c r="F122">
        <v>5060</v>
      </c>
      <c r="G122">
        <v>0</v>
      </c>
    </row>
    <row r="123" spans="1:7">
      <c r="A123">
        <v>1002</v>
      </c>
      <c r="B123">
        <v>2070</v>
      </c>
      <c r="C123" t="str">
        <f>INDEX([1]TextData!B:B,MATCH(B123,[1]TextData!A:A))</f>
        <v>コンセントレイト</v>
      </c>
      <c r="D123">
        <v>1</v>
      </c>
      <c r="E123">
        <v>150</v>
      </c>
      <c r="F123">
        <v>0</v>
      </c>
      <c r="G123">
        <v>0</v>
      </c>
    </row>
    <row r="124" spans="1:7">
      <c r="A124">
        <v>1002</v>
      </c>
      <c r="B124">
        <v>100210</v>
      </c>
      <c r="C124" t="str">
        <f>INDEX([1]TextData!B:B,MATCH(B124,[1]TextData!A:A))</f>
        <v>アブソリュートパリィ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100220</v>
      </c>
      <c r="C125" t="str">
        <f>INDEX([1]TextData!B:B,MATCH(B125,[1]TextData!A:A))</f>
        <v>レヴェリー</v>
      </c>
      <c r="D125">
        <v>1</v>
      </c>
      <c r="E125">
        <v>200</v>
      </c>
      <c r="F125">
        <v>14211</v>
      </c>
      <c r="G125">
        <v>5060</v>
      </c>
    </row>
    <row r="126" spans="1:7">
      <c r="A126">
        <v>1002</v>
      </c>
      <c r="B126">
        <v>402070</v>
      </c>
      <c r="C126" t="str">
        <f>INDEX([1]TextData!B:B,MATCH(B126,[1]TextData!A:A))</f>
        <v>コンセントレイト+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12080</v>
      </c>
      <c r="C127" t="str">
        <f>INDEX([1]TextData!B:B,MATCH(B127,[1]TextData!A:A))</f>
        <v>ウィンドライズ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12040</v>
      </c>
      <c r="C128" t="str">
        <f>INDEX([1]TextData!B:B,MATCH(B128,[1]TextData!A:A))</f>
        <v>イヴェイドオール</v>
      </c>
      <c r="D128">
        <v>1</v>
      </c>
      <c r="E128">
        <v>0</v>
      </c>
      <c r="F128">
        <v>0</v>
      </c>
      <c r="G128">
        <v>0</v>
      </c>
    </row>
    <row r="129" spans="1:7">
      <c r="A129">
        <v>1002</v>
      </c>
      <c r="B129">
        <v>12050</v>
      </c>
      <c r="C129" t="str">
        <f>INDEX([1]TextData!B:B,MATCH(B129,[1]TextData!A:A))</f>
        <v>クイックムーブ</v>
      </c>
      <c r="D129">
        <v>1</v>
      </c>
      <c r="E129">
        <v>0</v>
      </c>
      <c r="F129">
        <v>0</v>
      </c>
      <c r="G129">
        <v>0</v>
      </c>
    </row>
    <row r="130" spans="1:7">
      <c r="A130">
        <v>1002</v>
      </c>
      <c r="B130">
        <v>12010</v>
      </c>
      <c r="C130" t="str">
        <f>INDEX([1]TextData!B:B,MATCH(B130,[1]TextData!A:A))</f>
        <v>コンセントレイト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3010</v>
      </c>
      <c r="C131" t="str">
        <f>INDEX([1]TextData!B:B,MATCH(B131,[1]TextData!A:A))</f>
        <v>アイスブレイド</v>
      </c>
      <c r="D131">
        <v>1</v>
      </c>
      <c r="E131">
        <v>50</v>
      </c>
      <c r="F131">
        <v>0</v>
      </c>
      <c r="G131">
        <v>0</v>
      </c>
    </row>
    <row r="132" spans="1:7">
      <c r="A132">
        <v>1003</v>
      </c>
      <c r="B132">
        <v>3020</v>
      </c>
      <c r="C132" t="str">
        <f>INDEX([1]TextData!B:B,MATCH(B132,[1]TextData!A:A))</f>
        <v>カウンターオーラ</v>
      </c>
      <c r="D132">
        <v>1</v>
      </c>
      <c r="E132">
        <v>100</v>
      </c>
      <c r="F132">
        <v>1023</v>
      </c>
      <c r="G132">
        <v>0</v>
      </c>
    </row>
    <row r="133" spans="1:7">
      <c r="A133">
        <v>1003</v>
      </c>
      <c r="B133">
        <v>100310</v>
      </c>
      <c r="C133" t="str">
        <f>INDEX([1]TextData!B:B,MATCH(B133,[1]TextData!A:A))</f>
        <v>セイクリッドバリア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100320</v>
      </c>
      <c r="C134" t="str">
        <f>INDEX([1]TextData!B:B,MATCH(B134,[1]TextData!A:A))</f>
        <v>リベンジニードル</v>
      </c>
      <c r="D134">
        <v>1</v>
      </c>
      <c r="E134">
        <v>200</v>
      </c>
      <c r="F134">
        <v>14214</v>
      </c>
      <c r="G134">
        <v>0</v>
      </c>
    </row>
    <row r="135" spans="1:7">
      <c r="A135">
        <v>1003</v>
      </c>
      <c r="B135">
        <v>403020</v>
      </c>
      <c r="C135" t="str">
        <f>INDEX([1]TextData!B:B,MATCH(B135,[1]TextData!A:A))</f>
        <v>カウンターオーラ+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403010</v>
      </c>
      <c r="C136" t="str">
        <f>INDEX([1]TextData!B:B,MATCH(B136,[1]TextData!A:A))</f>
        <v>アイスブレイド+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13020</v>
      </c>
      <c r="C137" t="str">
        <f>INDEX([1]TextData!B:B,MATCH(B137,[1]TextData!A:A))</f>
        <v>クイックバリア</v>
      </c>
      <c r="D137">
        <v>1</v>
      </c>
      <c r="E137">
        <v>0</v>
      </c>
      <c r="F137">
        <v>0</v>
      </c>
      <c r="G137">
        <v>0</v>
      </c>
    </row>
    <row r="138" spans="1:7">
      <c r="A138">
        <v>1003</v>
      </c>
      <c r="B138">
        <v>13080</v>
      </c>
      <c r="C138" t="str">
        <f>INDEX([1]TextData!B:B,MATCH(B138,[1]TextData!A:A))</f>
        <v>ライフスティール</v>
      </c>
      <c r="D138">
        <v>1</v>
      </c>
      <c r="E138">
        <v>0</v>
      </c>
      <c r="F138">
        <v>0</v>
      </c>
      <c r="G138">
        <v>0</v>
      </c>
    </row>
    <row r="139" spans="1:7">
      <c r="A139">
        <v>1003</v>
      </c>
      <c r="B139">
        <v>14050</v>
      </c>
      <c r="C139" t="str">
        <f>INDEX([1]TextData!B:B,MATCH(B139,[1]TextData!A:A))</f>
        <v>ホープフルアイリス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4010</v>
      </c>
      <c r="C140" t="str">
        <f>INDEX([1]TextData!B:B,MATCH(B140,[1]TextData!A:A))</f>
        <v>セイントレーザー</v>
      </c>
      <c r="D140">
        <v>1</v>
      </c>
      <c r="E140">
        <v>50</v>
      </c>
      <c r="F140">
        <v>0</v>
      </c>
      <c r="G140">
        <v>0</v>
      </c>
    </row>
    <row r="141" spans="1:7">
      <c r="A141">
        <v>1004</v>
      </c>
      <c r="B141">
        <v>4030</v>
      </c>
      <c r="C141" t="str">
        <f>INDEX([1]TextData!B:B,MATCH(B141,[1]TextData!A:A))</f>
        <v>ヒーリング</v>
      </c>
      <c r="D141">
        <v>1</v>
      </c>
      <c r="E141">
        <v>100</v>
      </c>
      <c r="F141">
        <v>1033</v>
      </c>
      <c r="G141">
        <v>0</v>
      </c>
    </row>
    <row r="142" spans="1:7">
      <c r="A142">
        <v>1004</v>
      </c>
      <c r="B142">
        <v>100410</v>
      </c>
      <c r="C142" t="str">
        <f>INDEX([1]TextData!B:B,MATCH(B142,[1]TextData!A:A))</f>
        <v>アバンデンス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100420</v>
      </c>
      <c r="C143" t="str">
        <f>INDEX([1]TextData!B:B,MATCH(B143,[1]TextData!A:A))</f>
        <v>ハーヴェスト</v>
      </c>
      <c r="D143">
        <v>1</v>
      </c>
      <c r="E143">
        <v>200</v>
      </c>
      <c r="F143">
        <v>0</v>
      </c>
      <c r="G143">
        <v>0</v>
      </c>
    </row>
    <row r="144" spans="1:7">
      <c r="A144">
        <v>1004</v>
      </c>
      <c r="B144">
        <v>404030</v>
      </c>
      <c r="C144" t="str">
        <f>INDEX([1]TextData!B:B,MATCH(B144,[1]TextData!A:A))</f>
        <v>ヒーリング+</v>
      </c>
      <c r="D144">
        <v>1</v>
      </c>
      <c r="E144">
        <v>0</v>
      </c>
      <c r="F144">
        <v>0</v>
      </c>
      <c r="G144">
        <v>0</v>
      </c>
    </row>
    <row r="145" spans="1:7">
      <c r="A145">
        <v>1004</v>
      </c>
      <c r="B145">
        <v>14080</v>
      </c>
      <c r="C145" t="str">
        <f>INDEX([1]TextData!B:B,MATCH(B145,[1]TextData!A:A))</f>
        <v>クイックヒール</v>
      </c>
      <c r="D145">
        <v>1</v>
      </c>
      <c r="E145">
        <v>0</v>
      </c>
      <c r="F145">
        <v>0</v>
      </c>
      <c r="G145">
        <v>0</v>
      </c>
    </row>
    <row r="146" spans="1:7">
      <c r="A146">
        <v>1004</v>
      </c>
      <c r="B146">
        <v>14010</v>
      </c>
      <c r="C146" t="str">
        <f>INDEX([1]TextData!B:B,MATCH(B146,[1]TextData!A:A))</f>
        <v>ディバインシールド</v>
      </c>
      <c r="D146">
        <v>1</v>
      </c>
      <c r="E146">
        <v>0</v>
      </c>
      <c r="F146">
        <v>1023</v>
      </c>
      <c r="G146">
        <v>0</v>
      </c>
    </row>
    <row r="147" spans="1:7">
      <c r="A147">
        <v>1004</v>
      </c>
      <c r="B147">
        <v>14040</v>
      </c>
      <c r="C147" t="str">
        <f>INDEX([1]TextData!B:B,MATCH(B147,[1]TextData!A:A))</f>
        <v>リジェネレーション</v>
      </c>
      <c r="D147">
        <v>1</v>
      </c>
      <c r="E147">
        <v>0</v>
      </c>
      <c r="F147">
        <v>0</v>
      </c>
      <c r="G147">
        <v>0</v>
      </c>
    </row>
    <row r="148" spans="1:7">
      <c r="A148">
        <v>1004</v>
      </c>
      <c r="B148">
        <v>14090</v>
      </c>
      <c r="C148" t="str">
        <f>INDEX([1]TextData!B:B,MATCH(B148,[1]TextData!A:A))</f>
        <v>リレイズ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5010</v>
      </c>
      <c r="C149" t="str">
        <f>INDEX([1]TextData!B:B,MATCH(B149,[1]TextData!A:A))</f>
        <v>ダークプリズン</v>
      </c>
      <c r="D149">
        <v>1</v>
      </c>
      <c r="E149">
        <v>50</v>
      </c>
      <c r="F149">
        <v>0</v>
      </c>
      <c r="G149">
        <v>0</v>
      </c>
    </row>
    <row r="150" spans="1:7">
      <c r="A150">
        <v>1005</v>
      </c>
      <c r="B150">
        <v>5070</v>
      </c>
      <c r="C150" t="str">
        <f>INDEX([1]TextData!B:B,MATCH(B150,[1]TextData!A:A))</f>
        <v>シェイディークラウド</v>
      </c>
      <c r="D150">
        <v>1</v>
      </c>
      <c r="E150">
        <v>100</v>
      </c>
      <c r="F150">
        <v>5061</v>
      </c>
      <c r="G150">
        <v>0</v>
      </c>
    </row>
    <row r="151" spans="1:7">
      <c r="A151">
        <v>1005</v>
      </c>
      <c r="B151">
        <v>100510</v>
      </c>
      <c r="C151" t="str">
        <f>INDEX([1]TextData!B:B,MATCH(B151,[1]TextData!A:A))</f>
        <v>カースドブレイク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100520</v>
      </c>
      <c r="C152" t="str">
        <f>INDEX([1]TextData!B:B,MATCH(B152,[1]TextData!A:A))</f>
        <v>ムーンライトレイ</v>
      </c>
      <c r="D152">
        <v>1</v>
      </c>
      <c r="E152">
        <v>200</v>
      </c>
      <c r="F152">
        <v>0</v>
      </c>
      <c r="G152">
        <v>0</v>
      </c>
    </row>
    <row r="153" spans="1:7">
      <c r="A153">
        <v>1005</v>
      </c>
      <c r="B153">
        <v>15090</v>
      </c>
      <c r="C153" t="str">
        <f>INDEX([1]TextData!B:B,MATCH(B153,[1]TextData!A:A))</f>
        <v>クイックカース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405070</v>
      </c>
      <c r="C154" t="str">
        <f>INDEX([1]TextData!B:B,MATCH(B154,[1]TextData!A:A))</f>
        <v>シェイディークラウド+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15080</v>
      </c>
      <c r="C155" t="str">
        <f>INDEX([1]TextData!B:B,MATCH(B155,[1]TextData!A:A))</f>
        <v>ヒールハント</v>
      </c>
      <c r="D155">
        <v>1</v>
      </c>
      <c r="E155">
        <v>0</v>
      </c>
      <c r="F155">
        <v>0</v>
      </c>
      <c r="G155">
        <v>0</v>
      </c>
    </row>
    <row r="156" spans="1:7">
      <c r="A156">
        <v>1005</v>
      </c>
      <c r="B156">
        <v>405010</v>
      </c>
      <c r="C156" t="str">
        <f>INDEX([1]TextData!B:B,MATCH(B156,[1]TextData!A:A))</f>
        <v>ダークプリズン+</v>
      </c>
      <c r="D156">
        <v>1</v>
      </c>
      <c r="E156">
        <v>0</v>
      </c>
      <c r="F156">
        <v>0</v>
      </c>
      <c r="G156">
        <v>0</v>
      </c>
    </row>
    <row r="157" spans="1:7">
      <c r="A157">
        <v>1005</v>
      </c>
      <c r="B157">
        <v>415090</v>
      </c>
      <c r="C157" t="str">
        <f>INDEX([1]TextData!B:B,MATCH(B157,[1]TextData!A:A))</f>
        <v>クイックカース+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1010</v>
      </c>
      <c r="C158" t="str">
        <f>INDEX([1]TextData!B:B,MATCH(B158,[1]TextData!A:A))</f>
        <v>ファイアボール</v>
      </c>
      <c r="D158">
        <v>1</v>
      </c>
      <c r="E158">
        <v>50</v>
      </c>
      <c r="F158">
        <v>0</v>
      </c>
      <c r="G158">
        <v>0</v>
      </c>
    </row>
    <row r="159" spans="1:7">
      <c r="A159">
        <v>1006</v>
      </c>
      <c r="B159">
        <v>1030</v>
      </c>
      <c r="C159" t="str">
        <f>INDEX([1]TextData!B:B,MATCH(B159,[1]TextData!A:A))</f>
        <v>ヒートスタンプ</v>
      </c>
      <c r="D159">
        <v>1</v>
      </c>
      <c r="E159">
        <v>100</v>
      </c>
      <c r="F159">
        <v>9120</v>
      </c>
      <c r="G159">
        <v>1023</v>
      </c>
    </row>
    <row r="160" spans="1:7">
      <c r="A160">
        <v>1006</v>
      </c>
      <c r="B160">
        <v>1070</v>
      </c>
      <c r="C160" t="str">
        <f>INDEX([1]TextData!B:B,MATCH(B160,[1]TextData!A:A))</f>
        <v>バーニングソウル</v>
      </c>
      <c r="D160">
        <v>1</v>
      </c>
      <c r="E160">
        <v>150</v>
      </c>
      <c r="F160">
        <v>6322</v>
      </c>
      <c r="G160">
        <v>0</v>
      </c>
    </row>
    <row r="161" spans="1:7">
      <c r="A161">
        <v>1006</v>
      </c>
      <c r="B161">
        <v>100610</v>
      </c>
      <c r="C161" t="str">
        <f>INDEX([1]TextData!B:B,MATCH(B161,[1]TextData!A:A))</f>
        <v>サンフレイム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100620</v>
      </c>
      <c r="C162" t="str">
        <f>INDEX([1]TextData!B:B,MATCH(B162,[1]TextData!A:A))</f>
        <v>フレイムタン</v>
      </c>
      <c r="D162">
        <v>1</v>
      </c>
      <c r="E162">
        <v>200</v>
      </c>
      <c r="F162">
        <v>0</v>
      </c>
      <c r="G162">
        <v>0</v>
      </c>
    </row>
    <row r="163" spans="1:7">
      <c r="A163">
        <v>1006</v>
      </c>
      <c r="B163">
        <v>11040</v>
      </c>
      <c r="C163" t="str">
        <f>INDEX([1]TextData!B:B,MATCH(B163,[1]TextData!A:A))</f>
        <v>アクティブギフト</v>
      </c>
      <c r="D163">
        <v>1</v>
      </c>
      <c r="E163">
        <v>0</v>
      </c>
      <c r="F163">
        <v>5042</v>
      </c>
      <c r="G163">
        <v>0</v>
      </c>
    </row>
    <row r="164" spans="1:7">
      <c r="A164">
        <v>1006</v>
      </c>
      <c r="B164">
        <v>401030</v>
      </c>
      <c r="C164" t="str">
        <f>INDEX([1]TextData!B:B,MATCH(B164,[1]TextData!A:A))</f>
        <v>ヒートスタンプ+</v>
      </c>
      <c r="D164">
        <v>1</v>
      </c>
      <c r="E164">
        <v>0</v>
      </c>
      <c r="F164">
        <v>0</v>
      </c>
      <c r="G164">
        <v>0</v>
      </c>
    </row>
    <row r="165" spans="1:7">
      <c r="A165">
        <v>1006</v>
      </c>
      <c r="B165">
        <v>411040</v>
      </c>
      <c r="C165" t="str">
        <f>INDEX([1]TextData!B:B,MATCH(B165,[1]TextData!A:A))</f>
        <v>アクティブギフト+</v>
      </c>
      <c r="D165">
        <v>1</v>
      </c>
      <c r="E165">
        <v>0</v>
      </c>
      <c r="F165">
        <v>0</v>
      </c>
      <c r="G165">
        <v>0</v>
      </c>
    </row>
    <row r="166" spans="1:7">
      <c r="A166">
        <v>1006</v>
      </c>
      <c r="B166">
        <v>13040</v>
      </c>
      <c r="C166" t="str">
        <f>INDEX([1]TextData!B:B,MATCH(B166,[1]TextData!A:A))</f>
        <v>セルフシールド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2010</v>
      </c>
      <c r="C167" t="str">
        <f>INDEX([1]TextData!B:B,MATCH(B167,[1]TextData!A:A))</f>
        <v>ディスチャージ</v>
      </c>
      <c r="D167">
        <v>1</v>
      </c>
      <c r="E167">
        <v>50</v>
      </c>
      <c r="F167">
        <v>0</v>
      </c>
      <c r="G167">
        <v>0</v>
      </c>
    </row>
    <row r="168" spans="1:7">
      <c r="A168">
        <v>1007</v>
      </c>
      <c r="B168">
        <v>2040</v>
      </c>
      <c r="C168" t="str">
        <f>INDEX([1]TextData!B:B,MATCH(B168,[1]TextData!A:A))</f>
        <v>トラストチェイン</v>
      </c>
      <c r="D168">
        <v>1</v>
      </c>
      <c r="E168">
        <v>100</v>
      </c>
      <c r="F168">
        <v>1023</v>
      </c>
      <c r="G168">
        <v>0</v>
      </c>
    </row>
    <row r="169" spans="1:7">
      <c r="A169">
        <v>1007</v>
      </c>
      <c r="B169">
        <v>100710</v>
      </c>
      <c r="C169" t="str">
        <f>INDEX([1]TextData!B:B,MATCH(B169,[1]TextData!A:A))</f>
        <v>ライズザフラッグ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100720</v>
      </c>
      <c r="C170" t="str">
        <f>INDEX([1]TextData!B:B,MATCH(B170,[1]TextData!A:A))</f>
        <v>オーバーリミット</v>
      </c>
      <c r="D170">
        <v>1</v>
      </c>
      <c r="E170">
        <v>200</v>
      </c>
      <c r="F170">
        <v>0</v>
      </c>
      <c r="G170">
        <v>0</v>
      </c>
    </row>
    <row r="171" spans="1:7">
      <c r="A171">
        <v>1007</v>
      </c>
      <c r="B171">
        <v>12090</v>
      </c>
      <c r="C171" t="str">
        <f>INDEX([1]TextData!B:B,MATCH(B171,[1]TextData!A:A))</f>
        <v>アウトオブオーダー</v>
      </c>
      <c r="D171">
        <v>1</v>
      </c>
      <c r="E171">
        <v>0</v>
      </c>
      <c r="F171">
        <v>5042</v>
      </c>
      <c r="G171">
        <v>0</v>
      </c>
    </row>
    <row r="172" spans="1:7">
      <c r="A172">
        <v>1007</v>
      </c>
      <c r="B172">
        <v>412090</v>
      </c>
      <c r="C172" t="str">
        <f>INDEX([1]TextData!B:B,MATCH(B172,[1]TextData!A:A))</f>
        <v>アウトオブオーダー+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12050</v>
      </c>
      <c r="C173" t="str">
        <f>INDEX([1]TextData!B:B,MATCH(B173,[1]TextData!A:A))</f>
        <v>クイックムーブ</v>
      </c>
      <c r="D173">
        <v>1</v>
      </c>
      <c r="E173">
        <v>0</v>
      </c>
      <c r="F173">
        <v>0</v>
      </c>
      <c r="G173">
        <v>0</v>
      </c>
    </row>
    <row r="174" spans="1:7">
      <c r="A174">
        <v>1007</v>
      </c>
      <c r="B174">
        <v>12070</v>
      </c>
      <c r="C174" t="str">
        <f>INDEX([1]TextData!B:B,MATCH(B174,[1]TextData!A:A))</f>
        <v>ソーサリーコネクト</v>
      </c>
      <c r="D174">
        <v>1</v>
      </c>
      <c r="E174">
        <v>0</v>
      </c>
      <c r="F174">
        <v>0</v>
      </c>
      <c r="G174">
        <v>0</v>
      </c>
    </row>
    <row r="175" spans="1:7">
      <c r="A175">
        <v>1007</v>
      </c>
      <c r="B175">
        <v>14030</v>
      </c>
      <c r="C175" t="str">
        <f>INDEX([1]TextData!B:B,MATCH(B175,[1]TextData!A:A))</f>
        <v>エイミングスコープ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3010</v>
      </c>
      <c r="C176" t="str">
        <f>INDEX([1]TextData!B:B,MATCH(B176,[1]TextData!A:A))</f>
        <v>アイスブレイド</v>
      </c>
      <c r="D176">
        <v>1</v>
      </c>
      <c r="E176">
        <v>50</v>
      </c>
      <c r="F176">
        <v>0</v>
      </c>
      <c r="G176">
        <v>0</v>
      </c>
    </row>
    <row r="177" spans="1:7">
      <c r="A177">
        <v>1008</v>
      </c>
      <c r="B177">
        <v>3070</v>
      </c>
      <c r="C177" t="str">
        <f>INDEX([1]TextData!B:B,MATCH(B177,[1]TextData!A:A))</f>
        <v>アクアミラージュ</v>
      </c>
      <c r="D177">
        <v>1</v>
      </c>
      <c r="E177">
        <v>100</v>
      </c>
      <c r="F177">
        <v>0</v>
      </c>
      <c r="G177">
        <v>0</v>
      </c>
    </row>
    <row r="178" spans="1:7">
      <c r="A178">
        <v>1008</v>
      </c>
      <c r="B178">
        <v>100810</v>
      </c>
      <c r="C178" t="str">
        <f>INDEX([1]TextData!B:B,MATCH(B178,[1]TextData!A:A))</f>
        <v>テンパランス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100820</v>
      </c>
      <c r="C179" t="str">
        <f>INDEX([1]TextData!B:B,MATCH(B179,[1]TextData!A:A))</f>
        <v>シエルクルセイダー</v>
      </c>
      <c r="D179">
        <v>1</v>
      </c>
      <c r="E179">
        <v>200</v>
      </c>
      <c r="F179">
        <v>0</v>
      </c>
      <c r="G179">
        <v>0</v>
      </c>
    </row>
    <row r="180" spans="1:7">
      <c r="A180">
        <v>1008</v>
      </c>
      <c r="B180">
        <v>13060</v>
      </c>
      <c r="C180" t="str">
        <f>INDEX([1]TextData!B:B,MATCH(B180,[1]TextData!A:A))</f>
        <v>サプライカバー</v>
      </c>
      <c r="D180">
        <v>1</v>
      </c>
      <c r="E180">
        <v>0</v>
      </c>
      <c r="F180">
        <v>1023</v>
      </c>
      <c r="G180">
        <v>0</v>
      </c>
    </row>
    <row r="181" spans="1:7">
      <c r="A181">
        <v>1008</v>
      </c>
      <c r="B181">
        <v>403070</v>
      </c>
      <c r="C181" t="str">
        <f>INDEX([1]TextData!B:B,MATCH(B181,[1]TextData!A:A))</f>
        <v>アクアミラージュ+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13010</v>
      </c>
      <c r="C182" t="str">
        <f>INDEX([1]TextData!B:B,MATCH(B182,[1]TextData!A:A))</f>
        <v>アーマーコード</v>
      </c>
      <c r="D182">
        <v>1</v>
      </c>
      <c r="E182">
        <v>0</v>
      </c>
      <c r="F182">
        <v>0</v>
      </c>
      <c r="G182">
        <v>0</v>
      </c>
    </row>
    <row r="183" spans="1:7">
      <c r="A183">
        <v>1008</v>
      </c>
      <c r="B183">
        <v>13020</v>
      </c>
      <c r="C183" t="str">
        <f>INDEX([1]TextData!B:B,MATCH(B183,[1]TextData!A:A))</f>
        <v>クイックバリア</v>
      </c>
      <c r="D183">
        <v>1</v>
      </c>
      <c r="E183">
        <v>0</v>
      </c>
      <c r="F183">
        <v>0</v>
      </c>
      <c r="G183">
        <v>0</v>
      </c>
    </row>
    <row r="184" spans="1:7">
      <c r="A184">
        <v>1008</v>
      </c>
      <c r="B184">
        <v>13040</v>
      </c>
      <c r="C184" t="str">
        <f>INDEX([1]TextData!B:B,MATCH(B184,[1]TextData!A:A))</f>
        <v>セルフシールド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1010</v>
      </c>
      <c r="C185" t="str">
        <f>INDEX([1]TextData!B:B,MATCH(B185,[1]TextData!A:A))</f>
        <v>ファイアボール</v>
      </c>
      <c r="D185">
        <v>1</v>
      </c>
      <c r="E185">
        <v>50</v>
      </c>
      <c r="F185">
        <v>0</v>
      </c>
      <c r="G185">
        <v>0</v>
      </c>
    </row>
    <row r="186" spans="1:7">
      <c r="A186">
        <v>1009</v>
      </c>
      <c r="B186">
        <v>1050</v>
      </c>
      <c r="C186" t="str">
        <f>INDEX([1]TextData!B:B,MATCH(B186,[1]TextData!A:A))</f>
        <v>フレイムレイン</v>
      </c>
      <c r="D186">
        <v>1</v>
      </c>
      <c r="E186">
        <v>100</v>
      </c>
      <c r="F186">
        <v>1151</v>
      </c>
      <c r="G186">
        <v>0</v>
      </c>
    </row>
    <row r="187" spans="1:7">
      <c r="A187">
        <v>1009</v>
      </c>
      <c r="B187">
        <v>100910</v>
      </c>
      <c r="C187" t="str">
        <f>INDEX([1]TextData!B:B,MATCH(B187,[1]TextData!A:A))</f>
        <v>バーニングカウンター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100920</v>
      </c>
      <c r="C188" t="str">
        <f>INDEX([1]TextData!B:B,MATCH(B188,[1]TextData!A:A))</f>
        <v>プロミネンス</v>
      </c>
      <c r="D188">
        <v>1</v>
      </c>
      <c r="E188">
        <v>200</v>
      </c>
      <c r="F188">
        <v>0</v>
      </c>
      <c r="G188">
        <v>0</v>
      </c>
    </row>
    <row r="189" spans="1:7">
      <c r="A189">
        <v>1009</v>
      </c>
      <c r="B189">
        <v>11070</v>
      </c>
      <c r="C189" t="str">
        <f>INDEX([1]TextData!B:B,MATCH(B189,[1]TextData!A:A))</f>
        <v>ルージュバック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401050</v>
      </c>
      <c r="C190" t="str">
        <f>INDEX([1]TextData!B:B,MATCH(B190,[1]TextData!A:A))</f>
        <v>フレイムレイン+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11030</v>
      </c>
      <c r="C191" t="str">
        <f>INDEX([1]TextData!B:B,MATCH(B191,[1]TextData!A:A))</f>
        <v>アサルトシフト</v>
      </c>
      <c r="D191">
        <v>1</v>
      </c>
      <c r="E191">
        <v>0</v>
      </c>
      <c r="F191">
        <v>0</v>
      </c>
      <c r="G191">
        <v>0</v>
      </c>
    </row>
    <row r="192" spans="1:7">
      <c r="A192">
        <v>1009</v>
      </c>
      <c r="B192">
        <v>11020</v>
      </c>
      <c r="C192" t="str">
        <f>INDEX([1]TextData!B:B,MATCH(B192,[1]TextData!A:A))</f>
        <v>プリディカメント</v>
      </c>
      <c r="D192">
        <v>1</v>
      </c>
      <c r="E192">
        <v>0</v>
      </c>
      <c r="F192">
        <v>0</v>
      </c>
      <c r="G192">
        <v>0</v>
      </c>
    </row>
    <row r="193" spans="1:7">
      <c r="A193">
        <v>1009</v>
      </c>
      <c r="B193">
        <v>15040</v>
      </c>
      <c r="C193" t="str">
        <f>INDEX([1]TextData!B:B,MATCH(B193,[1]TextData!A:A))</f>
        <v>スカルグラッジ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2010</v>
      </c>
      <c r="C194" t="str">
        <f>INDEX([1]TextData!B:B,MATCH(B194,[1]TextData!A:A))</f>
        <v>ディスチャージ</v>
      </c>
      <c r="D194">
        <v>1</v>
      </c>
      <c r="E194">
        <v>50</v>
      </c>
      <c r="F194">
        <v>0</v>
      </c>
      <c r="G194">
        <v>0</v>
      </c>
    </row>
    <row r="195" spans="1:7">
      <c r="A195">
        <v>1010</v>
      </c>
      <c r="B195">
        <v>2030</v>
      </c>
      <c r="C195" t="str">
        <f>INDEX([1]TextData!B:B,MATCH(B195,[1]TextData!A:A))</f>
        <v>ショックインパルス</v>
      </c>
      <c r="D195">
        <v>1</v>
      </c>
      <c r="E195">
        <v>100</v>
      </c>
      <c r="F195">
        <v>14215</v>
      </c>
      <c r="G195">
        <v>0</v>
      </c>
    </row>
    <row r="196" spans="1:7">
      <c r="A196">
        <v>1010</v>
      </c>
      <c r="B196">
        <v>101010</v>
      </c>
      <c r="C196" t="str">
        <f>INDEX([1]TextData!B:B,MATCH(B196,[1]TextData!A:A))</f>
        <v>エウロス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101020</v>
      </c>
      <c r="C197" t="str">
        <f>INDEX([1]TextData!B:B,MATCH(B197,[1]TextData!A:A))</f>
        <v>ボレアス</v>
      </c>
      <c r="D197">
        <v>1</v>
      </c>
      <c r="E197">
        <v>200</v>
      </c>
      <c r="F197">
        <v>0</v>
      </c>
      <c r="G197">
        <v>0</v>
      </c>
    </row>
    <row r="198" spans="1:7">
      <c r="A198">
        <v>1010</v>
      </c>
      <c r="B198">
        <v>12010</v>
      </c>
      <c r="C198" t="str">
        <f>INDEX([1]TextData!B:B,MATCH(B198,[1]TextData!A:A))</f>
        <v>コンセントレイト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402030</v>
      </c>
      <c r="C199" t="str">
        <f>INDEX([1]TextData!B:B,MATCH(B199,[1]TextData!A:A))</f>
        <v>ショックインパルス+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12020</v>
      </c>
      <c r="C200" t="str">
        <f>INDEX([1]TextData!B:B,MATCH(B200,[1]TextData!A:A))</f>
        <v>ヘブンリーラック</v>
      </c>
      <c r="D200">
        <v>1</v>
      </c>
      <c r="E200">
        <v>0</v>
      </c>
      <c r="F200">
        <v>0</v>
      </c>
      <c r="G200">
        <v>0</v>
      </c>
    </row>
    <row r="201" spans="1:7">
      <c r="A201">
        <v>1010</v>
      </c>
      <c r="B201">
        <v>12030</v>
      </c>
      <c r="C201" t="str">
        <f>INDEX([1]TextData!B:B,MATCH(B201,[1]TextData!A:A))</f>
        <v>スウィフトカレント</v>
      </c>
      <c r="D201">
        <v>1</v>
      </c>
      <c r="E201">
        <v>0</v>
      </c>
      <c r="F201">
        <v>0</v>
      </c>
      <c r="G201">
        <v>0</v>
      </c>
    </row>
    <row r="202" spans="1:7">
      <c r="A202">
        <v>1010</v>
      </c>
      <c r="B202">
        <v>15070</v>
      </c>
      <c r="C202" t="str">
        <f>INDEX([1]TextData!B:B,MATCH(B202,[1]TextData!A:A))</f>
        <v>ジャックポッド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3010</v>
      </c>
      <c r="C203" t="str">
        <f>INDEX([1]TextData!B:B,MATCH(B203,[1]TextData!A:A))</f>
        <v>アイスブレイド</v>
      </c>
      <c r="D203">
        <v>1</v>
      </c>
      <c r="E203">
        <v>50</v>
      </c>
      <c r="F203">
        <v>0</v>
      </c>
      <c r="G203">
        <v>0</v>
      </c>
    </row>
    <row r="204" spans="1:7">
      <c r="A204">
        <v>1011</v>
      </c>
      <c r="B204">
        <v>3050</v>
      </c>
      <c r="C204" t="str">
        <f>INDEX([1]TextData!B:B,MATCH(B204,[1]TextData!A:A))</f>
        <v>ディープフリーズ</v>
      </c>
      <c r="D204">
        <v>1</v>
      </c>
      <c r="E204">
        <v>100</v>
      </c>
      <c r="F204">
        <v>0</v>
      </c>
      <c r="G204">
        <v>0</v>
      </c>
    </row>
    <row r="205" spans="1:7">
      <c r="A205">
        <v>1011</v>
      </c>
      <c r="B205">
        <v>101110</v>
      </c>
      <c r="C205" t="str">
        <f>INDEX([1]TextData!B:B,MATCH(B205,[1]TextData!A:A))</f>
        <v>アバランシュ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101120</v>
      </c>
      <c r="C206" t="str">
        <f>INDEX([1]TextData!B:B,MATCH(B206,[1]TextData!A:A))</f>
        <v>ブリザードコフィン</v>
      </c>
      <c r="D206">
        <v>1</v>
      </c>
      <c r="E206">
        <v>200</v>
      </c>
      <c r="F206">
        <v>0</v>
      </c>
      <c r="G206">
        <v>0</v>
      </c>
    </row>
    <row r="207" spans="1:7">
      <c r="A207">
        <v>1011</v>
      </c>
      <c r="B207">
        <v>13090</v>
      </c>
      <c r="C207" t="str">
        <f>INDEX([1]TextData!B:B,MATCH(B207,[1]TextData!A:A))</f>
        <v>アイスセイバー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403050</v>
      </c>
      <c r="C208" t="str">
        <f>INDEX([1]TextData!B:B,MATCH(B208,[1]TextData!A:A))</f>
        <v>ディープフリーズ+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13050</v>
      </c>
      <c r="C209" t="str">
        <f>INDEX([1]TextData!B:B,MATCH(B209,[1]TextData!A:A))</f>
        <v>パッシブジャミング</v>
      </c>
      <c r="D209">
        <v>1</v>
      </c>
      <c r="E209">
        <v>0</v>
      </c>
      <c r="F209">
        <v>0</v>
      </c>
      <c r="G209">
        <v>0</v>
      </c>
    </row>
    <row r="210" spans="1:7">
      <c r="A210">
        <v>1011</v>
      </c>
      <c r="B210">
        <v>13070</v>
      </c>
      <c r="C210" t="str">
        <f>INDEX([1]TextData!B:B,MATCH(B210,[1]TextData!A:A))</f>
        <v>アシッドラッシュ</v>
      </c>
      <c r="D210">
        <v>1</v>
      </c>
      <c r="E210">
        <v>0</v>
      </c>
      <c r="F210">
        <v>0</v>
      </c>
      <c r="G210">
        <v>0</v>
      </c>
    </row>
    <row r="211" spans="1:7">
      <c r="A211">
        <v>1011</v>
      </c>
      <c r="B211">
        <v>14070</v>
      </c>
      <c r="C211" t="str">
        <f>INDEX([1]TextData!B:B,MATCH(B211,[1]TextData!A:A))</f>
        <v>ホーミングクルセイド</v>
      </c>
      <c r="D211">
        <v>1</v>
      </c>
      <c r="E211">
        <v>0</v>
      </c>
      <c r="F211">
        <v>0</v>
      </c>
      <c r="G21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61</v>
      </c>
      <c r="B1" t="s">
        <v>62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3"/>
  <sheetViews>
    <sheetView topLeftCell="A10" workbookViewId="0">
      <selection activeCell="A17" sqref="A17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73</v>
      </c>
    </row>
    <row r="2" spans="1:2">
      <c r="A2">
        <v>1</v>
      </c>
      <c r="B2" t="s">
        <v>74</v>
      </c>
    </row>
    <row r="3" spans="1:2">
      <c r="A3">
        <v>2</v>
      </c>
      <c r="B3" t="s">
        <v>75</v>
      </c>
    </row>
    <row r="4" spans="1:2">
      <c r="A4">
        <v>3</v>
      </c>
      <c r="B4" t="s">
        <v>76</v>
      </c>
    </row>
    <row r="5" spans="1:2">
      <c r="A5">
        <v>4</v>
      </c>
      <c r="B5" t="s">
        <v>77</v>
      </c>
    </row>
    <row r="6" spans="1:2">
      <c r="A6">
        <v>5</v>
      </c>
      <c r="B6" t="s">
        <v>78</v>
      </c>
    </row>
    <row r="7" spans="1:2">
      <c r="A7">
        <v>6</v>
      </c>
      <c r="B7" t="s">
        <v>79</v>
      </c>
    </row>
    <row r="8" spans="1:2">
      <c r="A8">
        <v>7</v>
      </c>
      <c r="B8" t="s">
        <v>80</v>
      </c>
    </row>
    <row r="9" spans="1:2">
      <c r="A9">
        <v>8</v>
      </c>
      <c r="B9" t="s">
        <v>81</v>
      </c>
    </row>
    <row r="10" spans="1:2">
      <c r="A10">
        <v>9</v>
      </c>
      <c r="B10" t="s">
        <v>82</v>
      </c>
    </row>
    <row r="11" spans="1:2">
      <c r="A11">
        <v>10</v>
      </c>
      <c r="B11" t="s">
        <v>83</v>
      </c>
    </row>
    <row r="12" spans="1:2">
      <c r="A12">
        <v>11</v>
      </c>
      <c r="B12" t="s">
        <v>84</v>
      </c>
    </row>
    <row r="13" spans="1:2">
      <c r="A13">
        <v>12</v>
      </c>
      <c r="B13" t="s">
        <v>85</v>
      </c>
    </row>
    <row r="14" spans="1:2">
      <c r="A14">
        <v>13</v>
      </c>
      <c r="B14" t="s">
        <v>86</v>
      </c>
    </row>
    <row r="15" spans="1:2">
      <c r="A15">
        <v>14</v>
      </c>
      <c r="B15" t="s">
        <v>87</v>
      </c>
    </row>
    <row r="16" spans="1:2">
      <c r="A16">
        <v>15</v>
      </c>
      <c r="B16" t="s">
        <v>88</v>
      </c>
    </row>
    <row r="17" spans="1:2">
      <c r="A17">
        <v>51</v>
      </c>
      <c r="B17" t="s">
        <v>89</v>
      </c>
    </row>
    <row r="18" spans="1:2">
      <c r="A18">
        <v>101</v>
      </c>
      <c r="B18" t="s">
        <v>90</v>
      </c>
    </row>
    <row r="19" spans="1:2">
      <c r="A19">
        <v>102</v>
      </c>
      <c r="B19" t="s">
        <v>91</v>
      </c>
    </row>
    <row r="20" spans="1:2">
      <c r="A20">
        <v>103</v>
      </c>
      <c r="B20" t="s">
        <v>92</v>
      </c>
    </row>
    <row r="21" spans="1:2">
      <c r="A21">
        <v>104</v>
      </c>
      <c r="B21" t="s">
        <v>93</v>
      </c>
    </row>
    <row r="22" spans="1:2">
      <c r="A22">
        <v>105</v>
      </c>
      <c r="B22" t="s">
        <v>94</v>
      </c>
    </row>
    <row r="23" spans="1:2">
      <c r="A23">
        <v>106</v>
      </c>
      <c r="B23" t="s">
        <v>95</v>
      </c>
    </row>
    <row r="24" spans="1:2">
      <c r="A24">
        <v>107</v>
      </c>
      <c r="B24" t="s">
        <v>96</v>
      </c>
    </row>
    <row r="25" spans="1:2">
      <c r="A25">
        <v>201</v>
      </c>
      <c r="B25" t="s">
        <v>97</v>
      </c>
    </row>
    <row r="26" spans="1:2">
      <c r="A26">
        <v>202</v>
      </c>
      <c r="B26" t="s">
        <v>98</v>
      </c>
    </row>
    <row r="27" spans="1:2">
      <c r="A27">
        <v>203</v>
      </c>
      <c r="B27" t="s">
        <v>99</v>
      </c>
    </row>
    <row r="28" spans="1:2">
      <c r="A28">
        <v>204</v>
      </c>
      <c r="B28" t="s">
        <v>100</v>
      </c>
    </row>
    <row r="29" spans="1:2">
      <c r="A29">
        <v>205</v>
      </c>
      <c r="B29" t="s">
        <v>101</v>
      </c>
    </row>
    <row r="30" spans="1:2">
      <c r="A30">
        <v>206</v>
      </c>
      <c r="B30" t="s">
        <v>102</v>
      </c>
    </row>
    <row r="31" spans="1:2">
      <c r="A31">
        <v>207</v>
      </c>
      <c r="B31" t="s">
        <v>97</v>
      </c>
    </row>
    <row r="32" spans="1:2">
      <c r="A32">
        <v>301</v>
      </c>
      <c r="B32" t="s">
        <v>103</v>
      </c>
    </row>
    <row r="33" spans="1:2">
      <c r="A33">
        <v>1001</v>
      </c>
      <c r="B33" t="s">
        <v>104</v>
      </c>
    </row>
    <row r="34" spans="1:2">
      <c r="A34">
        <v>1002</v>
      </c>
      <c r="B34" t="s">
        <v>105</v>
      </c>
    </row>
    <row r="35" spans="1:2">
      <c r="A35">
        <v>1003</v>
      </c>
      <c r="B35" t="s">
        <v>106</v>
      </c>
    </row>
    <row r="36" spans="1:2">
      <c r="A36">
        <v>1004</v>
      </c>
      <c r="B36" t="s">
        <v>107</v>
      </c>
    </row>
    <row r="37" spans="1:2">
      <c r="A37">
        <v>1005</v>
      </c>
      <c r="B37" t="s">
        <v>108</v>
      </c>
    </row>
    <row r="38" spans="1:2">
      <c r="A38">
        <v>1006</v>
      </c>
      <c r="B38" t="s">
        <v>109</v>
      </c>
    </row>
    <row r="39" spans="1:2">
      <c r="A39">
        <v>1007</v>
      </c>
      <c r="B39" t="s">
        <v>110</v>
      </c>
    </row>
    <row r="40" spans="1:2">
      <c r="A40">
        <v>1008</v>
      </c>
      <c r="B40" t="s">
        <v>111</v>
      </c>
    </row>
    <row r="41" spans="1:2">
      <c r="A41">
        <v>1009</v>
      </c>
      <c r="B41" t="s">
        <v>112</v>
      </c>
    </row>
    <row r="42" spans="1:2">
      <c r="A42">
        <v>1010</v>
      </c>
      <c r="B42" t="s">
        <v>113</v>
      </c>
    </row>
    <row r="43" spans="1:2">
      <c r="A43">
        <v>1011</v>
      </c>
      <c r="B43" t="s">
        <v>114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115</v>
      </c>
    </row>
    <row r="2" spans="2:3">
      <c r="B2">
        <v>1</v>
      </c>
      <c r="C2" t="s">
        <v>116</v>
      </c>
    </row>
    <row r="3" spans="2:3">
      <c r="B3">
        <v>2</v>
      </c>
      <c r="C3" t="s">
        <v>117</v>
      </c>
    </row>
    <row r="4" spans="2:3">
      <c r="B4">
        <v>3</v>
      </c>
      <c r="C4" t="s">
        <v>118</v>
      </c>
    </row>
    <row r="5" spans="2:3">
      <c r="B5">
        <v>4</v>
      </c>
      <c r="C5" t="s">
        <v>119</v>
      </c>
    </row>
    <row r="6" spans="2:3">
      <c r="B6">
        <v>5</v>
      </c>
      <c r="C6" t="s">
        <v>120</v>
      </c>
    </row>
    <row r="7" spans="2:3">
      <c r="B7">
        <v>6</v>
      </c>
      <c r="C7" t="s">
        <v>121</v>
      </c>
    </row>
    <row r="8" spans="2:3">
      <c r="B8">
        <v>11</v>
      </c>
      <c r="C8" t="s">
        <v>122</v>
      </c>
    </row>
    <row r="9" spans="2:3">
      <c r="B9">
        <v>12</v>
      </c>
      <c r="C9" t="s">
        <v>123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2025-11-05T04:37:57Z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