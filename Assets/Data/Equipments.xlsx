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<sst xmlns="http://schemas.openxmlformats.org/spreadsheetml/2006/main" count="35" uniqueCount="34">
  <si>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</si>
  <si>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</si>
  <si>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</si>
  <si>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</si>
  <si>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</si>
  <si>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</si>
  <si>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</si>
  <si>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</si>
  <si>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</si>
  <si>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</si>
  <si>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</si>
  <si>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</si>
  <si>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炎砦の魔石</t>
  </si>
  <si>
    <t>ブラストバングル</t>
  </si>
  <si>
    <t>エルドチョーカー</t>
  </si>
  <si>
    <t>火の化身のベルト</t>
  </si>
  <si>
    <t>雷の結晶</t>
  </si>
  <si>
    <t>トルドの雷針</t>
  </si>
  <si>
    <t>雷神の指輪</t>
  </si>
  <si>
    <t>電撃のタリスマン</t>
  </si>
  <si>
    <t>ブリザードアンク</t>
  </si>
  <si>
    <t>氷風の耳飾り</t>
  </si>
  <si>
    <t>スヴェルの結界</t>
  </si>
  <si>
    <t>巨人の首輪</t>
  </si>
  <si>
    <t>アルフの光羽</t>
  </si>
  <si>
    <t>聖光のリボン</t>
  </si>
  <si>
    <t>グリンの金剛毛</t>
  </si>
  <si>
    <t>アースブローチ</t>
  </si>
  <si>
    <t>邪神のリング</t>
  </si>
  <si>
    <t>ヨルムの魔鱗</t>
  </si>
  <si>
    <t>ナグルファル片</t>
  </si>
  <si>
    <t>ウートの幻影鏡</t>
  </si>
  <si>
    <t>ルーンのエングレ</t>
  </si>
  <si>
    <t>ドヴェルグの指輪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</si>
</sst>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0" fillId="16" borderId="8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6" fillId="16" borderId="1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"/>
  <sheetViews>
    <sheetView zoomScale="110" zoomScaleNormal="110" workbookViewId="0">
      <selection activeCell="F22" sqref="F22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spans="1:6">
      <c r="A23">
        <v>6010</v>
      </c>
      <c r="B23">
        <v>6010</v>
      </c>
      <c r="C23" t="str">
        <f>INDEX(TextData!B:B,MATCH(B23,TextData!A:A))</f>
        <v>ルーンのエングレ</v>
      </c>
      <c r="D23">
        <v>6</v>
      </c>
      <c r="E23">
        <v>11</v>
      </c>
      <c r="F23">
        <v>6</v>
      </c>
    </row>
    <row r="24" spans="1:6">
      <c r="A24">
        <v>6020</v>
      </c>
      <c r="B24">
        <v>6020</v>
      </c>
      <c r="C24" t="str">
        <f>INDEX(TextData!B:B,MATCH(B24,TextData!A:A))</f>
        <v>ドヴェルグの指輪</v>
      </c>
      <c r="D24">
        <v>6</v>
      </c>
      <c r="E24">
        <v>11</v>
      </c>
      <c r="F24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1"/>
  <sheetViews>
    <sheetView zoomScale="110" zoomScaleNormal="110" topLeftCell="A16" workbookViewId="0">
      <selection activeCell="C39" sqref="C39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6020</v>
      </c>
      <c r="B41">
        <v>506020</v>
      </c>
      <c r="C41">
        <v>0</v>
      </c>
      <c r="D41">
        <v>1</v>
      </c>
    </row>
    <row r="42" spans="2:2">
      <c r="B42"/>
    </row>
    <row r="43" spans="2:2">
      <c r="B43" s="3"/>
    </row>
    <row r="44" spans="2:2">
      <c r="B44" s="3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 s="3"/>
    </row>
    <row r="76" spans="2:2">
      <c r="B76" s="3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tabSelected="1" zoomScale="110" zoomScaleNormal="110" workbookViewId="0">
      <selection activeCell="B22" sqref="B22"/>
    </sheetView>
  </sheetViews>
  <sheetFormatPr defaultColWidth="8.72727272727273" defaultRowHeight="13" outlineLevelCol="4"/>
  <cols>
    <col min="2" max="2" width="16.0363636363636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5">
      <c r="A6">
        <v>1040</v>
      </c>
      <c r="B6" t="s">
        <v>15</v>
      </c>
      <c r="D6" s="1"/>
      <c r="E6" s="1"/>
    </row>
    <row r="7" spans="1:4">
      <c r="A7">
        <v>2010</v>
      </c>
      <c r="B7" t="s">
        <v>16</v>
      </c>
      <c r="D7" s="1"/>
    </row>
    <row r="8" spans="1:5">
      <c r="A8">
        <v>2020</v>
      </c>
      <c r="B8" t="s">
        <v>17</v>
      </c>
      <c r="D8" s="1"/>
      <c r="E8" s="1"/>
    </row>
    <row r="9" spans="1:5">
      <c r="A9">
        <v>2030</v>
      </c>
      <c r="B9" t="s">
        <v>18</v>
      </c>
      <c r="D9" s="1"/>
      <c r="E9" s="1"/>
    </row>
    <row r="10" spans="1:5">
      <c r="A10">
        <v>2040</v>
      </c>
      <c r="B10" t="s">
        <v>19</v>
      </c>
      <c r="D10" s="1"/>
      <c r="E10" s="1"/>
    </row>
    <row r="11" spans="1:5">
      <c r="A11">
        <v>3010</v>
      </c>
      <c r="B11" t="s">
        <v>20</v>
      </c>
      <c r="D11" s="1"/>
      <c r="E11" s="1"/>
    </row>
    <row r="12" spans="1:4">
      <c r="A12">
        <v>3020</v>
      </c>
      <c r="B12" t="s">
        <v>21</v>
      </c>
      <c r="D12" s="1"/>
    </row>
    <row r="13" spans="1:5">
      <c r="A13">
        <v>3030</v>
      </c>
      <c r="B13" t="s">
        <v>22</v>
      </c>
      <c r="D13" s="1"/>
      <c r="E13" s="1"/>
    </row>
    <row r="14" spans="1:5">
      <c r="A14">
        <v>3040</v>
      </c>
      <c r="B14" t="s">
        <v>23</v>
      </c>
      <c r="D14" s="1"/>
      <c r="E14" s="1"/>
    </row>
    <row r="15" spans="1:4">
      <c r="A15">
        <v>4010</v>
      </c>
      <c r="B15" t="s">
        <v>24</v>
      </c>
      <c r="D15" s="1"/>
    </row>
    <row r="16" spans="1:4">
      <c r="A16">
        <v>4020</v>
      </c>
      <c r="B16" t="s">
        <v>25</v>
      </c>
      <c r="D16" s="1"/>
    </row>
    <row r="17" spans="1:4">
      <c r="A17">
        <v>4030</v>
      </c>
      <c r="B17" t="s">
        <v>26</v>
      </c>
      <c r="D17" s="1"/>
    </row>
    <row r="18" spans="1:4">
      <c r="A18">
        <v>4040</v>
      </c>
      <c r="B18" t="s">
        <v>27</v>
      </c>
      <c r="D18" s="1"/>
    </row>
    <row r="19" spans="1:4">
      <c r="A19">
        <v>5010</v>
      </c>
      <c r="B19" t="s">
        <v>28</v>
      </c>
      <c r="D19" s="1"/>
    </row>
    <row r="20" spans="1:4">
      <c r="A20">
        <v>5020</v>
      </c>
      <c r="B20" t="s">
        <v>29</v>
      </c>
      <c r="D20" s="1"/>
    </row>
    <row r="21" spans="1:2">
      <c r="A21">
        <v>5030</v>
      </c>
      <c r="B21" t="s">
        <v>30</v>
      </c>
    </row>
    <row r="22" customFormat="1" spans="1:2">
      <c r="A22">
        <v>5040</v>
      </c>
      <c r="B22" t="s">
        <v>31</v>
      </c>
    </row>
    <row r="23" spans="1:2">
      <c r="A23">
        <v>6010</v>
      </c>
      <c r="B23" t="s">
        <v>32</v>
      </c>
    </row>
    <row r="24" spans="1:2">
      <c r="A24">
        <v>6020</v>
      </c>
      <c r="B24" t="s">
        <v>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2026-06-06T13:41:44Z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