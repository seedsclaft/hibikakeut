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<sst xmlns="http://schemas.openxmlformats.org/spreadsheetml/2006/main" count="36" uniqueCount="35">
  <si>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</si>
  <si>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</si>
  <si>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</si>
  <si>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</si>
  <si>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</si>
  <si>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</si>
  <si>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</si>
  <si>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</si>
  <si>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</si>
  <si>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</si>
  <si>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</si>
  <si>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</si>
  <si>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炎砦の魔石</t>
  </si>
  <si>
    <t>ブラストバングル</t>
  </si>
  <si>
    <t>エルドチョーカー</t>
  </si>
  <si>
    <t>火の化身のベルト</t>
  </si>
  <si>
    <t>雷の結晶</t>
  </si>
  <si>
    <t>トルドの雷針</t>
  </si>
  <si>
    <t>雷神の指輪</t>
  </si>
  <si>
    <t>電撃のタリスマン</t>
  </si>
  <si>
    <t>ブリザードアンク</t>
  </si>
  <si>
    <t>氷風の耳飾り</t>
  </si>
  <si>
    <t>スヴェルの結界</t>
  </si>
  <si>
    <t>巨人の首輪</t>
  </si>
  <si>
    <t>アルフの光羽</t>
  </si>
  <si>
    <t>聖光のリボン</t>
  </si>
  <si>
    <t>グリンの金剛毛</t>
  </si>
  <si>
    <t>アースブローチ</t>
  </si>
  <si>
    <t>邪神のリング</t>
  </si>
  <si>
    <t>ヨルムの魔鱗</t>
  </si>
  <si>
    <t>ナグルファル片</t>
  </si>
  <si>
    <t>ウートの幻影鏡</t>
  </si>
  <si>
    <t>新兵のバングル</t>
  </si>
  <si>
    <t>ルーンのエングレ</t>
  </si>
  <si>
    <t>ドヴェルグの指輪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</si>
</sst>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7" fillId="2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5"/>
  <sheetViews>
    <sheetView zoomScale="110" zoomScaleNormal="110" workbookViewId="0">
      <selection activeCell="F23" sqref="F23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炎砦の魔石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ブラストバングル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エルドチョーカー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火の化身のベルト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雷の結晶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トルドの雷針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雷神の指輪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電撃のタリスマン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ブリザードアンク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氷風の耳飾り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スヴェルの結界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巨人の首輪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アルフの光羽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聖光のリボン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グリンの金剛毛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アースブローチ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邪神のリング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ヨルムの魔鱗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ナグルファル片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ウートの幻影鏡</v>
      </c>
      <c r="D22">
        <v>5</v>
      </c>
      <c r="E22">
        <v>1</v>
      </c>
      <c r="F22">
        <v>5</v>
      </c>
    </row>
    <row r="23" customFormat="1" spans="1:6">
      <c r="A23">
        <v>6010</v>
      </c>
      <c r="B23">
        <v>6010</v>
      </c>
      <c r="C23" t="str">
        <f>INDEX(TextData!B:B,MATCH(B23,TextData!A:A))</f>
        <v>新兵のバングル</v>
      </c>
      <c r="D23">
        <v>6</v>
      </c>
      <c r="E23">
        <v>1</v>
      </c>
      <c r="F23">
        <v>6</v>
      </c>
    </row>
    <row r="24" spans="1:6">
      <c r="A24">
        <v>7010</v>
      </c>
      <c r="B24">
        <v>7010</v>
      </c>
      <c r="C24" t="str">
        <f>INDEX(TextData!B:B,MATCH(B24,TextData!A:A))</f>
        <v>ルーンのエングレ</v>
      </c>
      <c r="D24">
        <v>6</v>
      </c>
      <c r="E24">
        <v>11</v>
      </c>
      <c r="F24">
        <v>6</v>
      </c>
    </row>
    <row r="25" spans="1:6">
      <c r="A25">
        <v>7020</v>
      </c>
      <c r="B25">
        <v>7020</v>
      </c>
      <c r="C25" t="str">
        <f>INDEX(TextData!B:B,MATCH(B25,TextData!A:A))</f>
        <v>ドヴェルグの指輪</v>
      </c>
      <c r="D25">
        <v>6</v>
      </c>
      <c r="E25">
        <v>11</v>
      </c>
      <c r="F25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3"/>
  <sheetViews>
    <sheetView zoomScale="110" zoomScaleNormal="110" topLeftCell="A22" workbookViewId="0">
      <selection activeCell="B42" sqref="B42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6010</v>
      </c>
      <c r="B41">
        <v>506011</v>
      </c>
      <c r="C41">
        <v>0</v>
      </c>
      <c r="D41">
        <v>1</v>
      </c>
    </row>
    <row r="42" spans="1:4">
      <c r="A42">
        <v>7010</v>
      </c>
      <c r="B42">
        <v>507010</v>
      </c>
      <c r="C42">
        <v>0</v>
      </c>
      <c r="D42">
        <v>1</v>
      </c>
    </row>
    <row r="43" spans="1:4">
      <c r="A43">
        <v>7020</v>
      </c>
      <c r="B43">
        <v>507020</v>
      </c>
      <c r="C43">
        <v>0</v>
      </c>
      <c r="D43">
        <v>1</v>
      </c>
    </row>
    <row r="44" spans="2:2">
      <c r="B44"/>
    </row>
    <row r="45" spans="2:2">
      <c r="B45" s="3"/>
    </row>
    <row r="46" spans="2:2">
      <c r="B46" s="3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 s="3"/>
    </row>
    <row r="78" spans="2:2">
      <c r="B78" s="3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tabSelected="1" zoomScale="110" zoomScaleNormal="110" workbookViewId="0">
      <selection activeCell="B23" sqref="B23"/>
    </sheetView>
  </sheetViews>
  <sheetFormatPr defaultColWidth="8.72727272727273" defaultRowHeight="13" outlineLevelCol="4"/>
  <cols>
    <col min="2" max="2" width="16.0363636363636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26</v>
      </c>
      <c r="D17" s="1"/>
    </row>
    <row r="18" spans="1:4">
      <c r="A18">
        <v>4040</v>
      </c>
      <c r="B18" t="s">
        <v>27</v>
      </c>
      <c r="D18" s="1"/>
    </row>
    <row r="19" spans="1:4">
      <c r="A19">
        <v>5010</v>
      </c>
      <c r="B19" t="s">
        <v>28</v>
      </c>
      <c r="D19" s="1"/>
    </row>
    <row r="20" spans="1:4">
      <c r="A20">
        <v>5020</v>
      </c>
      <c r="B20" t="s">
        <v>29</v>
      </c>
      <c r="D20" s="1"/>
    </row>
    <row r="21" spans="1:2">
      <c r="A21">
        <v>5030</v>
      </c>
      <c r="B21" t="s">
        <v>30</v>
      </c>
    </row>
    <row r="22" customFormat="1" spans="1:2">
      <c r="A22">
        <v>5040</v>
      </c>
      <c r="B22" t="s">
        <v>31</v>
      </c>
    </row>
    <row r="23" customFormat="1" spans="1:2">
      <c r="A23">
        <v>6010</v>
      </c>
      <c r="B23" t="s">
        <v>32</v>
      </c>
    </row>
    <row r="24" spans="1:2">
      <c r="A24">
        <v>7010</v>
      </c>
      <c r="B24" t="s">
        <v>33</v>
      </c>
    </row>
    <row r="25" spans="1:2">
      <c r="A25">
        <v>7020</v>
      </c>
      <c r="B25" t="s">
        <v>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2026-06-09T02:04:01Z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