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<sst xmlns="http://schemas.openxmlformats.org/spreadsheetml/2006/main" count="31" uniqueCount="29">
  <si>
    <t>Id</t>
  </si>
  <si>
    <t>NameId</t>
  </si>
  <si>
    <t>_</t>
  </si>
  <si>
    <t>IconIndex</t>
  </si>
  <si>
    <t>Rank</t>
  </si>
  <si>
    <t>Attribute</t>
  </si>
  <si>
    <t>11</t>
  </si>
  <si>
    <t>EquipmentId</t>
  </si>
  <si>
    <t>SkillId</t>
  </si>
  <si>
    <t>LearningRate</t>
  </si>
  <si>
    <t>EquipmentOnly</t>
  </si>
  <si>
    <t>Text</t>
  </si>
  <si>
    <t>装備なし</t>
  </si>
  <si>
    <t>アミィ</t>
  </si>
  <si>
    <t>ハウレス</t>
  </si>
  <si>
    <t>パティン</t>
  </si>
  <si>
    <t>マルコシアス</t>
  </si>
  <si>
    <t>マルファス</t>
  </si>
  <si>
    <t>セーレ</t>
  </si>
  <si>
    <t>フォカロル</t>
  </si>
  <si>
    <t>ウヴァル</t>
  </si>
  <si>
    <t>クロセル</t>
  </si>
  <si>
    <t>プルソン</t>
  </si>
  <si>
    <t>アンドロマリウス</t>
  </si>
  <si>
    <t>ロイム</t>
  </si>
  <si>
    <t>パイモン</t>
  </si>
  <si>
    <t>フルカス</t>
  </si>
  <si>
    <t>ナベリウス</t>
  </si>
  <si>
    <t>アンドレアルフス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</si>
</sst>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7" borderId="4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9" fillId="7" borderId="3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8" fillId="12" borderId="5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9"/>
  <sheetViews>
    <sheetView zoomScale="110" zoomScaleNormal="110" workbookViewId="0">
      <selection activeCell="F19" sqref="F19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パティン</v>
      </c>
      <c r="D5">
        <v>1</v>
      </c>
      <c r="E5">
        <v>1</v>
      </c>
      <c r="F5">
        <v>1</v>
      </c>
    </row>
    <row r="6" spans="1:6">
      <c r="A6">
        <v>2010</v>
      </c>
      <c r="B6">
        <v>2010</v>
      </c>
      <c r="C6" t="str">
        <f>INDEX(TextData!B:B,MATCH(B6,TextData!A:A))</f>
        <v>マルコシアス</v>
      </c>
      <c r="D6">
        <v>2</v>
      </c>
      <c r="E6">
        <v>1</v>
      </c>
      <c r="F6">
        <v>2</v>
      </c>
    </row>
    <row r="7" spans="1:6">
      <c r="A7">
        <v>2020</v>
      </c>
      <c r="B7">
        <v>2020</v>
      </c>
      <c r="C7" t="str">
        <f>INDEX(TextData!B:B,MATCH(B7,TextData!A:A))</f>
        <v>マルファス</v>
      </c>
      <c r="D7">
        <v>2</v>
      </c>
      <c r="E7">
        <v>1</v>
      </c>
      <c r="F7">
        <v>2</v>
      </c>
    </row>
    <row r="8" spans="1:6">
      <c r="A8">
        <v>2030</v>
      </c>
      <c r="B8">
        <v>2030</v>
      </c>
      <c r="C8" t="str">
        <f>INDEX(TextData!B:B,MATCH(B8,TextData!A:A))</f>
        <v>セーレ</v>
      </c>
      <c r="D8">
        <v>2</v>
      </c>
      <c r="E8">
        <v>1</v>
      </c>
      <c r="F8">
        <v>2</v>
      </c>
    </row>
    <row r="9" spans="1:6">
      <c r="A9">
        <v>3010</v>
      </c>
      <c r="B9">
        <v>3010</v>
      </c>
      <c r="C9" t="str">
        <f>INDEX(TextData!B:B,MATCH(B9,TextData!A:A))</f>
        <v>フォカロル</v>
      </c>
      <c r="D9">
        <v>3</v>
      </c>
      <c r="E9">
        <v>1</v>
      </c>
      <c r="F9">
        <v>3</v>
      </c>
    </row>
    <row r="10" spans="1:6">
      <c r="A10">
        <v>3020</v>
      </c>
      <c r="B10">
        <v>3020</v>
      </c>
      <c r="C10" t="str">
        <f>INDEX(TextData!B:B,MATCH(B10,TextData!A:A))</f>
        <v>ウヴァル</v>
      </c>
      <c r="D10">
        <v>3</v>
      </c>
      <c r="E10">
        <v>1</v>
      </c>
      <c r="F10">
        <v>3</v>
      </c>
    </row>
    <row r="11" spans="1:6">
      <c r="A11">
        <v>3030</v>
      </c>
      <c r="B11">
        <v>3030</v>
      </c>
      <c r="C11" t="str">
        <f>INDEX(TextData!B:B,MATCH(B11,TextData!A:A))</f>
        <v>クロセル</v>
      </c>
      <c r="D11">
        <v>3</v>
      </c>
      <c r="E11">
        <v>1</v>
      </c>
      <c r="F11">
        <v>3</v>
      </c>
    </row>
    <row r="12" spans="1:6">
      <c r="A12">
        <v>4010</v>
      </c>
      <c r="B12">
        <v>4010</v>
      </c>
      <c r="C12" t="str">
        <f>INDEX(TextData!B:B,MATCH(B12,TextData!A:A))</f>
        <v>プルソン</v>
      </c>
      <c r="D12">
        <v>4</v>
      </c>
      <c r="E12">
        <v>1</v>
      </c>
      <c r="F12">
        <v>4</v>
      </c>
    </row>
    <row r="13" spans="1:6">
      <c r="A13">
        <v>4020</v>
      </c>
      <c r="B13">
        <v>4020</v>
      </c>
      <c r="C13" t="str">
        <f>INDEX(TextData!B:B,MATCH(B13,TextData!A:A))</f>
        <v>アンドロマリウス</v>
      </c>
      <c r="D13">
        <v>4</v>
      </c>
      <c r="E13">
        <v>1</v>
      </c>
      <c r="F13">
        <v>4</v>
      </c>
    </row>
    <row r="14" spans="1:6">
      <c r="A14">
        <v>4030</v>
      </c>
      <c r="B14">
        <v>4030</v>
      </c>
      <c r="C14" t="str">
        <f>INDEX(TextData!B:B,MATCH(B14,TextData!A:A))</f>
        <v>ウヴァル</v>
      </c>
      <c r="D14">
        <v>4</v>
      </c>
      <c r="E14">
        <v>1</v>
      </c>
      <c r="F14">
        <v>4</v>
      </c>
    </row>
    <row r="15" spans="1:6">
      <c r="A15">
        <v>5010</v>
      </c>
      <c r="B15">
        <v>5010</v>
      </c>
      <c r="C15" t="str">
        <f>INDEX(TextData!B:B,MATCH(B15,TextData!A:A))</f>
        <v>ロイム</v>
      </c>
      <c r="D15">
        <v>5</v>
      </c>
      <c r="E15">
        <v>1</v>
      </c>
      <c r="F15">
        <v>5</v>
      </c>
    </row>
    <row r="16" spans="1:6">
      <c r="A16">
        <v>5020</v>
      </c>
      <c r="B16">
        <v>5020</v>
      </c>
      <c r="C16" t="str">
        <f>INDEX(TextData!B:B,MATCH(B16,TextData!A:A))</f>
        <v>パイモン</v>
      </c>
      <c r="D16">
        <v>5</v>
      </c>
      <c r="E16">
        <v>1</v>
      </c>
      <c r="F16">
        <v>5</v>
      </c>
    </row>
    <row r="17" spans="1:6">
      <c r="A17">
        <v>5030</v>
      </c>
      <c r="B17">
        <v>5030</v>
      </c>
      <c r="C17" t="str">
        <f>INDEX(TextData!B:B,MATCH(B17,TextData!A:A))</f>
        <v>フルカス</v>
      </c>
      <c r="D17">
        <v>5</v>
      </c>
      <c r="E17">
        <v>1</v>
      </c>
      <c r="F17">
        <v>5</v>
      </c>
    </row>
    <row r="18" spans="1:6">
      <c r="A18">
        <v>6010</v>
      </c>
      <c r="B18">
        <v>6010</v>
      </c>
      <c r="C18" t="str">
        <f>INDEX(TextData!B:B,MATCH(B18,TextData!A:A))</f>
        <v>ナベリウス</v>
      </c>
      <c r="D18">
        <v>6</v>
      </c>
      <c r="E18">
        <v>11</v>
      </c>
      <c r="F18">
        <v>6</v>
      </c>
    </row>
    <row r="19" spans="1:6">
      <c r="A19">
        <v>6020</v>
      </c>
      <c r="B19">
        <v>6020</v>
      </c>
      <c r="C19" t="str">
        <f>INDEX(TextData!B:B,MATCH(B19,TextData!A:A))</f>
        <v>アンドレアルフス</v>
      </c>
      <c r="D19">
        <v>6</v>
      </c>
      <c r="E19" s="2" t="s">
        <v>6</v>
      </c>
      <c r="F19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4"/>
  <sheetViews>
    <sheetView tabSelected="1" zoomScale="110" zoomScaleNormal="110" topLeftCell="A13" workbookViewId="0">
      <selection activeCell="C33" sqref="C33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7</v>
      </c>
      <c r="B1" s="2" t="s">
        <v>8</v>
      </c>
      <c r="C1" t="s">
        <v>9</v>
      </c>
      <c r="D1" t="s">
        <v>10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10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10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10</v>
      </c>
      <c r="D7">
        <v>0</v>
      </c>
    </row>
    <row r="8" spans="1:4">
      <c r="A8">
        <v>2010</v>
      </c>
      <c r="B8">
        <v>12020</v>
      </c>
      <c r="C8">
        <v>20</v>
      </c>
      <c r="D8">
        <v>0</v>
      </c>
    </row>
    <row r="9" customFormat="1" spans="1:4">
      <c r="A9">
        <v>2010</v>
      </c>
      <c r="B9">
        <v>502010</v>
      </c>
      <c r="C9">
        <v>10</v>
      </c>
      <c r="D9">
        <v>0</v>
      </c>
    </row>
    <row r="10" spans="1:4">
      <c r="A10">
        <v>2020</v>
      </c>
      <c r="B10">
        <v>12030</v>
      </c>
      <c r="C10">
        <v>20</v>
      </c>
      <c r="D10">
        <v>0</v>
      </c>
    </row>
    <row r="11" spans="1:4">
      <c r="A11">
        <v>2020</v>
      </c>
      <c r="B11">
        <v>502020</v>
      </c>
      <c r="C11">
        <v>10</v>
      </c>
      <c r="D11">
        <v>0</v>
      </c>
    </row>
    <row r="12" spans="1:4">
      <c r="A12">
        <v>2030</v>
      </c>
      <c r="B12">
        <v>12050</v>
      </c>
      <c r="C12">
        <v>20</v>
      </c>
      <c r="D12">
        <v>0</v>
      </c>
    </row>
    <row r="13" spans="1:4">
      <c r="A13">
        <v>2030</v>
      </c>
      <c r="B13">
        <v>502030</v>
      </c>
      <c r="C13">
        <v>10</v>
      </c>
      <c r="D13">
        <v>0</v>
      </c>
    </row>
    <row r="14" spans="1:4">
      <c r="A14">
        <v>3010</v>
      </c>
      <c r="B14">
        <v>13010</v>
      </c>
      <c r="C14">
        <v>20</v>
      </c>
      <c r="D14">
        <v>0</v>
      </c>
    </row>
    <row r="15" spans="1:4">
      <c r="A15">
        <v>3010</v>
      </c>
      <c r="B15">
        <v>503010</v>
      </c>
      <c r="C15">
        <v>10</v>
      </c>
      <c r="D15">
        <v>0</v>
      </c>
    </row>
    <row r="16" spans="1:4">
      <c r="A16">
        <v>3020</v>
      </c>
      <c r="B16">
        <v>13120</v>
      </c>
      <c r="C16">
        <v>20</v>
      </c>
      <c r="D16">
        <v>0</v>
      </c>
    </row>
    <row r="17" spans="1:4">
      <c r="A17">
        <v>3020</v>
      </c>
      <c r="B17">
        <v>503020</v>
      </c>
      <c r="C17">
        <v>10</v>
      </c>
      <c r="D17">
        <v>0</v>
      </c>
    </row>
    <row r="18" spans="1:4">
      <c r="A18">
        <v>3030</v>
      </c>
      <c r="B18">
        <v>13130</v>
      </c>
      <c r="C18">
        <v>20</v>
      </c>
      <c r="D18">
        <v>0</v>
      </c>
    </row>
    <row r="19" spans="1:4">
      <c r="A19">
        <v>3030</v>
      </c>
      <c r="B19">
        <v>503030</v>
      </c>
      <c r="C19">
        <v>10</v>
      </c>
      <c r="D19">
        <v>0</v>
      </c>
    </row>
    <row r="20" spans="1:4">
      <c r="A20">
        <v>4010</v>
      </c>
      <c r="B20">
        <v>14050</v>
      </c>
      <c r="C20">
        <v>20</v>
      </c>
      <c r="D20">
        <v>0</v>
      </c>
    </row>
    <row r="21" spans="1:4">
      <c r="A21">
        <v>4010</v>
      </c>
      <c r="B21">
        <v>504010</v>
      </c>
      <c r="C21">
        <v>10</v>
      </c>
      <c r="D21">
        <v>0</v>
      </c>
    </row>
    <row r="22" spans="1:4">
      <c r="A22">
        <v>4020</v>
      </c>
      <c r="B22">
        <v>14120</v>
      </c>
      <c r="C22">
        <v>20</v>
      </c>
      <c r="D22">
        <v>0</v>
      </c>
    </row>
    <row r="23" spans="1:4">
      <c r="A23">
        <v>4020</v>
      </c>
      <c r="B23">
        <v>504020</v>
      </c>
      <c r="C23">
        <v>10</v>
      </c>
      <c r="D23">
        <v>0</v>
      </c>
    </row>
    <row r="24" spans="1:4">
      <c r="A24">
        <v>4030</v>
      </c>
      <c r="B24">
        <v>14030</v>
      </c>
      <c r="C24">
        <v>20</v>
      </c>
      <c r="D24">
        <v>0</v>
      </c>
    </row>
    <row r="25" spans="1:4">
      <c r="A25">
        <v>4030</v>
      </c>
      <c r="B25">
        <v>504030</v>
      </c>
      <c r="C25">
        <v>10</v>
      </c>
      <c r="D25">
        <v>0</v>
      </c>
    </row>
    <row r="26" spans="1:4">
      <c r="A26">
        <v>5010</v>
      </c>
      <c r="B26">
        <v>15120</v>
      </c>
      <c r="C26">
        <v>20</v>
      </c>
      <c r="D26">
        <v>0</v>
      </c>
    </row>
    <row r="27" spans="1:4">
      <c r="A27">
        <v>5010</v>
      </c>
      <c r="B27">
        <v>505010</v>
      </c>
      <c r="C27">
        <v>10</v>
      </c>
      <c r="D27">
        <v>0</v>
      </c>
    </row>
    <row r="28" spans="1:4">
      <c r="A28">
        <v>5020</v>
      </c>
      <c r="B28">
        <v>15010</v>
      </c>
      <c r="C28">
        <v>20</v>
      </c>
      <c r="D28">
        <v>0</v>
      </c>
    </row>
    <row r="29" spans="1:4">
      <c r="A29">
        <v>5020</v>
      </c>
      <c r="B29">
        <v>505020</v>
      </c>
      <c r="C29">
        <v>10</v>
      </c>
      <c r="D29">
        <v>0</v>
      </c>
    </row>
    <row r="30" spans="1:4">
      <c r="A30">
        <v>5030</v>
      </c>
      <c r="B30">
        <v>15130</v>
      </c>
      <c r="C30">
        <v>20</v>
      </c>
      <c r="D30">
        <v>0</v>
      </c>
    </row>
    <row r="31" spans="1:4">
      <c r="A31">
        <v>5030</v>
      </c>
      <c r="B31">
        <v>505030</v>
      </c>
      <c r="C31">
        <v>10</v>
      </c>
      <c r="D31">
        <v>0</v>
      </c>
    </row>
    <row r="32" spans="1:4">
      <c r="A32">
        <v>6010</v>
      </c>
      <c r="B32">
        <v>506010</v>
      </c>
      <c r="C32">
        <v>0</v>
      </c>
      <c r="D32">
        <v>1</v>
      </c>
    </row>
    <row r="33" spans="1:4">
      <c r="A33">
        <v>6020</v>
      </c>
      <c r="B33">
        <v>506020</v>
      </c>
      <c r="C33">
        <v>0</v>
      </c>
      <c r="D33">
        <v>1</v>
      </c>
    </row>
    <row r="34" spans="2:2">
      <c r="B34"/>
    </row>
    <row r="35" spans="2:2">
      <c r="B35"/>
    </row>
    <row r="36" spans="2:2">
      <c r="B36" s="3"/>
    </row>
    <row r="37" spans="2:2">
      <c r="B37" s="3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 s="3"/>
    </row>
    <row r="69" spans="2:2">
      <c r="B69" s="3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zoomScale="110" zoomScaleNormal="110" workbookViewId="0">
      <selection activeCell="A19" sqref="A19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11</v>
      </c>
    </row>
    <row r="2" spans="1:2">
      <c r="A2">
        <v>10</v>
      </c>
      <c r="B2" t="s">
        <v>12</v>
      </c>
    </row>
    <row r="3" spans="1:5">
      <c r="A3">
        <v>1010</v>
      </c>
      <c r="B3" t="s">
        <v>13</v>
      </c>
      <c r="D3" s="1"/>
      <c r="E3" s="1"/>
    </row>
    <row r="4" spans="1:5">
      <c r="A4">
        <v>1020</v>
      </c>
      <c r="B4" t="s">
        <v>14</v>
      </c>
      <c r="D4" s="1"/>
      <c r="E4" s="1"/>
    </row>
    <row r="5" spans="1:5">
      <c r="A5">
        <v>1030</v>
      </c>
      <c r="B5" t="s">
        <v>15</v>
      </c>
      <c r="D5" s="1"/>
      <c r="E5" s="1"/>
    </row>
    <row r="6" spans="1:4">
      <c r="A6">
        <v>2010</v>
      </c>
      <c r="B6" t="s">
        <v>16</v>
      </c>
      <c r="D6" s="1"/>
    </row>
    <row r="7" spans="1:5">
      <c r="A7">
        <v>2020</v>
      </c>
      <c r="B7" t="s">
        <v>17</v>
      </c>
      <c r="D7" s="1"/>
      <c r="E7" s="1"/>
    </row>
    <row r="8" spans="1:5">
      <c r="A8">
        <v>2030</v>
      </c>
      <c r="B8" t="s">
        <v>18</v>
      </c>
      <c r="D8" s="1"/>
      <c r="E8" s="1"/>
    </row>
    <row r="9" spans="1:5">
      <c r="A9">
        <v>3010</v>
      </c>
      <c r="B9" t="s">
        <v>19</v>
      </c>
      <c r="D9" s="1"/>
      <c r="E9" s="1"/>
    </row>
    <row r="10" spans="1:4">
      <c r="A10">
        <v>3020</v>
      </c>
      <c r="B10" t="s">
        <v>20</v>
      </c>
      <c r="D10" s="1"/>
    </row>
    <row r="11" spans="1:5">
      <c r="A11">
        <v>3030</v>
      </c>
      <c r="B11" t="s">
        <v>21</v>
      </c>
      <c r="D11" s="1"/>
      <c r="E11" s="1"/>
    </row>
    <row r="12" spans="1:4">
      <c r="A12">
        <v>4010</v>
      </c>
      <c r="B12" t="s">
        <v>22</v>
      </c>
      <c r="D12" s="1"/>
    </row>
    <row r="13" spans="1:4">
      <c r="A13">
        <v>4020</v>
      </c>
      <c r="B13" t="s">
        <v>23</v>
      </c>
      <c r="D13" s="1"/>
    </row>
    <row r="14" spans="1:4">
      <c r="A14">
        <v>4030</v>
      </c>
      <c r="B14" t="s">
        <v>20</v>
      </c>
      <c r="D14" s="1"/>
    </row>
    <row r="15" spans="1:4">
      <c r="A15">
        <v>5010</v>
      </c>
      <c r="B15" t="s">
        <v>24</v>
      </c>
      <c r="D15" s="1"/>
    </row>
    <row r="16" spans="1:4">
      <c r="A16">
        <v>5020</v>
      </c>
      <c r="B16" t="s">
        <v>25</v>
      </c>
      <c r="D16" s="1"/>
    </row>
    <row r="17" spans="1:2">
      <c r="A17">
        <v>5030</v>
      </c>
      <c r="B17" t="s">
        <v>26</v>
      </c>
    </row>
    <row r="18" spans="1:2">
      <c r="A18">
        <v>6010</v>
      </c>
      <c r="B18" t="s">
        <v>27</v>
      </c>
    </row>
    <row r="19" spans="1:2">
      <c r="A19">
        <v>6020</v>
      </c>
      <c r="B19" t="s">
        <v>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2026-05-19T13:25:17Z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