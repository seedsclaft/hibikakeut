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Map" sheetId="1" r:id="rId1"/>
    <sheet name="Symbols" sheetId="2" r:id="rId2"/>
  </sheets>
  <externalReferences>
    <externalReference r:id="rId3"/>
  </externalReferences>
  <calcPr calcId="144525" concurrentCalc="0"/>
</workbook>
</file>

<file path=xl/sharedStrings.xml><?xml version="1.0" encoding="utf-8"?>
<sst xmlns="http://schemas.openxmlformats.org/spreadsheetml/2006/main" count="118" uniqueCount="17">
  <si>
    <t>_</t>
  </si>
  <si>
    <t>-</t>
  </si>
  <si>
    <t>Id</t>
  </si>
  <si>
    <t>StageId</t>
  </si>
  <si>
    <t>InitX</t>
  </si>
  <si>
    <t>InitY</t>
  </si>
  <si>
    <t>UnitType</t>
  </si>
  <si>
    <t>*</t>
  </si>
  <si>
    <t>InitTeamId</t>
  </si>
  <si>
    <t>Rate</t>
  </si>
  <si>
    <t>Param1</t>
  </si>
  <si>
    <t>Param2</t>
  </si>
  <si>
    <t>PrizeSetId</t>
  </si>
  <si>
    <t>ClearCount</t>
  </si>
  <si>
    <t>MoveType</t>
  </si>
  <si>
    <t>MoveParam</t>
  </si>
  <si>
    <t>Seek=-1でステージ開始時に入手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</si>
</sst>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tageEnemyRates"/>
      <sheetName val="SymbolGroup"/>
      <sheetName val="MoveParamType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>UnitType</v>
          </cell>
        </row>
        <row r="2">
          <cell r="K2">
            <v>-1</v>
          </cell>
          <cell r="L2" t="str">
            <v>Random</v>
          </cell>
        </row>
        <row r="3">
          <cell r="K3">
            <v>0</v>
          </cell>
          <cell r="L3" t="str">
            <v>None</v>
          </cell>
        </row>
        <row r="4">
          <cell r="K4">
            <v>11</v>
          </cell>
          <cell r="L4" t="str">
            <v>Boss</v>
          </cell>
        </row>
        <row r="5">
          <cell r="K5">
            <v>20</v>
          </cell>
          <cell r="L5" t="str">
            <v>Basement</v>
          </cell>
        </row>
        <row r="6">
          <cell r="K6">
            <v>30</v>
          </cell>
          <cell r="L6" t="str">
            <v>Alcana</v>
          </cell>
        </row>
        <row r="7">
          <cell r="K7">
            <v>40</v>
          </cell>
          <cell r="L7" t="str">
            <v>GetItem</v>
          </cell>
        </row>
        <row r="8">
          <cell r="K8">
            <v>50</v>
          </cell>
          <cell r="L8" t="str">
            <v>Resource</v>
          </cell>
        </row>
        <row r="9">
          <cell r="K9">
            <v>60</v>
          </cell>
          <cell r="L9" t="str">
            <v>Rebirth</v>
          </cell>
        </row>
        <row r="10">
          <cell r="K10">
            <v>70</v>
          </cell>
          <cell r="L10" t="str">
            <v>SelectActor</v>
          </cell>
        </row>
        <row r="11">
          <cell r="K11">
            <v>80</v>
          </cell>
          <cell r="L11" t="str">
            <v>Shop</v>
          </cell>
        </row>
        <row r="12">
          <cell r="K12">
            <v>90</v>
          </cell>
          <cell r="L12" t="str">
            <v>Gacha</v>
          </cell>
        </row>
        <row r="13">
          <cell r="K13">
            <v>99</v>
          </cell>
          <cell r="L13" t="str">
            <v>Group</v>
          </cell>
        </row>
        <row r="14">
          <cell r="K14">
            <v>1000</v>
          </cell>
          <cell r="L14" t="str">
            <v>Battler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AL2" sqref="AL2:AO14"/>
    </sheetView>
  </sheetViews>
  <sheetFormatPr defaultColWidth="9" defaultRowHeight="13"/>
  <cols>
    <col min="1" max="1" width="3.27272727272727" customWidth="1"/>
    <col min="2" max="10" width="2.27272727272727" customWidth="1"/>
    <col min="11" max="40" width="3.27272727272727" customWidth="1"/>
    <col min="41" max="41" width="2.81818181818182" customWidth="1"/>
  </cols>
  <sheetData>
    <row r="1" spans="1: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</row>
    <row r="3" spans="1:41">
      <c r="A3">
        <v>2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1</v>
      </c>
    </row>
    <row r="4" spans="1:41">
      <c r="A4">
        <v>3</v>
      </c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 t="s">
        <v>1</v>
      </c>
    </row>
    <row r="5" spans="1:41">
      <c r="A5">
        <v>4</v>
      </c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1</v>
      </c>
    </row>
    <row r="6" spans="1:41">
      <c r="A6">
        <v>5</v>
      </c>
      <c r="B6" s="2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1</v>
      </c>
    </row>
    <row r="7" spans="1:41">
      <c r="A7">
        <v>6</v>
      </c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1</v>
      </c>
    </row>
    <row r="8" spans="1:41">
      <c r="A8">
        <v>7</v>
      </c>
      <c r="B8" s="2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1</v>
      </c>
    </row>
    <row r="9" spans="1:41">
      <c r="A9">
        <v>8</v>
      </c>
      <c r="B9" s="2" t="s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1</v>
      </c>
    </row>
    <row r="10" spans="1:41">
      <c r="A10">
        <v>9</v>
      </c>
      <c r="B10" s="2" t="s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1</v>
      </c>
    </row>
    <row r="11" spans="1:41">
      <c r="A11">
        <v>10</v>
      </c>
      <c r="B11" s="2" t="s"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1</v>
      </c>
    </row>
    <row r="12" spans="1:41">
      <c r="A12">
        <v>11</v>
      </c>
      <c r="B12" s="2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1</v>
      </c>
    </row>
    <row r="13" spans="1:41">
      <c r="A13">
        <v>12</v>
      </c>
      <c r="B13" s="2" t="s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1</v>
      </c>
    </row>
    <row r="14" spans="1:41">
      <c r="A14">
        <v>13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</row>
    <row r="15" spans="1:41">
      <c r="A15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C4" sqref="C4"/>
    </sheetView>
  </sheetViews>
  <sheetFormatPr defaultColWidth="9" defaultRowHeight="13" outlineLevelRow="3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s="1" t="s">
        <v>15</v>
      </c>
    </row>
    <row r="2" spans="1:15">
      <c r="A2">
        <v>10</v>
      </c>
      <c r="B2">
        <v>1</v>
      </c>
      <c r="C2">
        <v>-1</v>
      </c>
      <c r="D2">
        <v>0</v>
      </c>
      <c r="E2">
        <v>70</v>
      </c>
      <c r="F2" t="str">
        <f>INDEX([1]Define!L:L,MATCH(E2,[1]Define!K:K))</f>
        <v>SelectActor</v>
      </c>
      <c r="G2">
        <v>0</v>
      </c>
      <c r="H2">
        <v>100</v>
      </c>
      <c r="I2">
        <v>0</v>
      </c>
      <c r="J2">
        <v>0</v>
      </c>
      <c r="K2">
        <v>1001</v>
      </c>
      <c r="L2">
        <v>0</v>
      </c>
      <c r="M2">
        <v>0</v>
      </c>
      <c r="N2">
        <v>0</v>
      </c>
      <c r="O2" t="s">
        <v>16</v>
      </c>
    </row>
    <row r="3" spans="1:14">
      <c r="A3">
        <v>20</v>
      </c>
      <c r="B3">
        <v>1</v>
      </c>
      <c r="C3">
        <v>7</v>
      </c>
      <c r="D3">
        <v>5</v>
      </c>
      <c r="E3">
        <v>20</v>
      </c>
      <c r="F3" t="str">
        <f>INDEX([1]Define!L:L,MATCH(E3,[1]Define!K:K))</f>
        <v>Basement</v>
      </c>
      <c r="G3">
        <v>1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30</v>
      </c>
      <c r="B4">
        <v>1</v>
      </c>
      <c r="C4">
        <v>7</v>
      </c>
      <c r="D4">
        <v>4</v>
      </c>
      <c r="E4">
        <v>90</v>
      </c>
      <c r="F4" t="str">
        <f>INDEX([1]Define!L:L,MATCH(E4,[1]Define!K:K))</f>
        <v>Gacha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2025-05-06T14:30:10Z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F1FE234E4EB4428E84B3B8F91C45F6CF</vt:lpwstr>
  </property>
</Properties>
</file>