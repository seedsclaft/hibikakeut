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Skills!$F$1:$F$258</definedName>
  </definedNames>
  <calcPr calcId="144525" concurrentCalc="0"/>
</workbook>
</file>

<file path=xl/sharedStrings.xml><?xml version="1.0" encoding="utf-8"?>
<sst xmlns="http://schemas.openxmlformats.org/spreadsheetml/2006/main" count="1120" uniqueCount="891">
  <si>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</si>
  <si>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</si>
  <si>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</si>
  <si>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</si>
  <si>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</si>
  <si>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</si>
  <si>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</si>
  <si>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</si>
  <si>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</si>
  <si>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</si>
  <si>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</si>
  <si>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</si>
  <si>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</si>
  <si>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</si>
  <si>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</si>
  <si>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</si>
  <si>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</si>
  <si>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</si>
  <si>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</si>
  <si>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</si>
  <si>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</si>
  <si>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</si>
  <si>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</si>
  <si>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</si>
  <si>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</si>
  <si>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</si>
  <si>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</si>
  <si>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</si>
  <si>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</si>
  <si>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</si>
  <si>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</si>
  <si>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</si>
  <si>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</si>
  <si>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</si>
  <si>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</si>
  <si>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</si>
  <si>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</si>
  <si>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</si>
  <si>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</si>
  <si>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</si>
  <si>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</si>
  <si>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</si>
  <si>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</si>
  <si>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</si>
  <si>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</si>
  <si>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</si>
  <si>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</si>
  <si>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</si>
  <si>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</si>
  <si>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</si>
  <si>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</si>
  <si>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</si>
  <si>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</si>
  <si>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</si>
  <si>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</si>
  <si>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</si>
  <si>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</si>
  <si>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</si>
  <si>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</si>
  <si>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</si>
  <si>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</si>
  <si>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</si>
  <si>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</si>
  <si>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</si>
  <si>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</si>
  <si>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</si>
  <si>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</si>
  <si>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</si>
  <si>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</si>
  <si>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</si>
  <si>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</si>
  <si>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</si>
  <si>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</si>
  <si>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</si>
  <si>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</si>
  <si>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</si>
  <si>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</si>
  <si>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</si>
  <si>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</si>
  <si>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</si>
  <si>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</si>
  <si>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</si>
  <si>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</si>
  <si>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</si>
  <si>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</si>
  <si>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</si>
  <si>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</si>
  <si>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</si>
  <si>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</si>
  <si>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</si>
  <si>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</si>
  <si>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</si>
  <si>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</si>
  <si>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</si>
  <si>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</si>
  <si>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</si>
  <si>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</si>
  <si>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</si>
  <si>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</si>
  <si>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</si>
  <si>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</si>
  <si>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</si>
  <si>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</si>
  <si>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</si>
  <si>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</si>
  <si>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</si>
  <si>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</si>
  <si>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</si>
  <si>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</si>
  <si>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</si>
  <si>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</si>
  <si>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</si>
  <si>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</si>
  <si>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</si>
  <si>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</si>
  <si>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</si>
  <si>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</si>
  <si>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</si>
  <si>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</si>
  <si>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</si>
  <si>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</si>
  <si>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</si>
  <si>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</si>
  <si>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</si>
  <si>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</si>
  <si>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</si>
  <si>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</si>
  <si>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</si>
  <si>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</si>
  <si>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</si>
  <si>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</si>
  <si>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</si>
  <si>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</si>
  <si>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</si>
  <si>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</si>
  <si>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</si>
  <si>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</si>
  <si>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</si>
  <si>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</si>
  <si>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</si>
  <si>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</si>
  <si>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</si>
  <si>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</si>
  <si>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</si>
  <si>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</si>
  <si>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</si>
  <si>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</si>
  <si>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</si>
  <si>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</si>
  <si>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</si>
  <si>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</si>
  <si>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</si>
  <si>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</si>
  <si>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</si>
  <si>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</si>
  <si>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</si>
  <si>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</si>
  <si>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</si>
  <si>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</si>
  <si>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</si>
  <si>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</si>
  <si>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</si>
  <si>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</si>
  <si>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</si>
  <si>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</si>
  <si>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</si>
  <si>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</si>
  <si>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</si>
  <si>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</si>
  <si>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炎の加護</t>
  </si>
  <si>
    <t>炎属性適性が高く
氷属性攻撃に弱くなる</t>
  </si>
  <si>
    <t>雷の加護</t>
  </si>
  <si>
    <t>雷属性適性が高く
炎属性攻撃に弱くなる</t>
  </si>
  <si>
    <t>氷の加護</t>
  </si>
  <si>
    <t>氷属性適性が高く
雷属性攻撃に弱くなる</t>
  </si>
  <si>
    <t>光の加護</t>
  </si>
  <si>
    <t>光属性適性が高く
闇属性攻撃に弱くなる</t>
  </si>
  <si>
    <t>闇の加護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</si>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</sst>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7" fillId="25" borderId="3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3"/>
  <sheetViews>
    <sheetView tabSelected="1" workbookViewId="0">
      <pane ySplit="1" topLeftCell="A74" activePane="bottomLeft" state="frozen"/>
      <selection/>
      <selection pane="bottomLeft" activeCell="L99" sqref="L99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雷の加護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氷の加護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炎の加護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闇の加護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光の加護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11</v>
      </c>
      <c r="R97" t="str">
        <f>INDEX(Define!K:K,MATCH(Q97,Define!J:J))</f>
        <v>Triggerの条件を満たす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13110</v>
      </c>
      <c r="B98">
        <v>13110</v>
      </c>
      <c r="C98" t="str">
        <f>INDEX(TextData!B:B,MATCH(B98,TextData!A:A))</f>
        <v>デコイプラス</v>
      </c>
      <c r="D98">
        <v>6</v>
      </c>
      <c r="E98" t="str">
        <f>INDEX(Define!X:X,MATCH(D98,Define!W:W))</f>
        <v>自己強化</v>
      </c>
      <c r="F98">
        <v>1024</v>
      </c>
      <c r="G98" t="str">
        <f>INDEX([1]Animations!B:B,MATCH(F98,[1]Animations!A:A))</f>
        <v>PierceIce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7</v>
      </c>
      <c r="R98" t="str">
        <f>INDEX(Define!K:K,MATCH(Q98,Define!J:J))</f>
        <v>追撃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spans="1:24">
      <c r="A99">
        <v>13111</v>
      </c>
      <c r="B99">
        <v>13111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14010</v>
      </c>
      <c r="B100">
        <v>14010</v>
      </c>
      <c r="C100" t="str">
        <f>INDEX(TextData!B:B,MATCH(B100,TextData!A:A))</f>
        <v>ディバインシールド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14020</v>
      </c>
      <c r="B101">
        <v>14020</v>
      </c>
      <c r="C101" t="str">
        <f>INDEX(TextData!B:B,MATCH(B101,TextData!A:A))</f>
        <v>ライフディバイド</v>
      </c>
      <c r="D101">
        <v>6</v>
      </c>
      <c r="E101" t="str">
        <f>INDEX(Define!X:X,MATCH(D101,Define!W:W))</f>
        <v>自己強化</v>
      </c>
      <c r="F101">
        <v>3023</v>
      </c>
      <c r="G101" t="str">
        <f>INDEX([1]Animations!B:B,MATCH(F101,[1]Animations!A:A))</f>
        <v>Genfulew_Effect/B&amp;S_MinMax_Cure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ht="12" customHeight="1" spans="1:24">
      <c r="A102">
        <v>14030</v>
      </c>
      <c r="B102">
        <v>14030</v>
      </c>
      <c r="C102" t="str">
        <f>INDEX(TextData!B:B,MATCH(B102,TextData!A:A))</f>
        <v>エイミングスコープ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3</v>
      </c>
      <c r="T102" t="str">
        <f>INDEX(Define!N:N,MATCH(S102,Define!M:M))</f>
        <v>全体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14040</v>
      </c>
      <c r="B103">
        <v>14040</v>
      </c>
      <c r="C103" t="str">
        <f>INDEX(TextData!B:B,MATCH(B103,TextData!A:A))</f>
        <v>リジェネレーション</v>
      </c>
      <c r="D103">
        <v>6</v>
      </c>
      <c r="E103" t="str">
        <f>INDEX(Define!X:X,MATCH(D103,Define!W:W))</f>
        <v>自己強化</v>
      </c>
      <c r="F103">
        <v>3023</v>
      </c>
      <c r="G103" t="str">
        <f>INDEX([1]Animations!B:B,MATCH(F103,[1]Animations!A:A))</f>
        <v>Genfulew_Effect/B&amp;S_MinMax_Cure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14050</v>
      </c>
      <c r="B104">
        <v>14050</v>
      </c>
      <c r="C104" t="str">
        <f>INDEX(TextData!B:B,MATCH(B104,TextData!A:A))</f>
        <v>ホープフルアイリス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14060</v>
      </c>
      <c r="B105">
        <v>14060</v>
      </c>
      <c r="C105" t="str">
        <f>INDEX(TextData!B:B,MATCH(B105,TextData!A:A))</f>
        <v>パッシブサプライ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14070</v>
      </c>
      <c r="B106">
        <v>14070</v>
      </c>
      <c r="C106" t="str">
        <f>INDEX(TextData!B:B,MATCH(B106,TextData!A:A))</f>
        <v>ホーミングクルセイド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14080</v>
      </c>
      <c r="B107">
        <v>14080</v>
      </c>
      <c r="C107" t="str">
        <f>INDEX(TextData!B:B,MATCH(B107,TextData!A:A))</f>
        <v>クイックヒール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14090</v>
      </c>
      <c r="B108">
        <v>14090</v>
      </c>
      <c r="C108" t="str">
        <f>INDEX(TextData!B:B,MATCH(B108,TextData!A:A))</f>
        <v>リレイズ</v>
      </c>
      <c r="D108">
        <v>6</v>
      </c>
      <c r="E108" t="str">
        <f>INDEX(Define!X:X,MATCH(D108,Define!W:W))</f>
        <v>自己強化</v>
      </c>
      <c r="F108">
        <v>3027</v>
      </c>
      <c r="G108" t="str">
        <f>INDEX([1]Animations!B:B,MATCH(F108,[1]Animations!A:A))</f>
        <v>Genfulew_Effect/B&amp;S_MinMax_Regeneration1</v>
      </c>
      <c r="H108">
        <v>1</v>
      </c>
      <c r="I108" t="str">
        <f>INDEX(Define!B:B,MATCH(H108,Define!A:A))</f>
        <v>単体</v>
      </c>
      <c r="J108">
        <v>0</v>
      </c>
      <c r="K108">
        <v>5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14100</v>
      </c>
      <c r="B109">
        <v>14100</v>
      </c>
      <c r="C109" t="str">
        <f>INDEX(TextData!B:B,MATCH(B109,TextData!A:A))</f>
        <v>ファストヒール</v>
      </c>
      <c r="D109">
        <v>6</v>
      </c>
      <c r="E109" t="str">
        <f>INDEX(Define!X:X,MATCH(D109,Define!W:W))</f>
        <v>自己強化</v>
      </c>
      <c r="F109">
        <v>3023</v>
      </c>
      <c r="G109" t="str">
        <f>INDEX([1]Animations!B:B,MATCH(F109,[1]Animations!A:A))</f>
        <v>Genfulew_Effect/B&amp;S_MinMax_Cure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2</v>
      </c>
      <c r="R109" t="str">
        <f>INDEX(Define!K:K,MATCH(Q109,Define!J:J))</f>
        <v>味方</v>
      </c>
      <c r="S109">
        <v>3</v>
      </c>
      <c r="T109" t="str">
        <f>INDEX(Define!N:N,MATCH(S109,Define!M:M))</f>
        <v>全体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14110</v>
      </c>
      <c r="B110">
        <v>14110</v>
      </c>
      <c r="C110" t="str">
        <f>INDEX(TextData!B:B,MATCH(B110,TextData!A:A))</f>
        <v>セルフケア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15010</v>
      </c>
      <c r="B111">
        <v>15010</v>
      </c>
      <c r="C111" t="str">
        <f>INDEX(TextData!B:B,MATCH(B111,TextData!A:A))</f>
        <v>イーグルアイ</v>
      </c>
      <c r="D111">
        <v>6</v>
      </c>
      <c r="E111" t="str">
        <f>INDEX(Define!X:X,MATCH(D111,Define!W:W))</f>
        <v>自己強化</v>
      </c>
      <c r="F111">
        <v>3009</v>
      </c>
      <c r="G111" t="str">
        <f>INDEX([1]Animations!B:B,MATCH(F111,[1]Animations!A:A))</f>
        <v>Genfulew_Effect/B&amp;S_MinMax_MagicAttackUp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15020</v>
      </c>
      <c r="B112">
        <v>15020</v>
      </c>
      <c r="C112" t="str">
        <f>INDEX(TextData!B:B,MATCH(B112,TextData!A:A))</f>
        <v>ネヴァーエンド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15030</v>
      </c>
      <c r="B113">
        <v>15030</v>
      </c>
      <c r="C113" t="str">
        <f>INDEX(TextData!B:B,MATCH(B113,TextData!A:A))</f>
        <v>グレイブアクト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15040</v>
      </c>
      <c r="B114">
        <v>15040</v>
      </c>
      <c r="C114" t="str">
        <f>INDEX(TextData!B:B,MATCH(B114,TextData!A:A))</f>
        <v>スカルグラッジ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15050</v>
      </c>
      <c r="B115">
        <v>15050</v>
      </c>
      <c r="C115" t="str">
        <f>INDEX(TextData!B:B,MATCH(B115,TextData!A:A))</f>
        <v>ネガティブドレイン</v>
      </c>
      <c r="D115">
        <v>6</v>
      </c>
      <c r="E115" t="str">
        <f>INDEX(Define!X:X,MATCH(D115,Define!W:W))</f>
        <v>自己強化</v>
      </c>
      <c r="F115">
        <v>0</v>
      </c>
      <c r="G115" t="e">
        <f>INDEX([1]Animations!B:B,MATCH(F115,[1]Animations!A:A))</f>
        <v>#N/A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15060</v>
      </c>
      <c r="B116">
        <v>15060</v>
      </c>
      <c r="C116" t="str">
        <f>INDEX(TextData!B:B,MATCH(B116,TextData!A:A))</f>
        <v>アンデッドペイン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15070</v>
      </c>
      <c r="B117">
        <v>15070</v>
      </c>
      <c r="C117" t="str">
        <f>INDEX(TextData!B:B,MATCH(B117,TextData!A:A))</f>
        <v>ジャックポッド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11</v>
      </c>
      <c r="R117" t="str">
        <f>INDEX(Define!K:K,MATCH(Q117,Define!J:J))</f>
        <v>Triggerの条件を満たす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1</v>
      </c>
    </row>
    <row r="118" ht="12" customHeight="1" spans="1:24">
      <c r="A118">
        <v>15080</v>
      </c>
      <c r="B118">
        <v>15080</v>
      </c>
      <c r="C118" t="str">
        <f>INDEX(TextData!B:B,MATCH(B118,TextData!A:A))</f>
        <v>ヒールハント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2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6</v>
      </c>
      <c r="R118" t="str">
        <f>INDEX(Define!K:K,MATCH(Q118,Define!J:J))</f>
        <v>反撃</v>
      </c>
      <c r="S118">
        <v>1</v>
      </c>
      <c r="T118" t="str">
        <f>INDEX(Define!N:N,MATCH(S118,Define!M:M))</f>
        <v>単体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15090</v>
      </c>
      <c r="B119">
        <v>15090</v>
      </c>
      <c r="C119" t="str">
        <f>INDEX(TextData!B:B,MATCH(B119,TextData!A:A))</f>
        <v>クイックカース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15100</v>
      </c>
      <c r="B120">
        <v>15100</v>
      </c>
      <c r="C120" t="str">
        <f>INDEX(TextData!B:B,MATCH(B120,TextData!A:A))</f>
        <v>リヴェンジャー</v>
      </c>
      <c r="D120">
        <v>6</v>
      </c>
      <c r="E120" t="str">
        <f>INDEX(Define!X:X,MATCH(D120,Define!W:W))</f>
        <v>自己強化</v>
      </c>
      <c r="F120">
        <v>3302</v>
      </c>
      <c r="G120" t="str">
        <f>INDEX([1]Animations!B:B,MATCH(F120,[1]Animations!A:A))</f>
        <v>Genfulew_Effect/Enemy_CR_ActivationMagic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15110</v>
      </c>
      <c r="B121">
        <v>15110</v>
      </c>
      <c r="C121" t="str">
        <f>INDEX(TextData!B:B,MATCH(B121,TextData!A:A))</f>
        <v>リープリアクト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15112</v>
      </c>
      <c r="B122">
        <v>15112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20010</v>
      </c>
      <c r="B123">
        <v>20010</v>
      </c>
      <c r="C123" t="str">
        <f>INDEX(TextData!B:B,MATCH(B123,TextData!A:A))</f>
        <v>ウェイトユニゾン</v>
      </c>
      <c r="D123">
        <v>99</v>
      </c>
      <c r="E123" t="str">
        <f>INDEX(Define!X:X,MATCH(D123,Define!W:W))</f>
        <v>その他</v>
      </c>
      <c r="F123">
        <v>0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0</v>
      </c>
      <c r="M123">
        <v>6</v>
      </c>
      <c r="N123" t="str">
        <f>INDEX(Define!E:E,MATCH(M123,Define!D:D))</f>
        <v>無</v>
      </c>
      <c r="O123">
        <v>1</v>
      </c>
      <c r="P123" t="str">
        <f>INDEX(Define!H:H,MATCH(O123,Define!G:G))</f>
        <v>魔法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30010</v>
      </c>
      <c r="B124">
        <v>30010</v>
      </c>
      <c r="C124" t="str">
        <f>INDEX(TextData!B:B,MATCH(B124,TextData!A:A))</f>
        <v>ラーニングピアス</v>
      </c>
      <c r="D124">
        <v>6</v>
      </c>
      <c r="E124" t="str">
        <f>INDEX(Define!X:X,MATCH(D124,Define!W:W))</f>
        <v>自己強化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320</v>
      </c>
      <c r="M124">
        <v>6</v>
      </c>
      <c r="N124" t="str">
        <f>INDEX(Define!E:E,MATCH(M124,Define!D:D))</f>
        <v>無</v>
      </c>
      <c r="O124">
        <v>7</v>
      </c>
      <c r="P124" t="str">
        <f>INDEX(Define!H:H,MATCH(O124,Define!G:G))</f>
        <v>装備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30020</v>
      </c>
      <c r="B125">
        <v>30020</v>
      </c>
      <c r="C125" t="str">
        <f>INDEX(TextData!B:B,MATCH(B125,TextData!A:A))</f>
        <v>スティールヒール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30030</v>
      </c>
      <c r="B126">
        <v>30030</v>
      </c>
      <c r="C126" t="str">
        <f>INDEX(TextData!B:B,MATCH(B126,TextData!A:A))</f>
        <v>ガッツ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330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100110</v>
      </c>
      <c r="B127">
        <v>100110</v>
      </c>
      <c r="C127" t="str">
        <f>INDEX(TextData!B:B,MATCH(B127,TextData!A:A))</f>
        <v>ソーイングアームド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2</v>
      </c>
      <c r="T127" t="str">
        <f>INDEX(Define!N:N,MATCH(S127,Define!M:M))</f>
        <v>列</v>
      </c>
      <c r="U127">
        <v>2</v>
      </c>
      <c r="V127">
        <v>1</v>
      </c>
      <c r="W127">
        <v>1</v>
      </c>
      <c r="X127">
        <v>0</v>
      </c>
    </row>
    <row r="128" spans="1:24">
      <c r="A128">
        <v>100120</v>
      </c>
      <c r="B128">
        <v>100120</v>
      </c>
      <c r="C128" t="str">
        <f>INDEX(TextData!B:B,MATCH(B128,TextData!A:A))</f>
        <v>エターナルロンド</v>
      </c>
      <c r="D128">
        <v>11</v>
      </c>
      <c r="E128" t="str">
        <f>INDEX(Define!X:X,MATCH(D128,Define!W:W))</f>
        <v>覚醒</v>
      </c>
      <c r="F128">
        <v>101</v>
      </c>
      <c r="G128" t="str">
        <f>INDEX([1]Animations!B:B,MATCH(F128,[1]Animations!A:A))</f>
        <v>FireOne1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spans="1:24">
      <c r="A129">
        <v>100210</v>
      </c>
      <c r="B129">
        <v>100210</v>
      </c>
      <c r="C129" t="str">
        <f>INDEX(TextData!B:B,MATCH(B129,TextData!A:A))</f>
        <v>アブソリュートパリィ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100220</v>
      </c>
      <c r="B130">
        <v>100220</v>
      </c>
      <c r="C130" t="str">
        <f>INDEX(TextData!B:B,MATCH(B130,TextData!A:A))</f>
        <v>レヴェリー</v>
      </c>
      <c r="D130">
        <v>11</v>
      </c>
      <c r="E130" t="str">
        <f>INDEX(Define!X:X,MATCH(D130,Define!W:W))</f>
        <v>覚醒</v>
      </c>
      <c r="F130">
        <v>1002</v>
      </c>
      <c r="G130" t="str">
        <f>INDEX([1]Animations!B:B,MATCH(F130,[1]Animations!A:A))</f>
        <v>HitEffect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7</v>
      </c>
      <c r="W130">
        <v>1</v>
      </c>
      <c r="X130">
        <v>0</v>
      </c>
    </row>
    <row r="131" spans="1:24">
      <c r="A131">
        <v>100310</v>
      </c>
      <c r="B131">
        <v>100310</v>
      </c>
      <c r="C131" t="str">
        <f>INDEX(TextData!B:B,MATCH(B131,TextData!A:A))</f>
        <v>セイクリッドバリア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2</v>
      </c>
      <c r="R131" t="str">
        <f>INDEX(Define!K:K,MATCH(Q131,Define!J:J))</f>
        <v>味方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100320</v>
      </c>
      <c r="B132">
        <v>100320</v>
      </c>
      <c r="C132" t="str">
        <f>INDEX(TextData!B:B,MATCH(B132,TextData!A:A))</f>
        <v>リベンジニードル</v>
      </c>
      <c r="D132">
        <v>11</v>
      </c>
      <c r="E132" t="str">
        <f>INDEX(Define!X:X,MATCH(D132,Define!W:W))</f>
        <v>覚醒</v>
      </c>
      <c r="F132">
        <v>1003</v>
      </c>
      <c r="G132" t="str">
        <f>INDEX([1]Animations!B:B,MATCH(F132,[1]Animations!A:A))</f>
        <v>HitFire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100410</v>
      </c>
      <c r="B133">
        <v>100410</v>
      </c>
      <c r="C133" t="str">
        <f>INDEX(TextData!B:B,MATCH(B133,TextData!A:A))</f>
        <v>アバンデンス</v>
      </c>
      <c r="D133">
        <v>10</v>
      </c>
      <c r="E133" t="str">
        <f>INDEX(Define!X:X,MATCH(D133,Define!W:W))</f>
        <v>半神</v>
      </c>
      <c r="F133">
        <v>401</v>
      </c>
      <c r="G133" t="str">
        <f>INDEX([1]Animations!B:B,MATCH(F133,[1]Animations!A:A))</f>
        <v>LightOne1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0</v>
      </c>
      <c r="X133">
        <v>0</v>
      </c>
    </row>
    <row r="134" spans="1:24">
      <c r="A134">
        <v>100420</v>
      </c>
      <c r="B134">
        <v>100420</v>
      </c>
      <c r="C134" t="str">
        <f>INDEX(TextData!B:B,MATCH(B134,TextData!A:A))</f>
        <v>ハーヴェスト</v>
      </c>
      <c r="D134">
        <v>11</v>
      </c>
      <c r="E134" t="str">
        <f>INDEX(Define!X:X,MATCH(D134,Define!W:W))</f>
        <v>覚醒</v>
      </c>
      <c r="F134">
        <v>1004</v>
      </c>
      <c r="G134" t="str">
        <f>INDEX([1]Animations!B:B,MATCH(F134,[1]Animations!A:A))</f>
        <v>HitIce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ht="12" customHeight="1" spans="1:24">
      <c r="A135">
        <v>100510</v>
      </c>
      <c r="B135">
        <v>100510</v>
      </c>
      <c r="C135" t="str">
        <f>INDEX(TextData!B:B,MATCH(B135,TextData!A:A))</f>
        <v>カースドブレイク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100520</v>
      </c>
      <c r="B136">
        <v>100520</v>
      </c>
      <c r="C136" t="str">
        <f>INDEX(TextData!B:B,MATCH(B136,TextData!A:A))</f>
        <v>ムーンライトレイ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100610</v>
      </c>
      <c r="B137">
        <v>100610</v>
      </c>
      <c r="C137" t="str">
        <f>INDEX(TextData!B:B,MATCH(B137,TextData!A:A))</f>
        <v>サンフレイム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1</v>
      </c>
      <c r="N137" t="str">
        <f>INDEX(Define!E:E,MATCH(M137,Define!D:D))</f>
        <v>炎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31</v>
      </c>
      <c r="T137" t="str">
        <f>INDEX(Define!N:N,MATCH(S137,Define!M:M))</f>
        <v>単体と両隣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100620</v>
      </c>
      <c r="B138">
        <v>100620</v>
      </c>
      <c r="C138" t="str">
        <f>INDEX(TextData!B:B,MATCH(B138,TextData!A:A))</f>
        <v>フレイムタン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100710</v>
      </c>
      <c r="B139">
        <v>100710</v>
      </c>
      <c r="C139" t="str">
        <f>INDEX(TextData!B:B,MATCH(B139,TextData!A:A))</f>
        <v>ライズザフラッグ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100720</v>
      </c>
      <c r="B140">
        <v>100720</v>
      </c>
      <c r="C140" t="str">
        <f>INDEX(TextData!B:B,MATCH(B140,TextData!A:A))</f>
        <v>オーバーリミット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100810</v>
      </c>
      <c r="B141">
        <v>100810</v>
      </c>
      <c r="C141" t="str">
        <f>INDEX(TextData!B:B,MATCH(B141,TextData!A:A))</f>
        <v>テンパランス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100820</v>
      </c>
      <c r="B142">
        <v>100820</v>
      </c>
      <c r="C142" t="str">
        <f>INDEX(TextData!B:B,MATCH(B142,TextData!A:A))</f>
        <v>シエルクルセイダー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100910</v>
      </c>
      <c r="B143">
        <v>100910</v>
      </c>
      <c r="C143" t="str">
        <f>INDEX(TextData!B:B,MATCH(B143,TextData!A:A))</f>
        <v>バーニングカウンター</v>
      </c>
      <c r="D143">
        <v>10</v>
      </c>
      <c r="E143" t="str">
        <f>INDEX(Define!X:X,MATCH(D143,Define!W:W))</f>
        <v>半神</v>
      </c>
      <c r="F143">
        <v>101</v>
      </c>
      <c r="G143" t="str">
        <f>INDEX([1]Animations!B:B,MATCH(F143,[1]Animations!A:A))</f>
        <v>FireOne1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100911</v>
      </c>
      <c r="B144">
        <v>100911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100920</v>
      </c>
      <c r="B145">
        <v>100920</v>
      </c>
      <c r="C145" t="str">
        <f>INDEX(TextData!B:B,MATCH(B145,TextData!A:A))</f>
        <v>プロミネンス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100921</v>
      </c>
      <c r="B146">
        <v>100921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101010</v>
      </c>
      <c r="B147">
        <v>101010</v>
      </c>
      <c r="C147" t="str">
        <f>INDEX(TextData!B:B,MATCH(B147,TextData!A:A))</f>
        <v>エウロス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101020</v>
      </c>
      <c r="B148">
        <v>101020</v>
      </c>
      <c r="C148" t="str">
        <f>INDEX(TextData!B:B,MATCH(B148,TextData!A:A))</f>
        <v>ボレアス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101110</v>
      </c>
      <c r="B149">
        <v>101110</v>
      </c>
      <c r="C149" t="str">
        <f>INDEX(TextData!B:B,MATCH(B149,TextData!A:A))</f>
        <v>アバランシュ</v>
      </c>
      <c r="D149">
        <v>10</v>
      </c>
      <c r="E149" t="str">
        <f>INDEX(Define!X:X,MATCH(D149,Define!W:W))</f>
        <v>半神</v>
      </c>
      <c r="F149">
        <v>301</v>
      </c>
      <c r="G149" t="str">
        <f>INDEX([1]Animations!B:B,MATCH(F149,[1]Animations!A:A))</f>
        <v>IceOne1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101120</v>
      </c>
      <c r="B150">
        <v>101120</v>
      </c>
      <c r="C150" t="str">
        <f>INDEX(TextData!B:B,MATCH(B150,TextData!A:A))</f>
        <v>ブリザードコフィン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2</v>
      </c>
      <c r="T150" t="str">
        <f>INDEX(Define!N:N,MATCH(S150,Define!M:M))</f>
        <v>列</v>
      </c>
      <c r="U150">
        <v>2</v>
      </c>
      <c r="V150">
        <v>1</v>
      </c>
      <c r="W150">
        <v>1</v>
      </c>
      <c r="X150">
        <v>0</v>
      </c>
    </row>
    <row r="151" spans="1:24">
      <c r="A151">
        <v>110110</v>
      </c>
      <c r="B151">
        <v>110110</v>
      </c>
      <c r="C151" t="str">
        <f>INDEX(TextData!B:B,MATCH(B151,TextData!A:A))</f>
        <v>ウィビングヒストリー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110120</v>
      </c>
      <c r="B152">
        <v>110120</v>
      </c>
      <c r="C152" t="str">
        <f>INDEX(TextData!B:B,MATCH(B152,TextData!A:A))</f>
        <v>アンライバルド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spans="1:24">
      <c r="A153">
        <v>200110</v>
      </c>
      <c r="B153">
        <v>200110</v>
      </c>
      <c r="C153" t="str">
        <f>INDEX(TextData!B:B,MATCH(B153,TextData!A:A))</f>
        <v>スリータイムス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3</v>
      </c>
      <c r="P153" t="str">
        <f>INDEX(Define!H:H,MATCH(O153,Define!G:G))</f>
        <v>神化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200120</v>
      </c>
      <c r="B154">
        <v>200120</v>
      </c>
      <c r="C154" t="str">
        <f>INDEX(TextData!B:B,MATCH(B154,TextData!A:A))</f>
        <v>アングリークライ</v>
      </c>
      <c r="D154">
        <v>11</v>
      </c>
      <c r="E154" t="str">
        <f>INDEX(Define!X:X,MATCH(D154,Define!W:W))</f>
        <v>覚醒</v>
      </c>
      <c r="F154">
        <v>101</v>
      </c>
      <c r="G154" t="str">
        <f>INDEX([1]Animations!B:B,MATCH(F154,[1]Animations!A:A))</f>
        <v>FireOne1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spans="1:24">
      <c r="A155">
        <v>200210</v>
      </c>
      <c r="B155">
        <v>200210</v>
      </c>
      <c r="C155" t="str">
        <f>INDEX(TextData!B:B,MATCH(B155,TextData!A:A))</f>
        <v>マイトレインフォース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200220</v>
      </c>
      <c r="B156">
        <v>200220</v>
      </c>
      <c r="C156" t="str">
        <f>INDEX(TextData!B:B,MATCH(B156,TextData!A:A))</f>
        <v>カタストロフィ</v>
      </c>
      <c r="D156">
        <v>11</v>
      </c>
      <c r="E156" t="str">
        <f>INDEX(Define!X:X,MATCH(D156,Define!W:W))</f>
        <v>覚醒</v>
      </c>
      <c r="F156">
        <v>101</v>
      </c>
      <c r="G156" t="str">
        <f>INDEX([1]Animations!B:B,MATCH(F156,[1]Animations!A:A))</f>
        <v>FireOne1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1</v>
      </c>
      <c r="T156" t="str">
        <f>INDEX(Define!N:N,MATCH(S156,Define!M:M))</f>
        <v>単体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200230</v>
      </c>
      <c r="B157">
        <v>200230</v>
      </c>
      <c r="C157" t="str">
        <f>INDEX(TextData!B:B,MATCH(B157,TextData!A:A))</f>
        <v>悪魔(ベリト)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0</v>
      </c>
      <c r="M157">
        <v>0</v>
      </c>
      <c r="N157" t="str">
        <f>INDEX(Define!E:E,MATCH(M157,Define!D:D))</f>
        <v>なし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200310</v>
      </c>
      <c r="B158">
        <v>200310</v>
      </c>
      <c r="C158" t="str">
        <f>INDEX(TextData!B:B,MATCH(B158,TextData!A:A))</f>
        <v>プルガシオン</v>
      </c>
      <c r="D158">
        <v>10</v>
      </c>
      <c r="E158" t="str">
        <f>INDEX(Define!X:X,MATCH(D158,Define!W:W))</f>
        <v>半神</v>
      </c>
      <c r="F158">
        <v>21</v>
      </c>
      <c r="G158" t="str">
        <f>INDEX([1]Animations!B:B,MATCH(F158,[1]Animations!A:A))</f>
        <v>tktk01/Magic2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4</v>
      </c>
      <c r="N158" t="str">
        <f>INDEX(Define!E:E,MATCH(M158,Define!D:D))</f>
        <v>光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200320</v>
      </c>
      <c r="B159">
        <v>200320</v>
      </c>
      <c r="C159" t="str">
        <f>INDEX(TextData!B:B,MATCH(B159,TextData!A:A))</f>
        <v>プリエステス</v>
      </c>
      <c r="D159">
        <v>11</v>
      </c>
      <c r="E159" t="str">
        <f>INDEX(Define!X:X,MATCH(D159,Define!W:W))</f>
        <v>覚醒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4</v>
      </c>
      <c r="P159" t="str">
        <f>INDEX(Define!H:H,MATCH(O159,Define!G:G))</f>
        <v>覚醒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200330</v>
      </c>
      <c r="B160">
        <v>200330</v>
      </c>
      <c r="C160" t="str">
        <f>INDEX(TextData!B:B,MATCH(B160,TextData!A:A))</f>
        <v>悪魔(パイモン)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0</v>
      </c>
      <c r="M160">
        <v>0</v>
      </c>
      <c r="N160" t="str">
        <f>INDEX(Define!E:E,MATCH(M160,Define!D:D))</f>
        <v>なし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200410</v>
      </c>
      <c r="B161">
        <v>200410</v>
      </c>
      <c r="C161" t="str">
        <f>INDEX(TextData!B:B,MATCH(B161,TextData!A:A))</f>
        <v>コウソクテンショウ</v>
      </c>
      <c r="D161">
        <v>10</v>
      </c>
      <c r="E161" t="str">
        <f>INDEX(Define!X:X,MATCH(D161,Define!W:W))</f>
        <v>半神</v>
      </c>
      <c r="F161">
        <v>201</v>
      </c>
      <c r="G161" t="str">
        <f>INDEX([1]Animations!B:B,MATCH(F161,[1]Animations!A:A))</f>
        <v>ThunderOne1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2</v>
      </c>
      <c r="N161" t="str">
        <f>INDEX(Define!E:E,MATCH(M161,Define!D:D))</f>
        <v>雷</v>
      </c>
      <c r="O161">
        <v>3</v>
      </c>
      <c r="P161" t="str">
        <f>INDEX(Define!H:H,MATCH(O161,Define!G:G))</f>
        <v>神化</v>
      </c>
      <c r="Q161">
        <v>1</v>
      </c>
      <c r="R161" t="str">
        <f>INDEX(Define!K:K,MATCH(Q161,Define!J:J))</f>
        <v>相手</v>
      </c>
      <c r="S161">
        <v>2</v>
      </c>
      <c r="T161" t="str">
        <f>INDEX(Define!N:N,MATCH(S161,Define!M:M))</f>
        <v>列</v>
      </c>
      <c r="U161">
        <v>2</v>
      </c>
      <c r="V161">
        <v>1</v>
      </c>
      <c r="W161">
        <v>1</v>
      </c>
      <c r="X161">
        <v>0</v>
      </c>
    </row>
    <row r="162" spans="1:24">
      <c r="A162">
        <v>200411</v>
      </c>
      <c r="B162">
        <v>200411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200420</v>
      </c>
      <c r="B163">
        <v>200420</v>
      </c>
      <c r="C163" t="str">
        <f>INDEX(TextData!B:B,MATCH(B163,TextData!A:A))</f>
        <v>アンチバフ</v>
      </c>
      <c r="D163">
        <v>11</v>
      </c>
      <c r="E163" t="str">
        <f>INDEX(Define!X:X,MATCH(D163,Define!W:W))</f>
        <v>覚醒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200430</v>
      </c>
      <c r="B164">
        <v>200430</v>
      </c>
      <c r="C164" t="str">
        <f>INDEX(TextData!B:B,MATCH(B164,TextData!A:A))</f>
        <v>悪魔(アンドラス)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6</v>
      </c>
      <c r="P164" t="str">
        <f>INDEX(Define!H:H,MATCH(O164,Define!G:G))</f>
        <v>強化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200510</v>
      </c>
      <c r="B165">
        <v>200510</v>
      </c>
      <c r="C165" t="str">
        <f>INDEX(TextData!B:B,MATCH(B165,TextData!A:A))</f>
        <v>カウントダウン</v>
      </c>
      <c r="D165">
        <v>10</v>
      </c>
      <c r="E165" t="str">
        <f>INDEX(Define!X:X,MATCH(D165,Define!W:W))</f>
        <v>半神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3</v>
      </c>
      <c r="N165" t="str">
        <f>INDEX(Define!E:E,MATCH(M165,Define!D:D))</f>
        <v>氷</v>
      </c>
      <c r="O165">
        <v>3</v>
      </c>
      <c r="P165" t="str">
        <f>INDEX(Define!H:H,MATCH(O165,Define!G:G))</f>
        <v>神化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200520</v>
      </c>
      <c r="B166">
        <v>200520</v>
      </c>
      <c r="C166" t="str">
        <f>INDEX(TextData!B:B,MATCH(B166,TextData!A:A))</f>
        <v>グラウンドゼロ</v>
      </c>
      <c r="D166">
        <v>11</v>
      </c>
      <c r="E166" t="str">
        <f>INDEX(Define!X:X,MATCH(D166,Define!W:W))</f>
        <v>覚醒</v>
      </c>
      <c r="F166">
        <v>301</v>
      </c>
      <c r="G166" t="str">
        <f>INDEX([1]Animations!B:B,MATCH(F166,[1]Animations!A:A))</f>
        <v>IceOne1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4</v>
      </c>
      <c r="P166" t="str">
        <f>INDEX(Define!H:H,MATCH(O166,Define!G:G))</f>
        <v>覚醒</v>
      </c>
      <c r="Q166">
        <v>1</v>
      </c>
      <c r="R166" t="str">
        <f>INDEX(Define!K:K,MATCH(Q166,Define!J:J))</f>
        <v>相手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200530</v>
      </c>
      <c r="B167">
        <v>200530</v>
      </c>
      <c r="C167" t="str">
        <f>INDEX(TextData!B:B,MATCH(B167,TextData!A:A))</f>
        <v>悪魔(ビフロンス)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99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201010</v>
      </c>
      <c r="B168">
        <v>201010</v>
      </c>
      <c r="C168" t="str">
        <f>INDEX(TextData!B:B,MATCH(B168,TextData!A:A))</f>
        <v>カオスペイン</v>
      </c>
      <c r="D168">
        <v>10</v>
      </c>
      <c r="E168" t="str">
        <f>INDEX(Define!X:X,MATCH(D168,Define!W:W))</f>
        <v>半神</v>
      </c>
      <c r="F168">
        <v>501</v>
      </c>
      <c r="G168" t="str">
        <f>INDEX([1]Animations!B:B,MATCH(F168,[1]Animations!A:A))</f>
        <v>DarknessOne1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5</v>
      </c>
      <c r="N168" t="str">
        <f>INDEX(Define!E:E,MATCH(M168,Define!D:D))</f>
        <v>闇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201020</v>
      </c>
      <c r="B169">
        <v>201020</v>
      </c>
      <c r="C169" t="str">
        <f>INDEX(TextData!B:B,MATCH(B169,TextData!A:A))</f>
        <v>フォールンワン</v>
      </c>
      <c r="D169">
        <v>11</v>
      </c>
      <c r="E169" t="str">
        <f>INDEX(Define!X:X,MATCH(D169,Define!W:W))</f>
        <v>覚醒</v>
      </c>
      <c r="F169">
        <v>501</v>
      </c>
      <c r="G169" t="str">
        <f>INDEX([1]Animations!B:B,MATCH(F169,[1]Animations!A:A))</f>
        <v>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201030</v>
      </c>
      <c r="B170">
        <v>201030</v>
      </c>
      <c r="C170" t="str">
        <f>INDEX(TextData!B:B,MATCH(B170,TextData!A:A))</f>
        <v>アンリマユ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300010</v>
      </c>
      <c r="B171">
        <v>300010</v>
      </c>
      <c r="C171" t="str">
        <f>INDEX(TextData!B:B,MATCH(B171,TextData!A:A))</f>
        <v>ライフブースト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300020</v>
      </c>
      <c r="B172">
        <v>300020</v>
      </c>
      <c r="C172" t="str">
        <f>INDEX(TextData!B:B,MATCH(B172,TextData!A:A))</f>
        <v>スピリットチャージ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300030</v>
      </c>
      <c r="B173">
        <v>300030</v>
      </c>
      <c r="C173" t="str">
        <f>INDEX(TextData!B:B,MATCH(B173,TextData!A:A))</f>
        <v>フォースライズ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300040</v>
      </c>
      <c r="B174">
        <v>300040</v>
      </c>
      <c r="C174" t="str">
        <f>INDEX(TextData!B:B,MATCH(B174,TextData!A:A))</f>
        <v>ディフェンスオーラ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3</v>
      </c>
      <c r="N174" t="str">
        <f>INDEX(Define!E:E,MATCH(M174,Define!D:D))</f>
        <v>氷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300050</v>
      </c>
      <c r="B175">
        <v>300050</v>
      </c>
      <c r="C175" t="str">
        <f>INDEX(TextData!B:B,MATCH(B175,TextData!A:A))</f>
        <v>ラピッドムーブ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2</v>
      </c>
      <c r="N175" t="str">
        <f>INDEX(Define!E:E,MATCH(M175,Define!D:D))</f>
        <v>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300130</v>
      </c>
      <c r="B176">
        <v>300130</v>
      </c>
      <c r="C176" t="str">
        <f>INDEX(TextData!B:B,MATCH(B176,TextData!A:A))</f>
        <v>アタックブレイク</v>
      </c>
      <c r="D176">
        <v>6</v>
      </c>
      <c r="E176" t="str">
        <f>INDEX(Define!X:X,MATCH(D176,Define!W:W))</f>
        <v>自己強化</v>
      </c>
      <c r="F176">
        <v>61</v>
      </c>
      <c r="G176" t="str">
        <f>INDEX([1]Animations!B:B,MATCH(F176,[1]Animations!A:A))</f>
        <v>NA_Effekseer/NA_aura_002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5</v>
      </c>
      <c r="N176" t="str">
        <f>INDEX(Define!E:E,MATCH(M176,Define!D:D))</f>
        <v>闇</v>
      </c>
      <c r="O176">
        <v>5</v>
      </c>
      <c r="P176" t="str">
        <f>INDEX(Define!H:H,MATCH(O176,Define!G:G))</f>
        <v>レリック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300140</v>
      </c>
      <c r="B177">
        <v>300140</v>
      </c>
      <c r="C177" t="str">
        <f>INDEX(TextData!B:B,MATCH(B177,TextData!A:A))</f>
        <v>シールドバニッシュ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300210</v>
      </c>
      <c r="B178">
        <v>300210</v>
      </c>
      <c r="C178" t="str">
        <f>INDEX(TextData!B:B,MATCH(B178,TextData!A:A))</f>
        <v>エーテルリチャージ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1</v>
      </c>
      <c r="N178" t="str">
        <f>INDEX(Define!E:E,MATCH(M178,Define!D:D))</f>
        <v>炎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300220</v>
      </c>
      <c r="B179">
        <v>300220</v>
      </c>
      <c r="C179" t="str">
        <f>INDEX(TextData!B:B,MATCH(B179,TextData!A:A))</f>
        <v>リカバリーエンハンス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300230</v>
      </c>
      <c r="B180">
        <v>300230</v>
      </c>
      <c r="C180" t="str">
        <f>INDEX(TextData!B:B,MATCH(B180,TextData!A:A))</f>
        <v>ヴェンジェンス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301010</v>
      </c>
      <c r="B181">
        <v>301010</v>
      </c>
      <c r="C181" t="str">
        <f>INDEX(TextData!B:B,MATCH(B181,TextData!A:A))</f>
        <v>ディケイドリセット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301020</v>
      </c>
      <c r="B182">
        <v>301020</v>
      </c>
      <c r="C182" t="str">
        <f>INDEX(TextData!B:B,MATCH(B182,TextData!A:A))</f>
        <v>ウォーリアーブラッド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301030</v>
      </c>
      <c r="B183">
        <v>301030</v>
      </c>
      <c r="C183" t="str">
        <f>INDEX(TextData!B:B,MATCH(B183,TextData!A:A))</f>
        <v>トライアングルガード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301040</v>
      </c>
      <c r="B184">
        <v>301040</v>
      </c>
      <c r="C184" t="str">
        <f>INDEX(TextData!B:B,MATCH(B184,TextData!A:A))</f>
        <v>セーフティバリア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301050</v>
      </c>
      <c r="B185">
        <v>301050</v>
      </c>
      <c r="C185" t="str">
        <f>INDEX(TextData!B:B,MATCH(B185,TextData!A:A))</f>
        <v>ヒロインズハイ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301060</v>
      </c>
      <c r="B186">
        <v>301060</v>
      </c>
      <c r="C186" t="str">
        <f>INDEX(TextData!B:B,MATCH(B186,TextData!A:A))</f>
        <v>セカンドステージ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0</v>
      </c>
      <c r="X186">
        <v>0</v>
      </c>
    </row>
    <row r="187" spans="1:24">
      <c r="A187">
        <v>301070</v>
      </c>
      <c r="B187">
        <v>301070</v>
      </c>
      <c r="C187" t="str">
        <f>INDEX(TextData!B:B,MATCH(B187,TextData!A:A))</f>
        <v>ハイヒットポイント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301080</v>
      </c>
      <c r="B188">
        <v>301080</v>
      </c>
      <c r="C188" t="str">
        <f>INDEX(TextData!B:B,MATCH(B188,TextData!A:A))</f>
        <v>セプタブラスト</v>
      </c>
      <c r="D188">
        <v>6</v>
      </c>
      <c r="E188" t="str">
        <f>INDEX(Define!X:X,MATCH(D188,Define!W:W))</f>
        <v>自己強化</v>
      </c>
      <c r="F188">
        <v>101</v>
      </c>
      <c r="G188" t="str">
        <f>INDEX([1]Animations!B:B,MATCH(F188,[1]Animations!A:A))</f>
        <v>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1</v>
      </c>
      <c r="N188" t="str">
        <f>INDEX(Define!E:E,MATCH(M188,Define!D:D))</f>
        <v>炎</v>
      </c>
      <c r="O188">
        <v>5</v>
      </c>
      <c r="P188" t="str">
        <f>INDEX(Define!H:H,MATCH(O188,Define!G:G))</f>
        <v>レリック</v>
      </c>
      <c r="Q188">
        <v>7</v>
      </c>
      <c r="R188" t="str">
        <f>INDEX(Define!K:K,MATCH(Q188,Define!J:J))</f>
        <v>追撃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301090</v>
      </c>
      <c r="B189">
        <v>301090</v>
      </c>
      <c r="C189" t="str">
        <f>INDEX(TextData!B:B,MATCH(B189,TextData!A:A))</f>
        <v>イニシャルブロッカー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301100</v>
      </c>
      <c r="B190">
        <v>301100</v>
      </c>
      <c r="C190" t="str">
        <f>INDEX(TextData!B:B,MATCH(B190,TextData!A:A))</f>
        <v>ファーストテイク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310010</v>
      </c>
      <c r="B191">
        <v>310010</v>
      </c>
      <c r="C191" t="str">
        <f>INDEX(TextData!B:B,MATCH(B191,TextData!A:A))</f>
        <v>妖精の祈り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310020</v>
      </c>
      <c r="B192">
        <v>310020</v>
      </c>
      <c r="C192" t="str">
        <f>INDEX(TextData!B:B,MATCH(B192,TextData!A:A))</f>
        <v>月のかけら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310030</v>
      </c>
      <c r="B193">
        <v>310030</v>
      </c>
      <c r="C193" t="str">
        <f>INDEX(TextData!B:B,MATCH(B193,TextData!A:A))</f>
        <v>商売の才覚書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1</v>
      </c>
      <c r="T193" t="str">
        <f>INDEX(Define!N:N,MATCH(S193,Define!M:M))</f>
        <v>単体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310040</v>
      </c>
      <c r="B194">
        <v>310040</v>
      </c>
      <c r="C194" t="str">
        <f>INDEX(TextData!B:B,MATCH(B194,TextData!A:A))</f>
        <v>メビウスの砂時計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310050</v>
      </c>
      <c r="B195">
        <v>310050</v>
      </c>
      <c r="C195" t="str">
        <f>INDEX(TextData!B:B,MATCH(B195,TextData!A:A))</f>
        <v>先陣の心得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310060</v>
      </c>
      <c r="B196">
        <v>310060</v>
      </c>
      <c r="C196" t="str">
        <f>INDEX(TextData!B:B,MATCH(B196,TextData!A:A))</f>
        <v>ヒスイの勾玉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310070</v>
      </c>
      <c r="B197">
        <v>310070</v>
      </c>
      <c r="C197" t="str">
        <f>INDEX(TextData!B:B,MATCH(B197,TextData!A:A))</f>
        <v>英傑の盾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310080</v>
      </c>
      <c r="B198">
        <v>310080</v>
      </c>
      <c r="C198" t="str">
        <f>INDEX(TextData!B:B,MATCH(B198,TextData!A:A))</f>
        <v>鷹の目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310130</v>
      </c>
      <c r="B199">
        <v>310130</v>
      </c>
      <c r="C199" t="str">
        <f>INDEX(TextData!B:B,MATCH(B199,TextData!A:A))</f>
        <v>ヒールユニット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320010</v>
      </c>
      <c r="B200">
        <v>320010</v>
      </c>
      <c r="C200" t="str">
        <f>INDEX(TextData!B:B,MATCH(B200,TextData!A:A))</f>
        <v>訓練所Lv1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カインド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320011</v>
      </c>
      <c r="B201">
        <v>320011</v>
      </c>
      <c r="C201" t="str">
        <f>INDEX(TextData!B:B,MATCH(B201,TextData!A:A))</f>
        <v>訓練所Lv2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320012</v>
      </c>
      <c r="B202">
        <v>320012</v>
      </c>
      <c r="C202" t="str">
        <f>INDEX(TextData!B:B,MATCH(B202,TextData!A:A))</f>
        <v>訓練所Lv3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320020</v>
      </c>
      <c r="B203">
        <v>320020</v>
      </c>
      <c r="C203" t="str">
        <f>INDEX(TextData!B:B,MATCH(B203,TextData!A:A))</f>
        <v>研究施設Lv1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320021</v>
      </c>
      <c r="B204">
        <v>320021</v>
      </c>
      <c r="C204" t="str">
        <f>INDEX(TextData!B:B,MATCH(B204,TextData!A:A))</f>
        <v>研究施設Lv2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320022</v>
      </c>
      <c r="B205">
        <v>320022</v>
      </c>
      <c r="C205" t="str">
        <f>INDEX(TextData!B:B,MATCH(B205,TextData!A:A))</f>
        <v>研究施設Lv3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320030</v>
      </c>
      <c r="B206">
        <v>320030</v>
      </c>
      <c r="C206" t="str">
        <f>INDEX(TextData!B:B,MATCH(B206,TextData!A:A))</f>
        <v>資料館Lv1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320031</v>
      </c>
      <c r="B207">
        <v>320031</v>
      </c>
      <c r="C207" t="str">
        <f>INDEX(TextData!B:B,MATCH(B207,TextData!A:A))</f>
        <v>資料館Lv2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320032</v>
      </c>
      <c r="B208">
        <v>320032</v>
      </c>
      <c r="C208" t="str">
        <f>INDEX(TextData!B:B,MATCH(B208,TextData!A:A))</f>
        <v>資料館Lv3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320040</v>
      </c>
      <c r="B209">
        <v>320040</v>
      </c>
      <c r="C209" t="str">
        <f>INDEX(TextData!B:B,MATCH(B209,TextData!A:A))</f>
        <v>潜伏技術Lv1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321010</v>
      </c>
      <c r="B210">
        <v>321010</v>
      </c>
      <c r="C210" t="str">
        <f>INDEX(TextData!B:B,MATCH(B210,TextData!A:A))</f>
        <v>炎の祭壇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321020</v>
      </c>
      <c r="B211">
        <v>321020</v>
      </c>
      <c r="C211" t="str">
        <f>INDEX(TextData!B:B,MATCH(B211,TextData!A:A))</f>
        <v>稲妻の祭壇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321030</v>
      </c>
      <c r="B212">
        <v>321030</v>
      </c>
      <c r="C212" t="str">
        <f>INDEX(TextData!B:B,MATCH(B212,TextData!A:A))</f>
        <v>蒼の祭壇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321040</v>
      </c>
      <c r="B213">
        <v>321040</v>
      </c>
      <c r="C213" t="str">
        <f>INDEX(TextData!B:B,MATCH(B213,TextData!A:A))</f>
        <v>光の祭壇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321050</v>
      </c>
      <c r="B214">
        <v>321050</v>
      </c>
      <c r="C214" t="str">
        <f>INDEX(TextData!B:B,MATCH(B214,TextData!A:A))</f>
        <v>月の祭壇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322010</v>
      </c>
      <c r="B215">
        <v>322010</v>
      </c>
      <c r="C215" t="str">
        <f>INDEX(TextData!B:B,MATCH(B215,TextData!A:A))</f>
        <v>食糧庫Lv1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322020</v>
      </c>
      <c r="B216">
        <v>322020</v>
      </c>
      <c r="C216" t="str">
        <f>INDEX(TextData!B:B,MATCH(B216,TextData!A:A))</f>
        <v>攻撃技術Lv1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322030</v>
      </c>
      <c r="B217">
        <v>322030</v>
      </c>
      <c r="C217" t="str">
        <f>INDEX(TextData!B:B,MATCH(B217,TextData!A:A))</f>
        <v>防御技術Lv1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322040</v>
      </c>
      <c r="B218">
        <v>322040</v>
      </c>
      <c r="C218" t="str">
        <f>INDEX(TextData!B:B,MATCH(B218,TextData!A:A))</f>
        <v>詠唱技術Lv1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401010</v>
      </c>
      <c r="B219">
        <v>401010</v>
      </c>
      <c r="C219" t="str">
        <f>INDEX(TextData!B:B,MATCH(B219,TextData!A:A))</f>
        <v>ファイアボール+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401020</v>
      </c>
      <c r="B220">
        <v>401020</v>
      </c>
      <c r="C220" t="str">
        <f>INDEX(TextData!B:B,MATCH(B220,TextData!A:A))</f>
        <v>バーンストーム+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FireOne1</v>
      </c>
      <c r="H220">
        <v>2</v>
      </c>
      <c r="I220" t="str">
        <f>INDEX(Define!B:B,MATCH(H220,Define!A:A))</f>
        <v>列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401030</v>
      </c>
      <c r="B221">
        <v>401030</v>
      </c>
      <c r="C221" t="str">
        <f>INDEX(TextData!B:B,MATCH(B221,TextData!A:A))</f>
        <v>ヒートスタンプ+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401040</v>
      </c>
      <c r="B222">
        <v>401040</v>
      </c>
      <c r="C222" t="str">
        <f>INDEX(TextData!B:B,MATCH(B222,TextData!A:A))</f>
        <v>ソードアダプト+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401050</v>
      </c>
      <c r="B223">
        <v>401050</v>
      </c>
      <c r="C223" t="str">
        <f>INDEX(TextData!B:B,MATCH(B223,TextData!A:A))</f>
        <v>フレイムレイン+</v>
      </c>
      <c r="D223">
        <v>1</v>
      </c>
      <c r="E223" t="str">
        <f>INDEX(Define!X:X,MATCH(D223,Define!W:W))</f>
        <v>元素</v>
      </c>
      <c r="F223">
        <v>101</v>
      </c>
      <c r="G223" t="str">
        <f>INDEX([1]Animations!B:B,MATCH(F223,[1]Animations!A:A))</f>
        <v>FireOne1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401060</v>
      </c>
      <c r="B224">
        <v>401060</v>
      </c>
      <c r="C224" t="str">
        <f>INDEX(TextData!B:B,MATCH(B224,TextData!A:A))</f>
        <v>イクスティンクション+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401070</v>
      </c>
      <c r="B225">
        <v>401070</v>
      </c>
      <c r="C225" t="str">
        <f>INDEX(TextData!B:B,MATCH(B225,TextData!A:A))</f>
        <v>バーニングソウル+</v>
      </c>
      <c r="D225">
        <v>2</v>
      </c>
      <c r="E225" t="str">
        <f>INDEX(Define!X:X,MATCH(D225,Define!W:W))</f>
        <v>光</v>
      </c>
      <c r="F225">
        <v>101</v>
      </c>
      <c r="G225" t="str">
        <f>INDEX([1]Animations!B:B,MATCH(F225,[1]Animations!A:A))</f>
        <v>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401080</v>
      </c>
      <c r="B226">
        <v>401080</v>
      </c>
      <c r="C226" t="str">
        <f>INDEX(TextData!B:B,MATCH(B226,TextData!A:A))</f>
        <v>レイジングバウンサー+</v>
      </c>
      <c r="D226">
        <v>1</v>
      </c>
      <c r="E226" t="str">
        <f>INDEX(Define!X:X,MATCH(D226,Define!W:W))</f>
        <v>元素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402010</v>
      </c>
      <c r="B227">
        <v>402010</v>
      </c>
      <c r="C227" t="str">
        <f>INDEX(TextData!B:B,MATCH(B227,TextData!A:A))</f>
        <v>ディスチャージ+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402020</v>
      </c>
      <c r="B228">
        <v>402020</v>
      </c>
      <c r="C228" t="str">
        <f>INDEX(TextData!B:B,MATCH(B228,TextData!A:A))</f>
        <v>イベイドコード+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402030</v>
      </c>
      <c r="B229">
        <v>402030</v>
      </c>
      <c r="C229" t="str">
        <f>INDEX(TextData!B:B,MATCH(B229,TextData!A:A))</f>
        <v>ショックインパルス+</v>
      </c>
      <c r="D229">
        <v>3</v>
      </c>
      <c r="E229" t="str">
        <f>INDEX(Define!X:X,MATCH(D229,Define!W:W))</f>
        <v>理術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402040</v>
      </c>
      <c r="B230">
        <v>402040</v>
      </c>
      <c r="C230" t="str">
        <f>INDEX(TextData!B:B,MATCH(B230,TextData!A:A))</f>
        <v>トラストチェイン+</v>
      </c>
      <c r="D230">
        <v>1</v>
      </c>
      <c r="E230" t="str">
        <f>INDEX(Define!X:X,MATCH(D230,Define!W:W))</f>
        <v>元素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402050</v>
      </c>
      <c r="B231">
        <v>402050</v>
      </c>
      <c r="C231" t="str">
        <f>INDEX(TextData!B:B,MATCH(B231,TextData!A:A))</f>
        <v>スペルバニシング+</v>
      </c>
      <c r="D231">
        <v>1</v>
      </c>
      <c r="E231" t="str">
        <f>INDEX(Define!X:X,MATCH(D231,Define!W:W))</f>
        <v>元素</v>
      </c>
      <c r="F231">
        <v>201</v>
      </c>
      <c r="G231" t="str">
        <f>INDEX([1]Animations!B:B,MATCH(F231,[1]Animations!A:A))</f>
        <v>ThunderOne1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402060</v>
      </c>
      <c r="B232">
        <v>402060</v>
      </c>
      <c r="C232" t="str">
        <f>INDEX(TextData!B:B,MATCH(B232,TextData!A:A))</f>
        <v>アーテニーストライク+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402070</v>
      </c>
      <c r="B233">
        <v>402070</v>
      </c>
      <c r="C233" t="str">
        <f>INDEX(TextData!B:B,MATCH(B233,TextData!A:A))</f>
        <v>コンセントレイト+</v>
      </c>
      <c r="D233">
        <v>3</v>
      </c>
      <c r="E233" t="str">
        <f>INDEX(Define!X:X,MATCH(D233,Define!W:W))</f>
        <v>理術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402080</v>
      </c>
      <c r="B234">
        <v>402080</v>
      </c>
      <c r="C234" t="str">
        <f>INDEX(TextData!B:B,MATCH(B234,TextData!A:A))</f>
        <v>ディレイマジック+</v>
      </c>
      <c r="D234">
        <v>5</v>
      </c>
      <c r="E234" t="str">
        <f>INDEX(Define!X:X,MATCH(D234,Define!W:W))</f>
        <v>超次元</v>
      </c>
      <c r="F234">
        <v>201</v>
      </c>
      <c r="G234" t="str">
        <f>INDEX([1]Animations!B:B,MATCH(F234,[1]Animations!A:A))</f>
        <v>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403010</v>
      </c>
      <c r="B235">
        <v>403010</v>
      </c>
      <c r="C235" t="str">
        <f>INDEX(TextData!B:B,MATCH(B235,TextData!A:A))</f>
        <v>アイスブレイド+</v>
      </c>
      <c r="D235">
        <v>1</v>
      </c>
      <c r="E235" t="str">
        <f>INDEX(Define!X:X,MATCH(D235,Define!W:W))</f>
        <v>元素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403020</v>
      </c>
      <c r="B236">
        <v>403020</v>
      </c>
      <c r="C236" t="str">
        <f>INDEX(TextData!B:B,MATCH(B236,TextData!A:A))</f>
        <v>カウンターオーラ+</v>
      </c>
      <c r="D236">
        <v>2</v>
      </c>
      <c r="E236" t="str">
        <f>INDEX(Define!X:X,MATCH(D236,Define!W:W))</f>
        <v>光</v>
      </c>
      <c r="F236">
        <v>301</v>
      </c>
      <c r="G236" t="str">
        <f>INDEX([1]Animations!B:B,MATCH(F236,[1]Animations!A:A))</f>
        <v>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403030</v>
      </c>
      <c r="B237">
        <v>403030</v>
      </c>
      <c r="C237" t="str">
        <f>INDEX(TextData!B:B,MATCH(B237,TextData!A:A))</f>
        <v>ラインプロテクト+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403040</v>
      </c>
      <c r="B238">
        <v>403040</v>
      </c>
      <c r="C238" t="str">
        <f>INDEX(TextData!B:B,MATCH(B238,TextData!A:A))</f>
        <v>エスコートソール+</v>
      </c>
      <c r="D238">
        <v>3</v>
      </c>
      <c r="E238" t="str">
        <f>INDEX(Define!X:X,MATCH(D238,Define!W:W))</f>
        <v>理術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403050</v>
      </c>
      <c r="B239">
        <v>403050</v>
      </c>
      <c r="C239" t="str">
        <f>INDEX(TextData!B:B,MATCH(B239,TextData!A:A))</f>
        <v>ディープフリーズ+</v>
      </c>
      <c r="D239">
        <v>3</v>
      </c>
      <c r="E239" t="str">
        <f>INDEX(Define!X:X,MATCH(D239,Define!W:W))</f>
        <v>理術</v>
      </c>
      <c r="F239">
        <v>301</v>
      </c>
      <c r="G239" t="str">
        <f>INDEX([1]Animations!B:B,MATCH(F239,[1]Animations!A:A))</f>
        <v>IceOne1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403060</v>
      </c>
      <c r="B240">
        <v>403060</v>
      </c>
      <c r="C240" t="str">
        <f>INDEX(TextData!B:B,MATCH(B240,TextData!A:A))</f>
        <v>バブルブロウ+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403070</v>
      </c>
      <c r="B241">
        <v>403070</v>
      </c>
      <c r="C241" t="str">
        <f>INDEX(TextData!B:B,MATCH(B241,TextData!A:A))</f>
        <v>アクアミラージュ+</v>
      </c>
      <c r="D241">
        <v>4</v>
      </c>
      <c r="E241" t="str">
        <f>INDEX(Define!X:X,MATCH(D241,Define!W:W))</f>
        <v>精神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403080</v>
      </c>
      <c r="B242">
        <v>403080</v>
      </c>
      <c r="C242" t="str">
        <f>INDEX(TextData!B:B,MATCH(B242,TextData!A:A))</f>
        <v>フロストシールド+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404010</v>
      </c>
      <c r="B243">
        <v>404010</v>
      </c>
      <c r="C243" t="str">
        <f>INDEX(TextData!B:B,MATCH(B243,TextData!A:A))</f>
        <v>セイントレーザー+</v>
      </c>
      <c r="D243">
        <v>1</v>
      </c>
      <c r="E243" t="str">
        <f>INDEX(Define!X:X,MATCH(D243,Define!W:W))</f>
        <v>元素</v>
      </c>
      <c r="F243">
        <v>401</v>
      </c>
      <c r="G243" t="str">
        <f>INDEX([1]Animations!B:B,MATCH(F243,[1]Animations!A:A))</f>
        <v>LightOne1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404020</v>
      </c>
      <c r="B244">
        <v>404020</v>
      </c>
      <c r="C244" t="str">
        <f>INDEX(TextData!B:B,MATCH(B244,TextData!A:A))</f>
        <v>ペネトレイト+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404030</v>
      </c>
      <c r="B245">
        <v>404030</v>
      </c>
      <c r="C245" t="str">
        <f>INDEX(TextData!B:B,MATCH(B245,TextData!A:A))</f>
        <v>ヒーリング+</v>
      </c>
      <c r="D245">
        <v>2</v>
      </c>
      <c r="E245" t="str">
        <f>INDEX(Define!X:X,MATCH(D245,Define!W:W))</f>
        <v>光</v>
      </c>
      <c r="F245">
        <v>21</v>
      </c>
      <c r="G245" t="str">
        <f>INDEX([1]Animations!B:B,MATCH(F245,[1]Animations!A:A))</f>
        <v>tktk01/Magic2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404040</v>
      </c>
      <c r="B246">
        <v>404040</v>
      </c>
      <c r="C246" t="str">
        <f>INDEX(TextData!B:B,MATCH(B246,TextData!A:A))</f>
        <v>リザイアフォトン+</v>
      </c>
      <c r="D246">
        <v>2</v>
      </c>
      <c r="E246" t="str">
        <f>INDEX(Define!X:X,MATCH(D246,Define!W:W))</f>
        <v>光</v>
      </c>
      <c r="F246">
        <v>401</v>
      </c>
      <c r="G246" t="str">
        <f>INDEX([1]Animations!B:B,MATCH(F246,[1]Animations!A:A))</f>
        <v>LightOne1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404050</v>
      </c>
      <c r="B247">
        <v>404050</v>
      </c>
      <c r="C247" t="str">
        <f>INDEX(TextData!B:B,MATCH(B247,TextData!A:A))</f>
        <v>べネディクション+</v>
      </c>
      <c r="D247">
        <v>2</v>
      </c>
      <c r="E247" t="str">
        <f>INDEX(Define!X:X,MATCH(D247,Define!W:W))</f>
        <v>光</v>
      </c>
      <c r="F247">
        <v>21</v>
      </c>
      <c r="G247" t="str">
        <f>INDEX([1]Animations!B:B,MATCH(F247,[1]Animations!A:A))</f>
        <v>tktk01/Magic2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404060</v>
      </c>
      <c r="B248">
        <v>404060</v>
      </c>
      <c r="C248" t="str">
        <f>INDEX(TextData!B:B,MATCH(B248,TextData!A:A))</f>
        <v>ホーリーグレイス+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404070</v>
      </c>
      <c r="B249">
        <v>404070</v>
      </c>
      <c r="C249" t="str">
        <f>INDEX(TextData!B:B,MATCH(B249,TextData!A:A))</f>
        <v>キュアエール+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404080</v>
      </c>
      <c r="B250">
        <v>404080</v>
      </c>
      <c r="C250" t="str">
        <f>INDEX(TextData!B:B,MATCH(B250,TextData!A:A))</f>
        <v>ラインバリア+</v>
      </c>
      <c r="D250">
        <v>2</v>
      </c>
      <c r="E250" t="str">
        <f>INDEX(Define!X:X,MATCH(D250,Define!W:W))</f>
        <v>光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405010</v>
      </c>
      <c r="B251">
        <v>405010</v>
      </c>
      <c r="C251" t="str">
        <f>INDEX(TextData!B:B,MATCH(B251,TextData!A:A))</f>
        <v>ダークプリズン+</v>
      </c>
      <c r="D251">
        <v>5</v>
      </c>
      <c r="E251" t="str">
        <f>INDEX(Define!X:X,MATCH(D251,Define!W:W))</f>
        <v>超次元</v>
      </c>
      <c r="F251">
        <v>501</v>
      </c>
      <c r="G251" t="str">
        <f>INDEX([1]Animations!B:B,MATCH(F251,[1]Animations!A:A))</f>
        <v>DarknessOne1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405020</v>
      </c>
      <c r="B252">
        <v>405020</v>
      </c>
      <c r="C252" t="str">
        <f>INDEX(TextData!B:B,MATCH(B252,TextData!A:A))</f>
        <v>ユーサネイジア+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DarknessOne1</v>
      </c>
      <c r="H252">
        <v>3</v>
      </c>
      <c r="I252" t="str">
        <f>INDEX(Define!B:B,MATCH(H252,Define!A:A))</f>
        <v>全体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405030</v>
      </c>
      <c r="B253">
        <v>405030</v>
      </c>
      <c r="C253" t="str">
        <f>INDEX(TextData!B:B,MATCH(B253,TextData!A:A))</f>
        <v>ドレインヒール+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405040</v>
      </c>
      <c r="B254">
        <v>405040</v>
      </c>
      <c r="C254" t="str">
        <f>INDEX(TextData!B:B,MATCH(B254,TextData!A:A))</f>
        <v>アビサルデスペア+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405050</v>
      </c>
      <c r="B255">
        <v>405050</v>
      </c>
      <c r="C255" t="str">
        <f>INDEX(TextData!B:B,MATCH(B255,TextData!A:A))</f>
        <v>ディプラヴィティ+</v>
      </c>
      <c r="D255">
        <v>3</v>
      </c>
      <c r="E255" t="str">
        <f>INDEX(Define!X:X,MATCH(D255,Define!W:W))</f>
        <v>理術</v>
      </c>
      <c r="F255">
        <v>501</v>
      </c>
      <c r="G255" t="str">
        <f>INDEX([1]Animations!B:B,MATCH(F255,[1]Animations!A:A))</f>
        <v>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405060</v>
      </c>
      <c r="B256">
        <v>405060</v>
      </c>
      <c r="C256" t="str">
        <f>INDEX(TextData!B:B,MATCH(B256,TextData!A:A))</f>
        <v>ダークネス+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405070</v>
      </c>
      <c r="B257">
        <v>405070</v>
      </c>
      <c r="C257" t="str">
        <f>INDEX(TextData!B:B,MATCH(B257,TextData!A:A))</f>
        <v>シェイディークラウド+</v>
      </c>
      <c r="D257">
        <v>5</v>
      </c>
      <c r="E257" t="str">
        <f>INDEX(Define!X:X,MATCH(D257,Define!W:W))</f>
        <v>超次元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405080</v>
      </c>
      <c r="B258">
        <v>405080</v>
      </c>
      <c r="C258" t="str">
        <f>INDEX(TextData!B:B,MATCH(B258,TextData!A:A))</f>
        <v>ポイズンブロウ+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411010</v>
      </c>
      <c r="B259">
        <v>411010</v>
      </c>
      <c r="C259" t="str">
        <f>INDEX(TextData!B:B,MATCH(B259,TextData!A:A))</f>
        <v>ウルフソウル+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411020</v>
      </c>
      <c r="B260">
        <v>411020</v>
      </c>
      <c r="C260" t="str">
        <f>INDEX(TextData!B:B,MATCH(B260,TextData!A:A))</f>
        <v>プリディカメント+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411030</v>
      </c>
      <c r="B261">
        <v>411030</v>
      </c>
      <c r="C261" t="str">
        <f>INDEX(TextData!B:B,MATCH(B261,TextData!A:A))</f>
        <v>アサルトシフト+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411040</v>
      </c>
      <c r="B262">
        <v>411040</v>
      </c>
      <c r="C262" t="str">
        <f>INDEX(TextData!B:B,MATCH(B262,TextData!A:A))</f>
        <v>アクティブギフト+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411050</v>
      </c>
      <c r="B263">
        <v>411050</v>
      </c>
      <c r="C263" t="str">
        <f>INDEX(TextData!B:B,MATCH(B263,TextData!A:A))</f>
        <v>イグナイテッド+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411060</v>
      </c>
      <c r="B264">
        <v>411060</v>
      </c>
      <c r="C264" t="str">
        <f>INDEX(TextData!B:B,MATCH(B264,TextData!A:A))</f>
        <v>ライジングファイア+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411070</v>
      </c>
      <c r="B265">
        <v>411070</v>
      </c>
      <c r="C265" t="str">
        <f>INDEX(TextData!B:B,MATCH(B265,TextData!A:A))</f>
        <v>ルージュバック+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411080</v>
      </c>
      <c r="B266">
        <v>411080</v>
      </c>
      <c r="C266" t="str">
        <f>INDEX(TextData!B:B,MATCH(B266,TextData!A:A))</f>
        <v>パワーエール+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411090</v>
      </c>
      <c r="B267">
        <v>411090</v>
      </c>
      <c r="C267" t="str">
        <f>INDEX(TextData!B:B,MATCH(B267,TextData!A:A))</f>
        <v>スレイプニル+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412010</v>
      </c>
      <c r="B268">
        <v>412010</v>
      </c>
      <c r="C268" t="str">
        <f>INDEX(TextData!B:B,MATCH(B268,TextData!A:A))</f>
        <v>エクステンション+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412020</v>
      </c>
      <c r="B269">
        <v>412020</v>
      </c>
      <c r="C269" t="str">
        <f>INDEX(TextData!B:B,MATCH(B269,TextData!A:A))</f>
        <v>ヘブンリーラック+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412030</v>
      </c>
      <c r="B270">
        <v>412030</v>
      </c>
      <c r="C270" t="str">
        <f>INDEX(TextData!B:B,MATCH(B270,TextData!A:A))</f>
        <v>スウィフトカレント+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412040</v>
      </c>
      <c r="B271">
        <v>412040</v>
      </c>
      <c r="C271" t="str">
        <f>INDEX(TextData!B:B,MATCH(B271,TextData!A:A))</f>
        <v>イヴェイドオール+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412050</v>
      </c>
      <c r="B272">
        <v>412050</v>
      </c>
      <c r="C272" t="str">
        <f>INDEX(TextData!B:B,MATCH(B272,TextData!A:A))</f>
        <v>クイックムーブ+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412060</v>
      </c>
      <c r="B273">
        <v>412060</v>
      </c>
      <c r="C273" t="str">
        <f>INDEX(TextData!B:B,MATCH(B273,TextData!A:A))</f>
        <v>チェイスマジック+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412070</v>
      </c>
      <c r="B274">
        <v>412070</v>
      </c>
      <c r="C274" t="str">
        <f>INDEX(TextData!B:B,MATCH(B274,TextData!A:A))</f>
        <v>ソーサリーコネクト+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412080</v>
      </c>
      <c r="B275">
        <v>412080</v>
      </c>
      <c r="C275" t="str">
        <f>INDEX(TextData!B:B,MATCH(B275,TextData!A:A))</f>
        <v>ウィンドライズ+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412090</v>
      </c>
      <c r="B276">
        <v>412090</v>
      </c>
      <c r="C276" t="str">
        <f>INDEX(TextData!B:B,MATCH(B276,TextData!A:A))</f>
        <v>アウトオブオーダー+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413010</v>
      </c>
      <c r="B277">
        <v>413010</v>
      </c>
      <c r="C277" t="str">
        <f>INDEX(TextData!B:B,MATCH(B277,TextData!A:A))</f>
        <v>アーマーコード+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413020</v>
      </c>
      <c r="B278">
        <v>413020</v>
      </c>
      <c r="C278" t="str">
        <f>INDEX(TextData!B:B,MATCH(B278,TextData!A:A))</f>
        <v>クイックバリア+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413030</v>
      </c>
      <c r="B279">
        <v>413030</v>
      </c>
      <c r="C279" t="str">
        <f>INDEX(TextData!B:B,MATCH(B279,TextData!A:A))</f>
        <v>クイックキュア+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413040</v>
      </c>
      <c r="B280">
        <v>413040</v>
      </c>
      <c r="C280" t="str">
        <f>INDEX(TextData!B:B,MATCH(B280,TextData!A:A))</f>
        <v>セルフシールド+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413050</v>
      </c>
      <c r="B281">
        <v>413050</v>
      </c>
      <c r="C281" t="str">
        <f>INDEX(TextData!B:B,MATCH(B281,TextData!A:A))</f>
        <v>パッシブジャミング+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413060</v>
      </c>
      <c r="B282">
        <v>413060</v>
      </c>
      <c r="C282" t="str">
        <f>INDEX(TextData!B:B,MATCH(B282,TextData!A:A))</f>
        <v>サプライカバー+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413070</v>
      </c>
      <c r="B283">
        <v>413070</v>
      </c>
      <c r="C283" t="str">
        <f>INDEX(TextData!B:B,MATCH(B283,TextData!A:A))</f>
        <v>アシッドラッシュ+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413080</v>
      </c>
      <c r="B284">
        <v>413080</v>
      </c>
      <c r="C284" t="str">
        <f>INDEX(TextData!B:B,MATCH(B284,TextData!A:A))</f>
        <v>ライフスティール+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413090</v>
      </c>
      <c r="B285">
        <v>413090</v>
      </c>
      <c r="C285" t="str">
        <f>INDEX(TextData!B:B,MATCH(B285,TextData!A:A))</f>
        <v>アイスセイバー+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414010</v>
      </c>
      <c r="B286">
        <v>414010</v>
      </c>
      <c r="C286" t="str">
        <f>INDEX(TextData!B:B,MATCH(B286,TextData!A:A))</f>
        <v>ディバインシールド+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414020</v>
      </c>
      <c r="B287">
        <v>414020</v>
      </c>
      <c r="C287" t="str">
        <f>INDEX(TextData!B:B,MATCH(B287,TextData!A:A))</f>
        <v>ライフディバイド+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414030</v>
      </c>
      <c r="B288">
        <v>414030</v>
      </c>
      <c r="C288" t="str">
        <f>INDEX(TextData!B:B,MATCH(B288,TextData!A:A))</f>
        <v>エイミングスコープ+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414040</v>
      </c>
      <c r="B289">
        <v>414040</v>
      </c>
      <c r="C289" t="str">
        <f>INDEX(TextData!B:B,MATCH(B289,TextData!A:A))</f>
        <v>リジェネレーション+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414050</v>
      </c>
      <c r="B290">
        <v>414050</v>
      </c>
      <c r="C290" t="str">
        <f>INDEX(TextData!B:B,MATCH(B290,TextData!A:A))</f>
        <v>ホープフルアイリス+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414060</v>
      </c>
      <c r="B291">
        <v>414060</v>
      </c>
      <c r="C291" t="str">
        <f>INDEX(TextData!B:B,MATCH(B291,TextData!A:A))</f>
        <v>パッシブサプライ+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414070</v>
      </c>
      <c r="B292">
        <v>414070</v>
      </c>
      <c r="C292" t="str">
        <f>INDEX(TextData!B:B,MATCH(B292,TextData!A:A))</f>
        <v>ホーミングクルセイド+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414080</v>
      </c>
      <c r="B293">
        <v>414080</v>
      </c>
      <c r="C293" t="str">
        <f>INDEX(TextData!B:B,MATCH(B293,TextData!A:A))</f>
        <v>クイックヒール+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414090</v>
      </c>
      <c r="B294">
        <v>414090</v>
      </c>
      <c r="C294" t="str">
        <f>INDEX(TextData!B:B,MATCH(B294,TextData!A:A))</f>
        <v>リレイズ+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415010</v>
      </c>
      <c r="B295">
        <v>415010</v>
      </c>
      <c r="C295" t="str">
        <f>INDEX(TextData!B:B,MATCH(B295,TextData!A:A))</f>
        <v>イーグルアイ+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415020</v>
      </c>
      <c r="B296">
        <v>415020</v>
      </c>
      <c r="C296" t="str">
        <f>INDEX(TextData!B:B,MATCH(B296,TextData!A:A))</f>
        <v>ネヴァーエンド+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415030</v>
      </c>
      <c r="B297">
        <v>415030</v>
      </c>
      <c r="C297" t="str">
        <f>INDEX(TextData!B:B,MATCH(B297,TextData!A:A))</f>
        <v>グレイブアクト+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415040</v>
      </c>
      <c r="B298">
        <v>415040</v>
      </c>
      <c r="C298" t="str">
        <f>INDEX(TextData!B:B,MATCH(B298,TextData!A:A))</f>
        <v>スカルグラッジ+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415050</v>
      </c>
      <c r="B299">
        <v>415050</v>
      </c>
      <c r="C299" t="str">
        <f>INDEX(TextData!B:B,MATCH(B299,TextData!A:A))</f>
        <v>ネガティブドレイン+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415060</v>
      </c>
      <c r="B300">
        <v>415060</v>
      </c>
      <c r="C300" t="str">
        <f>INDEX(TextData!B:B,MATCH(B300,TextData!A:A))</f>
        <v>アンデッドペイン+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415070</v>
      </c>
      <c r="B301">
        <v>415070</v>
      </c>
      <c r="C301" t="str">
        <f>INDEX(TextData!B:B,MATCH(B301,TextData!A:A))</f>
        <v>ジャックポッド+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415080</v>
      </c>
      <c r="B302">
        <v>415080</v>
      </c>
      <c r="C302" t="str">
        <f>INDEX(TextData!B:B,MATCH(B302,TextData!A:A))</f>
        <v>ヒールハント+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415090</v>
      </c>
      <c r="B303">
        <v>415090</v>
      </c>
      <c r="C303" t="str">
        <f>INDEX(TextData!B:B,MATCH(B303,TextData!A:A))</f>
        <v>クイックカース+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</sheetData>
  <autoFilter ref="F1:F25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opLeftCell="A77" workbookViewId="0">
      <selection activeCell="G96" sqref="G9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topLeftCell="A85" workbookViewId="0">
      <selection activeCell="E4" sqref="E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opLeftCell="A147" workbookViewId="0">
      <selection activeCell="C151" sqref="C15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workbookViewId="0">
      <selection activeCell="H11" sqref="H1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0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2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3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4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5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11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20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24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31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32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Y13">
        <v>33</v>
      </c>
      <c r="Z13" t="s">
        <v>685</v>
      </c>
      <c r="AB13">
        <v>401</v>
      </c>
      <c r="AC13" t="s">
        <v>686</v>
      </c>
    </row>
    <row r="14" spans="16:29">
      <c r="P14">
        <v>2010</v>
      </c>
      <c r="Q14" t="s">
        <v>687</v>
      </c>
      <c r="U14">
        <v>3010</v>
      </c>
      <c r="V14" t="s">
        <v>688</v>
      </c>
      <c r="Y14">
        <v>41</v>
      </c>
      <c r="Z14" t="s">
        <v>689</v>
      </c>
      <c r="AB14">
        <v>402</v>
      </c>
      <c r="AC14" t="s">
        <v>690</v>
      </c>
    </row>
    <row r="15" spans="16:29">
      <c r="P15">
        <v>2011</v>
      </c>
      <c r="Q15" t="s">
        <v>691</v>
      </c>
      <c r="U15">
        <v>3020</v>
      </c>
      <c r="V15" t="s">
        <v>692</v>
      </c>
      <c r="Y15">
        <v>42</v>
      </c>
      <c r="Z15" t="s">
        <v>693</v>
      </c>
      <c r="AB15">
        <v>403</v>
      </c>
      <c r="AC15" t="s">
        <v>694</v>
      </c>
    </row>
    <row r="16" spans="16:29">
      <c r="P16">
        <v>2020</v>
      </c>
      <c r="Q16" t="s">
        <v>695</v>
      </c>
      <c r="U16">
        <v>3030</v>
      </c>
      <c r="V16" t="s">
        <v>696</v>
      </c>
      <c r="Y16">
        <v>51</v>
      </c>
      <c r="Z16" t="s">
        <v>697</v>
      </c>
      <c r="AB16">
        <v>404</v>
      </c>
      <c r="AC16" t="s">
        <v>698</v>
      </c>
    </row>
    <row r="17" spans="16:29">
      <c r="P17">
        <v>2030</v>
      </c>
      <c r="Q17" t="s">
        <v>699</v>
      </c>
      <c r="U17">
        <v>3040</v>
      </c>
      <c r="V17" t="s">
        <v>700</v>
      </c>
      <c r="Y17">
        <v>52</v>
      </c>
      <c r="Z17" t="s">
        <v>701</v>
      </c>
      <c r="AB17">
        <v>501</v>
      </c>
      <c r="AC17" t="s">
        <v>702</v>
      </c>
    </row>
    <row r="18" spans="16:29">
      <c r="P18">
        <v>2040</v>
      </c>
      <c r="Q18" t="s">
        <v>703</v>
      </c>
      <c r="U18">
        <v>3050</v>
      </c>
      <c r="V18" t="s">
        <v>704</v>
      </c>
      <c r="AB18">
        <v>502</v>
      </c>
      <c r="AC18" t="s">
        <v>705</v>
      </c>
    </row>
    <row r="19" spans="16:29">
      <c r="P19">
        <v>2110</v>
      </c>
      <c r="Q19" t="s">
        <v>706</v>
      </c>
      <c r="U19">
        <v>3060</v>
      </c>
      <c r="V19" t="s">
        <v>707</v>
      </c>
      <c r="AB19">
        <v>503</v>
      </c>
      <c r="AC19" t="s">
        <v>708</v>
      </c>
    </row>
    <row r="20" spans="16:29">
      <c r="P20">
        <v>2120</v>
      </c>
      <c r="Q20" t="s">
        <v>709</v>
      </c>
      <c r="U20">
        <v>4010</v>
      </c>
      <c r="V20" t="s">
        <v>710</v>
      </c>
      <c r="AB20">
        <v>504</v>
      </c>
      <c r="AC20" t="s">
        <v>711</v>
      </c>
    </row>
    <row r="21" spans="16:29">
      <c r="P21">
        <v>2130</v>
      </c>
      <c r="Q21" t="s">
        <v>712</v>
      </c>
      <c r="U21">
        <v>4020</v>
      </c>
      <c r="V21" t="s">
        <v>713</v>
      </c>
      <c r="AB21">
        <v>505</v>
      </c>
      <c r="AC21" t="s">
        <v>714</v>
      </c>
    </row>
    <row r="22" spans="16:29">
      <c r="P22">
        <v>3010</v>
      </c>
      <c r="Q22" t="s">
        <v>715</v>
      </c>
      <c r="U22">
        <v>5010</v>
      </c>
      <c r="V22" t="s">
        <v>716</v>
      </c>
      <c r="AB22">
        <v>506</v>
      </c>
      <c r="AC22" t="s">
        <v>717</v>
      </c>
    </row>
    <row r="23" spans="16:29">
      <c r="P23">
        <v>3020</v>
      </c>
      <c r="Q23" t="s">
        <v>718</v>
      </c>
      <c r="U23">
        <v>5020</v>
      </c>
      <c r="V23" t="s">
        <v>719</v>
      </c>
      <c r="AB23">
        <v>507</v>
      </c>
      <c r="AC23" t="s">
        <v>720</v>
      </c>
    </row>
    <row r="24" spans="16:29">
      <c r="P24">
        <v>3030</v>
      </c>
      <c r="Q24" t="s">
        <v>721</v>
      </c>
      <c r="U24">
        <v>5030</v>
      </c>
      <c r="V24" t="s">
        <v>722</v>
      </c>
      <c r="AB24">
        <v>508</v>
      </c>
      <c r="AC24" t="s">
        <v>686</v>
      </c>
    </row>
    <row r="25" spans="16:29">
      <c r="P25">
        <v>3040</v>
      </c>
      <c r="Q25" t="s">
        <v>723</v>
      </c>
      <c r="U25">
        <v>5040</v>
      </c>
      <c r="V25" t="s">
        <v>724</v>
      </c>
      <c r="AB25">
        <v>509</v>
      </c>
      <c r="AC25" t="s">
        <v>694</v>
      </c>
    </row>
    <row r="26" spans="16:22">
      <c r="P26">
        <v>3050</v>
      </c>
      <c r="Q26" t="s">
        <v>725</v>
      </c>
      <c r="U26">
        <v>5050</v>
      </c>
      <c r="V26" t="s">
        <v>726</v>
      </c>
    </row>
    <row r="27" spans="16:22">
      <c r="P27">
        <v>3060</v>
      </c>
      <c r="Q27" t="s">
        <v>727</v>
      </c>
      <c r="U27">
        <v>5060</v>
      </c>
      <c r="V27" t="s">
        <v>728</v>
      </c>
    </row>
    <row r="28" spans="16:22">
      <c r="P28">
        <v>3070</v>
      </c>
      <c r="Q28" t="s">
        <v>729</v>
      </c>
      <c r="U28">
        <v>5070</v>
      </c>
      <c r="V28" t="s">
        <v>730</v>
      </c>
    </row>
    <row r="29" spans="16:22">
      <c r="P29">
        <v>4010</v>
      </c>
      <c r="Q29" t="s">
        <v>731</v>
      </c>
      <c r="U29">
        <v>5080</v>
      </c>
      <c r="V29" t="s">
        <v>732</v>
      </c>
    </row>
    <row r="30" spans="16:22">
      <c r="P30">
        <v>4020</v>
      </c>
      <c r="Q30" t="s">
        <v>733</v>
      </c>
      <c r="U30">
        <v>5090</v>
      </c>
      <c r="V30" t="s">
        <v>734</v>
      </c>
    </row>
    <row r="31" spans="16:22">
      <c r="P31">
        <v>4030</v>
      </c>
      <c r="Q31" t="s">
        <v>735</v>
      </c>
      <c r="U31">
        <v>5100</v>
      </c>
      <c r="V31" t="s">
        <v>736</v>
      </c>
    </row>
    <row r="32" spans="16:22">
      <c r="P32">
        <v>4040</v>
      </c>
      <c r="Q32" t="s">
        <v>737</v>
      </c>
      <c r="U32">
        <v>5110</v>
      </c>
      <c r="V32" t="s">
        <v>738</v>
      </c>
    </row>
    <row r="33" spans="16:22">
      <c r="P33">
        <v>4041</v>
      </c>
      <c r="Q33" t="s">
        <v>739</v>
      </c>
      <c r="U33">
        <v>5120</v>
      </c>
      <c r="V33" t="s">
        <v>740</v>
      </c>
    </row>
    <row r="34" spans="16:22">
      <c r="P34">
        <v>5010</v>
      </c>
      <c r="Q34" t="s">
        <v>741</v>
      </c>
      <c r="U34">
        <v>5130</v>
      </c>
      <c r="V34" t="s">
        <v>742</v>
      </c>
    </row>
    <row r="35" spans="16:22">
      <c r="P35">
        <v>5011</v>
      </c>
      <c r="Q35" t="s">
        <v>743</v>
      </c>
      <c r="U35">
        <v>5140</v>
      </c>
      <c r="V35" t="s">
        <v>744</v>
      </c>
    </row>
    <row r="36" spans="16:22">
      <c r="P36">
        <v>5012</v>
      </c>
      <c r="Q36" t="s">
        <v>745</v>
      </c>
      <c r="U36">
        <v>5150</v>
      </c>
      <c r="V36" t="s">
        <v>746</v>
      </c>
    </row>
    <row r="37" spans="16:22">
      <c r="P37">
        <v>5020</v>
      </c>
      <c r="Q37" t="s">
        <v>747</v>
      </c>
      <c r="U37">
        <v>6010</v>
      </c>
      <c r="V37" t="s">
        <v>748</v>
      </c>
    </row>
    <row r="38" spans="16:22">
      <c r="P38">
        <v>5030</v>
      </c>
      <c r="Q38" t="s">
        <v>749</v>
      </c>
      <c r="U38">
        <v>6020</v>
      </c>
      <c r="V38" t="s">
        <v>750</v>
      </c>
    </row>
    <row r="39" spans="16:22">
      <c r="P39">
        <v>5040</v>
      </c>
      <c r="Q39" t="s">
        <v>751</v>
      </c>
      <c r="U39">
        <v>6030</v>
      </c>
      <c r="V39" t="s">
        <v>752</v>
      </c>
    </row>
    <row r="40" spans="16:22">
      <c r="P40">
        <v>5050</v>
      </c>
      <c r="Q40" t="s">
        <v>753</v>
      </c>
      <c r="U40">
        <v>6040</v>
      </c>
      <c r="V40" t="s">
        <v>754</v>
      </c>
    </row>
    <row r="41" spans="16:22">
      <c r="P41">
        <v>6010</v>
      </c>
      <c r="Q41" t="s">
        <v>755</v>
      </c>
      <c r="U41">
        <v>6050</v>
      </c>
      <c r="V41" t="s">
        <v>756</v>
      </c>
    </row>
    <row r="42" spans="16:22">
      <c r="P42">
        <v>6020</v>
      </c>
      <c r="Q42" t="s">
        <v>757</v>
      </c>
      <c r="U42">
        <v>6060</v>
      </c>
      <c r="V42" t="s">
        <v>758</v>
      </c>
    </row>
    <row r="43" spans="16:22">
      <c r="P43">
        <v>6030</v>
      </c>
      <c r="Q43" t="s">
        <v>759</v>
      </c>
      <c r="U43">
        <v>6110</v>
      </c>
      <c r="V43" t="s">
        <v>760</v>
      </c>
    </row>
    <row r="44" spans="16:22">
      <c r="P44">
        <v>6040</v>
      </c>
      <c r="Q44" t="s">
        <v>761</v>
      </c>
      <c r="U44">
        <v>6120</v>
      </c>
      <c r="V44" t="s">
        <v>762</v>
      </c>
    </row>
    <row r="45" spans="16:22">
      <c r="P45">
        <v>6050</v>
      </c>
      <c r="Q45" t="s">
        <v>763</v>
      </c>
      <c r="U45">
        <v>6130</v>
      </c>
      <c r="V45" t="s">
        <v>764</v>
      </c>
    </row>
    <row r="46" spans="16:22">
      <c r="P46">
        <v>6060</v>
      </c>
      <c r="Q46" t="s">
        <v>765</v>
      </c>
      <c r="U46">
        <v>6140</v>
      </c>
      <c r="V46" t="s">
        <v>766</v>
      </c>
    </row>
    <row r="47" spans="16:22">
      <c r="P47">
        <v>6070</v>
      </c>
      <c r="Q47" t="s">
        <v>767</v>
      </c>
      <c r="U47">
        <v>6150</v>
      </c>
      <c r="V47" t="s">
        <v>768</v>
      </c>
    </row>
    <row r="48" spans="16:22">
      <c r="P48">
        <v>6080</v>
      </c>
      <c r="Q48" t="s">
        <v>769</v>
      </c>
      <c r="U48">
        <v>6210</v>
      </c>
      <c r="V48" t="s">
        <v>770</v>
      </c>
    </row>
    <row r="49" spans="16:22">
      <c r="P49">
        <v>6100</v>
      </c>
      <c r="Q49" t="s">
        <v>771</v>
      </c>
      <c r="U49">
        <v>6220</v>
      </c>
      <c r="V49" t="s">
        <v>772</v>
      </c>
    </row>
    <row r="50" spans="16:22">
      <c r="P50">
        <v>6210</v>
      </c>
      <c r="Q50" t="s">
        <v>773</v>
      </c>
      <c r="U50">
        <v>6230</v>
      </c>
      <c r="V50" t="s">
        <v>774</v>
      </c>
    </row>
    <row r="51" spans="16:22">
      <c r="P51">
        <v>6310</v>
      </c>
      <c r="Q51" t="s">
        <v>775</v>
      </c>
      <c r="U51">
        <v>6240</v>
      </c>
      <c r="V51" t="s">
        <v>776</v>
      </c>
    </row>
    <row r="52" spans="16:22">
      <c r="P52">
        <v>7010</v>
      </c>
      <c r="Q52" t="s">
        <v>777</v>
      </c>
      <c r="U52">
        <v>6250</v>
      </c>
      <c r="V52" t="s">
        <v>778</v>
      </c>
    </row>
    <row r="53" spans="16:22">
      <c r="P53">
        <v>7020</v>
      </c>
      <c r="Q53" t="s">
        <v>779</v>
      </c>
      <c r="U53">
        <v>6310</v>
      </c>
      <c r="V53" t="s">
        <v>780</v>
      </c>
    </row>
    <row r="54" spans="16:22">
      <c r="P54">
        <v>7030</v>
      </c>
      <c r="Q54" t="s">
        <v>781</v>
      </c>
      <c r="U54">
        <v>6320</v>
      </c>
      <c r="V54" t="s">
        <v>782</v>
      </c>
    </row>
    <row r="55" spans="16:22">
      <c r="P55">
        <v>8010</v>
      </c>
      <c r="Q55" t="s">
        <v>783</v>
      </c>
      <c r="U55">
        <v>6330</v>
      </c>
      <c r="V55" t="s">
        <v>784</v>
      </c>
    </row>
    <row r="56" spans="16:22">
      <c r="P56">
        <v>8020</v>
      </c>
      <c r="Q56" t="s">
        <v>785</v>
      </c>
      <c r="U56">
        <v>6340</v>
      </c>
      <c r="V56" t="s">
        <v>786</v>
      </c>
    </row>
    <row r="57" spans="16:22">
      <c r="P57">
        <v>9010</v>
      </c>
      <c r="Q57" t="s">
        <v>787</v>
      </c>
      <c r="U57">
        <v>6350</v>
      </c>
      <c r="V57" t="s">
        <v>788</v>
      </c>
    </row>
    <row r="58" spans="16:22">
      <c r="P58">
        <v>10010</v>
      </c>
      <c r="Q58" t="s">
        <v>789</v>
      </c>
      <c r="U58">
        <v>7010</v>
      </c>
      <c r="V58" t="s">
        <v>790</v>
      </c>
    </row>
    <row r="59" spans="16:22">
      <c r="P59">
        <v>10020</v>
      </c>
      <c r="Q59" t="s">
        <v>791</v>
      </c>
      <c r="U59">
        <v>7020</v>
      </c>
      <c r="V59" t="s">
        <v>792</v>
      </c>
    </row>
    <row r="60" spans="16:22">
      <c r="P60">
        <v>11010</v>
      </c>
      <c r="Q60" t="s">
        <v>793</v>
      </c>
      <c r="U60">
        <v>7030</v>
      </c>
      <c r="V60" t="s">
        <v>794</v>
      </c>
    </row>
    <row r="61" spans="16:22">
      <c r="P61">
        <v>12010</v>
      </c>
      <c r="Q61" t="s">
        <v>795</v>
      </c>
      <c r="U61">
        <v>7040</v>
      </c>
      <c r="V61" t="s">
        <v>796</v>
      </c>
    </row>
    <row r="62" spans="16:22">
      <c r="P62">
        <v>13010</v>
      </c>
      <c r="Q62" t="s">
        <v>797</v>
      </c>
      <c r="U62">
        <v>7050</v>
      </c>
      <c r="V62" t="s">
        <v>798</v>
      </c>
    </row>
    <row r="63" spans="16:22">
      <c r="P63">
        <v>40010</v>
      </c>
      <c r="Q63" t="s">
        <v>799</v>
      </c>
      <c r="U63">
        <v>7060</v>
      </c>
      <c r="V63" t="s">
        <v>800</v>
      </c>
    </row>
    <row r="64" spans="16:22">
      <c r="P64">
        <v>40020</v>
      </c>
      <c r="Q64" t="s">
        <v>801</v>
      </c>
      <c r="U64">
        <v>7070</v>
      </c>
      <c r="V64" t="s">
        <v>802</v>
      </c>
    </row>
    <row r="65" spans="16:22">
      <c r="P65">
        <v>40030</v>
      </c>
      <c r="Q65" t="s">
        <v>803</v>
      </c>
      <c r="U65">
        <v>8010</v>
      </c>
      <c r="V65" t="s">
        <v>804</v>
      </c>
    </row>
    <row r="66" spans="16:22">
      <c r="P66">
        <v>40040</v>
      </c>
      <c r="Q66" t="s">
        <v>805</v>
      </c>
      <c r="U66">
        <v>8020</v>
      </c>
      <c r="V66" t="s">
        <v>806</v>
      </c>
    </row>
    <row r="67" spans="16:22">
      <c r="P67">
        <v>40050</v>
      </c>
      <c r="Q67" t="s">
        <v>807</v>
      </c>
      <c r="U67">
        <v>8030</v>
      </c>
      <c r="V67" t="s">
        <v>808</v>
      </c>
    </row>
    <row r="68" spans="16:22">
      <c r="P68">
        <v>40060</v>
      </c>
      <c r="Q68" t="s">
        <v>809</v>
      </c>
      <c r="U68">
        <v>8040</v>
      </c>
      <c r="V68" t="s">
        <v>810</v>
      </c>
    </row>
    <row r="69" spans="16:22">
      <c r="P69">
        <v>40070</v>
      </c>
      <c r="Q69" t="s">
        <v>811</v>
      </c>
      <c r="U69">
        <v>8050</v>
      </c>
      <c r="V69" t="s">
        <v>812</v>
      </c>
    </row>
    <row r="70" spans="16:22">
      <c r="P70">
        <v>40080</v>
      </c>
      <c r="Q70" t="s">
        <v>813</v>
      </c>
      <c r="U70">
        <v>8060</v>
      </c>
      <c r="V70" t="s">
        <v>814</v>
      </c>
    </row>
    <row r="71" spans="21:22">
      <c r="U71">
        <v>9010</v>
      </c>
      <c r="V71" t="s">
        <v>815</v>
      </c>
    </row>
    <row r="72" spans="21:22">
      <c r="U72">
        <v>9020</v>
      </c>
      <c r="V72" t="s">
        <v>816</v>
      </c>
    </row>
    <row r="73" spans="21:22">
      <c r="U73">
        <v>9030</v>
      </c>
      <c r="V73" t="s">
        <v>817</v>
      </c>
    </row>
    <row r="74" spans="21:22">
      <c r="U74">
        <v>9031</v>
      </c>
      <c r="V74" t="s">
        <v>818</v>
      </c>
    </row>
    <row r="75" spans="21:22">
      <c r="U75">
        <v>9040</v>
      </c>
      <c r="V75" t="s">
        <v>819</v>
      </c>
    </row>
    <row r="76" spans="21:22">
      <c r="U76">
        <v>9110</v>
      </c>
      <c r="V76" t="s">
        <v>820</v>
      </c>
    </row>
    <row r="77" spans="21:22">
      <c r="U77">
        <v>9120</v>
      </c>
      <c r="V77" t="s">
        <v>821</v>
      </c>
    </row>
    <row r="78" spans="21:22">
      <c r="U78">
        <v>10010</v>
      </c>
      <c r="V78" t="s">
        <v>822</v>
      </c>
    </row>
    <row r="79" spans="21:22">
      <c r="U79">
        <v>10020</v>
      </c>
      <c r="V79" t="s">
        <v>823</v>
      </c>
    </row>
    <row r="80" spans="21:22">
      <c r="U80">
        <v>10030</v>
      </c>
      <c r="V80" t="s">
        <v>824</v>
      </c>
    </row>
    <row r="81" spans="21:22">
      <c r="U81">
        <v>10110</v>
      </c>
      <c r="V81" t="s">
        <v>825</v>
      </c>
    </row>
    <row r="82" spans="21:22">
      <c r="U82">
        <v>10120</v>
      </c>
      <c r="V82" t="s">
        <v>826</v>
      </c>
    </row>
    <row r="83" spans="21:22">
      <c r="U83">
        <v>10130</v>
      </c>
      <c r="V83" t="s">
        <v>827</v>
      </c>
    </row>
    <row r="84" spans="21:22">
      <c r="U84">
        <v>11010</v>
      </c>
      <c r="V84" t="s">
        <v>828</v>
      </c>
    </row>
    <row r="85" spans="21:22">
      <c r="U85">
        <v>11011</v>
      </c>
      <c r="V85" t="s">
        <v>829</v>
      </c>
    </row>
    <row r="86" spans="21:22">
      <c r="U86">
        <v>11020</v>
      </c>
      <c r="V86" t="s">
        <v>830</v>
      </c>
    </row>
    <row r="87" spans="21:22">
      <c r="U87">
        <v>12010</v>
      </c>
      <c r="V87" t="s">
        <v>831</v>
      </c>
    </row>
    <row r="88" spans="21:22">
      <c r="U88">
        <v>12011</v>
      </c>
      <c r="V88" t="s">
        <v>832</v>
      </c>
    </row>
    <row r="89" spans="21:22">
      <c r="U89">
        <v>12030</v>
      </c>
      <c r="V89" t="s">
        <v>833</v>
      </c>
    </row>
    <row r="90" spans="21:22">
      <c r="U90">
        <v>12040</v>
      </c>
      <c r="V90" t="s">
        <v>834</v>
      </c>
    </row>
    <row r="91" spans="21:22">
      <c r="U91">
        <v>12041</v>
      </c>
      <c r="V91" t="s">
        <v>835</v>
      </c>
    </row>
    <row r="92" spans="21:22">
      <c r="U92">
        <v>12042</v>
      </c>
      <c r="V92" t="s">
        <v>836</v>
      </c>
    </row>
    <row r="93" spans="21:22">
      <c r="U93">
        <v>12043</v>
      </c>
      <c r="V93" t="s">
        <v>837</v>
      </c>
    </row>
    <row r="94" spans="21:22">
      <c r="U94">
        <v>12050</v>
      </c>
      <c r="V94" t="s">
        <v>838</v>
      </c>
    </row>
    <row r="95" spans="21:22">
      <c r="U95">
        <v>12060</v>
      </c>
      <c r="V95" t="s">
        <v>839</v>
      </c>
    </row>
    <row r="96" spans="21:22">
      <c r="U96">
        <v>12063</v>
      </c>
      <c r="V96" t="s">
        <v>840</v>
      </c>
    </row>
    <row r="97" spans="21:22">
      <c r="U97">
        <v>12064</v>
      </c>
      <c r="V97" t="s">
        <v>841</v>
      </c>
    </row>
    <row r="98" spans="21:22">
      <c r="U98">
        <v>12066</v>
      </c>
      <c r="V98" t="s">
        <v>842</v>
      </c>
    </row>
    <row r="99" spans="21:22">
      <c r="U99">
        <v>12067</v>
      </c>
      <c r="V99" t="s">
        <v>843</v>
      </c>
    </row>
    <row r="100" spans="21:22">
      <c r="U100">
        <v>12070</v>
      </c>
      <c r="V100" t="s">
        <v>844</v>
      </c>
    </row>
    <row r="101" spans="21:22">
      <c r="U101">
        <v>12071</v>
      </c>
      <c r="V101" t="s">
        <v>845</v>
      </c>
    </row>
    <row r="102" spans="21:22">
      <c r="U102">
        <v>12072</v>
      </c>
      <c r="V102" t="s">
        <v>846</v>
      </c>
    </row>
    <row r="103" spans="21:22">
      <c r="U103">
        <v>12082</v>
      </c>
      <c r="V103" t="s">
        <v>847</v>
      </c>
    </row>
    <row r="104" spans="21:22">
      <c r="U104">
        <v>12092</v>
      </c>
      <c r="V104" t="s">
        <v>848</v>
      </c>
    </row>
    <row r="105" spans="21:22">
      <c r="U105">
        <v>13010</v>
      </c>
      <c r="V105" t="s">
        <v>849</v>
      </c>
    </row>
    <row r="106" spans="21:22">
      <c r="U106">
        <v>13020</v>
      </c>
      <c r="V106" t="s">
        <v>850</v>
      </c>
    </row>
    <row r="107" spans="21:22">
      <c r="U107">
        <v>14010</v>
      </c>
      <c r="V107" t="s">
        <v>851</v>
      </c>
    </row>
    <row r="108" spans="21:22">
      <c r="U108">
        <v>14110</v>
      </c>
      <c r="V108" t="s">
        <v>852</v>
      </c>
    </row>
    <row r="109" spans="21:22">
      <c r="U109">
        <v>14210</v>
      </c>
      <c r="V109" t="s">
        <v>853</v>
      </c>
    </row>
    <row r="110" spans="21:22">
      <c r="U110">
        <v>14310</v>
      </c>
      <c r="V110" t="s">
        <v>854</v>
      </c>
    </row>
    <row r="111" spans="21:22">
      <c r="U111">
        <v>14410</v>
      </c>
      <c r="V111" t="s">
        <v>855</v>
      </c>
    </row>
    <row r="112" spans="21:22">
      <c r="U112">
        <v>14420</v>
      </c>
      <c r="V112" t="s">
        <v>856</v>
      </c>
    </row>
    <row r="113" spans="21:22">
      <c r="U113">
        <v>14520</v>
      </c>
      <c r="V113" t="s">
        <v>857</v>
      </c>
    </row>
    <row r="114" spans="21:22">
      <c r="U114">
        <v>15010</v>
      </c>
      <c r="V114" t="s">
        <v>858</v>
      </c>
    </row>
    <row r="115" spans="21:22">
      <c r="U115">
        <v>15011</v>
      </c>
      <c r="V115" t="s">
        <v>859</v>
      </c>
    </row>
    <row r="116" spans="21:22">
      <c r="U116">
        <v>15022</v>
      </c>
      <c r="V116" t="s">
        <v>860</v>
      </c>
    </row>
    <row r="117" spans="21:22">
      <c r="U117">
        <v>16010</v>
      </c>
      <c r="V117" t="s">
        <v>861</v>
      </c>
    </row>
    <row r="118" spans="21:22">
      <c r="U118">
        <v>17010</v>
      </c>
      <c r="V118" t="s">
        <v>862</v>
      </c>
    </row>
    <row r="119" spans="21:22">
      <c r="U119">
        <v>17020</v>
      </c>
      <c r="V119" t="s">
        <v>863</v>
      </c>
    </row>
    <row r="120" spans="21:22">
      <c r="U120">
        <v>17030</v>
      </c>
      <c r="V120" t="s">
        <v>864</v>
      </c>
    </row>
    <row r="121" spans="21:22">
      <c r="U121">
        <v>17040</v>
      </c>
      <c r="V121" t="s">
        <v>865</v>
      </c>
    </row>
    <row r="122" spans="21:22">
      <c r="U122">
        <v>17050</v>
      </c>
      <c r="V122" t="s">
        <v>866</v>
      </c>
    </row>
    <row r="123" spans="21:22">
      <c r="U123">
        <v>17060</v>
      </c>
      <c r="V123" t="s">
        <v>867</v>
      </c>
    </row>
    <row r="124" spans="21:22">
      <c r="U124">
        <v>18010</v>
      </c>
      <c r="V124" t="s">
        <v>868</v>
      </c>
    </row>
    <row r="125" spans="21:22">
      <c r="U125">
        <v>18020</v>
      </c>
      <c r="V125" t="s">
        <v>869</v>
      </c>
    </row>
    <row r="126" spans="21:22">
      <c r="U126">
        <v>19010</v>
      </c>
      <c r="V126" t="s">
        <v>870</v>
      </c>
    </row>
    <row r="127" spans="21:22">
      <c r="U127">
        <v>19020</v>
      </c>
      <c r="V127" t="s">
        <v>871</v>
      </c>
    </row>
    <row r="128" spans="21:22">
      <c r="U128">
        <v>19030</v>
      </c>
      <c r="V128" t="s">
        <v>872</v>
      </c>
    </row>
    <row r="129" spans="21:22">
      <c r="U129">
        <v>20030</v>
      </c>
      <c r="V129" t="s">
        <v>873</v>
      </c>
    </row>
    <row r="130" spans="21:22">
      <c r="U130">
        <v>20040</v>
      </c>
      <c r="V130" t="s">
        <v>874</v>
      </c>
    </row>
    <row r="131" spans="21:22">
      <c r="U131">
        <v>20050</v>
      </c>
      <c r="V131" t="s">
        <v>875</v>
      </c>
    </row>
    <row r="132" spans="21:22">
      <c r="U132">
        <v>20070</v>
      </c>
      <c r="V132" t="s">
        <v>876</v>
      </c>
    </row>
    <row r="133" spans="21:22">
      <c r="U133">
        <v>20071</v>
      </c>
      <c r="V133" t="s">
        <v>877</v>
      </c>
    </row>
    <row r="134" spans="21:22">
      <c r="U134">
        <v>20110</v>
      </c>
      <c r="V134" t="s">
        <v>878</v>
      </c>
    </row>
    <row r="135" spans="21:22">
      <c r="U135">
        <v>20120</v>
      </c>
      <c r="V135" t="s">
        <v>879</v>
      </c>
    </row>
    <row r="136" spans="21:22">
      <c r="U136">
        <v>20130</v>
      </c>
      <c r="V136" t="s">
        <v>880</v>
      </c>
    </row>
    <row r="137" spans="21:22">
      <c r="U137">
        <v>20140</v>
      </c>
      <c r="V137" t="s">
        <v>881</v>
      </c>
    </row>
    <row r="138" spans="21:22">
      <c r="U138">
        <v>20150</v>
      </c>
      <c r="V138" t="s">
        <v>882</v>
      </c>
    </row>
    <row r="139" spans="21:22">
      <c r="U139">
        <v>20160</v>
      </c>
      <c r="V139" t="s">
        <v>883</v>
      </c>
    </row>
    <row r="140" spans="21:22">
      <c r="U140">
        <v>23010</v>
      </c>
      <c r="V140" t="s">
        <v>884</v>
      </c>
    </row>
    <row r="141" spans="21:22">
      <c r="U141">
        <v>24010</v>
      </c>
      <c r="V141" t="s">
        <v>885</v>
      </c>
    </row>
    <row r="142" spans="21:22">
      <c r="U142">
        <v>30010</v>
      </c>
      <c r="V142" t="s">
        <v>886</v>
      </c>
    </row>
    <row r="143" spans="21:22">
      <c r="U143">
        <v>30020</v>
      </c>
      <c r="V143" t="s">
        <v>887</v>
      </c>
    </row>
    <row r="144" spans="21:22">
      <c r="U144">
        <v>40010</v>
      </c>
      <c r="V144" t="s">
        <v>888</v>
      </c>
    </row>
    <row r="145" spans="21:22">
      <c r="U145">
        <v>40020</v>
      </c>
      <c r="V145" t="s">
        <v>889</v>
      </c>
    </row>
    <row r="146" spans="21:22">
      <c r="U146">
        <v>40030</v>
      </c>
      <c r="V146" t="s">
        <v>890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2025-11-05T03:59:45Z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