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Triggers!$E$1:$E$170</definedName>
  </definedNames>
  <calcPr calcId="144525" concurrentCalc="0"/>
</workbook>
</file>

<file path=xl/sharedStrings.xml><?xml version="1.0" encoding="utf-8"?>
<sst xmlns="http://schemas.openxmlformats.org/spreadsheetml/2006/main" count="1155" uniqueCount="906">
  <si>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</si>
  <si>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</si>
  <si>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</si>
  <si>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</si>
  <si>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</si>
  <si>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</si>
  <si>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</si>
  <si>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</si>
  <si>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</si>
  <si>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</si>
  <si>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</si>
  <si>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</si>
  <si>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</si>
  <si>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</si>
  <si>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</si>
  <si>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</si>
  <si>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</si>
  <si>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</si>
  <si>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</si>
  <si>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</si>
  <si>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</si>
  <si>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</si>
  <si>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</si>
  <si>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</si>
  <si>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</si>
  <si>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</si>
  <si>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</si>
  <si>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</si>
  <si>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</si>
  <si>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</si>
  <si>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</si>
  <si>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</si>
  <si>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</si>
  <si>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</si>
  <si>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</si>
  <si>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</si>
  <si>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</si>
  <si>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</si>
  <si>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</si>
  <si>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</si>
  <si>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</si>
  <si>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</si>
  <si>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</si>
  <si>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</si>
  <si>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</si>
  <si>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</si>
  <si>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</si>
  <si>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</si>
  <si>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</si>
  <si>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</si>
  <si>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</si>
  <si>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</si>
  <si>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</si>
  <si>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</si>
  <si>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</si>
  <si>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</si>
  <si>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</si>
  <si>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</si>
  <si>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</si>
  <si>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</si>
  <si>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</si>
  <si>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</si>
  <si>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</si>
  <si>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</si>
  <si>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</si>
  <si>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</si>
  <si>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</si>
  <si>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</si>
  <si>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</si>
  <si>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</si>
  <si>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</si>
  <si>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</si>
  <si>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</si>
  <si>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</si>
  <si>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</si>
  <si>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</si>
  <si>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</si>
  <si>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</si>
  <si>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</si>
  <si>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</si>
  <si>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</si>
  <si>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</si>
  <si>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</si>
  <si>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</si>
  <si>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</si>
  <si>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</si>
  <si>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</si>
  <si>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</si>
  <si>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</si>
  <si>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</si>
  <si>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</si>
  <si>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</si>
  <si>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</si>
  <si>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</si>
  <si>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</si>
  <si>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</si>
  <si>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</si>
  <si>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</si>
  <si>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</si>
  <si>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</si>
  <si>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</si>
  <si>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</si>
  <si>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</si>
  <si>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</si>
  <si>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</si>
  <si>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</si>
  <si>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</si>
  <si>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</si>
  <si>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</si>
  <si>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</si>
  <si>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</si>
  <si>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</si>
  <si>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</si>
  <si>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</si>
  <si>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</si>
  <si>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</si>
  <si>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</si>
  <si>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</si>
  <si>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</si>
  <si>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</si>
  <si>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</si>
  <si>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</si>
  <si>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</si>
  <si>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</si>
  <si>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</si>
  <si>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</si>
  <si>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</si>
  <si>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</si>
  <si>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</si>
  <si>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</si>
  <si>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</si>
  <si>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</si>
  <si>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</si>
  <si>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</si>
  <si>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</si>
  <si>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</si>
  <si>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</si>
  <si>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</si>
  <si>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</si>
  <si>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</si>
  <si>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</si>
  <si>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</si>
  <si>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</si>
  <si>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</si>
  <si>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</si>
  <si>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</si>
  <si>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</si>
  <si>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</si>
  <si>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</si>
  <si>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</si>
  <si>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</si>
  <si>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</si>
  <si>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</si>
  <si>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</si>
  <si>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</si>
  <si>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</si>
  <si>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</si>
  <si>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</si>
  <si>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</si>
  <si>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</si>
  <si>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</si>
  <si>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</si>
  <si>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</si>
  <si>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</si>
  <si>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</si>
  <si>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</si>
  <si>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</si>
  <si>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</si>
  <si>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</si>
  <si>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</si>
  <si>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</si>
  <si>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</si>
  <si>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</si>
  <si>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</si>
  <si>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</si>
  <si>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</si>
  <si>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</si>
  <si>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</si>
  <si>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</si>
  <si>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</si>
  <si>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</si>
  <si>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</si>
  <si>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</si>
  <si>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</si>
  <si>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</si>
  <si>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</si>
  <si>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</si>
  <si>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</si>
  <si>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</si>
  <si>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</si>
  <si>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</si>
  <si>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</si>
  <si>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</si>
  <si>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</si>
  <si>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</si>
  <si>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</si>
  <si>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</si>
  <si>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</si>
  <si>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</si>
  <si>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</si>
  <si>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</si>
  <si>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</si>
  <si>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</si>
  <si>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</si>
  <si>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</si>
  <si>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</si>
  <si>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</si>
  <si>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</si>
  <si>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</si>
  <si>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</si>
  <si>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</si>
  <si>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</si>
  <si>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</si>
  <si>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</si>
  <si>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</si>
  <si>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</si>
  <si>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</si>
  <si>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</si>
  <si>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</si>
  <si>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</si>
  <si>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</si>
  <si>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</si>
  <si>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</si>
  <si>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</si>
  <si>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</si>
  <si>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</si>
  <si>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</si>
  <si>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</si>
  <si>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</si>
  <si>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</si>
  <si>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</si>
  <si>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</si>
  <si>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</si>
  <si>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</si>
  <si>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</si>
  <si>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</si>
  <si>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</si>
  <si>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</si>
  <si>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</si>
  <si>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</si>
  <si>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</si>
  <si>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</si>
  <si>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</si>
  <si>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</si>
  <si>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</si>
  <si>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</si>
  <si>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</si>
  <si>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</si>
  <si>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</si>
  <si>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</si>
  <si>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</si>
  <si>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</si>
  <si>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</si>
  <si>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</si>
  <si>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</si>
  <si>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</si>
  <si>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</si>
  <si>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</si>
  <si>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</si>
  <si>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</si>
  <si>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</si>
  <si>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</si>
  <si>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</si>
  <si>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</si>
  <si>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</si>
  <si>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</si>
  <si>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</si>
  <si>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</si>
  <si>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</si>
  <si>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</si>
  <si>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</si>
  <si>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</si>
  <si>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</si>
  <si>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</si>
  <si>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</si>
  <si>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</si>
  <si>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</si>
  <si>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</si>
  <si>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</si>
  <si>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</si>
  <si>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</si>
  <si>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</si>
  <si>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</si>
  <si>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</si>
  <si>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</si>
  <si>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</si>
  <si>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</si>
  <si>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</si>
  <si>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</si>
  <si>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</si>
  <si>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</si>
  <si>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</si>
  <si>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</si>
  <si>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</si>
  <si>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</si>
  <si>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</si>
  <si>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</si>
  <si>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PassiveタイプのCT+2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</si>
  <si>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</si>
  <si>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</si>
  <si>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</si>
  <si>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</si>
  <si>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</si>
  <si>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</si>
  <si>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</si>
  <si>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</si>
  <si>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</si>
  <si>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</si>
  <si>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</si>
  <si>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</si>
  <si>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</si>
  <si>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</si>
  <si>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</si>
  <si>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</si>
  <si>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</si>
  <si>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</si>
  <si>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</si>
  <si>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</si>
  <si>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</si>
  <si>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</si>
  <si>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</si>
  <si>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</si>
  <si>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</si>
  <si>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</si>
  <si>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</si>
  <si>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</si>
  <si>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</si>
  <si>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</si>
  <si>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</si>
  <si>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</si>
  <si>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</si>
  <si>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</si>
  <si>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</si>
  <si>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</si>
  <si>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</si>
  <si>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</si>
  <si>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</si>
  <si>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</si>
  <si>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</si>
  <si>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</si>
  <si>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</si>
  <si>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</si>
  <si>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</si>
  <si>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</si>
  <si>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</si>
  <si>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</si>
  <si>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</si>
  <si>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</si>
  <si>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</si>
  <si>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</si>
  <si>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</si>
  <si>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</si>
  <si>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</si>
  <si>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</si>
  <si>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</si>
  <si>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</si>
  <si>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</si>
  <si>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</si>
  <si>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</si>
  <si>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</si>
  <si>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</si>
  <si>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</si>
  <si>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</si>
  <si>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</si>
  <si>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</si>
  <si>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</si>
  <si>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</si>
  <si>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</si>
  <si>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</si>
  <si>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</si>
  <si>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</si>
  <si>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</si>
  <si>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</si>
  <si>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</si>
  <si>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</si>
  <si>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</si>
  <si>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</si>
  <si>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</si>
  <si>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</si>
  <si>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</si>
  <si>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</si>
  <si>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</si>
  <si>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</si>
  <si>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</si>
  <si>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</si>
  <si>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</si>
  <si>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</si>
  <si>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</si>
  <si>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</si>
  <si>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</si>
  <si>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</si>
  <si>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</si>
  <si>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</si>
  <si>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</si>
  <si>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</si>
  <si>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</si>
  <si>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</si>
  <si>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</si>
  <si>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</si>
  <si>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</si>
  <si>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</si>
  <si>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</si>
  <si>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</si>
  <si>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</si>
  <si>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</si>
  <si>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</si>
  <si>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</si>
  <si>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</si>
  <si>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</si>
  <si>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</si>
  <si>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</si>
  <si>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</si>
  <si>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</si>
  <si>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</si>
  <si>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</si>
  <si>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</si>
  <si>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</si>
  <si>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</si>
  <si>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</si>
  <si>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</si>
  <si>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</si>
  <si>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</si>
  <si>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</si>
  <si>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</si>
  <si>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</si>
  <si>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</si>
  <si>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</si>
  <si>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</si>
  <si>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</si>
  <si>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</si>
  <si>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</si>
  <si>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</si>
  <si>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</si>
  <si>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</si>
  <si>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</si>
  <si>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</si>
  <si>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</si>
  <si>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</si>
  <si>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</si>
  <si>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</si>
  <si>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</si>
  <si>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</si>
  <si>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</si>
  <si>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</si>
  <si>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</si>
  <si>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</si>
  <si>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</si>
  <si>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</si>
  <si>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</si>
  <si>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</si>
  <si>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</si>
  <si>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</si>
  <si>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</si>
  <si>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</si>
  <si>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</si>
  <si>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</si>
  <si>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</si>
  <si>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</si>
  <si>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</si>
  <si>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</si>
  <si>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</si>
  <si>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</si>
  <si>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</si>
  <si>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</si>
  <si>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</si>
  <si>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</si>
  <si>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</si>
  <si>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</si>
  <si>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</si>
  <si>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</si>
  <si>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</si>
  <si>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</si>
  <si>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</si>
  <si>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</si>
  <si>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</si>
  <si>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</si>
  <si>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</si>
  <si>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</si>
  <si>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</si>
  <si>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</si>
  <si>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</si>
  <si>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</si>
  <si>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</si>
  <si>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</si>
  <si>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</si>
  <si>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</si>
  <si>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</si>
  <si>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</si>
  <si>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</si>
  <si>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</si>
  <si>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</si>
  <si>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</si>
  <si>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</si>
  <si>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</si>
  <si>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</si>
  <si>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</si>
  <si>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</si>
  <si>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</si>
  <si>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</si>
  <si>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</si>
  <si>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</si>
  <si>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</si>
  <si>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</si>
  <si>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</si>
  <si>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</si>
  <si>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</si>
  <si>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</si>
  <si>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</si>
  <si>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</si>
  <si>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</si>
  <si>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</si>
  <si>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</si>
  <si>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</si>
  <si>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</si>
  <si>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</si>
  <si>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</si>
  <si>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</si>
  <si>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</si>
  <si>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</si>
  <si>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</si>
  <si>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</si>
  <si>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</si>
  <si>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</si>
  <si>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</si>
  <si>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</si>
  <si>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</si>
  <si>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</si>
  <si>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</si>
  <si>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</si>
  <si>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</si>
  <si>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</si>
  <si>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</si>
  <si>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</si>
  <si>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</si>
  <si>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</si>
  <si>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</si>
  <si>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</si>
  <si>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</si>
  <si>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</si>
  <si>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</si>
  <si>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</si>
  <si>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</si>
  <si>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</si>
  <si>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</si>
  <si>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</si>
  <si>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</si>
  <si>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</si>
  <si>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</si>
  <si>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</si>
  <si>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</si>
  <si>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</si>
  <si>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</si>
  <si>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</si>
  <si>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</si>
  <si>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</si>
  <si>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</si>
  <si>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</si>
  <si>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</si>
  <si>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</si>
  <si>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</si>
  <si>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</si>
  <si>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</si>
  <si>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</si>
  <si>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</si>
  <si>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</si>
  <si>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</si>
  <si>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</si>
  <si>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</si>
  <si>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</si>
  <si>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</si>
  <si>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</si>
  <si>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</si>
  <si>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</si>
  <si>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</si>
  <si>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</si>
  <si>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</si>
  <si>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</si>
  <si>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</si>
  <si>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</si>
  <si>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</si>
  <si>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</si>
  <si>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</si>
  <si>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</si>
  <si>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</si>
  <si>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</si>
  <si>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</si>
  <si>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</si>
  <si>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</si>
  <si>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</si>
  <si>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</si>
  <si>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</si>
  <si>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</si>
  <si>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</si>
  <si>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</si>
  <si>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</si>
  <si>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</si>
  <si>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</si>
  <si>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</si>
  <si>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</si>
  <si>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</si>
  <si>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SPD+1</t>
  </si>
  <si>
    <t>DEF+2</t>
  </si>
  <si>
    <t>最大HP+4</t>
  </si>
  <si>
    <t>\sの最大HPが/f[f,0,3]アップ</t>
  </si>
  <si>
    <t>会心率+5%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</si>
  <si>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</si>
  <si>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</si>
  <si>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</si>
  <si>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</si>
  <si>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</si>
  <si>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</si>
  <si>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</si>
  <si>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</si>
  <si>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</si>
  <si>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</si>
  <si>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</si>
  <si>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</si>
  <si>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</si>
  <si>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</si>
  <si>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</si>
  <si>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</si>
  <si>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</si>
  <si>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</si>
  <si>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</si>
  <si>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</si>
  <si>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</si>
  <si>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</si>
  <si>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</si>
  <si>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</si>
  <si>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</si>
  <si>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</si>
  <si>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</si>
  <si>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</si>
  <si>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</si>
  <si>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</si>
  <si>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</si>
  <si>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</si>
  <si>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</si>
  <si>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</si>
  <si>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</si>
  <si>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</si>
  <si>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</si>
  <si>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</si>
  <si>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</si>
  <si>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</si>
  <si>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</si>
  <si>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</si>
  <si>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</si>
  <si>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</si>
  <si>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</si>
  <si>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</si>
  <si>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</si>
  <si>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</si>
  <si>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</si>
  <si>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</si>
  <si>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</si>
  <si>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</si>
  <si>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</si>
  <si>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</si>
  <si>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</si>
  <si>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</si>
  <si>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</si>
  <si>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</si>
  <si>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</si>
  <si>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</si>
  <si>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</si>
  <si>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</si>
  <si>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</si>
  <si>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</si>
  <si>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</si>
  <si>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</si>
  <si>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</si>
  <si>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</si>
  <si>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</si>
  <si>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</si>
  <si>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</si>
  <si>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</si>
  <si>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</si>
  <si>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</si>
  <si>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</si>
  <si>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</si>
  <si>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</si>
  <si>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</si>
  <si>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</si>
  <si>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</si>
  <si>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</si>
  <si>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</si>
  <si>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</si>
  <si>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</si>
  <si>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</si>
  <si>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</si>
  <si>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</si>
  <si>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</si>
  <si>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</si>
  <si>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</si>
  <si>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</si>
  <si>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</si>
  <si>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</si>
  <si>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</si>
  <si>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</si>
  <si>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</si>
  <si>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</si>
  <si>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</si>
  <si>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</si>
  <si>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</si>
  <si>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</si>
  <si>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</si>
  <si>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</si>
  <si>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</si>
  <si>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</si>
  <si>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</si>
  <si>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</si>
  <si>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</si>
  <si>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</si>
  <si>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</si>
  <si>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</si>
  <si>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</si>
  <si>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</si>
  <si>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</si>
  <si>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</si>
  <si>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</si>
  <si>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</si>
  <si>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</si>
  <si>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</si>
  <si>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</si>
  <si>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</si>
  <si>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</si>
  <si>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</si>
  <si>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</si>
  <si>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</si>
  <si>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</si>
  <si>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</si>
  <si>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</si>
  <si>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</si>
  <si>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</si>
  <si>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</si>
  <si>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</si>
  <si>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</si>
  <si>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</si>
  <si>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</si>
  <si>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</si>
  <si>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</si>
  <si>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</si>
  <si>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</si>
  <si>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</si>
  <si>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</si>
  <si>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</si>
  <si>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</si>
  <si>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</si>
  <si>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</si>
  <si>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</si>
  <si>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</si>
  <si>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</si>
  <si>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</si>
  <si>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</si>
  <si>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</si>
  <si>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</si>
  <si>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</si>
  <si>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</si>
  <si>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</si>
  <si>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</si>
  <si>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</si>
  <si>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</si>
  <si>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</si>
  <si>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</si>
  <si>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</si>
  <si>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</si>
  <si>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</si>
  <si>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</si>
  <si>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</si>
  <si>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</si>
  <si>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</si>
  <si>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</si>
  <si>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</si>
  <si>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</si>
  <si>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</si>
  <si>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</si>
  <si>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</si>
  <si>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</si>
  <si>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</si>
  <si>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</si>
  <si>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</si>
  <si>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</si>
  <si>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</si>
  <si>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</si>
  <si>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</si>
  <si>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</si>
  <si>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</si>
  <si>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</si>
  <si>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</si>
  <si>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</si>
  <si>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</si>
  <si>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</si>
  <si>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</si>
  <si>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</si>
  <si>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</si>
  <si>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</si>
  <si>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</si>
  <si>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</si>
  <si>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</si>
  <si>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</si>
  <si>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</si>
  <si>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</si>
  <si>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</si>
  <si>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</si>
  <si>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</si>
  <si>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</si>
  <si>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</si>
  <si>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</si>
  <si>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</si>
  <si>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</si>
  <si>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Param1のステータスをParam3アップ</t>
  </si>
  <si>
    <t>神化発動後の敵</t>
  </si>
  <si>
    <t>Param1とParam2のステータス値を交換する</t>
  </si>
  <si>
    <t>神化魔法使用回数の総計</t>
  </si>
  <si>
    <t>アイテム入手</t>
  </si>
  <si>
    <t>味方より敵が多い</t>
  </si>
  <si>
    <t>獲得Eｘｐ％アップ</t>
  </si>
  <si>
    <t>味方より敵が少ない</t>
  </si>
  <si>
    <t>Eｘｐ入手</t>
  </si>
  <si>
    <t>味方の数が〇以上</t>
  </si>
  <si>
    <t>Nu入手</t>
  </si>
  <si>
    <t>味方の数が〇以下</t>
  </si>
  <si>
    <t>属性適正アップ</t>
  </si>
  <si>
    <t>敵の数が〇以上</t>
  </si>
  <si>
    <t>ステージ探索猶予アップ</t>
  </si>
  <si>
    <t>敵の数が〇以下</t>
  </si>
  <si>
    <t>取引レートダウン</t>
  </si>
  <si>
    <t>ターン数が〇以内</t>
  </si>
  <si>
    <t>ダンジョンから離れる時にPeriodが進まない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</si>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</sst>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8" fillId="8" borderId="7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14" fillId="8" borderId="1" applyNumberFormat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5" fillId="7" borderId="4" applyNumberForma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2010</v>
          </cell>
          <cell r="B33" t="str">
            <v>毒</v>
          </cell>
        </row>
        <row r="34">
          <cell r="A34">
            <v>2012</v>
          </cell>
          <cell r="B34" t="str">
            <v>火傷</v>
          </cell>
        </row>
        <row r="35">
          <cell r="A35">
            <v>2020</v>
          </cell>
          <cell r="B35" t="str">
            <v>暗闇</v>
          </cell>
        </row>
        <row r="36">
          <cell r="A36">
            <v>2030</v>
          </cell>
          <cell r="B36" t="str">
            <v>カウンタ</v>
          </cell>
        </row>
        <row r="37">
          <cell r="A37">
            <v>2031</v>
          </cell>
          <cell r="B37" t="str">
            <v>CAダメージ</v>
          </cell>
        </row>
        <row r="38">
          <cell r="A38">
            <v>2032</v>
          </cell>
          <cell r="B38" t="str">
            <v>CAシェル</v>
          </cell>
        </row>
        <row r="39">
          <cell r="A39">
            <v>2040</v>
          </cell>
          <cell r="B39" t="str">
            <v>リジェネ</v>
          </cell>
        </row>
        <row r="40">
          <cell r="A40">
            <v>2050</v>
          </cell>
          <cell r="B40" t="str">
            <v>攻撃無効</v>
          </cell>
        </row>
        <row r="41">
          <cell r="A41">
            <v>2060</v>
          </cell>
          <cell r="B41" t="str">
            <v>ドレイン</v>
          </cell>
        </row>
        <row r="42">
          <cell r="A42">
            <v>2070</v>
          </cell>
          <cell r="B42" t="str">
            <v>状態異常CA</v>
          </cell>
        </row>
        <row r="43">
          <cell r="A43">
            <v>2080</v>
          </cell>
          <cell r="B43" t="str">
            <v>反撃</v>
          </cell>
        </row>
        <row r="44">
          <cell r="A44">
            <v>2090</v>
          </cell>
          <cell r="B44" t="str">
            <v>パッシブ封じ</v>
          </cell>
        </row>
        <row r="45">
          <cell r="A45">
            <v>2120</v>
          </cell>
          <cell r="B45" t="str">
            <v>デバフ強化</v>
          </cell>
        </row>
        <row r="46">
          <cell r="A46">
            <v>2130</v>
          </cell>
          <cell r="B46" t="str">
            <v>挑発</v>
          </cell>
        </row>
        <row r="47">
          <cell r="A47">
            <v>2140</v>
          </cell>
          <cell r="B47" t="str">
            <v>凍結</v>
          </cell>
        </row>
        <row r="48">
          <cell r="A48">
            <v>2150</v>
          </cell>
          <cell r="B48" t="str">
            <v>スタン</v>
          </cell>
        </row>
        <row r="49">
          <cell r="A49">
            <v>2180</v>
          </cell>
          <cell r="B49" t="str">
            <v>状態異常回避</v>
          </cell>
        </row>
        <row r="50">
          <cell r="A50">
            <v>2190</v>
          </cell>
          <cell r="B50" t="str">
            <v>対象範囲延長</v>
          </cell>
        </row>
        <row r="51">
          <cell r="A51">
            <v>2210</v>
          </cell>
          <cell r="B51" t="str">
            <v>アフターヒール</v>
          </cell>
        </row>
        <row r="52">
          <cell r="A52">
            <v>2220</v>
          </cell>
          <cell r="B52" t="str">
            <v>即死付与</v>
          </cell>
        </row>
        <row r="53">
          <cell r="A53">
            <v>2230</v>
          </cell>
          <cell r="B53" t="str">
            <v>同時回復</v>
          </cell>
        </row>
        <row r="54">
          <cell r="A54">
            <v>2240</v>
          </cell>
          <cell r="B54" t="str">
            <v>必中</v>
          </cell>
        </row>
        <row r="55">
          <cell r="A55">
            <v>2250</v>
          </cell>
          <cell r="B55" t="str">
            <v>アシストヒール</v>
          </cell>
        </row>
        <row r="56">
          <cell r="A56">
            <v>2270</v>
          </cell>
          <cell r="B56" t="str">
            <v>アンデッド</v>
          </cell>
        </row>
        <row r="57">
          <cell r="A57">
            <v>2280</v>
          </cell>
          <cell r="B57" t="str">
            <v>アクセル</v>
          </cell>
        </row>
        <row r="58">
          <cell r="A58">
            <v>2290</v>
          </cell>
          <cell r="B58" t="str">
            <v>ダメージ威力アップ</v>
          </cell>
        </row>
        <row r="59">
          <cell r="A59">
            <v>2320</v>
          </cell>
          <cell r="B59" t="str">
            <v>バフ解除</v>
          </cell>
        </row>
        <row r="60">
          <cell r="A60">
            <v>2330</v>
          </cell>
          <cell r="B60" t="str">
            <v>貫通</v>
          </cell>
        </row>
        <row r="61">
          <cell r="A61">
            <v>2340</v>
          </cell>
          <cell r="B61" t="str">
            <v>対象列化</v>
          </cell>
        </row>
        <row r="62">
          <cell r="A62">
            <v>2341</v>
          </cell>
          <cell r="B62" t="str">
            <v>対象全体化</v>
          </cell>
        </row>
        <row r="63">
          <cell r="A63">
            <v>2350</v>
          </cell>
          <cell r="B63" t="str">
            <v>聖棺</v>
          </cell>
        </row>
        <row r="64">
          <cell r="A64">
            <v>2360</v>
          </cell>
          <cell r="B64" t="str">
            <v>追加ダメージ</v>
          </cell>
        </row>
        <row r="65">
          <cell r="A65">
            <v>2370</v>
          </cell>
          <cell r="B65" t="str">
            <v>追加効果</v>
          </cell>
        </row>
        <row r="66">
          <cell r="A66">
            <v>2380</v>
          </cell>
          <cell r="B66" t="str">
            <v>透明</v>
          </cell>
        </row>
        <row r="67">
          <cell r="A67">
            <v>2390</v>
          </cell>
          <cell r="B67" t="str">
            <v>沈黙</v>
          </cell>
        </row>
        <row r="68">
          <cell r="A68">
            <v>2400</v>
          </cell>
          <cell r="B68" t="str">
            <v>不治</v>
          </cell>
        </row>
        <row r="69">
          <cell r="A69">
            <v>2410</v>
          </cell>
          <cell r="B69" t="str">
            <v>シールド</v>
          </cell>
        </row>
        <row r="70">
          <cell r="A70">
            <v>2420</v>
          </cell>
          <cell r="B70" t="str">
            <v>フォロー</v>
          </cell>
        </row>
        <row r="71">
          <cell r="A71">
            <v>2430</v>
          </cell>
          <cell r="B71" t="str">
            <v>かばう</v>
          </cell>
        </row>
        <row r="72">
          <cell r="A72">
            <v>2440</v>
          </cell>
          <cell r="B72" t="str">
            <v>Ap消費半減</v>
          </cell>
        </row>
        <row r="73">
          <cell r="A73">
            <v>2450</v>
          </cell>
          <cell r="B73" t="str">
            <v>不死</v>
          </cell>
        </row>
        <row r="74">
          <cell r="A74">
            <v>2460</v>
          </cell>
          <cell r="B74" t="str">
            <v>Hp回復効果アップ</v>
          </cell>
        </row>
        <row r="75">
          <cell r="A75">
            <v>2470</v>
          </cell>
          <cell r="B75" t="str">
            <v>呪詛</v>
          </cell>
        </row>
        <row r="76">
          <cell r="A76">
            <v>2480</v>
          </cell>
          <cell r="B76" t="str">
            <v>ステータス交換</v>
          </cell>
        </row>
        <row r="77">
          <cell r="A77">
            <v>3010</v>
          </cell>
          <cell r="B77" t="str">
            <v>チャージ</v>
          </cell>
        </row>
        <row r="78">
          <cell r="A78">
            <v>3020</v>
          </cell>
          <cell r="B78" t="str">
            <v>リンケージ</v>
          </cell>
        </row>
        <row r="79">
          <cell r="A79">
            <v>9999</v>
          </cell>
          <cell r="B7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6"/>
  <sheetViews>
    <sheetView zoomScale="115" zoomScaleNormal="115" topLeftCell="H1" workbookViewId="0">
      <pane ySplit="1" topLeftCell="A317" activePane="bottomLeft" state="frozen"/>
      <selection/>
      <selection pane="bottomLeft" activeCell="W326" sqref="W326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7" customWidth="1"/>
    <col min="14" max="14" width="4.90909090909091" style="7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8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6" customFormat="1" spans="1:24">
      <c r="A25" s="6">
        <v>2070</v>
      </c>
      <c r="B25" s="6">
        <v>2070</v>
      </c>
      <c r="C25" s="6" t="str">
        <f>INDEX(TextData!B:B,MATCH(B25,TextData!A:A))</f>
        <v>コンセントレイト</v>
      </c>
      <c r="D25" s="6">
        <v>3</v>
      </c>
      <c r="E25" s="6" t="str">
        <f>INDEX(Define!X:X,MATCH(D25,Define!W:W))</f>
        <v>理術</v>
      </c>
      <c r="F25" s="6">
        <v>51</v>
      </c>
      <c r="G25" s="6" t="str">
        <f>INDEX([1]Animations!B:B,MATCH(F25,[1]Animations!A:A))</f>
        <v>NA_Effekseer/NA_aura_001</v>
      </c>
      <c r="H25" s="6">
        <v>1</v>
      </c>
      <c r="I25" s="6" t="str">
        <f>INDEX(Define!B:B,MATCH(H25,Define!A:A))</f>
        <v>単体</v>
      </c>
      <c r="J25" s="6">
        <v>0</v>
      </c>
      <c r="K25" s="6">
        <v>1</v>
      </c>
      <c r="L25" s="6">
        <v>2</v>
      </c>
      <c r="M25" s="6">
        <v>2</v>
      </c>
      <c r="N25" s="6" t="str">
        <f>INDEX(Define!E:E,MATCH(M25,Define!D:D))</f>
        <v>雷</v>
      </c>
      <c r="O25" s="6">
        <v>1</v>
      </c>
      <c r="P25" s="6" t="str">
        <f>INDEX(Define!H:H,MATCH(O25,Define!G:G))</f>
        <v>魔法</v>
      </c>
      <c r="Q25" s="6">
        <v>4</v>
      </c>
      <c r="R25" s="6" t="str">
        <f>INDEX(Define!K:K,MATCH(Q25,Define!J:J))</f>
        <v>自身</v>
      </c>
      <c r="S25" s="6">
        <v>4</v>
      </c>
      <c r="T25" s="6" t="str">
        <f>INDEX(Define!N:N,MATCH(S25,Define!M:M))</f>
        <v>自身</v>
      </c>
      <c r="U25" s="6">
        <v>1</v>
      </c>
      <c r="V25" s="6">
        <v>1</v>
      </c>
      <c r="W25" s="6">
        <v>1</v>
      </c>
      <c r="X25" s="6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8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8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8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8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8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ATK+2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502010</v>
      </c>
      <c r="B313">
        <v>502010</v>
      </c>
      <c r="C313" t="str">
        <f>INDEX(TextData!B:B,MATCH(B313,TextData!A:A))</f>
        <v>SPD+1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2</v>
      </c>
      <c r="N313" t="str">
        <f>INDEX(Define!E:E,MATCH(M313,Define!D:D))</f>
        <v>雷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502020</v>
      </c>
      <c r="B314">
        <v>502020</v>
      </c>
      <c r="C314" t="str">
        <f>INDEX(TextData!B:B,MATCH(B314,TextData!A:A))</f>
        <v>SPD+1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2</v>
      </c>
      <c r="N314" t="str">
        <f>INDEX(Define!E:E,MATCH(M314,Define!D:D))</f>
        <v>雷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502030</v>
      </c>
      <c r="B315">
        <v>502030</v>
      </c>
      <c r="C315" t="str">
        <f>INDEX(TextData!B:B,MATCH(B315,TextData!A:A))</f>
        <v>SPD+1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503010</v>
      </c>
      <c r="B316">
        <v>503010</v>
      </c>
      <c r="C316" t="str">
        <f>INDEX(TextData!B:B,MATCH(B316,TextData!A:A))</f>
        <v>DEF+2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3</v>
      </c>
      <c r="N316" t="str">
        <f>INDEX(Define!E:E,MATCH(M316,Define!D:D))</f>
        <v>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503020</v>
      </c>
      <c r="B317">
        <v>503020</v>
      </c>
      <c r="C317" t="str">
        <f>INDEX(TextData!B:B,MATCH(B317,TextData!A:A))</f>
        <v>DEF+2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3</v>
      </c>
      <c r="N317" t="str">
        <f>INDEX(Define!E:E,MATCH(M317,Define!D:D))</f>
        <v>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503030</v>
      </c>
      <c r="B318">
        <v>503030</v>
      </c>
      <c r="C318" t="str">
        <f>INDEX(TextData!B:B,MATCH(B318,TextData!A:A))</f>
        <v>DEF+2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3</v>
      </c>
      <c r="N318" t="str">
        <f>INDEX(Define!E:E,MATCH(M318,Define!D:D))</f>
        <v>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504010</v>
      </c>
      <c r="B319">
        <v>504010</v>
      </c>
      <c r="C319" t="str">
        <f>INDEX(TextData!B:B,MATCH(B319,TextData!A:A))</f>
        <v>最大HP+4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4</v>
      </c>
      <c r="N319" t="str">
        <f>INDEX(Define!E:E,MATCH(M319,Define!D:D))</f>
        <v>光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504020</v>
      </c>
      <c r="B320">
        <v>504020</v>
      </c>
      <c r="C320" t="str">
        <f>INDEX(TextData!B:B,MATCH(B320,TextData!A:A))</f>
        <v>最大HP+4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4</v>
      </c>
      <c r="N320" t="str">
        <f>INDEX(Define!E:E,MATCH(M320,Define!D:D))</f>
        <v>光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504030</v>
      </c>
      <c r="B321">
        <v>504030</v>
      </c>
      <c r="C321" t="str">
        <f>INDEX(TextData!B:B,MATCH(B321,TextData!A:A))</f>
        <v>最大HP+4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4</v>
      </c>
      <c r="N321" t="str">
        <f>INDEX(Define!E:E,MATCH(M321,Define!D:D))</f>
        <v>光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505010</v>
      </c>
      <c r="B322">
        <v>505010</v>
      </c>
      <c r="C322" t="str">
        <f>INDEX(TextData!B:B,MATCH(B322,TextData!A:A))</f>
        <v>会心率+5%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5</v>
      </c>
      <c r="N322" t="str">
        <f>INDEX(Define!E:E,MATCH(M322,Define!D:D))</f>
        <v>闇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505020</v>
      </c>
      <c r="B323">
        <v>505020</v>
      </c>
      <c r="C323" t="str">
        <f>INDEX(TextData!B:B,MATCH(B323,TextData!A:A))</f>
        <v>会心率+5%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5</v>
      </c>
      <c r="N323" t="str">
        <f>INDEX(Define!E:E,MATCH(M323,Define!D:D))</f>
        <v>闇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505030</v>
      </c>
      <c r="B324">
        <v>505030</v>
      </c>
      <c r="C324" t="str">
        <f>INDEX(TextData!B:B,MATCH(B324,TextData!A:A))</f>
        <v>会心率+5%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5</v>
      </c>
      <c r="N324" t="str">
        <f>INDEX(Define!E:E,MATCH(M324,Define!D:D))</f>
        <v>闇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506010</v>
      </c>
      <c r="B325">
        <v>506010</v>
      </c>
      <c r="C325" t="str">
        <f>INDEX(TextData!B:B,MATCH(B325,TextData!A:A))</f>
        <v>獲得Exp+30%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6</v>
      </c>
      <c r="N325" t="str">
        <f>INDEX(Define!E:E,MATCH(M325,Define!D:D))</f>
        <v>無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506020</v>
      </c>
      <c r="B326">
        <v>506020</v>
      </c>
      <c r="C326" t="str">
        <f>INDEX(TextData!B:B,MATCH(B326,TextData!A:A))</f>
        <v>ATK⇔DEF交換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6</v>
      </c>
      <c r="N326" t="str">
        <f>INDEX(Define!E:E,MATCH(M326,Define!D:D))</f>
        <v>無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5"/>
  <sheetViews>
    <sheetView zoomScale="110" zoomScaleNormal="110" topLeftCell="A385" workbookViewId="0">
      <selection activeCell="G405" sqref="G405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4010</v>
      </c>
      <c r="D159" t="str">
        <f>INDEX(Define!Q:Q,MATCH(C159,Define!P:P))</f>
        <v>Ctダメージ</v>
      </c>
      <c r="E159">
        <v>2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ATK+2</v>
      </c>
      <c r="C390">
        <v>14010</v>
      </c>
      <c r="D390" t="str">
        <f>INDEX(Define!Q:Q,MATCH(C390,Define!P:P))</f>
        <v>Param1のステータスをParam3アップ</v>
      </c>
      <c r="E390">
        <v>2</v>
      </c>
      <c r="F390">
        <v>0</v>
      </c>
      <c r="G390">
        <v>2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502010</v>
      </c>
      <c r="B392" t="str">
        <f>INDEX(TextData!B:B,MATCH(A392,TextData!A:A))</f>
        <v>SPD+1</v>
      </c>
      <c r="C392">
        <v>14010</v>
      </c>
      <c r="D392" t="str">
        <f>INDEX(Define!Q:Q,MATCH(C392,Define!P:P))</f>
        <v>Param1のステータスをParam3アップ</v>
      </c>
      <c r="E392">
        <v>4</v>
      </c>
      <c r="F392">
        <v>0</v>
      </c>
      <c r="G392">
        <v>1</v>
      </c>
      <c r="H392">
        <v>100</v>
      </c>
    </row>
    <row r="393" spans="1:8">
      <c r="A393">
        <v>502020</v>
      </c>
      <c r="B393" t="str">
        <f>INDEX(TextData!B:B,MATCH(A393,TextData!A:A))</f>
        <v>SPD+1</v>
      </c>
      <c r="C393">
        <v>14010</v>
      </c>
      <c r="D393" t="str">
        <f>INDEX(Define!Q:Q,MATCH(C393,Define!P:P))</f>
        <v>Param1のステータスをParam3アップ</v>
      </c>
      <c r="E393">
        <v>4</v>
      </c>
      <c r="F393">
        <v>0</v>
      </c>
      <c r="G393">
        <v>1</v>
      </c>
      <c r="H393">
        <v>100</v>
      </c>
    </row>
    <row r="394" spans="1:8">
      <c r="A394">
        <v>502030</v>
      </c>
      <c r="B394" t="str">
        <f>INDEX(TextData!B:B,MATCH(A394,TextData!A:A))</f>
        <v>SPD+1</v>
      </c>
      <c r="C394">
        <v>14010</v>
      </c>
      <c r="D394" t="str">
        <f>INDEX(Define!Q:Q,MATCH(C394,Define!P:P))</f>
        <v>Param1のステータスをParam3アップ</v>
      </c>
      <c r="E394">
        <v>4</v>
      </c>
      <c r="F394">
        <v>0</v>
      </c>
      <c r="G394">
        <v>1</v>
      </c>
      <c r="H394">
        <v>100</v>
      </c>
    </row>
    <row r="395" spans="1:8">
      <c r="A395">
        <v>503010</v>
      </c>
      <c r="B395" t="str">
        <f>INDEX(TextData!B:B,MATCH(A395,TextData!A:A))</f>
        <v>DEF+2</v>
      </c>
      <c r="C395">
        <v>14010</v>
      </c>
      <c r="D395" t="str">
        <f>INDEX(Define!Q:Q,MATCH(C395,Define!P:P))</f>
        <v>Param1のステータスをParam3アップ</v>
      </c>
      <c r="E395">
        <v>3</v>
      </c>
      <c r="F395">
        <v>0</v>
      </c>
      <c r="G395">
        <v>2</v>
      </c>
      <c r="H395">
        <v>100</v>
      </c>
    </row>
    <row r="396" spans="1:8">
      <c r="A396">
        <v>503020</v>
      </c>
      <c r="B396" t="str">
        <f>INDEX(TextData!B:B,MATCH(A396,TextData!A:A))</f>
        <v>DEF+2</v>
      </c>
      <c r="C396">
        <v>14010</v>
      </c>
      <c r="D396" t="str">
        <f>INDEX(Define!Q:Q,MATCH(C396,Define!P:P))</f>
        <v>Param1のステータスをParam3アップ</v>
      </c>
      <c r="E396">
        <v>3</v>
      </c>
      <c r="F396">
        <v>0</v>
      </c>
      <c r="G396">
        <v>2</v>
      </c>
      <c r="H396">
        <v>100</v>
      </c>
    </row>
    <row r="397" spans="1:8">
      <c r="A397">
        <v>503030</v>
      </c>
      <c r="B397" t="str">
        <f>INDEX(TextData!B:B,MATCH(A397,TextData!A:A))</f>
        <v>DEF+2</v>
      </c>
      <c r="C397">
        <v>14010</v>
      </c>
      <c r="D397" t="str">
        <f>INDEX(Define!Q:Q,MATCH(C397,Define!P:P))</f>
        <v>Param1のステータスをParam3アップ</v>
      </c>
      <c r="E397">
        <v>3</v>
      </c>
      <c r="F397">
        <v>0</v>
      </c>
      <c r="G397">
        <v>2</v>
      </c>
      <c r="H397">
        <v>100</v>
      </c>
    </row>
    <row r="398" spans="1:8">
      <c r="A398">
        <v>504010</v>
      </c>
      <c r="B398" t="str">
        <f>INDEX(TextData!B:B,MATCH(A398,TextData!A:A))</f>
        <v>最大HP+4</v>
      </c>
      <c r="C398">
        <v>14010</v>
      </c>
      <c r="D398" t="str">
        <f>INDEX(Define!Q:Q,MATCH(C398,Define!P:P))</f>
        <v>Param1のステータスをParam3アップ</v>
      </c>
      <c r="E398">
        <v>0</v>
      </c>
      <c r="F398">
        <v>0</v>
      </c>
      <c r="G398">
        <v>4</v>
      </c>
      <c r="H398">
        <v>100</v>
      </c>
    </row>
    <row r="399" spans="1:8">
      <c r="A399">
        <v>504020</v>
      </c>
      <c r="B399" t="str">
        <f>INDEX(TextData!B:B,MATCH(A399,TextData!A:A))</f>
        <v>最大HP+4</v>
      </c>
      <c r="C399">
        <v>14010</v>
      </c>
      <c r="D399" t="str">
        <f>INDEX(Define!Q:Q,MATCH(C399,Define!P:P))</f>
        <v>Param1のステータスをParam3アップ</v>
      </c>
      <c r="E399">
        <v>0</v>
      </c>
      <c r="F399">
        <v>0</v>
      </c>
      <c r="G399">
        <v>4</v>
      </c>
      <c r="H399">
        <v>100</v>
      </c>
    </row>
    <row r="400" spans="1:8">
      <c r="A400">
        <v>504030</v>
      </c>
      <c r="B400" t="str">
        <f>INDEX(TextData!B:B,MATCH(A400,TextData!A:A))</f>
        <v>最大HP+4</v>
      </c>
      <c r="C400">
        <v>14010</v>
      </c>
      <c r="D400" t="str">
        <f>INDEX(Define!Q:Q,MATCH(C400,Define!P:P))</f>
        <v>Param1のステータスをParam3アップ</v>
      </c>
      <c r="E400">
        <v>0</v>
      </c>
      <c r="F400">
        <v>0</v>
      </c>
      <c r="G400">
        <v>4</v>
      </c>
      <c r="H400">
        <v>100</v>
      </c>
    </row>
    <row r="401" spans="1:8">
      <c r="A401">
        <v>505010</v>
      </c>
      <c r="B401" t="str">
        <f>INDEX(TextData!B:B,MATCH(A401,TextData!A:A))</f>
        <v>会心率+5%</v>
      </c>
      <c r="C401">
        <v>14010</v>
      </c>
      <c r="D401" t="str">
        <f>INDEX(Define!Q:Q,MATCH(C401,Define!P:P))</f>
        <v>Param1のステータスをParam3アップ</v>
      </c>
      <c r="E401">
        <v>13</v>
      </c>
      <c r="F401">
        <v>0</v>
      </c>
      <c r="G401">
        <v>5</v>
      </c>
      <c r="H401">
        <v>100</v>
      </c>
    </row>
    <row r="402" spans="1:8">
      <c r="A402">
        <v>505020</v>
      </c>
      <c r="B402" t="str">
        <f>INDEX(TextData!B:B,MATCH(A402,TextData!A:A))</f>
        <v>会心率+5%</v>
      </c>
      <c r="C402">
        <v>14010</v>
      </c>
      <c r="D402" t="str">
        <f>INDEX(Define!Q:Q,MATCH(C402,Define!P:P))</f>
        <v>Param1のステータスをParam3アップ</v>
      </c>
      <c r="E402">
        <v>13</v>
      </c>
      <c r="F402">
        <v>0</v>
      </c>
      <c r="G402">
        <v>5</v>
      </c>
      <c r="H402">
        <v>100</v>
      </c>
    </row>
    <row r="403" spans="1:8">
      <c r="A403">
        <v>505030</v>
      </c>
      <c r="B403" t="str">
        <f>INDEX(TextData!B:B,MATCH(A403,TextData!A:A))</f>
        <v>会心率+5%</v>
      </c>
      <c r="C403">
        <v>14010</v>
      </c>
      <c r="D403" t="str">
        <f>INDEX(Define!Q:Q,MATCH(C403,Define!P:P))</f>
        <v>Param1のステータスをParam3アップ</v>
      </c>
      <c r="E403">
        <v>13</v>
      </c>
      <c r="F403">
        <v>0</v>
      </c>
      <c r="G403">
        <v>5</v>
      </c>
      <c r="H403">
        <v>100</v>
      </c>
    </row>
    <row r="404" spans="1:8">
      <c r="A404">
        <v>506010</v>
      </c>
      <c r="B404" t="str">
        <f>INDEX(TextData!B:B,MATCH(A404,TextData!A:A))</f>
        <v>獲得Exp+30%</v>
      </c>
      <c r="C404">
        <v>40020</v>
      </c>
      <c r="D404" t="str">
        <f>INDEX(Define!Q:Q,MATCH(C404,Define!P:P))</f>
        <v>獲得Eｘｐ％アップ</v>
      </c>
      <c r="E404">
        <v>30</v>
      </c>
      <c r="F404">
        <v>0</v>
      </c>
      <c r="G404">
        <v>0</v>
      </c>
      <c r="H404">
        <v>100</v>
      </c>
    </row>
    <row r="405" spans="1:8">
      <c r="A405">
        <v>506020</v>
      </c>
      <c r="B405" t="str">
        <f>INDEX(TextData!B:B,MATCH(A405,TextData!A:A))</f>
        <v>ATK⇔DEF交換</v>
      </c>
      <c r="C405">
        <v>14080</v>
      </c>
      <c r="D405" t="str">
        <f>INDEX(Define!Q:Q,MATCH(C405,Define!P:P))</f>
        <v>Param1とParam2のステータス値を交換する</v>
      </c>
      <c r="E405">
        <v>2</v>
      </c>
      <c r="F405">
        <v>3</v>
      </c>
      <c r="G405">
        <v>0</v>
      </c>
      <c r="H405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0"/>
  <sheetViews>
    <sheetView zoomScale="115" zoomScaleNormal="115" topLeftCell="A160" workbookViewId="0">
      <selection activeCell="F80" sqref="F80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</sheetData>
  <autoFilter ref="E1:E17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1"/>
  <sheetViews>
    <sheetView tabSelected="1" zoomScale="110" zoomScaleNormal="110" topLeftCell="A313" workbookViewId="0">
      <selection activeCell="C322" sqref="C32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599</v>
      </c>
      <c r="C306" t="s">
        <v>180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502010</v>
      </c>
      <c r="B308" t="s">
        <v>600</v>
      </c>
      <c r="C308" t="s">
        <v>205</v>
      </c>
    </row>
    <row r="309" customFormat="1" spans="1:3">
      <c r="A309">
        <v>502020</v>
      </c>
      <c r="B309" t="s">
        <v>600</v>
      </c>
      <c r="C309" t="s">
        <v>205</v>
      </c>
    </row>
    <row r="310" customFormat="1" spans="1:3">
      <c r="A310">
        <v>502030</v>
      </c>
      <c r="B310" t="s">
        <v>600</v>
      </c>
      <c r="C310" t="s">
        <v>205</v>
      </c>
    </row>
    <row r="311" customFormat="1" spans="1:3">
      <c r="A311">
        <v>503010</v>
      </c>
      <c r="B311" t="s">
        <v>601</v>
      </c>
      <c r="C311" t="s">
        <v>223</v>
      </c>
    </row>
    <row r="312" customFormat="1" spans="1:3">
      <c r="A312">
        <v>503020</v>
      </c>
      <c r="B312" t="s">
        <v>601</v>
      </c>
      <c r="C312" t="s">
        <v>223</v>
      </c>
    </row>
    <row r="313" customFormat="1" spans="1:3">
      <c r="A313">
        <v>503030</v>
      </c>
      <c r="B313" t="s">
        <v>601</v>
      </c>
      <c r="C313" t="s">
        <v>223</v>
      </c>
    </row>
    <row r="314" spans="1:3">
      <c r="A314">
        <v>504010</v>
      </c>
      <c r="B314" t="s">
        <v>602</v>
      </c>
      <c r="C314" t="s">
        <v>603</v>
      </c>
    </row>
    <row r="315" spans="1:3">
      <c r="A315">
        <v>504020</v>
      </c>
      <c r="B315" t="s">
        <v>602</v>
      </c>
      <c r="C315" t="s">
        <v>603</v>
      </c>
    </row>
    <row r="316" spans="1:3">
      <c r="A316">
        <v>504030</v>
      </c>
      <c r="B316" t="s">
        <v>602</v>
      </c>
      <c r="C316" t="s">
        <v>603</v>
      </c>
    </row>
    <row r="317" spans="1:3">
      <c r="A317">
        <v>505010</v>
      </c>
      <c r="B317" t="s">
        <v>604</v>
      </c>
      <c r="C317" t="s">
        <v>274</v>
      </c>
    </row>
    <row r="318" spans="1:3">
      <c r="A318">
        <v>505020</v>
      </c>
      <c r="B318" t="s">
        <v>604</v>
      </c>
      <c r="C318" t="s">
        <v>274</v>
      </c>
    </row>
    <row r="319" spans="1:3">
      <c r="A319">
        <v>505030</v>
      </c>
      <c r="B319" t="s">
        <v>604</v>
      </c>
      <c r="C319" t="s">
        <v>274</v>
      </c>
    </row>
    <row r="320" spans="1:3">
      <c r="A320">
        <v>506010</v>
      </c>
      <c r="B320" t="s">
        <v>605</v>
      </c>
      <c r="C320" t="s">
        <v>606</v>
      </c>
    </row>
    <row r="321" customFormat="1" ht="26" spans="1:3">
      <c r="A321">
        <v>506020</v>
      </c>
      <c r="B321" t="s">
        <v>607</v>
      </c>
      <c r="C321" s="5" t="s">
        <v>608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52" workbookViewId="0">
      <selection activeCell="P64" sqref="P6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609</v>
      </c>
      <c r="P1" t="s">
        <v>610</v>
      </c>
      <c r="S1" t="s">
        <v>611</v>
      </c>
      <c r="U1" t="s">
        <v>612</v>
      </c>
      <c r="W1" t="s">
        <v>613</v>
      </c>
      <c r="Y1" t="s">
        <v>65</v>
      </c>
    </row>
    <row r="2" spans="1:29">
      <c r="A2">
        <v>0</v>
      </c>
      <c r="B2" t="s">
        <v>614</v>
      </c>
      <c r="D2">
        <v>0</v>
      </c>
      <c r="E2" t="s">
        <v>614</v>
      </c>
      <c r="G2">
        <v>0</v>
      </c>
      <c r="H2" t="s">
        <v>614</v>
      </c>
      <c r="J2">
        <v>0</v>
      </c>
      <c r="K2" t="s">
        <v>614</v>
      </c>
      <c r="M2">
        <v>0</v>
      </c>
      <c r="N2" t="s">
        <v>614</v>
      </c>
      <c r="P2">
        <v>0</v>
      </c>
      <c r="Q2" t="s">
        <v>615</v>
      </c>
      <c r="U2">
        <v>0</v>
      </c>
      <c r="V2" t="s">
        <v>614</v>
      </c>
      <c r="W2">
        <v>0</v>
      </c>
      <c r="X2" t="s">
        <v>614</v>
      </c>
      <c r="Y2">
        <v>-1</v>
      </c>
      <c r="Z2" t="s">
        <v>614</v>
      </c>
      <c r="AB2">
        <v>301</v>
      </c>
      <c r="AC2" t="s">
        <v>616</v>
      </c>
    </row>
    <row r="3" spans="1:29">
      <c r="A3">
        <v>1</v>
      </c>
      <c r="B3" t="s">
        <v>18</v>
      </c>
      <c r="D3">
        <v>1</v>
      </c>
      <c r="E3" t="s">
        <v>617</v>
      </c>
      <c r="G3">
        <v>1</v>
      </c>
      <c r="H3" t="s">
        <v>618</v>
      </c>
      <c r="J3">
        <v>1</v>
      </c>
      <c r="K3" t="s">
        <v>619</v>
      </c>
      <c r="M3">
        <v>1</v>
      </c>
      <c r="N3" t="s">
        <v>18</v>
      </c>
      <c r="P3">
        <v>1010</v>
      </c>
      <c r="Q3" t="s">
        <v>620</v>
      </c>
      <c r="U3">
        <v>1010</v>
      </c>
      <c r="V3" t="s">
        <v>621</v>
      </c>
      <c r="W3">
        <v>1</v>
      </c>
      <c r="X3" t="s">
        <v>622</v>
      </c>
      <c r="Y3">
        <v>1</v>
      </c>
      <c r="Z3" t="s">
        <v>623</v>
      </c>
      <c r="AB3">
        <v>302</v>
      </c>
      <c r="AC3" t="s">
        <v>624</v>
      </c>
    </row>
    <row r="4" spans="1:29">
      <c r="A4">
        <v>2</v>
      </c>
      <c r="B4" t="s">
        <v>625</v>
      </c>
      <c r="D4">
        <v>2</v>
      </c>
      <c r="E4" t="s">
        <v>626</v>
      </c>
      <c r="G4">
        <v>2</v>
      </c>
      <c r="H4" t="s">
        <v>627</v>
      </c>
      <c r="J4">
        <v>2</v>
      </c>
      <c r="K4" t="s">
        <v>628</v>
      </c>
      <c r="M4">
        <v>2</v>
      </c>
      <c r="N4" t="s">
        <v>625</v>
      </c>
      <c r="P4">
        <v>1020</v>
      </c>
      <c r="Q4" t="s">
        <v>629</v>
      </c>
      <c r="U4">
        <v>1020</v>
      </c>
      <c r="V4" t="s">
        <v>630</v>
      </c>
      <c r="W4">
        <v>2</v>
      </c>
      <c r="X4" t="s">
        <v>631</v>
      </c>
      <c r="Y4">
        <v>11</v>
      </c>
      <c r="Z4" t="s">
        <v>632</v>
      </c>
      <c r="AB4" s="2">
        <v>303</v>
      </c>
      <c r="AC4" s="2" t="s">
        <v>633</v>
      </c>
    </row>
    <row r="5" spans="1:29">
      <c r="A5">
        <v>3</v>
      </c>
      <c r="B5" t="s">
        <v>634</v>
      </c>
      <c r="D5">
        <v>3</v>
      </c>
      <c r="E5" t="s">
        <v>635</v>
      </c>
      <c r="G5">
        <v>3</v>
      </c>
      <c r="H5" t="s">
        <v>636</v>
      </c>
      <c r="J5">
        <v>3</v>
      </c>
      <c r="K5" t="s">
        <v>637</v>
      </c>
      <c r="M5">
        <v>3</v>
      </c>
      <c r="N5" t="s">
        <v>634</v>
      </c>
      <c r="P5">
        <v>1030</v>
      </c>
      <c r="Q5" t="s">
        <v>638</v>
      </c>
      <c r="U5">
        <v>1030</v>
      </c>
      <c r="V5" t="s">
        <v>639</v>
      </c>
      <c r="W5">
        <v>3</v>
      </c>
      <c r="X5" t="s">
        <v>640</v>
      </c>
      <c r="Y5">
        <v>21</v>
      </c>
      <c r="Z5" t="s">
        <v>641</v>
      </c>
      <c r="AB5">
        <v>304</v>
      </c>
      <c r="AC5" t="s">
        <v>642</v>
      </c>
    </row>
    <row r="6" spans="4:29">
      <c r="D6">
        <v>4</v>
      </c>
      <c r="E6" t="s">
        <v>631</v>
      </c>
      <c r="G6">
        <v>4</v>
      </c>
      <c r="H6" t="s">
        <v>71</v>
      </c>
      <c r="J6">
        <v>4</v>
      </c>
      <c r="K6" t="s">
        <v>643</v>
      </c>
      <c r="M6">
        <v>4</v>
      </c>
      <c r="N6" t="s">
        <v>643</v>
      </c>
      <c r="P6">
        <v>1040</v>
      </c>
      <c r="Q6" t="s">
        <v>644</v>
      </c>
      <c r="U6">
        <v>1040</v>
      </c>
      <c r="V6" t="s">
        <v>645</v>
      </c>
      <c r="W6">
        <v>4</v>
      </c>
      <c r="X6" t="s">
        <v>646</v>
      </c>
      <c r="Y6">
        <v>22</v>
      </c>
      <c r="Z6" t="s">
        <v>647</v>
      </c>
      <c r="AB6">
        <v>305</v>
      </c>
      <c r="AC6" t="s">
        <v>648</v>
      </c>
    </row>
    <row r="7" spans="4:29">
      <c r="D7">
        <v>5</v>
      </c>
      <c r="E7" t="s">
        <v>649</v>
      </c>
      <c r="G7">
        <v>5</v>
      </c>
      <c r="H7" t="s">
        <v>650</v>
      </c>
      <c r="J7">
        <v>6</v>
      </c>
      <c r="K7" t="s">
        <v>651</v>
      </c>
      <c r="M7">
        <v>5</v>
      </c>
      <c r="N7" t="s">
        <v>652</v>
      </c>
      <c r="P7">
        <v>1050</v>
      </c>
      <c r="Q7" t="s">
        <v>653</v>
      </c>
      <c r="U7">
        <v>1050</v>
      </c>
      <c r="V7" t="s">
        <v>654</v>
      </c>
      <c r="W7">
        <v>5</v>
      </c>
      <c r="X7" t="s">
        <v>655</v>
      </c>
      <c r="Y7">
        <v>23</v>
      </c>
      <c r="Z7" t="s">
        <v>656</v>
      </c>
      <c r="AB7">
        <v>306</v>
      </c>
      <c r="AC7" t="s">
        <v>657</v>
      </c>
    </row>
    <row r="8" spans="4:29">
      <c r="D8">
        <v>6</v>
      </c>
      <c r="E8" t="s">
        <v>658</v>
      </c>
      <c r="G8">
        <v>6</v>
      </c>
      <c r="H8" t="s">
        <v>659</v>
      </c>
      <c r="J8">
        <v>7</v>
      </c>
      <c r="K8" t="s">
        <v>660</v>
      </c>
      <c r="M8">
        <v>11</v>
      </c>
      <c r="N8" t="s">
        <v>661</v>
      </c>
      <c r="P8">
        <v>1060</v>
      </c>
      <c r="Q8" t="s">
        <v>662</v>
      </c>
      <c r="U8">
        <v>1060</v>
      </c>
      <c r="V8" t="s">
        <v>663</v>
      </c>
      <c r="W8">
        <v>6</v>
      </c>
      <c r="X8" t="s">
        <v>664</v>
      </c>
      <c r="Y8">
        <v>31</v>
      </c>
      <c r="Z8" t="s">
        <v>665</v>
      </c>
      <c r="AB8">
        <v>307</v>
      </c>
      <c r="AC8" t="s">
        <v>666</v>
      </c>
    </row>
    <row r="9" spans="7:29">
      <c r="G9">
        <v>7</v>
      </c>
      <c r="H9" t="s">
        <v>667</v>
      </c>
      <c r="J9">
        <v>11</v>
      </c>
      <c r="K9" t="s">
        <v>668</v>
      </c>
      <c r="M9">
        <v>12</v>
      </c>
      <c r="N9" s="1" t="s">
        <v>669</v>
      </c>
      <c r="P9">
        <v>1070</v>
      </c>
      <c r="Q9" t="s">
        <v>670</v>
      </c>
      <c r="U9">
        <v>1130</v>
      </c>
      <c r="V9" t="s">
        <v>671</v>
      </c>
      <c r="W9">
        <v>7</v>
      </c>
      <c r="X9" t="s">
        <v>672</v>
      </c>
      <c r="Y9">
        <v>41</v>
      </c>
      <c r="Z9" t="s">
        <v>673</v>
      </c>
      <c r="AB9">
        <v>308</v>
      </c>
      <c r="AC9" t="s">
        <v>674</v>
      </c>
    </row>
    <row r="10" spans="7:29">
      <c r="G10">
        <v>8</v>
      </c>
      <c r="H10" t="s">
        <v>675</v>
      </c>
      <c r="J10">
        <v>101</v>
      </c>
      <c r="K10" t="s">
        <v>676</v>
      </c>
      <c r="M10">
        <v>13</v>
      </c>
      <c r="N10" s="1" t="s">
        <v>677</v>
      </c>
      <c r="P10">
        <v>1080</v>
      </c>
      <c r="Q10" t="s">
        <v>678</v>
      </c>
      <c r="U10">
        <v>1140</v>
      </c>
      <c r="V10" t="s">
        <v>679</v>
      </c>
      <c r="W10">
        <v>10</v>
      </c>
      <c r="X10" t="s">
        <v>680</v>
      </c>
      <c r="Y10">
        <v>42</v>
      </c>
      <c r="Z10" t="s">
        <v>681</v>
      </c>
      <c r="AB10">
        <v>309</v>
      </c>
      <c r="AC10" t="s">
        <v>682</v>
      </c>
    </row>
    <row r="11" spans="7:29">
      <c r="G11">
        <v>9</v>
      </c>
      <c r="H11" t="s">
        <v>683</v>
      </c>
      <c r="M11">
        <v>21</v>
      </c>
      <c r="N11" t="s">
        <v>684</v>
      </c>
      <c r="P11">
        <v>1090</v>
      </c>
      <c r="Q11" t="s">
        <v>685</v>
      </c>
      <c r="U11">
        <v>1150</v>
      </c>
      <c r="V11" t="s">
        <v>686</v>
      </c>
      <c r="W11">
        <v>11</v>
      </c>
      <c r="X11" t="s">
        <v>71</v>
      </c>
      <c r="Y11">
        <v>51</v>
      </c>
      <c r="Z11" t="s">
        <v>687</v>
      </c>
      <c r="AB11">
        <v>310</v>
      </c>
      <c r="AC11" t="s">
        <v>688</v>
      </c>
    </row>
    <row r="12" spans="7:29">
      <c r="G12">
        <v>11</v>
      </c>
      <c r="H12" t="s">
        <v>689</v>
      </c>
      <c r="M12">
        <v>31</v>
      </c>
      <c r="N12" t="s">
        <v>690</v>
      </c>
      <c r="P12">
        <v>1100</v>
      </c>
      <c r="Q12" t="s">
        <v>691</v>
      </c>
      <c r="U12">
        <v>1160</v>
      </c>
      <c r="V12" t="s">
        <v>692</v>
      </c>
      <c r="W12">
        <v>99</v>
      </c>
      <c r="X12" t="s">
        <v>693</v>
      </c>
      <c r="Y12">
        <v>61</v>
      </c>
      <c r="Z12" t="s">
        <v>694</v>
      </c>
      <c r="AB12">
        <v>311</v>
      </c>
      <c r="AC12" t="s">
        <v>695</v>
      </c>
    </row>
    <row r="13" spans="7:29">
      <c r="G13">
        <v>12</v>
      </c>
      <c r="H13" t="s">
        <v>696</v>
      </c>
      <c r="M13">
        <v>32</v>
      </c>
      <c r="N13" t="s">
        <v>697</v>
      </c>
      <c r="P13">
        <v>1110</v>
      </c>
      <c r="Q13" t="s">
        <v>698</v>
      </c>
      <c r="U13">
        <v>2010</v>
      </c>
      <c r="V13" t="s">
        <v>699</v>
      </c>
      <c r="W13" t="s">
        <v>700</v>
      </c>
      <c r="Y13">
        <v>101</v>
      </c>
      <c r="Z13" t="s">
        <v>701</v>
      </c>
      <c r="AB13">
        <v>401</v>
      </c>
      <c r="AC13" t="s">
        <v>702</v>
      </c>
    </row>
    <row r="14" spans="16:29">
      <c r="P14">
        <v>2010</v>
      </c>
      <c r="Q14" t="s">
        <v>703</v>
      </c>
      <c r="U14">
        <v>3010</v>
      </c>
      <c r="V14" t="s">
        <v>704</v>
      </c>
      <c r="AB14">
        <v>402</v>
      </c>
      <c r="AC14" t="s">
        <v>705</v>
      </c>
    </row>
    <row r="15" spans="16:29">
      <c r="P15">
        <v>2011</v>
      </c>
      <c r="Q15" t="s">
        <v>706</v>
      </c>
      <c r="U15">
        <v>3020</v>
      </c>
      <c r="V15" t="s">
        <v>707</v>
      </c>
      <c r="AB15">
        <v>403</v>
      </c>
      <c r="AC15" t="s">
        <v>708</v>
      </c>
    </row>
    <row r="16" spans="16:29">
      <c r="P16">
        <v>2020</v>
      </c>
      <c r="Q16" t="s">
        <v>709</v>
      </c>
      <c r="U16">
        <v>3030</v>
      </c>
      <c r="V16" t="s">
        <v>710</v>
      </c>
      <c r="AB16">
        <v>404</v>
      </c>
      <c r="AC16" t="s">
        <v>711</v>
      </c>
    </row>
    <row r="17" spans="16:29">
      <c r="P17">
        <v>2030</v>
      </c>
      <c r="Q17" t="s">
        <v>712</v>
      </c>
      <c r="U17">
        <v>3040</v>
      </c>
      <c r="V17" t="s">
        <v>713</v>
      </c>
      <c r="AB17">
        <v>501</v>
      </c>
      <c r="AC17" t="s">
        <v>714</v>
      </c>
    </row>
    <row r="18" spans="16:29">
      <c r="P18">
        <v>2040</v>
      </c>
      <c r="Q18" t="s">
        <v>715</v>
      </c>
      <c r="U18">
        <v>3050</v>
      </c>
      <c r="V18" t="s">
        <v>716</v>
      </c>
      <c r="AB18">
        <v>502</v>
      </c>
      <c r="AC18" t="s">
        <v>717</v>
      </c>
    </row>
    <row r="19" spans="16:29">
      <c r="P19">
        <v>2110</v>
      </c>
      <c r="Q19" t="s">
        <v>718</v>
      </c>
      <c r="U19">
        <v>3060</v>
      </c>
      <c r="V19" t="s">
        <v>719</v>
      </c>
      <c r="AB19">
        <v>503</v>
      </c>
      <c r="AC19" t="s">
        <v>720</v>
      </c>
    </row>
    <row r="20" spans="16:29">
      <c r="P20">
        <v>2120</v>
      </c>
      <c r="Q20" t="s">
        <v>721</v>
      </c>
      <c r="U20">
        <v>4010</v>
      </c>
      <c r="V20" t="s">
        <v>722</v>
      </c>
      <c r="AB20">
        <v>504</v>
      </c>
      <c r="AC20" t="s">
        <v>723</v>
      </c>
    </row>
    <row r="21" spans="16:29">
      <c r="P21">
        <v>2130</v>
      </c>
      <c r="Q21" t="s">
        <v>724</v>
      </c>
      <c r="U21">
        <v>4020</v>
      </c>
      <c r="V21" t="s">
        <v>725</v>
      </c>
      <c r="AB21">
        <v>505</v>
      </c>
      <c r="AC21" t="s">
        <v>726</v>
      </c>
    </row>
    <row r="22" spans="16:29">
      <c r="P22">
        <v>3010</v>
      </c>
      <c r="Q22" t="s">
        <v>727</v>
      </c>
      <c r="U22">
        <v>5010</v>
      </c>
      <c r="V22" t="s">
        <v>728</v>
      </c>
      <c r="AB22">
        <v>506</v>
      </c>
      <c r="AC22" t="s">
        <v>729</v>
      </c>
    </row>
    <row r="23" spans="16:29">
      <c r="P23">
        <v>3020</v>
      </c>
      <c r="Q23" t="s">
        <v>730</v>
      </c>
      <c r="U23">
        <v>5020</v>
      </c>
      <c r="V23" t="s">
        <v>731</v>
      </c>
      <c r="AB23">
        <v>507</v>
      </c>
      <c r="AC23" t="s">
        <v>732</v>
      </c>
    </row>
    <row r="24" spans="16:29">
      <c r="P24">
        <v>3030</v>
      </c>
      <c r="Q24" t="s">
        <v>733</v>
      </c>
      <c r="U24">
        <v>5030</v>
      </c>
      <c r="V24" t="s">
        <v>734</v>
      </c>
      <c r="AB24">
        <v>508</v>
      </c>
      <c r="AC24" t="s">
        <v>702</v>
      </c>
    </row>
    <row r="25" spans="16:29">
      <c r="P25">
        <v>3040</v>
      </c>
      <c r="Q25" t="s">
        <v>735</v>
      </c>
      <c r="U25">
        <v>5040</v>
      </c>
      <c r="V25" t="s">
        <v>736</v>
      </c>
      <c r="AB25">
        <v>509</v>
      </c>
      <c r="AC25" t="s">
        <v>708</v>
      </c>
    </row>
    <row r="26" spans="16:22">
      <c r="P26">
        <v>3050</v>
      </c>
      <c r="Q26" t="s">
        <v>737</v>
      </c>
      <c r="U26">
        <v>5050</v>
      </c>
      <c r="V26" t="s">
        <v>738</v>
      </c>
    </row>
    <row r="27" spans="16:22">
      <c r="P27">
        <v>3060</v>
      </c>
      <c r="Q27" t="s">
        <v>739</v>
      </c>
      <c r="U27">
        <v>5060</v>
      </c>
      <c r="V27" t="s">
        <v>740</v>
      </c>
    </row>
    <row r="28" spans="16:22">
      <c r="P28">
        <v>3070</v>
      </c>
      <c r="Q28" t="s">
        <v>741</v>
      </c>
      <c r="U28">
        <v>5070</v>
      </c>
      <c r="V28" t="s">
        <v>742</v>
      </c>
    </row>
    <row r="29" spans="16:22">
      <c r="P29">
        <v>4010</v>
      </c>
      <c r="Q29" t="s">
        <v>743</v>
      </c>
      <c r="U29">
        <v>5080</v>
      </c>
      <c r="V29" t="s">
        <v>744</v>
      </c>
    </row>
    <row r="30" spans="16:22">
      <c r="P30">
        <v>4020</v>
      </c>
      <c r="Q30" t="s">
        <v>745</v>
      </c>
      <c r="U30">
        <v>5090</v>
      </c>
      <c r="V30" t="s">
        <v>746</v>
      </c>
    </row>
    <row r="31" spans="16:22">
      <c r="P31">
        <v>4030</v>
      </c>
      <c r="Q31" t="s">
        <v>747</v>
      </c>
      <c r="U31">
        <v>5100</v>
      </c>
      <c r="V31" t="s">
        <v>748</v>
      </c>
    </row>
    <row r="32" spans="16:22">
      <c r="P32">
        <v>4040</v>
      </c>
      <c r="Q32" t="s">
        <v>749</v>
      </c>
      <c r="U32">
        <v>5110</v>
      </c>
      <c r="V32" t="s">
        <v>750</v>
      </c>
    </row>
    <row r="33" spans="16:22">
      <c r="P33">
        <v>4041</v>
      </c>
      <c r="Q33" t="s">
        <v>751</v>
      </c>
      <c r="U33">
        <v>5120</v>
      </c>
      <c r="V33" t="s">
        <v>752</v>
      </c>
    </row>
    <row r="34" spans="16:22">
      <c r="P34">
        <v>5010</v>
      </c>
      <c r="Q34" t="s">
        <v>753</v>
      </c>
      <c r="U34">
        <v>5130</v>
      </c>
      <c r="V34" t="s">
        <v>754</v>
      </c>
    </row>
    <row r="35" spans="16:22">
      <c r="P35">
        <v>5011</v>
      </c>
      <c r="Q35" t="s">
        <v>755</v>
      </c>
      <c r="U35">
        <v>5140</v>
      </c>
      <c r="V35" t="s">
        <v>756</v>
      </c>
    </row>
    <row r="36" spans="16:22">
      <c r="P36">
        <v>5012</v>
      </c>
      <c r="Q36" t="s">
        <v>757</v>
      </c>
      <c r="U36">
        <v>5150</v>
      </c>
      <c r="V36" t="s">
        <v>758</v>
      </c>
    </row>
    <row r="37" spans="16:22">
      <c r="P37">
        <v>5020</v>
      </c>
      <c r="Q37" t="s">
        <v>759</v>
      </c>
      <c r="U37">
        <v>6010</v>
      </c>
      <c r="V37" t="s">
        <v>760</v>
      </c>
    </row>
    <row r="38" spans="16:22">
      <c r="P38">
        <v>5030</v>
      </c>
      <c r="Q38" t="s">
        <v>761</v>
      </c>
      <c r="U38">
        <v>6020</v>
      </c>
      <c r="V38" t="s">
        <v>762</v>
      </c>
    </row>
    <row r="39" spans="16:22">
      <c r="P39">
        <v>5040</v>
      </c>
      <c r="Q39" t="s">
        <v>763</v>
      </c>
      <c r="U39">
        <v>6030</v>
      </c>
      <c r="V39" t="s">
        <v>764</v>
      </c>
    </row>
    <row r="40" spans="16:22">
      <c r="P40">
        <v>5050</v>
      </c>
      <c r="Q40" t="s">
        <v>765</v>
      </c>
      <c r="U40">
        <v>6040</v>
      </c>
      <c r="V40" t="s">
        <v>766</v>
      </c>
    </row>
    <row r="41" spans="16:22">
      <c r="P41">
        <v>6010</v>
      </c>
      <c r="Q41" t="s">
        <v>767</v>
      </c>
      <c r="U41">
        <v>6050</v>
      </c>
      <c r="V41" t="s">
        <v>768</v>
      </c>
    </row>
    <row r="42" spans="16:22">
      <c r="P42">
        <v>6020</v>
      </c>
      <c r="Q42" t="s">
        <v>769</v>
      </c>
      <c r="U42">
        <v>6060</v>
      </c>
      <c r="V42" t="s">
        <v>770</v>
      </c>
    </row>
    <row r="43" spans="16:22">
      <c r="P43">
        <v>6030</v>
      </c>
      <c r="Q43" t="s">
        <v>771</v>
      </c>
      <c r="U43">
        <v>6110</v>
      </c>
      <c r="V43" t="s">
        <v>772</v>
      </c>
    </row>
    <row r="44" spans="16:22">
      <c r="P44">
        <v>6040</v>
      </c>
      <c r="Q44" t="s">
        <v>773</v>
      </c>
      <c r="U44">
        <v>6120</v>
      </c>
      <c r="V44" t="s">
        <v>774</v>
      </c>
    </row>
    <row r="45" spans="16:22">
      <c r="P45">
        <v>6050</v>
      </c>
      <c r="Q45" t="s">
        <v>775</v>
      </c>
      <c r="U45">
        <v>6130</v>
      </c>
      <c r="V45" t="s">
        <v>776</v>
      </c>
    </row>
    <row r="46" spans="16:22">
      <c r="P46">
        <v>6060</v>
      </c>
      <c r="Q46" t="s">
        <v>777</v>
      </c>
      <c r="U46">
        <v>6140</v>
      </c>
      <c r="V46" t="s">
        <v>778</v>
      </c>
    </row>
    <row r="47" spans="16:22">
      <c r="P47">
        <v>6070</v>
      </c>
      <c r="Q47" t="s">
        <v>779</v>
      </c>
      <c r="U47">
        <v>6150</v>
      </c>
      <c r="V47" t="s">
        <v>780</v>
      </c>
    </row>
    <row r="48" spans="16:22">
      <c r="P48">
        <v>6080</v>
      </c>
      <c r="Q48" t="s">
        <v>781</v>
      </c>
      <c r="U48">
        <v>6210</v>
      </c>
      <c r="V48" t="s">
        <v>782</v>
      </c>
    </row>
    <row r="49" spans="16:22">
      <c r="P49">
        <v>6100</v>
      </c>
      <c r="Q49" t="s">
        <v>783</v>
      </c>
      <c r="U49">
        <v>6220</v>
      </c>
      <c r="V49" t="s">
        <v>784</v>
      </c>
    </row>
    <row r="50" spans="16:22">
      <c r="P50">
        <v>6210</v>
      </c>
      <c r="Q50" t="s">
        <v>785</v>
      </c>
      <c r="U50">
        <v>6230</v>
      </c>
      <c r="V50" t="s">
        <v>786</v>
      </c>
    </row>
    <row r="51" spans="16:22">
      <c r="P51">
        <v>6310</v>
      </c>
      <c r="Q51" t="s">
        <v>787</v>
      </c>
      <c r="U51">
        <v>6240</v>
      </c>
      <c r="V51" t="s">
        <v>788</v>
      </c>
    </row>
    <row r="52" spans="16:22">
      <c r="P52">
        <v>7010</v>
      </c>
      <c r="Q52" t="s">
        <v>789</v>
      </c>
      <c r="U52">
        <v>6250</v>
      </c>
      <c r="V52" t="s">
        <v>790</v>
      </c>
    </row>
    <row r="53" spans="16:22">
      <c r="P53">
        <v>7020</v>
      </c>
      <c r="Q53" t="s">
        <v>791</v>
      </c>
      <c r="U53">
        <v>6310</v>
      </c>
      <c r="V53" t="s">
        <v>792</v>
      </c>
    </row>
    <row r="54" spans="16:22">
      <c r="P54">
        <v>7030</v>
      </c>
      <c r="Q54" t="s">
        <v>793</v>
      </c>
      <c r="U54">
        <v>6320</v>
      </c>
      <c r="V54" t="s">
        <v>794</v>
      </c>
    </row>
    <row r="55" spans="16:22">
      <c r="P55">
        <v>8010</v>
      </c>
      <c r="Q55" t="s">
        <v>795</v>
      </c>
      <c r="U55">
        <v>6330</v>
      </c>
      <c r="V55" t="s">
        <v>796</v>
      </c>
    </row>
    <row r="56" spans="16:22">
      <c r="P56">
        <v>8020</v>
      </c>
      <c r="Q56" t="s">
        <v>797</v>
      </c>
      <c r="U56">
        <v>6340</v>
      </c>
      <c r="V56" t="s">
        <v>798</v>
      </c>
    </row>
    <row r="57" spans="16:22">
      <c r="P57">
        <v>9010</v>
      </c>
      <c r="Q57" t="s">
        <v>799</v>
      </c>
      <c r="U57">
        <v>6350</v>
      </c>
      <c r="V57" t="s">
        <v>800</v>
      </c>
    </row>
    <row r="58" spans="16:22">
      <c r="P58">
        <v>10010</v>
      </c>
      <c r="Q58" t="s">
        <v>801</v>
      </c>
      <c r="U58">
        <v>7010</v>
      </c>
      <c r="V58" t="s">
        <v>802</v>
      </c>
    </row>
    <row r="59" spans="16:22">
      <c r="P59">
        <v>10020</v>
      </c>
      <c r="Q59" t="s">
        <v>803</v>
      </c>
      <c r="U59">
        <v>7020</v>
      </c>
      <c r="V59" t="s">
        <v>804</v>
      </c>
    </row>
    <row r="60" spans="16:22">
      <c r="P60">
        <v>11010</v>
      </c>
      <c r="Q60" t="s">
        <v>805</v>
      </c>
      <c r="U60">
        <v>7030</v>
      </c>
      <c r="V60" t="s">
        <v>806</v>
      </c>
    </row>
    <row r="61" spans="16:22">
      <c r="P61">
        <v>12010</v>
      </c>
      <c r="Q61" t="s">
        <v>807</v>
      </c>
      <c r="U61">
        <v>7040</v>
      </c>
      <c r="V61" t="s">
        <v>808</v>
      </c>
    </row>
    <row r="62" spans="16:22">
      <c r="P62">
        <v>13010</v>
      </c>
      <c r="Q62" t="s">
        <v>809</v>
      </c>
      <c r="U62">
        <v>7050</v>
      </c>
      <c r="V62" t="s">
        <v>810</v>
      </c>
    </row>
    <row r="63" spans="16:22">
      <c r="P63">
        <v>14010</v>
      </c>
      <c r="Q63" t="s">
        <v>811</v>
      </c>
      <c r="U63">
        <v>7060</v>
      </c>
      <c r="V63" t="s">
        <v>812</v>
      </c>
    </row>
    <row r="64" spans="16:22">
      <c r="P64">
        <v>14080</v>
      </c>
      <c r="Q64" t="s">
        <v>813</v>
      </c>
      <c r="U64">
        <v>7070</v>
      </c>
      <c r="V64" t="s">
        <v>814</v>
      </c>
    </row>
    <row r="65" spans="16:22">
      <c r="P65">
        <v>40010</v>
      </c>
      <c r="Q65" t="s">
        <v>815</v>
      </c>
      <c r="U65">
        <v>8010</v>
      </c>
      <c r="V65" t="s">
        <v>816</v>
      </c>
    </row>
    <row r="66" spans="16:22">
      <c r="P66">
        <v>40020</v>
      </c>
      <c r="Q66" t="s">
        <v>817</v>
      </c>
      <c r="U66">
        <v>8020</v>
      </c>
      <c r="V66" t="s">
        <v>818</v>
      </c>
    </row>
    <row r="67" spans="16:22">
      <c r="P67">
        <v>40030</v>
      </c>
      <c r="Q67" t="s">
        <v>819</v>
      </c>
      <c r="U67">
        <v>8030</v>
      </c>
      <c r="V67" t="s">
        <v>820</v>
      </c>
    </row>
    <row r="68" spans="16:22">
      <c r="P68">
        <v>40040</v>
      </c>
      <c r="Q68" t="s">
        <v>821</v>
      </c>
      <c r="U68">
        <v>8040</v>
      </c>
      <c r="V68" t="s">
        <v>822</v>
      </c>
    </row>
    <row r="69" spans="16:22">
      <c r="P69">
        <v>40050</v>
      </c>
      <c r="Q69" t="s">
        <v>823</v>
      </c>
      <c r="U69">
        <v>8050</v>
      </c>
      <c r="V69" t="s">
        <v>824</v>
      </c>
    </row>
    <row r="70" spans="16:22">
      <c r="P70">
        <v>40060</v>
      </c>
      <c r="Q70" t="s">
        <v>825</v>
      </c>
      <c r="U70">
        <v>8060</v>
      </c>
      <c r="V70" t="s">
        <v>826</v>
      </c>
    </row>
    <row r="71" spans="16:22">
      <c r="P71">
        <v>40070</v>
      </c>
      <c r="Q71" t="s">
        <v>827</v>
      </c>
      <c r="U71">
        <v>9010</v>
      </c>
      <c r="V71" t="s">
        <v>828</v>
      </c>
    </row>
    <row r="72" spans="16:22">
      <c r="P72">
        <v>40080</v>
      </c>
      <c r="Q72" t="s">
        <v>829</v>
      </c>
      <c r="U72">
        <v>9020</v>
      </c>
      <c r="V72" t="s">
        <v>830</v>
      </c>
    </row>
    <row r="73" spans="21:22">
      <c r="U73">
        <v>9030</v>
      </c>
      <c r="V73" t="s">
        <v>831</v>
      </c>
    </row>
    <row r="74" spans="21:22">
      <c r="U74">
        <v>9031</v>
      </c>
      <c r="V74" t="s">
        <v>832</v>
      </c>
    </row>
    <row r="75" spans="21:22">
      <c r="U75">
        <v>9040</v>
      </c>
      <c r="V75" t="s">
        <v>833</v>
      </c>
    </row>
    <row r="76" spans="21:22">
      <c r="U76">
        <v>9110</v>
      </c>
      <c r="V76" t="s">
        <v>834</v>
      </c>
    </row>
    <row r="77" spans="21:22">
      <c r="U77">
        <v>9120</v>
      </c>
      <c r="V77" t="s">
        <v>835</v>
      </c>
    </row>
    <row r="78" spans="21:22">
      <c r="U78">
        <v>10010</v>
      </c>
      <c r="V78" t="s">
        <v>836</v>
      </c>
    </row>
    <row r="79" spans="21:22">
      <c r="U79">
        <v>10020</v>
      </c>
      <c r="V79" t="s">
        <v>837</v>
      </c>
    </row>
    <row r="80" spans="21:22">
      <c r="U80">
        <v>10030</v>
      </c>
      <c r="V80" t="s">
        <v>838</v>
      </c>
    </row>
    <row r="81" spans="21:22">
      <c r="U81">
        <v>10110</v>
      </c>
      <c r="V81" t="s">
        <v>839</v>
      </c>
    </row>
    <row r="82" spans="21:22">
      <c r="U82">
        <v>10120</v>
      </c>
      <c r="V82" t="s">
        <v>840</v>
      </c>
    </row>
    <row r="83" spans="21:22">
      <c r="U83">
        <v>10130</v>
      </c>
      <c r="V83" t="s">
        <v>841</v>
      </c>
    </row>
    <row r="84" spans="21:22">
      <c r="U84">
        <v>11010</v>
      </c>
      <c r="V84" t="s">
        <v>842</v>
      </c>
    </row>
    <row r="85" spans="21:22">
      <c r="U85">
        <v>11011</v>
      </c>
      <c r="V85" t="s">
        <v>843</v>
      </c>
    </row>
    <row r="86" spans="21:22">
      <c r="U86">
        <v>11020</v>
      </c>
      <c r="V86" t="s">
        <v>844</v>
      </c>
    </row>
    <row r="87" spans="21:22">
      <c r="U87">
        <v>12010</v>
      </c>
      <c r="V87" t="s">
        <v>845</v>
      </c>
    </row>
    <row r="88" spans="21:22">
      <c r="U88">
        <v>12011</v>
      </c>
      <c r="V88" t="s">
        <v>846</v>
      </c>
    </row>
    <row r="89" spans="21:22">
      <c r="U89">
        <v>12030</v>
      </c>
      <c r="V89" t="s">
        <v>847</v>
      </c>
    </row>
    <row r="90" spans="21:22">
      <c r="U90">
        <v>12040</v>
      </c>
      <c r="V90" t="s">
        <v>848</v>
      </c>
    </row>
    <row r="91" spans="21:22">
      <c r="U91">
        <v>12041</v>
      </c>
      <c r="V91" t="s">
        <v>849</v>
      </c>
    </row>
    <row r="92" spans="21:22">
      <c r="U92">
        <v>12042</v>
      </c>
      <c r="V92" t="s">
        <v>850</v>
      </c>
    </row>
    <row r="93" spans="21:22">
      <c r="U93">
        <v>12043</v>
      </c>
      <c r="V93" t="s">
        <v>851</v>
      </c>
    </row>
    <row r="94" spans="21:22">
      <c r="U94">
        <v>12050</v>
      </c>
      <c r="V94" t="s">
        <v>852</v>
      </c>
    </row>
    <row r="95" spans="21:22">
      <c r="U95">
        <v>12060</v>
      </c>
      <c r="V95" t="s">
        <v>853</v>
      </c>
    </row>
    <row r="96" spans="21:22">
      <c r="U96">
        <v>12063</v>
      </c>
      <c r="V96" t="s">
        <v>854</v>
      </c>
    </row>
    <row r="97" spans="21:22">
      <c r="U97">
        <v>12064</v>
      </c>
      <c r="V97" t="s">
        <v>855</v>
      </c>
    </row>
    <row r="98" spans="21:22">
      <c r="U98">
        <v>12066</v>
      </c>
      <c r="V98" t="s">
        <v>856</v>
      </c>
    </row>
    <row r="99" spans="21:22">
      <c r="U99">
        <v>12067</v>
      </c>
      <c r="V99" t="s">
        <v>857</v>
      </c>
    </row>
    <row r="100" spans="21:22">
      <c r="U100">
        <v>12070</v>
      </c>
      <c r="V100" t="s">
        <v>858</v>
      </c>
    </row>
    <row r="101" spans="21:22">
      <c r="U101">
        <v>12071</v>
      </c>
      <c r="V101" t="s">
        <v>859</v>
      </c>
    </row>
    <row r="102" spans="21:22">
      <c r="U102">
        <v>12072</v>
      </c>
      <c r="V102" t="s">
        <v>860</v>
      </c>
    </row>
    <row r="103" spans="21:22">
      <c r="U103">
        <v>12082</v>
      </c>
      <c r="V103" t="s">
        <v>861</v>
      </c>
    </row>
    <row r="104" spans="21:22">
      <c r="U104">
        <v>12092</v>
      </c>
      <c r="V104" t="s">
        <v>862</v>
      </c>
    </row>
    <row r="105" spans="21:22">
      <c r="U105">
        <v>12110</v>
      </c>
      <c r="V105" t="s">
        <v>863</v>
      </c>
    </row>
    <row r="106" spans="21:22">
      <c r="U106">
        <v>13010</v>
      </c>
      <c r="V106" t="s">
        <v>864</v>
      </c>
    </row>
    <row r="107" spans="21:22">
      <c r="U107">
        <v>13020</v>
      </c>
      <c r="V107" t="s">
        <v>865</v>
      </c>
    </row>
    <row r="108" spans="21:22">
      <c r="U108">
        <v>14010</v>
      </c>
      <c r="V108" t="s">
        <v>866</v>
      </c>
    </row>
    <row r="109" spans="21:22">
      <c r="U109">
        <v>14110</v>
      </c>
      <c r="V109" t="s">
        <v>867</v>
      </c>
    </row>
    <row r="110" spans="21:22">
      <c r="U110">
        <v>14210</v>
      </c>
      <c r="V110" t="s">
        <v>868</v>
      </c>
    </row>
    <row r="111" spans="21:22">
      <c r="U111">
        <v>14310</v>
      </c>
      <c r="V111" t="s">
        <v>869</v>
      </c>
    </row>
    <row r="112" spans="21:22">
      <c r="U112">
        <v>14410</v>
      </c>
      <c r="V112" t="s">
        <v>870</v>
      </c>
    </row>
    <row r="113" spans="21:22">
      <c r="U113">
        <v>14420</v>
      </c>
      <c r="V113" t="s">
        <v>871</v>
      </c>
    </row>
    <row r="114" spans="21:22">
      <c r="U114">
        <v>14520</v>
      </c>
      <c r="V114" t="s">
        <v>872</v>
      </c>
    </row>
    <row r="115" spans="21:22">
      <c r="U115">
        <v>15010</v>
      </c>
      <c r="V115" t="s">
        <v>873</v>
      </c>
    </row>
    <row r="116" spans="21:22">
      <c r="U116">
        <v>15011</v>
      </c>
      <c r="V116" t="s">
        <v>874</v>
      </c>
    </row>
    <row r="117" spans="21:22">
      <c r="U117">
        <v>15022</v>
      </c>
      <c r="V117" t="s">
        <v>875</v>
      </c>
    </row>
    <row r="118" spans="21:22">
      <c r="U118">
        <v>16010</v>
      </c>
      <c r="V118" t="s">
        <v>876</v>
      </c>
    </row>
    <row r="119" spans="21:22">
      <c r="U119">
        <v>16020</v>
      </c>
      <c r="V119" t="s">
        <v>877</v>
      </c>
    </row>
    <row r="120" spans="21:22">
      <c r="U120">
        <v>17010</v>
      </c>
      <c r="V120" t="s">
        <v>878</v>
      </c>
    </row>
    <row r="121" spans="21:22">
      <c r="U121">
        <v>17020</v>
      </c>
      <c r="V121" t="s">
        <v>879</v>
      </c>
    </row>
    <row r="122" spans="21:22">
      <c r="U122">
        <v>17030</v>
      </c>
      <c r="V122" t="s">
        <v>880</v>
      </c>
    </row>
    <row r="123" spans="21:22">
      <c r="U123">
        <v>17040</v>
      </c>
      <c r="V123" t="s">
        <v>881</v>
      </c>
    </row>
    <row r="124" spans="21:22">
      <c r="U124">
        <v>17050</v>
      </c>
      <c r="V124" t="s">
        <v>882</v>
      </c>
    </row>
    <row r="125" spans="21:22">
      <c r="U125">
        <v>17060</v>
      </c>
      <c r="V125" t="s">
        <v>883</v>
      </c>
    </row>
    <row r="126" spans="21:22">
      <c r="U126">
        <v>18010</v>
      </c>
      <c r="V126" t="s">
        <v>884</v>
      </c>
    </row>
    <row r="127" spans="21:22">
      <c r="U127">
        <v>18020</v>
      </c>
      <c r="V127" t="s">
        <v>885</v>
      </c>
    </row>
    <row r="128" spans="21:22">
      <c r="U128">
        <v>19010</v>
      </c>
      <c r="V128" t="s">
        <v>886</v>
      </c>
    </row>
    <row r="129" spans="21:22">
      <c r="U129">
        <v>19020</v>
      </c>
      <c r="V129" t="s">
        <v>887</v>
      </c>
    </row>
    <row r="130" spans="21:22">
      <c r="U130">
        <v>19030</v>
      </c>
      <c r="V130" t="s">
        <v>888</v>
      </c>
    </row>
    <row r="131" spans="21:22">
      <c r="U131">
        <v>20030</v>
      </c>
      <c r="V131" t="s">
        <v>863</v>
      </c>
    </row>
    <row r="132" spans="21:22">
      <c r="U132">
        <v>20040</v>
      </c>
      <c r="V132" t="s">
        <v>889</v>
      </c>
    </row>
    <row r="133" spans="21:22">
      <c r="U133">
        <v>20050</v>
      </c>
      <c r="V133" t="s">
        <v>890</v>
      </c>
    </row>
    <row r="134" spans="21:22">
      <c r="U134">
        <v>20070</v>
      </c>
      <c r="V134" t="s">
        <v>891</v>
      </c>
    </row>
    <row r="135" spans="21:22">
      <c r="U135">
        <v>20071</v>
      </c>
      <c r="V135" t="s">
        <v>892</v>
      </c>
    </row>
    <row r="136" spans="21:22">
      <c r="U136">
        <v>20110</v>
      </c>
      <c r="V136" t="s">
        <v>893</v>
      </c>
    </row>
    <row r="137" spans="21:22">
      <c r="U137">
        <v>20120</v>
      </c>
      <c r="V137" t="s">
        <v>894</v>
      </c>
    </row>
    <row r="138" spans="21:22">
      <c r="U138">
        <v>20130</v>
      </c>
      <c r="V138" t="s">
        <v>895</v>
      </c>
    </row>
    <row r="139" spans="21:22">
      <c r="U139">
        <v>20140</v>
      </c>
      <c r="V139" t="s">
        <v>896</v>
      </c>
    </row>
    <row r="140" spans="21:22">
      <c r="U140">
        <v>20150</v>
      </c>
      <c r="V140" t="s">
        <v>897</v>
      </c>
    </row>
    <row r="141" spans="21:22">
      <c r="U141">
        <v>20160</v>
      </c>
      <c r="V141" t="s">
        <v>898</v>
      </c>
    </row>
    <row r="142" spans="21:22">
      <c r="U142">
        <v>23010</v>
      </c>
      <c r="V142" t="s">
        <v>899</v>
      </c>
    </row>
    <row r="143" spans="21:22">
      <c r="U143">
        <v>24010</v>
      </c>
      <c r="V143" t="s">
        <v>900</v>
      </c>
    </row>
    <row r="144" spans="21:22">
      <c r="U144">
        <v>30010</v>
      </c>
      <c r="V144" t="s">
        <v>901</v>
      </c>
    </row>
    <row r="145" spans="21:22">
      <c r="U145">
        <v>30020</v>
      </c>
      <c r="V145" t="s">
        <v>902</v>
      </c>
    </row>
    <row r="146" spans="21:22">
      <c r="U146">
        <v>40010</v>
      </c>
      <c r="V146" t="s">
        <v>903</v>
      </c>
    </row>
    <row r="147" spans="21:22">
      <c r="U147">
        <v>40020</v>
      </c>
      <c r="V147" t="s">
        <v>904</v>
      </c>
    </row>
    <row r="148" spans="21:22">
      <c r="U148">
        <v>40030</v>
      </c>
      <c r="V148" t="s">
        <v>905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2026-05-19T13:39:56Z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