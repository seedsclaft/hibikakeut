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Skills!$F$1:$F$204</definedName>
  </definedNames>
  <calcPr calcId="144525" concurrentCalc="0"/>
</workbook>
</file>

<file path=xl/sharedStrings.xml><?xml version="1.0" encoding="utf-8"?>
<sst xmlns="http://schemas.openxmlformats.org/spreadsheetml/2006/main" count="836" uniqueCount="727">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</sst>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3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D1" t="str">
            <v>Attribute</v>
          </cell>
        </row>
        <row r="1">
          <cell r="G1" t="str">
            <v>SkillType</v>
          </cell>
        </row>
        <row r="1">
          <cell r="J1" t="str">
            <v>TargetType</v>
          </cell>
        </row>
        <row r="1">
          <cell r="M1" t="str">
            <v>Scope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1">
          <cell r="W1" t="str">
            <v>MagicType</v>
          </cell>
        </row>
        <row r="2">
          <cell r="A2">
            <v>0</v>
          </cell>
          <cell r="B2" t="str">
            <v>なし</v>
          </cell>
        </row>
        <row r="2">
          <cell r="D2">
            <v>0</v>
          </cell>
          <cell r="E2" t="str">
            <v>なし</v>
          </cell>
        </row>
        <row r="2">
          <cell r="G2">
            <v>0</v>
          </cell>
          <cell r="H2" t="str">
            <v>なし</v>
          </cell>
        </row>
        <row r="2">
          <cell r="J2">
            <v>0</v>
          </cell>
          <cell r="K2" t="str">
            <v>なし</v>
          </cell>
        </row>
        <row r="2">
          <cell r="M2">
            <v>0</v>
          </cell>
          <cell r="N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  <cell r="W2">
            <v>0</v>
          </cell>
          <cell r="X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D3">
            <v>1</v>
          </cell>
          <cell r="E3" t="str">
            <v>炎</v>
          </cell>
        </row>
        <row r="3">
          <cell r="G3">
            <v>1</v>
          </cell>
          <cell r="H3" t="str">
            <v>魔法</v>
          </cell>
        </row>
        <row r="3">
          <cell r="J3">
            <v>1</v>
          </cell>
          <cell r="K3" t="str">
            <v>相手</v>
          </cell>
        </row>
        <row r="3">
          <cell r="M3">
            <v>1</v>
          </cell>
          <cell r="N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  <cell r="W3">
            <v>1</v>
          </cell>
          <cell r="X3" t="str">
            <v>元素</v>
          </cell>
        </row>
        <row r="4">
          <cell r="A4">
            <v>2</v>
          </cell>
          <cell r="B4" t="str">
            <v>列</v>
          </cell>
        </row>
        <row r="4">
          <cell r="D4">
            <v>2</v>
          </cell>
          <cell r="E4" t="str">
            <v>雷</v>
          </cell>
        </row>
        <row r="4">
          <cell r="G4">
            <v>2</v>
          </cell>
          <cell r="H4" t="str">
            <v>パッシブ</v>
          </cell>
        </row>
        <row r="4">
          <cell r="J4">
            <v>2</v>
          </cell>
          <cell r="K4" t="str">
            <v>味方</v>
          </cell>
        </row>
        <row r="4">
          <cell r="M4">
            <v>2</v>
          </cell>
          <cell r="N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  <cell r="W4">
            <v>2</v>
          </cell>
          <cell r="X4" t="str">
            <v>光</v>
          </cell>
        </row>
        <row r="5">
          <cell r="A5">
            <v>3</v>
          </cell>
          <cell r="B5" t="str">
            <v>全体</v>
          </cell>
        </row>
        <row r="5">
          <cell r="D5">
            <v>3</v>
          </cell>
          <cell r="E5" t="str">
            <v>氷</v>
          </cell>
        </row>
        <row r="5">
          <cell r="G5">
            <v>3</v>
          </cell>
          <cell r="H5" t="str">
            <v>神化</v>
          </cell>
        </row>
        <row r="5">
          <cell r="J5">
            <v>3</v>
          </cell>
          <cell r="K5" t="str">
            <v>全員</v>
          </cell>
        </row>
        <row r="5">
          <cell r="M5">
            <v>3</v>
          </cell>
          <cell r="N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  <cell r="W5">
            <v>3</v>
          </cell>
          <cell r="X5" t="str">
            <v>理術</v>
          </cell>
        </row>
        <row r="6">
          <cell r="D6">
            <v>4</v>
          </cell>
          <cell r="E6" t="str">
            <v>光</v>
          </cell>
        </row>
        <row r="6">
          <cell r="G6">
            <v>4</v>
          </cell>
          <cell r="H6" t="str">
            <v>覚醒</v>
          </cell>
        </row>
        <row r="6">
          <cell r="J6">
            <v>4</v>
          </cell>
          <cell r="K6" t="str">
            <v>自身</v>
          </cell>
        </row>
        <row r="6">
          <cell r="M6">
            <v>4</v>
          </cell>
          <cell r="N6" t="str">
            <v>自身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  <cell r="W6">
            <v>4</v>
          </cell>
          <cell r="X6" t="str">
            <v>精神</v>
          </cell>
        </row>
        <row r="7">
          <cell r="D7">
            <v>5</v>
          </cell>
          <cell r="E7" t="str">
            <v>闇</v>
          </cell>
        </row>
        <row r="7">
          <cell r="G7">
            <v>5</v>
          </cell>
          <cell r="H7" t="str">
            <v>レリック</v>
          </cell>
        </row>
        <row r="7">
          <cell r="J7">
            <v>6</v>
          </cell>
          <cell r="K7" t="str">
            <v>反撃</v>
          </cell>
        </row>
        <row r="7">
          <cell r="M7">
            <v>5</v>
          </cell>
          <cell r="N7" t="str">
            <v>最前列のみ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  <cell r="W7">
            <v>5</v>
          </cell>
          <cell r="X7" t="str">
            <v>超次元</v>
          </cell>
        </row>
        <row r="8">
          <cell r="G8">
            <v>6</v>
          </cell>
          <cell r="H8" t="str">
            <v>強化</v>
          </cell>
        </row>
        <row r="8">
          <cell r="J8">
            <v>7</v>
          </cell>
          <cell r="K8" t="str">
            <v>追撃</v>
          </cell>
        </row>
        <row r="8">
          <cell r="M8">
            <v>11</v>
          </cell>
          <cell r="N8" t="str">
            <v>単体・自身を除く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  <cell r="W8">
            <v>6</v>
          </cell>
          <cell r="X8" t="str">
            <v>自己強化</v>
          </cell>
        </row>
        <row r="9">
          <cell r="G9">
            <v>11</v>
          </cell>
          <cell r="H9" t="str">
            <v>アルカナ使用</v>
          </cell>
        </row>
        <row r="9">
          <cell r="J9">
            <v>11</v>
          </cell>
          <cell r="K9" t="str">
            <v>Triggerの条件を満たす</v>
          </cell>
        </row>
        <row r="9">
          <cell r="M9">
            <v>12</v>
          </cell>
          <cell r="N9" t="str">
            <v>列・自身を除く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  <cell r="W9">
            <v>7</v>
          </cell>
          <cell r="X9" t="str">
            <v>工作</v>
          </cell>
        </row>
        <row r="10">
          <cell r="G10">
            <v>12</v>
          </cell>
          <cell r="H10" t="str">
            <v>転生</v>
          </cell>
        </row>
        <row r="10">
          <cell r="J10">
            <v>101</v>
          </cell>
          <cell r="K10" t="str">
            <v>パーティ</v>
          </cell>
        </row>
        <row r="10">
          <cell r="M10">
            <v>13</v>
          </cell>
          <cell r="N10" t="str">
            <v>全体・自身を除く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  <cell r="W10">
            <v>10</v>
          </cell>
          <cell r="X10" t="str">
            <v>半神</v>
          </cell>
        </row>
        <row r="11">
          <cell r="M11">
            <v>21</v>
          </cell>
          <cell r="N11" t="str">
            <v>ランダム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  <cell r="W11">
            <v>11</v>
          </cell>
          <cell r="X11" t="str">
            <v>覚醒</v>
          </cell>
        </row>
        <row r="12">
          <cell r="M12">
            <v>31</v>
          </cell>
          <cell r="N12" t="str">
            <v>単体と両隣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  <cell r="W12">
            <v>99</v>
          </cell>
          <cell r="X12" t="str">
            <v>その他</v>
          </cell>
        </row>
        <row r="13">
          <cell r="M13">
            <v>32</v>
          </cell>
          <cell r="N13" t="str">
            <v>自分を除いた両隣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  <cell r="W13" t="str">
            <v> 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9"/>
  <sheetViews>
    <sheetView tabSelected="1" workbookViewId="0">
      <pane ySplit="1" topLeftCell="A47" activePane="bottomLeft" state="frozen"/>
      <selection/>
      <selection pane="bottomLeft" activeCell="A51" sqref="A51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9" width="5.54545454545455" customWidth="1"/>
    <col min="10" max="11" width="6.63636363636364" customWidth="1"/>
    <col min="12" max="12" width="5.36363636363636" style="5" customWidth="1"/>
    <col min="13" max="13" width="4.90909090909091" style="5" customWidth="1"/>
    <col min="14" max="14" width="4.45454545454545" customWidth="1"/>
    <col min="15" max="15" width="5.54545454545455" customWidth="1"/>
    <col min="16" max="16" width="5.18181818181818" customWidth="1"/>
    <col min="17" max="17" width="22.0909090909091" customWidth="1"/>
    <col min="18" max="18" width="5" customWidth="1"/>
    <col min="19" max="19" width="17.7272727272727" customWidth="1"/>
    <col min="20" max="20" width="6.63636363636364" customWidth="1"/>
    <col min="21" max="21" width="11.8181818181818" customWidth="1"/>
    <col min="22" max="22" width="7.90909090909091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4</v>
      </c>
      <c r="N1" t="s">
        <v>10</v>
      </c>
      <c r="O1" t="s">
        <v>4</v>
      </c>
      <c r="P1" t="s">
        <v>11</v>
      </c>
      <c r="Q1" t="s">
        <v>4</v>
      </c>
      <c r="R1" t="s">
        <v>12</v>
      </c>
      <c r="S1" t="s">
        <v>4</v>
      </c>
      <c r="T1" t="s">
        <v>13</v>
      </c>
      <c r="U1" t="s">
        <v>14</v>
      </c>
      <c r="V1" t="s">
        <v>15</v>
      </c>
      <c r="W1" t="s">
        <v>16</v>
      </c>
    </row>
    <row r="2" spans="1:23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 t="str">
        <f>INDEX(Define!E:E,MATCH(L2,Define!D:D))</f>
        <v>なし</v>
      </c>
      <c r="N2">
        <v>0</v>
      </c>
      <c r="O2" t="str">
        <f>INDEX(Define!H:H,MATCH(N2,Define!G:G))</f>
        <v>なし</v>
      </c>
      <c r="P2">
        <v>0</v>
      </c>
      <c r="Q2" t="str">
        <f>INDEX(Define!K:K,MATCH(P2,Define!J:J))</f>
        <v>なし</v>
      </c>
      <c r="R2">
        <v>0</v>
      </c>
      <c r="S2" t="str">
        <f>INDEX(Define!N:N,MATCH(R2,Define!M:M))</f>
        <v>なし</v>
      </c>
      <c r="T2">
        <v>1</v>
      </c>
      <c r="U2">
        <v>1</v>
      </c>
      <c r="V2">
        <v>1</v>
      </c>
      <c r="W2">
        <v>0</v>
      </c>
    </row>
    <row r="3" spans="1:23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 t="str">
        <f>INDEX(Define!E:E,MATCH(L3,Define!D:D))</f>
        <v>なし</v>
      </c>
      <c r="N3">
        <v>0</v>
      </c>
      <c r="O3" t="str">
        <f>INDEX(Define!H:H,MATCH(N3,Define!G:G))</f>
        <v>なし</v>
      </c>
      <c r="P3">
        <v>0</v>
      </c>
      <c r="Q3" t="str">
        <f>INDEX(Define!K:K,MATCH(P3,Define!J:J))</f>
        <v>なし</v>
      </c>
      <c r="R3">
        <v>0</v>
      </c>
      <c r="S3" t="str">
        <f>INDEX(Define!N:N,MATCH(R3,Define!M:M))</f>
        <v>なし</v>
      </c>
      <c r="T3">
        <v>1</v>
      </c>
      <c r="U3">
        <v>1</v>
      </c>
      <c r="V3">
        <v>1</v>
      </c>
      <c r="W3">
        <v>0</v>
      </c>
    </row>
    <row r="4" spans="1:23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 t="str">
        <f>INDEX(Define!E:E,MATCH(L4,Define!D:D))</f>
        <v>なし</v>
      </c>
      <c r="N4">
        <v>1</v>
      </c>
      <c r="O4" t="str">
        <f>INDEX(Define!H:H,MATCH(N4,Define!G:G))</f>
        <v>魔法</v>
      </c>
      <c r="P4">
        <v>1</v>
      </c>
      <c r="Q4" t="str">
        <f>INDEX(Define!K:K,MATCH(P4,Define!J:J))</f>
        <v>相手</v>
      </c>
      <c r="R4">
        <v>1</v>
      </c>
      <c r="S4" t="str">
        <f>INDEX(Define!N:N,MATCH(R4,Define!M:M))</f>
        <v>単体</v>
      </c>
      <c r="T4">
        <v>2</v>
      </c>
      <c r="U4">
        <v>1</v>
      </c>
      <c r="V4">
        <v>1</v>
      </c>
      <c r="W4">
        <v>0</v>
      </c>
    </row>
    <row r="5" spans="1:23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 t="str">
        <f>INDEX(Define!E:E,MATCH(L5,Define!D:D))</f>
        <v>なし</v>
      </c>
      <c r="N5">
        <v>3</v>
      </c>
      <c r="O5" t="str">
        <f>INDEX(Define!H:H,MATCH(N5,Define!G:G))</f>
        <v>神化</v>
      </c>
      <c r="P5">
        <v>4</v>
      </c>
      <c r="Q5" t="str">
        <f>INDEX(Define!K:K,MATCH(P5,Define!J:J))</f>
        <v>自身</v>
      </c>
      <c r="R5">
        <v>4</v>
      </c>
      <c r="S5" t="str">
        <f>INDEX(Define!N:N,MATCH(R5,Define!M:M))</f>
        <v>自身</v>
      </c>
      <c r="T5">
        <v>1</v>
      </c>
      <c r="U5">
        <v>1</v>
      </c>
      <c r="V5">
        <v>1</v>
      </c>
      <c r="W5">
        <v>0</v>
      </c>
    </row>
    <row r="6" spans="1:23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 t="str">
        <f>INDEX(Define!E:E,MATCH(L6,Define!D:D))</f>
        <v>なし</v>
      </c>
      <c r="N6">
        <v>1</v>
      </c>
      <c r="O6" t="str">
        <f>INDEX(Define!H:H,MATCH(N6,Define!G:G))</f>
        <v>魔法</v>
      </c>
      <c r="P6">
        <v>4</v>
      </c>
      <c r="Q6" t="str">
        <f>INDEX(Define!K:K,MATCH(P6,Define!J:J))</f>
        <v>自身</v>
      </c>
      <c r="R6">
        <v>4</v>
      </c>
      <c r="S6" t="str">
        <f>INDEX(Define!N:N,MATCH(R6,Define!M:M))</f>
        <v>自身</v>
      </c>
      <c r="T6">
        <v>1</v>
      </c>
      <c r="U6">
        <v>1</v>
      </c>
      <c r="V6">
        <v>1</v>
      </c>
      <c r="W6">
        <v>0</v>
      </c>
    </row>
    <row r="7" spans="1:23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2</v>
      </c>
      <c r="M7" t="str">
        <f>INDEX(Define!E:E,MATCH(L7,Define!D:D))</f>
        <v>雷</v>
      </c>
      <c r="N7">
        <v>0</v>
      </c>
      <c r="O7" t="str">
        <f>INDEX(Define!H:H,MATCH(N7,Define!G:G))</f>
        <v>なし</v>
      </c>
      <c r="P7">
        <v>1</v>
      </c>
      <c r="Q7" t="str">
        <f>INDEX(Define!K:K,MATCH(P7,Define!J:J))</f>
        <v>相手</v>
      </c>
      <c r="R7">
        <v>1</v>
      </c>
      <c r="S7" t="str">
        <f>INDEX(Define!N:N,MATCH(R7,Define!M:M))</f>
        <v>単体</v>
      </c>
      <c r="T7">
        <v>2</v>
      </c>
      <c r="U7">
        <v>1</v>
      </c>
      <c r="V7">
        <v>1</v>
      </c>
      <c r="W7">
        <v>0</v>
      </c>
    </row>
    <row r="8" spans="1:23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2</v>
      </c>
      <c r="M8" t="str">
        <f>INDEX(Define!E:E,MATCH(L8,Define!D:D))</f>
        <v>雷</v>
      </c>
      <c r="N8">
        <v>0</v>
      </c>
      <c r="O8" t="str">
        <f>INDEX(Define!H:H,MATCH(N8,Define!G:G))</f>
        <v>なし</v>
      </c>
      <c r="P8">
        <v>4</v>
      </c>
      <c r="Q8" t="str">
        <f>INDEX(Define!K:K,MATCH(P8,Define!J:J))</f>
        <v>自身</v>
      </c>
      <c r="R8">
        <v>4</v>
      </c>
      <c r="S8" t="str">
        <f>INDEX(Define!N:N,MATCH(R8,Define!M:M))</f>
        <v>自身</v>
      </c>
      <c r="T8">
        <v>1</v>
      </c>
      <c r="U8">
        <v>1</v>
      </c>
      <c r="V8">
        <v>1</v>
      </c>
      <c r="W8">
        <v>0</v>
      </c>
    </row>
    <row r="9" spans="1:23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2</v>
      </c>
      <c r="M9" t="str">
        <f>INDEX(Define!E:E,MATCH(L9,Define!D:D))</f>
        <v>雷</v>
      </c>
      <c r="N9">
        <v>0</v>
      </c>
      <c r="O9" t="str">
        <f>INDEX(Define!H:H,MATCH(N9,Define!G:G))</f>
        <v>なし</v>
      </c>
      <c r="P9">
        <v>1</v>
      </c>
      <c r="Q9" t="str">
        <f>INDEX(Define!K:K,MATCH(P9,Define!J:J))</f>
        <v>相手</v>
      </c>
      <c r="R9">
        <v>1</v>
      </c>
      <c r="S9" t="str">
        <f>INDEX(Define!N:N,MATCH(R9,Define!M:M))</f>
        <v>単体</v>
      </c>
      <c r="T9">
        <v>2</v>
      </c>
      <c r="U9">
        <v>1</v>
      </c>
      <c r="V9">
        <v>1</v>
      </c>
      <c r="W9">
        <v>0</v>
      </c>
    </row>
    <row r="10" spans="1:23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INDEX([2]Define!X:X,MATCH(D10,[2]Define!W:W))</f>
        <v>元素</v>
      </c>
      <c r="F10">
        <v>101</v>
      </c>
      <c r="H10">
        <v>1</v>
      </c>
      <c r="I10" t="str">
        <f>INDEX([2]Define!B:B,MATCH(H10,[2]Define!A:A))</f>
        <v>単体</v>
      </c>
      <c r="J10">
        <v>0</v>
      </c>
      <c r="K10">
        <v>1</v>
      </c>
      <c r="L10">
        <v>1</v>
      </c>
      <c r="M10" t="str">
        <f>INDEX([2]Define!E:E,MATCH(L10,[2]Define!D:D))</f>
        <v>炎</v>
      </c>
      <c r="N10">
        <v>1</v>
      </c>
      <c r="O10" t="str">
        <f>INDEX([2]Define!H:H,MATCH(N10,[2]Define!G:G))</f>
        <v>魔法</v>
      </c>
      <c r="P10">
        <v>1</v>
      </c>
      <c r="Q10" t="str">
        <f>INDEX([2]Define!K:K,MATCH(P10,[2]Define!J:J))</f>
        <v>相手</v>
      </c>
      <c r="R10">
        <v>1</v>
      </c>
      <c r="S10" t="str">
        <f>INDEX([2]Define!N:N,MATCH(R10,[2]Define!M:M))</f>
        <v>単体</v>
      </c>
      <c r="T10">
        <v>1</v>
      </c>
      <c r="U10">
        <v>1</v>
      </c>
      <c r="V10">
        <v>1</v>
      </c>
      <c r="W10">
        <v>0</v>
      </c>
    </row>
    <row r="11" spans="1:23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INDEX([2]Define!X:X,MATCH(D11,[2]Define!W:W))</f>
        <v>元素</v>
      </c>
      <c r="F11">
        <v>101</v>
      </c>
      <c r="H11">
        <v>2</v>
      </c>
      <c r="I11" t="str">
        <f>INDEX([2]Define!B:B,MATCH(H11,[2]Define!A:A))</f>
        <v>列</v>
      </c>
      <c r="J11">
        <v>3</v>
      </c>
      <c r="K11">
        <v>2</v>
      </c>
      <c r="L11">
        <v>1</v>
      </c>
      <c r="M11" t="str">
        <f>INDEX([2]Define!E:E,MATCH(L11,[2]Define!D:D))</f>
        <v>炎</v>
      </c>
      <c r="N11">
        <v>1</v>
      </c>
      <c r="O11" t="str">
        <f>INDEX([2]Define!H:H,MATCH(N11,[2]Define!G:G))</f>
        <v>魔法</v>
      </c>
      <c r="P11">
        <v>1</v>
      </c>
      <c r="Q11" t="str">
        <f>INDEX([2]Define!K:K,MATCH(P11,[2]Define!J:J))</f>
        <v>相手</v>
      </c>
      <c r="R11">
        <v>2</v>
      </c>
      <c r="S11" t="str">
        <f>INDEX([2]Define!N:N,MATCH(R11,[2]Define!M:M))</f>
        <v>列</v>
      </c>
      <c r="T11">
        <v>1</v>
      </c>
      <c r="U11">
        <v>1</v>
      </c>
      <c r="V11">
        <v>1</v>
      </c>
      <c r="W11">
        <v>0</v>
      </c>
    </row>
    <row r="12" spans="1:23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INDEX([2]Define!X:X,MATCH(D12,[2]Define!W:W))</f>
        <v>光</v>
      </c>
      <c r="F12">
        <v>21</v>
      </c>
      <c r="H12">
        <v>1</v>
      </c>
      <c r="I12" t="str">
        <f>INDEX([2]Define!B:B,MATCH(H12,[2]Define!A:A))</f>
        <v>単体</v>
      </c>
      <c r="J12">
        <v>2</v>
      </c>
      <c r="K12">
        <v>2</v>
      </c>
      <c r="L12">
        <v>1</v>
      </c>
      <c r="M12" t="str">
        <f>INDEX([2]Define!E:E,MATCH(L12,[2]Define!D:D))</f>
        <v>炎</v>
      </c>
      <c r="N12">
        <v>1</v>
      </c>
      <c r="O12" t="str">
        <f>INDEX([2]Define!H:H,MATCH(N12,[2]Define!G:G))</f>
        <v>魔法</v>
      </c>
      <c r="P12">
        <v>2</v>
      </c>
      <c r="Q12" t="str">
        <f>INDEX([2]Define!K:K,MATCH(P12,[2]Define!J:J))</f>
        <v>味方</v>
      </c>
      <c r="R12">
        <v>1</v>
      </c>
      <c r="S12" t="str">
        <f>INDEX([2]Define!N:N,MATCH(R12,[2]Define!M:M))</f>
        <v>単体</v>
      </c>
      <c r="T12">
        <v>1</v>
      </c>
      <c r="U12">
        <v>1</v>
      </c>
      <c r="V12">
        <v>1</v>
      </c>
      <c r="W12">
        <v>0</v>
      </c>
    </row>
    <row r="13" spans="1:23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INDEX([2]Define!X:X,MATCH(D13,[2]Define!W:W))</f>
        <v>精神</v>
      </c>
      <c r="F13">
        <v>51</v>
      </c>
      <c r="H13">
        <v>1</v>
      </c>
      <c r="I13" t="str">
        <f>INDEX([2]Define!B:B,MATCH(H13,[2]Define!A:A))</f>
        <v>単体</v>
      </c>
      <c r="J13">
        <v>3</v>
      </c>
      <c r="K13">
        <v>2</v>
      </c>
      <c r="L13">
        <v>1</v>
      </c>
      <c r="M13" t="str">
        <f>INDEX([2]Define!E:E,MATCH(L13,[2]Define!D:D))</f>
        <v>炎</v>
      </c>
      <c r="N13">
        <v>1</v>
      </c>
      <c r="O13" t="str">
        <f>INDEX([2]Define!H:H,MATCH(N13,[2]Define!G:G))</f>
        <v>魔法</v>
      </c>
      <c r="P13">
        <v>4</v>
      </c>
      <c r="Q13" t="str">
        <f>INDEX([2]Define!K:K,MATCH(P13,[2]Define!J:J))</f>
        <v>自身</v>
      </c>
      <c r="R13">
        <v>4</v>
      </c>
      <c r="S13" t="str">
        <f>INDEX([2]Define!N:N,MATCH(R13,[2]Define!M:M))</f>
        <v>自身</v>
      </c>
      <c r="T13">
        <v>1</v>
      </c>
      <c r="U13">
        <v>1</v>
      </c>
      <c r="V13">
        <v>1</v>
      </c>
      <c r="W13">
        <v>0</v>
      </c>
    </row>
    <row r="14" ht="12" customHeight="1" spans="1:23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INDEX([2]Define!X:X,MATCH(D14,[2]Define!W:W))</f>
        <v>元素</v>
      </c>
      <c r="F14">
        <v>101</v>
      </c>
      <c r="H14">
        <v>1</v>
      </c>
      <c r="I14" t="str">
        <f>INDEX([2]Define!B:B,MATCH(H14,[2]Define!A:A))</f>
        <v>単体</v>
      </c>
      <c r="J14">
        <v>2</v>
      </c>
      <c r="K14">
        <v>2</v>
      </c>
      <c r="L14">
        <v>1</v>
      </c>
      <c r="M14" t="str">
        <f>INDEX([2]Define!E:E,MATCH(L14,[2]Define!D:D))</f>
        <v>炎</v>
      </c>
      <c r="N14">
        <v>1</v>
      </c>
      <c r="O14" t="str">
        <f>INDEX([2]Define!H:H,MATCH(N14,[2]Define!G:G))</f>
        <v>魔法</v>
      </c>
      <c r="P14">
        <v>1</v>
      </c>
      <c r="Q14" t="str">
        <f>INDEX([2]Define!K:K,MATCH(P14,[2]Define!J:J))</f>
        <v>相手</v>
      </c>
      <c r="R14">
        <v>1</v>
      </c>
      <c r="S14" t="str">
        <f>INDEX([2]Define!N:N,MATCH(R14,[2]Define!M:M))</f>
        <v>単体</v>
      </c>
      <c r="T14">
        <v>1</v>
      </c>
      <c r="U14">
        <v>5</v>
      </c>
      <c r="V14">
        <v>1</v>
      </c>
      <c r="W14">
        <v>0</v>
      </c>
    </row>
    <row r="15" ht="12" customHeight="1" spans="1:23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INDEX([2]Define!X:X,MATCH(D15,[2]Define!W:W))</f>
        <v>元素</v>
      </c>
      <c r="F15">
        <v>101</v>
      </c>
      <c r="H15">
        <v>1</v>
      </c>
      <c r="I15" t="str">
        <f>INDEX([2]Define!B:B,MATCH(H15,[2]Define!A:A))</f>
        <v>単体</v>
      </c>
      <c r="J15">
        <v>3</v>
      </c>
      <c r="K15">
        <v>2</v>
      </c>
      <c r="L15">
        <v>1</v>
      </c>
      <c r="M15" t="str">
        <f>INDEX([2]Define!E:E,MATCH(L15,[2]Define!D:D))</f>
        <v>炎</v>
      </c>
      <c r="N15">
        <v>1</v>
      </c>
      <c r="O15" t="str">
        <f>INDEX([2]Define!H:H,MATCH(N15,[2]Define!G:G))</f>
        <v>魔法</v>
      </c>
      <c r="P15">
        <v>1</v>
      </c>
      <c r="Q15" t="str">
        <f>INDEX([2]Define!K:K,MATCH(P15,[2]Define!J:J))</f>
        <v>相手</v>
      </c>
      <c r="R15">
        <v>1</v>
      </c>
      <c r="S15" t="str">
        <f>INDEX([2]Define!N:N,MATCH(R15,[2]Define!M:M))</f>
        <v>単体</v>
      </c>
      <c r="T15">
        <v>1</v>
      </c>
      <c r="U15">
        <v>1</v>
      </c>
      <c r="V15">
        <v>1</v>
      </c>
      <c r="W15">
        <v>0</v>
      </c>
    </row>
    <row r="16" ht="12" customHeight="1" spans="1:23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INDEX([2]Define!X:X,MATCH(D16,[2]Define!W:W))</f>
        <v>光</v>
      </c>
      <c r="F16">
        <v>101</v>
      </c>
      <c r="H16">
        <v>1</v>
      </c>
      <c r="I16" t="str">
        <f>INDEX([2]Define!B:B,MATCH(H16,[2]Define!A:A))</f>
        <v>単体</v>
      </c>
      <c r="J16">
        <v>3</v>
      </c>
      <c r="K16">
        <v>2</v>
      </c>
      <c r="L16">
        <v>1</v>
      </c>
      <c r="M16" t="str">
        <f>INDEX([2]Define!E:E,MATCH(L16,[2]Define!D:D))</f>
        <v>炎</v>
      </c>
      <c r="N16">
        <v>1</v>
      </c>
      <c r="O16" t="str">
        <f>INDEX([2]Define!H:H,MATCH(N16,[2]Define!G:G))</f>
        <v>魔法</v>
      </c>
      <c r="P16">
        <v>2</v>
      </c>
      <c r="Q16" t="str">
        <f>INDEX([2]Define!K:K,MATCH(P16,[2]Define!J:J))</f>
        <v>味方</v>
      </c>
      <c r="R16">
        <v>1</v>
      </c>
      <c r="S16" t="str">
        <f>INDEX([2]Define!N:N,MATCH(R16,[2]Define!M:M))</f>
        <v>単体</v>
      </c>
      <c r="T16">
        <v>1</v>
      </c>
      <c r="U16">
        <v>1</v>
      </c>
      <c r="V16">
        <v>1</v>
      </c>
      <c r="W16">
        <v>0</v>
      </c>
    </row>
    <row r="17" ht="12" customHeight="1" spans="1:23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INDEX([2]Define!X:X,MATCH(D17,[2]Define!W:W))</f>
        <v>元素</v>
      </c>
      <c r="F17">
        <v>51</v>
      </c>
      <c r="H17">
        <v>1</v>
      </c>
      <c r="I17" t="str">
        <f>INDEX([2]Define!B:B,MATCH(H17,[2]Define!A:A))</f>
        <v>単体</v>
      </c>
      <c r="J17">
        <v>2</v>
      </c>
      <c r="K17">
        <v>2</v>
      </c>
      <c r="L17">
        <v>1</v>
      </c>
      <c r="M17" t="str">
        <f>INDEX([2]Define!E:E,MATCH(L17,[2]Define!D:D))</f>
        <v>炎</v>
      </c>
      <c r="N17">
        <v>1</v>
      </c>
      <c r="O17" t="str">
        <f>INDEX([2]Define!H:H,MATCH(N17,[2]Define!G:G))</f>
        <v>魔法</v>
      </c>
      <c r="P17">
        <v>4</v>
      </c>
      <c r="Q17" t="str">
        <f>INDEX([2]Define!K:K,MATCH(P17,[2]Define!J:J))</f>
        <v>自身</v>
      </c>
      <c r="R17">
        <v>4</v>
      </c>
      <c r="S17" t="str">
        <f>INDEX([2]Define!N:N,MATCH(R17,[2]Define!M:M))</f>
        <v>自身</v>
      </c>
      <c r="T17">
        <v>1</v>
      </c>
      <c r="U17">
        <v>1</v>
      </c>
      <c r="V17">
        <v>1</v>
      </c>
      <c r="W17">
        <v>0</v>
      </c>
    </row>
    <row r="18" spans="1:23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INDEX([2]Define!X:X,MATCH(D18,[2]Define!W:W))</f>
        <v>元素</v>
      </c>
      <c r="F18">
        <v>201</v>
      </c>
      <c r="H18">
        <v>1</v>
      </c>
      <c r="I18" t="str">
        <f>INDEX([2]Define!B:B,MATCH(H18,[2]Define!A:A))</f>
        <v>単体</v>
      </c>
      <c r="J18">
        <v>0</v>
      </c>
      <c r="K18">
        <v>1</v>
      </c>
      <c r="L18">
        <v>2</v>
      </c>
      <c r="M18" t="str">
        <f>INDEX([2]Define!E:E,MATCH(L18,[2]Define!D:D))</f>
        <v>雷</v>
      </c>
      <c r="N18">
        <v>1</v>
      </c>
      <c r="O18" t="str">
        <f>INDEX([2]Define!H:H,MATCH(N18,[2]Define!G:G))</f>
        <v>魔法</v>
      </c>
      <c r="P18">
        <v>1</v>
      </c>
      <c r="Q18" t="str">
        <f>INDEX([2]Define!K:K,MATCH(P18,[2]Define!J:J))</f>
        <v>相手</v>
      </c>
      <c r="R18">
        <v>1</v>
      </c>
      <c r="S18" t="str">
        <f>INDEX([2]Define!N:N,MATCH(R18,[2]Define!M:M))</f>
        <v>単体</v>
      </c>
      <c r="T18">
        <v>1</v>
      </c>
      <c r="U18">
        <v>1</v>
      </c>
      <c r="V18">
        <v>1</v>
      </c>
      <c r="W18">
        <v>0</v>
      </c>
    </row>
    <row r="19" spans="1:23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INDEX([2]Define!X:X,MATCH(D19,[2]Define!W:W))</f>
        <v>精神</v>
      </c>
      <c r="F19">
        <v>51</v>
      </c>
      <c r="H19">
        <v>1</v>
      </c>
      <c r="I19" t="str">
        <f>INDEX([2]Define!B:B,MATCH(H19,[2]Define!A:A))</f>
        <v>単体</v>
      </c>
      <c r="J19">
        <v>0</v>
      </c>
      <c r="K19">
        <v>2</v>
      </c>
      <c r="L19">
        <v>2</v>
      </c>
      <c r="M19" t="str">
        <f>INDEX([2]Define!E:E,MATCH(L19,[2]Define!D:D))</f>
        <v>雷</v>
      </c>
      <c r="N19">
        <v>1</v>
      </c>
      <c r="O19" t="str">
        <f>INDEX([2]Define!H:H,MATCH(N19,[2]Define!G:G))</f>
        <v>魔法</v>
      </c>
      <c r="P19">
        <v>4</v>
      </c>
      <c r="Q19" t="str">
        <f>INDEX([2]Define!K:K,MATCH(P19,[2]Define!J:J))</f>
        <v>自身</v>
      </c>
      <c r="R19">
        <v>4</v>
      </c>
      <c r="S19" t="str">
        <f>INDEX([2]Define!N:N,MATCH(R19,[2]Define!M:M))</f>
        <v>自身</v>
      </c>
      <c r="T19">
        <v>1</v>
      </c>
      <c r="U19">
        <v>1</v>
      </c>
      <c r="V19">
        <v>1</v>
      </c>
      <c r="W19">
        <v>0</v>
      </c>
    </row>
    <row r="20" spans="1:23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INDEX([2]Define!X:X,MATCH(D20,[2]Define!W:W))</f>
        <v>理術</v>
      </c>
      <c r="F20">
        <v>201</v>
      </c>
      <c r="H20">
        <v>1</v>
      </c>
      <c r="I20" t="str">
        <f>INDEX([2]Define!B:B,MATCH(H20,[2]Define!A:A))</f>
        <v>単体</v>
      </c>
      <c r="J20">
        <v>3</v>
      </c>
      <c r="K20">
        <v>2</v>
      </c>
      <c r="L20">
        <v>2</v>
      </c>
      <c r="M20" t="str">
        <f>INDEX([2]Define!E:E,MATCH(L20,[2]Define!D:D))</f>
        <v>雷</v>
      </c>
      <c r="N20">
        <v>1</v>
      </c>
      <c r="O20" t="str">
        <f>INDEX([2]Define!H:H,MATCH(N20,[2]Define!G:G))</f>
        <v>魔法</v>
      </c>
      <c r="P20">
        <v>1</v>
      </c>
      <c r="Q20" t="str">
        <f>INDEX([2]Define!K:K,MATCH(P20,[2]Define!J:J))</f>
        <v>相手</v>
      </c>
      <c r="R20">
        <v>1</v>
      </c>
      <c r="S20" t="str">
        <f>INDEX([2]Define!N:N,MATCH(R20,[2]Define!M:M))</f>
        <v>単体</v>
      </c>
      <c r="T20">
        <v>2</v>
      </c>
      <c r="U20">
        <v>1</v>
      </c>
      <c r="V20">
        <v>1</v>
      </c>
      <c r="W20">
        <v>0</v>
      </c>
    </row>
    <row r="21" spans="1:23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INDEX([2]Define!X:X,MATCH(D21,[2]Define!W:W))</f>
        <v>元素</v>
      </c>
      <c r="F21">
        <v>51</v>
      </c>
      <c r="H21">
        <v>1</v>
      </c>
      <c r="I21" t="str">
        <f>INDEX([2]Define!B:B,MATCH(H21,[2]Define!A:A))</f>
        <v>単体</v>
      </c>
      <c r="J21">
        <v>3</v>
      </c>
      <c r="K21">
        <v>2</v>
      </c>
      <c r="L21">
        <v>2</v>
      </c>
      <c r="M21" t="str">
        <f>INDEX([2]Define!E:E,MATCH(L21,[2]Define!D:D))</f>
        <v>雷</v>
      </c>
      <c r="N21">
        <v>1</v>
      </c>
      <c r="O21" t="str">
        <f>INDEX([2]Define!H:H,MATCH(N21,[2]Define!G:G))</f>
        <v>魔法</v>
      </c>
      <c r="P21">
        <v>4</v>
      </c>
      <c r="Q21" t="str">
        <f>INDEX([2]Define!K:K,MATCH(P21,[2]Define!J:J))</f>
        <v>自身</v>
      </c>
      <c r="R21">
        <v>32</v>
      </c>
      <c r="S21" t="str">
        <f>INDEX([2]Define!N:N,MATCH(R21,[2]Define!M:M))</f>
        <v>自分を除いた両隣</v>
      </c>
      <c r="T21">
        <v>1</v>
      </c>
      <c r="U21">
        <v>1</v>
      </c>
      <c r="V21">
        <v>1</v>
      </c>
      <c r="W21">
        <v>0</v>
      </c>
    </row>
    <row r="22" spans="1:23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INDEX([2]Define!X:X,MATCH(D22,[2]Define!W:W))</f>
        <v>元素</v>
      </c>
      <c r="F22">
        <v>201</v>
      </c>
      <c r="H22">
        <v>1</v>
      </c>
      <c r="I22" t="str">
        <f>INDEX([2]Define!B:B,MATCH(H22,[2]Define!A:A))</f>
        <v>単体</v>
      </c>
      <c r="J22">
        <v>2</v>
      </c>
      <c r="K22">
        <v>2</v>
      </c>
      <c r="L22">
        <v>2</v>
      </c>
      <c r="M22" t="str">
        <f>INDEX([2]Define!E:E,MATCH(L22,[2]Define!D:D))</f>
        <v>雷</v>
      </c>
      <c r="N22">
        <v>1</v>
      </c>
      <c r="O22" t="str">
        <f>INDEX([2]Define!H:H,MATCH(N22,[2]Define!G:G))</f>
        <v>魔法</v>
      </c>
      <c r="P22">
        <v>1</v>
      </c>
      <c r="Q22" t="str">
        <f>INDEX([2]Define!K:K,MATCH(P22,[2]Define!J:J))</f>
        <v>相手</v>
      </c>
      <c r="R22">
        <v>1</v>
      </c>
      <c r="S22" t="str">
        <f>INDEX([2]Define!N:N,MATCH(R22,[2]Define!M:M))</f>
        <v>単体</v>
      </c>
      <c r="T22">
        <v>1</v>
      </c>
      <c r="U22">
        <v>1</v>
      </c>
      <c r="V22">
        <v>1</v>
      </c>
      <c r="W22">
        <v>0</v>
      </c>
    </row>
    <row r="23" spans="1:23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INDEX([2]Define!X:X,MATCH(D23,[2]Define!W:W))</f>
        <v>元素</v>
      </c>
      <c r="F23">
        <v>201</v>
      </c>
      <c r="H23">
        <v>1</v>
      </c>
      <c r="I23" t="str">
        <f>INDEX([2]Define!B:B,MATCH(H23,[2]Define!A:A))</f>
        <v>単体</v>
      </c>
      <c r="J23">
        <v>1</v>
      </c>
      <c r="K23">
        <v>2</v>
      </c>
      <c r="L23">
        <v>2</v>
      </c>
      <c r="M23" t="str">
        <f>INDEX([2]Define!E:E,MATCH(L23,[2]Define!D:D))</f>
        <v>雷</v>
      </c>
      <c r="N23">
        <v>1</v>
      </c>
      <c r="O23" t="str">
        <f>INDEX([2]Define!H:H,MATCH(N23,[2]Define!G:G))</f>
        <v>魔法</v>
      </c>
      <c r="P23">
        <v>1</v>
      </c>
      <c r="Q23" t="str">
        <f>INDEX([2]Define!K:K,MATCH(P23,[2]Define!J:J))</f>
        <v>相手</v>
      </c>
      <c r="R23">
        <v>1</v>
      </c>
      <c r="S23" t="str">
        <f>INDEX([2]Define!N:N,MATCH(R23,[2]Define!M:M))</f>
        <v>単体</v>
      </c>
      <c r="T23">
        <v>1</v>
      </c>
      <c r="U23">
        <v>1</v>
      </c>
      <c r="V23">
        <v>1</v>
      </c>
      <c r="W23">
        <v>0</v>
      </c>
    </row>
    <row r="24" spans="1:23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INDEX([2]Define!X:X,MATCH(D24,[2]Define!W:W))</f>
        <v>元素</v>
      </c>
      <c r="F24">
        <v>51</v>
      </c>
      <c r="H24">
        <v>1</v>
      </c>
      <c r="I24" t="str">
        <f>INDEX([2]Define!B:B,MATCH(H24,[2]Define!A:A))</f>
        <v>単体</v>
      </c>
      <c r="J24">
        <v>0</v>
      </c>
      <c r="K24">
        <v>2</v>
      </c>
      <c r="L24">
        <v>2</v>
      </c>
      <c r="M24" t="str">
        <f>INDEX([2]Define!E:E,MATCH(L24,[2]Define!D:D))</f>
        <v>雷</v>
      </c>
      <c r="N24">
        <v>2</v>
      </c>
      <c r="O24" t="str">
        <f>INDEX([2]Define!H:H,MATCH(N24,[2]Define!G:G))</f>
        <v>パッシブ</v>
      </c>
      <c r="P24">
        <v>4</v>
      </c>
      <c r="Q24" t="str">
        <f>INDEX([2]Define!K:K,MATCH(P24,[2]Define!J:J))</f>
        <v>自身</v>
      </c>
      <c r="R24">
        <v>4</v>
      </c>
      <c r="S24" t="str">
        <f>INDEX([2]Define!N:N,MATCH(R24,[2]Define!M:M))</f>
        <v>自身</v>
      </c>
      <c r="T24">
        <v>1</v>
      </c>
      <c r="U24">
        <v>1</v>
      </c>
      <c r="V24">
        <v>1</v>
      </c>
      <c r="W24">
        <v>0</v>
      </c>
    </row>
    <row r="25" spans="1:23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INDEX([2]Define!X:X,MATCH(D25,[2]Define!W:W))</f>
        <v>理術</v>
      </c>
      <c r="F25">
        <v>51</v>
      </c>
      <c r="H25">
        <v>1</v>
      </c>
      <c r="I25" t="str">
        <f>INDEX([2]Define!B:B,MATCH(H25,[2]Define!A:A))</f>
        <v>単体</v>
      </c>
      <c r="J25">
        <v>1</v>
      </c>
      <c r="K25">
        <v>2</v>
      </c>
      <c r="L25">
        <v>2</v>
      </c>
      <c r="M25" t="str">
        <f>INDEX([2]Define!E:E,MATCH(L25,[2]Define!D:D))</f>
        <v>雷</v>
      </c>
      <c r="N25">
        <v>1</v>
      </c>
      <c r="O25" t="str">
        <f>INDEX([2]Define!H:H,MATCH(N25,[2]Define!G:G))</f>
        <v>魔法</v>
      </c>
      <c r="P25">
        <v>4</v>
      </c>
      <c r="Q25" t="str">
        <f>INDEX([2]Define!K:K,MATCH(P25,[2]Define!J:J))</f>
        <v>自身</v>
      </c>
      <c r="R25">
        <v>4</v>
      </c>
      <c r="S25" t="str">
        <f>INDEX([2]Define!N:N,MATCH(R25,[2]Define!M:M))</f>
        <v>自身</v>
      </c>
      <c r="T25">
        <v>1</v>
      </c>
      <c r="U25">
        <v>1</v>
      </c>
      <c r="V25">
        <v>1</v>
      </c>
      <c r="W25">
        <v>0</v>
      </c>
    </row>
    <row r="26" spans="1:23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INDEX([2]Define!X:X,MATCH(D26,[2]Define!W:W))</f>
        <v>超次元</v>
      </c>
      <c r="F26">
        <v>201</v>
      </c>
      <c r="H26">
        <v>1</v>
      </c>
      <c r="I26" t="str">
        <f>INDEX([2]Define!B:B,MATCH(H26,[2]Define!A:A))</f>
        <v>単体</v>
      </c>
      <c r="J26">
        <v>3</v>
      </c>
      <c r="K26">
        <v>2</v>
      </c>
      <c r="L26">
        <v>2</v>
      </c>
      <c r="M26" t="str">
        <f>INDEX([2]Define!E:E,MATCH(L26,[2]Define!D:D))</f>
        <v>雷</v>
      </c>
      <c r="N26">
        <v>1</v>
      </c>
      <c r="O26" t="str">
        <f>INDEX([2]Define!H:H,MATCH(N26,[2]Define!G:G))</f>
        <v>魔法</v>
      </c>
      <c r="P26">
        <v>1</v>
      </c>
      <c r="Q26" t="str">
        <f>INDEX([2]Define!K:K,MATCH(P26,[2]Define!J:J))</f>
        <v>相手</v>
      </c>
      <c r="R26">
        <v>1</v>
      </c>
      <c r="S26" t="str">
        <f>INDEX([2]Define!N:N,MATCH(R26,[2]Define!M:M))</f>
        <v>単体</v>
      </c>
      <c r="T26">
        <v>1</v>
      </c>
      <c r="U26">
        <v>2</v>
      </c>
      <c r="V26">
        <v>1</v>
      </c>
      <c r="W26">
        <v>0</v>
      </c>
    </row>
    <row r="27" spans="1:23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INDEX([2]Define!X:X,MATCH(D27,[2]Define!W:W))</f>
        <v>元素</v>
      </c>
      <c r="F27">
        <v>301</v>
      </c>
      <c r="H27">
        <v>1</v>
      </c>
      <c r="I27" t="str">
        <f>INDEX([2]Define!B:B,MATCH(H27,[2]Define!A:A))</f>
        <v>単体</v>
      </c>
      <c r="J27">
        <v>0</v>
      </c>
      <c r="K27">
        <v>1</v>
      </c>
      <c r="L27">
        <v>3</v>
      </c>
      <c r="M27" t="str">
        <f>INDEX([2]Define!E:E,MATCH(L27,[2]Define!D:D))</f>
        <v>氷</v>
      </c>
      <c r="N27">
        <v>1</v>
      </c>
      <c r="O27" t="str">
        <f>INDEX([2]Define!H:H,MATCH(N27,[2]Define!G:G))</f>
        <v>魔法</v>
      </c>
      <c r="P27">
        <v>1</v>
      </c>
      <c r="Q27" t="str">
        <f>INDEX([2]Define!K:K,MATCH(P27,[2]Define!J:J))</f>
        <v>相手</v>
      </c>
      <c r="R27">
        <v>1</v>
      </c>
      <c r="S27" t="str">
        <f>INDEX([2]Define!N:N,MATCH(R27,[2]Define!M:M))</f>
        <v>単体</v>
      </c>
      <c r="T27">
        <v>1</v>
      </c>
      <c r="U27">
        <v>1</v>
      </c>
      <c r="V27">
        <v>1</v>
      </c>
      <c r="W27">
        <v>0</v>
      </c>
    </row>
    <row r="28" spans="1:23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INDEX([2]Define!X:X,MATCH(D28,[2]Define!W:W))</f>
        <v>光</v>
      </c>
      <c r="F28">
        <v>301</v>
      </c>
      <c r="H28">
        <v>1</v>
      </c>
      <c r="I28" t="str">
        <f>INDEX([2]Define!B:B,MATCH(H28,[2]Define!A:A))</f>
        <v>単体</v>
      </c>
      <c r="J28">
        <v>2</v>
      </c>
      <c r="K28">
        <v>2</v>
      </c>
      <c r="L28">
        <v>3</v>
      </c>
      <c r="M28" t="str">
        <f>INDEX([2]Define!E:E,MATCH(L28,[2]Define!D:D))</f>
        <v>氷</v>
      </c>
      <c r="N28">
        <v>1</v>
      </c>
      <c r="O28" t="str">
        <f>INDEX([2]Define!H:H,MATCH(N28,[2]Define!G:G))</f>
        <v>魔法</v>
      </c>
      <c r="P28">
        <v>4</v>
      </c>
      <c r="Q28" t="str">
        <f>INDEX([2]Define!K:K,MATCH(P28,[2]Define!J:J))</f>
        <v>自身</v>
      </c>
      <c r="R28">
        <v>4</v>
      </c>
      <c r="S28" t="str">
        <f>INDEX([2]Define!N:N,MATCH(R28,[2]Define!M:M))</f>
        <v>自身</v>
      </c>
      <c r="T28">
        <v>1</v>
      </c>
      <c r="U28">
        <v>1</v>
      </c>
      <c r="V28">
        <v>1</v>
      </c>
      <c r="W28">
        <v>0</v>
      </c>
    </row>
    <row r="29" spans="1:23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INDEX([2]Define!X:X,MATCH(D29,[2]Define!W:W))</f>
        <v>精神</v>
      </c>
      <c r="F29">
        <v>51</v>
      </c>
      <c r="H29">
        <v>1</v>
      </c>
      <c r="I29" t="str">
        <f>INDEX([2]Define!B:B,MATCH(H29,[2]Define!A:A))</f>
        <v>単体</v>
      </c>
      <c r="J29">
        <v>4</v>
      </c>
      <c r="K29">
        <v>2</v>
      </c>
      <c r="L29">
        <v>3</v>
      </c>
      <c r="M29" t="str">
        <f>INDEX([2]Define!E:E,MATCH(L29,[2]Define!D:D))</f>
        <v>氷</v>
      </c>
      <c r="N29">
        <v>1</v>
      </c>
      <c r="O29" t="str">
        <f>INDEX([2]Define!H:H,MATCH(N29,[2]Define!G:G))</f>
        <v>魔法</v>
      </c>
      <c r="P29">
        <v>2</v>
      </c>
      <c r="Q29" t="str">
        <f>INDEX([2]Define!K:K,MATCH(P29,[2]Define!J:J))</f>
        <v>味方</v>
      </c>
      <c r="R29">
        <v>2</v>
      </c>
      <c r="S29" t="str">
        <f>INDEX([2]Define!N:N,MATCH(R29,[2]Define!M:M))</f>
        <v>列</v>
      </c>
      <c r="T29">
        <v>1</v>
      </c>
      <c r="U29">
        <v>1</v>
      </c>
      <c r="V29">
        <v>1</v>
      </c>
      <c r="W29">
        <v>0</v>
      </c>
    </row>
    <row r="30" spans="1:23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INDEX([2]Define!X:X,MATCH(D30,[2]Define!W:W))</f>
        <v>理術</v>
      </c>
      <c r="F30">
        <v>61</v>
      </c>
      <c r="H30">
        <v>1</v>
      </c>
      <c r="I30" t="str">
        <f>INDEX([2]Define!B:B,MATCH(H30,[2]Define!A:A))</f>
        <v>単体</v>
      </c>
      <c r="J30">
        <v>3</v>
      </c>
      <c r="K30">
        <v>2</v>
      </c>
      <c r="L30">
        <v>3</v>
      </c>
      <c r="M30" t="str">
        <f>INDEX([2]Define!E:E,MATCH(L30,[2]Define!D:D))</f>
        <v>氷</v>
      </c>
      <c r="N30">
        <v>1</v>
      </c>
      <c r="O30" t="str">
        <f>INDEX([2]Define!H:H,MATCH(N30,[2]Define!G:G))</f>
        <v>魔法</v>
      </c>
      <c r="P30">
        <v>1</v>
      </c>
      <c r="Q30" t="str">
        <f>INDEX([2]Define!K:K,MATCH(P30,[2]Define!J:J))</f>
        <v>相手</v>
      </c>
      <c r="R30">
        <v>31</v>
      </c>
      <c r="S30" t="str">
        <f>INDEX([2]Define!N:N,MATCH(R30,[2]Define!M:M))</f>
        <v>単体と両隣</v>
      </c>
      <c r="T30">
        <v>1</v>
      </c>
      <c r="U30">
        <v>1</v>
      </c>
      <c r="V30">
        <v>1</v>
      </c>
      <c r="W30">
        <v>0</v>
      </c>
    </row>
    <row r="31" spans="1:23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INDEX([2]Define!X:X,MATCH(D31,[2]Define!W:W))</f>
        <v>理術</v>
      </c>
      <c r="F31">
        <v>301</v>
      </c>
      <c r="H31">
        <v>1</v>
      </c>
      <c r="I31" t="str">
        <f>INDEX([2]Define!B:B,MATCH(H31,[2]Define!A:A))</f>
        <v>単体</v>
      </c>
      <c r="J31">
        <v>4</v>
      </c>
      <c r="K31">
        <v>2</v>
      </c>
      <c r="L31">
        <v>3</v>
      </c>
      <c r="M31" t="str">
        <f>INDEX([2]Define!E:E,MATCH(L31,[2]Define!D:D))</f>
        <v>氷</v>
      </c>
      <c r="N31">
        <v>1</v>
      </c>
      <c r="O31" t="str">
        <f>INDEX([2]Define!H:H,MATCH(N31,[2]Define!G:G))</f>
        <v>魔法</v>
      </c>
      <c r="P31">
        <v>1</v>
      </c>
      <c r="Q31" t="str">
        <f>INDEX([2]Define!K:K,MATCH(P31,[2]Define!J:J))</f>
        <v>相手</v>
      </c>
      <c r="R31">
        <v>2</v>
      </c>
      <c r="S31" t="str">
        <f>INDEX([2]Define!N:N,MATCH(R31,[2]Define!M:M))</f>
        <v>列</v>
      </c>
      <c r="T31">
        <v>1</v>
      </c>
      <c r="U31">
        <v>1</v>
      </c>
      <c r="V31">
        <v>1</v>
      </c>
      <c r="W31">
        <v>0</v>
      </c>
    </row>
    <row r="32" spans="1:23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INDEX([2]Define!X:X,MATCH(D32,[2]Define!W:W))</f>
        <v>理術</v>
      </c>
      <c r="F32">
        <v>301</v>
      </c>
      <c r="H32">
        <v>1</v>
      </c>
      <c r="I32" t="str">
        <f>INDEX([2]Define!B:B,MATCH(H32,[2]Define!A:A))</f>
        <v>単体</v>
      </c>
      <c r="J32">
        <v>2</v>
      </c>
      <c r="K32">
        <v>2</v>
      </c>
      <c r="L32">
        <v>3</v>
      </c>
      <c r="M32" t="str">
        <f>INDEX([2]Define!E:E,MATCH(L32,[2]Define!D:D))</f>
        <v>氷</v>
      </c>
      <c r="N32">
        <v>1</v>
      </c>
      <c r="O32" t="str">
        <f>INDEX([2]Define!H:H,MATCH(N32,[2]Define!G:G))</f>
        <v>魔法</v>
      </c>
      <c r="P32">
        <v>1</v>
      </c>
      <c r="Q32" t="str">
        <f>INDEX([2]Define!K:K,MATCH(P32,[2]Define!J:J))</f>
        <v>相手</v>
      </c>
      <c r="R32">
        <v>1</v>
      </c>
      <c r="S32" t="str">
        <f>INDEX([2]Define!N:N,MATCH(R32,[2]Define!M:M))</f>
        <v>単体</v>
      </c>
      <c r="T32">
        <v>1</v>
      </c>
      <c r="U32">
        <v>1</v>
      </c>
      <c r="V32">
        <v>1</v>
      </c>
      <c r="W32">
        <v>0</v>
      </c>
    </row>
    <row r="33" spans="1:23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INDEX([2]Define!X:X,MATCH(D33,[2]Define!W:W))</f>
        <v>精神</v>
      </c>
      <c r="F33">
        <v>51</v>
      </c>
      <c r="H33">
        <v>1</v>
      </c>
      <c r="I33" t="str">
        <f>INDEX([2]Define!B:B,MATCH(H33,[2]Define!A:A))</f>
        <v>単体</v>
      </c>
      <c r="J33">
        <v>2</v>
      </c>
      <c r="K33">
        <v>2</v>
      </c>
      <c r="L33">
        <v>3</v>
      </c>
      <c r="M33" t="str">
        <f>INDEX([2]Define!E:E,MATCH(L33,[2]Define!D:D))</f>
        <v>氷</v>
      </c>
      <c r="N33">
        <v>1</v>
      </c>
      <c r="O33" t="str">
        <f>INDEX([2]Define!H:H,MATCH(N33,[2]Define!G:G))</f>
        <v>魔法</v>
      </c>
      <c r="P33">
        <v>2</v>
      </c>
      <c r="Q33" t="str">
        <f>INDEX([2]Define!K:K,MATCH(P33,[2]Define!J:J))</f>
        <v>味方</v>
      </c>
      <c r="R33">
        <v>1</v>
      </c>
      <c r="S33" t="str">
        <f>INDEX([2]Define!N:N,MATCH(R33,[2]Define!M:M))</f>
        <v>単体</v>
      </c>
      <c r="T33">
        <v>2</v>
      </c>
      <c r="U33">
        <v>1</v>
      </c>
      <c r="V33">
        <v>1</v>
      </c>
      <c r="W33">
        <v>0</v>
      </c>
    </row>
    <row r="34" spans="1:23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INDEX([2]Define!X:X,MATCH(D34,[2]Define!W:W))</f>
        <v>精神</v>
      </c>
      <c r="F34">
        <v>51</v>
      </c>
      <c r="H34">
        <v>1</v>
      </c>
      <c r="I34" t="str">
        <f>INDEX([2]Define!B:B,MATCH(H34,[2]Define!A:A))</f>
        <v>単体</v>
      </c>
      <c r="J34">
        <v>5</v>
      </c>
      <c r="K34">
        <v>2</v>
      </c>
      <c r="L34">
        <v>3</v>
      </c>
      <c r="M34" t="str">
        <f>INDEX([2]Define!E:E,MATCH(L34,[2]Define!D:D))</f>
        <v>氷</v>
      </c>
      <c r="N34">
        <v>1</v>
      </c>
      <c r="O34" t="str">
        <f>INDEX([2]Define!H:H,MATCH(N34,[2]Define!G:G))</f>
        <v>魔法</v>
      </c>
      <c r="P34">
        <v>2</v>
      </c>
      <c r="Q34" t="str">
        <f>INDEX([2]Define!K:K,MATCH(P34,[2]Define!J:J))</f>
        <v>味方</v>
      </c>
      <c r="R34">
        <v>3</v>
      </c>
      <c r="S34" t="str">
        <f>INDEX([2]Define!N:N,MATCH(R34,[2]Define!M:M))</f>
        <v>全体</v>
      </c>
      <c r="T34">
        <v>2</v>
      </c>
      <c r="U34">
        <v>1</v>
      </c>
      <c r="V34">
        <v>1</v>
      </c>
      <c r="W34">
        <v>0</v>
      </c>
    </row>
    <row r="35" ht="12" customHeight="1" spans="1:23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INDEX([2]Define!X:X,MATCH(D35,[2]Define!W:W))</f>
        <v>元素</v>
      </c>
      <c r="F35">
        <v>401</v>
      </c>
      <c r="H35">
        <v>1</v>
      </c>
      <c r="I35" t="str">
        <f>INDEX([2]Define!B:B,MATCH(H35,[2]Define!A:A))</f>
        <v>単体</v>
      </c>
      <c r="J35">
        <v>0</v>
      </c>
      <c r="K35">
        <v>1</v>
      </c>
      <c r="L35">
        <v>4</v>
      </c>
      <c r="M35" t="str">
        <f>INDEX([2]Define!E:E,MATCH(L35,[2]Define!D:D))</f>
        <v>光</v>
      </c>
      <c r="N35">
        <v>1</v>
      </c>
      <c r="O35" t="str">
        <f>INDEX([2]Define!H:H,MATCH(N35,[2]Define!G:G))</f>
        <v>魔法</v>
      </c>
      <c r="P35">
        <v>1</v>
      </c>
      <c r="Q35" t="str">
        <f>INDEX([2]Define!K:K,MATCH(P35,[2]Define!J:J))</f>
        <v>相手</v>
      </c>
      <c r="R35">
        <v>1</v>
      </c>
      <c r="S35" t="str">
        <f>INDEX([2]Define!N:N,MATCH(R35,[2]Define!M:M))</f>
        <v>単体</v>
      </c>
      <c r="T35">
        <v>1</v>
      </c>
      <c r="U35">
        <v>1</v>
      </c>
      <c r="V35">
        <v>1</v>
      </c>
      <c r="W35">
        <v>0</v>
      </c>
    </row>
    <row r="36" ht="12" customHeight="1" spans="1:23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INDEX([2]Define!X:X,MATCH(D36,[2]Define!W:W))</f>
        <v>元素</v>
      </c>
      <c r="F36">
        <v>401</v>
      </c>
      <c r="H36">
        <v>1</v>
      </c>
      <c r="I36" t="str">
        <f>INDEX([2]Define!B:B,MATCH(H36,[2]Define!A:A))</f>
        <v>単体</v>
      </c>
      <c r="J36">
        <v>0</v>
      </c>
      <c r="K36">
        <v>2</v>
      </c>
      <c r="L36">
        <v>4</v>
      </c>
      <c r="M36" t="str">
        <f>INDEX([2]Define!E:E,MATCH(L36,[2]Define!D:D))</f>
        <v>光</v>
      </c>
      <c r="N36">
        <v>1</v>
      </c>
      <c r="O36" t="str">
        <f>INDEX([2]Define!H:H,MATCH(N36,[2]Define!G:G))</f>
        <v>魔法</v>
      </c>
      <c r="P36">
        <v>1</v>
      </c>
      <c r="Q36" t="str">
        <f>INDEX([2]Define!K:K,MATCH(P36,[2]Define!J:J))</f>
        <v>相手</v>
      </c>
      <c r="R36">
        <v>1</v>
      </c>
      <c r="S36" t="str">
        <f>INDEX([2]Define!N:N,MATCH(R36,[2]Define!M:M))</f>
        <v>単体</v>
      </c>
      <c r="T36">
        <v>1</v>
      </c>
      <c r="U36">
        <v>1</v>
      </c>
      <c r="V36">
        <v>1</v>
      </c>
      <c r="W36">
        <v>0</v>
      </c>
    </row>
    <row r="37" ht="12" customHeight="1" spans="1:23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INDEX([2]Define!X:X,MATCH(D37,[2]Define!W:W))</f>
        <v>光</v>
      </c>
      <c r="F37">
        <v>21</v>
      </c>
      <c r="H37">
        <v>1</v>
      </c>
      <c r="I37" t="str">
        <f>INDEX([2]Define!B:B,MATCH(H37,[2]Define!A:A))</f>
        <v>単体</v>
      </c>
      <c r="J37">
        <v>3</v>
      </c>
      <c r="K37">
        <v>2</v>
      </c>
      <c r="L37">
        <v>4</v>
      </c>
      <c r="M37" t="str">
        <f>INDEX([2]Define!E:E,MATCH(L37,[2]Define!D:D))</f>
        <v>光</v>
      </c>
      <c r="N37">
        <v>1</v>
      </c>
      <c r="O37" t="str">
        <f>INDEX([2]Define!H:H,MATCH(N37,[2]Define!G:G))</f>
        <v>魔法</v>
      </c>
      <c r="P37">
        <v>3</v>
      </c>
      <c r="Q37" t="str">
        <f>INDEX([2]Define!K:K,MATCH(P37,[2]Define!J:J))</f>
        <v>全員</v>
      </c>
      <c r="R37">
        <v>1</v>
      </c>
      <c r="S37" t="str">
        <f>INDEX([2]Define!N:N,MATCH(R37,[2]Define!M:M))</f>
        <v>単体</v>
      </c>
      <c r="T37">
        <v>1</v>
      </c>
      <c r="U37">
        <v>1</v>
      </c>
      <c r="V37">
        <v>1</v>
      </c>
      <c r="W37">
        <v>0</v>
      </c>
    </row>
    <row r="38" spans="1:23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INDEX([2]Define!X:X,MATCH(D38,[2]Define!W:W))</f>
        <v>光</v>
      </c>
      <c r="F38">
        <v>401</v>
      </c>
      <c r="H38">
        <v>1</v>
      </c>
      <c r="I38" t="str">
        <f>INDEX([2]Define!B:B,MATCH(H38,[2]Define!A:A))</f>
        <v>単体</v>
      </c>
      <c r="J38">
        <v>3</v>
      </c>
      <c r="K38">
        <v>2</v>
      </c>
      <c r="L38">
        <v>4</v>
      </c>
      <c r="M38" t="str">
        <f>INDEX([2]Define!E:E,MATCH(L38,[2]Define!D:D))</f>
        <v>光</v>
      </c>
      <c r="N38">
        <v>1</v>
      </c>
      <c r="O38" t="str">
        <f>INDEX([2]Define!H:H,MATCH(N38,[2]Define!G:G))</f>
        <v>魔法</v>
      </c>
      <c r="P38">
        <v>1</v>
      </c>
      <c r="Q38" t="str">
        <f>INDEX([2]Define!K:K,MATCH(P38,[2]Define!J:J))</f>
        <v>相手</v>
      </c>
      <c r="R38">
        <v>1</v>
      </c>
      <c r="S38" t="str">
        <f>INDEX([2]Define!N:N,MATCH(R38,[2]Define!M:M))</f>
        <v>単体</v>
      </c>
      <c r="T38">
        <v>1</v>
      </c>
      <c r="U38">
        <v>1</v>
      </c>
      <c r="V38">
        <v>1</v>
      </c>
      <c r="W38">
        <v>0</v>
      </c>
    </row>
    <row r="39" ht="12" customHeight="1" spans="1:23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INDEX([2]Define!X:X,MATCH(D39,[2]Define!W:W))</f>
        <v>光</v>
      </c>
      <c r="F39">
        <v>21</v>
      </c>
      <c r="H39">
        <v>1</v>
      </c>
      <c r="I39" t="str">
        <f>INDEX([2]Define!B:B,MATCH(H39,[2]Define!A:A))</f>
        <v>単体</v>
      </c>
      <c r="J39">
        <v>3</v>
      </c>
      <c r="K39">
        <v>2</v>
      </c>
      <c r="L39">
        <v>4</v>
      </c>
      <c r="M39" t="str">
        <f>INDEX([2]Define!E:E,MATCH(L39,[2]Define!D:D))</f>
        <v>光</v>
      </c>
      <c r="N39">
        <v>1</v>
      </c>
      <c r="O39" t="str">
        <f>INDEX([2]Define!H:H,MATCH(N39,[2]Define!G:G))</f>
        <v>魔法</v>
      </c>
      <c r="P39">
        <v>2</v>
      </c>
      <c r="Q39" t="str">
        <f>INDEX([2]Define!K:K,MATCH(P39,[2]Define!J:J))</f>
        <v>味方</v>
      </c>
      <c r="R39">
        <v>13</v>
      </c>
      <c r="S39" t="str">
        <f>INDEX([2]Define!N:N,MATCH(R39,[2]Define!M:M))</f>
        <v>全体・自身を除く</v>
      </c>
      <c r="T39">
        <v>2</v>
      </c>
      <c r="U39">
        <v>1</v>
      </c>
      <c r="V39">
        <v>1</v>
      </c>
      <c r="W39">
        <v>0</v>
      </c>
    </row>
    <row r="40" spans="1:23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INDEX([2]Define!X:X,MATCH(D40,[2]Define!W:W))</f>
        <v>光</v>
      </c>
      <c r="F40">
        <v>21</v>
      </c>
      <c r="H40">
        <v>1</v>
      </c>
      <c r="I40" t="str">
        <f>INDEX([2]Define!B:B,MATCH(H40,[2]Define!A:A))</f>
        <v>単体</v>
      </c>
      <c r="J40">
        <v>7</v>
      </c>
      <c r="K40">
        <v>2</v>
      </c>
      <c r="L40">
        <v>4</v>
      </c>
      <c r="M40" t="str">
        <f>INDEX([2]Define!E:E,MATCH(L40,[2]Define!D:D))</f>
        <v>光</v>
      </c>
      <c r="N40">
        <v>1</v>
      </c>
      <c r="O40" t="str">
        <f>INDEX([2]Define!H:H,MATCH(N40,[2]Define!G:G))</f>
        <v>魔法</v>
      </c>
      <c r="P40">
        <v>2</v>
      </c>
      <c r="Q40" t="str">
        <f>INDEX([2]Define!K:K,MATCH(P40,[2]Define!J:J))</f>
        <v>味方</v>
      </c>
      <c r="R40">
        <v>1</v>
      </c>
      <c r="S40" t="str">
        <f>INDEX([2]Define!N:N,MATCH(R40,[2]Define!M:M))</f>
        <v>単体</v>
      </c>
      <c r="T40">
        <v>1</v>
      </c>
      <c r="U40">
        <v>1</v>
      </c>
      <c r="V40">
        <v>0</v>
      </c>
      <c r="W40">
        <v>0</v>
      </c>
    </row>
    <row r="41" spans="1:23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INDEX([2]Define!X:X,MATCH(D41,[2]Define!W:W))</f>
        <v>光</v>
      </c>
      <c r="F41">
        <v>21</v>
      </c>
      <c r="H41">
        <v>1</v>
      </c>
      <c r="I41" t="str">
        <f>INDEX([2]Define!B:B,MATCH(H41,[2]Define!A:A))</f>
        <v>単体</v>
      </c>
      <c r="J41">
        <v>4</v>
      </c>
      <c r="K41">
        <v>2</v>
      </c>
      <c r="L41">
        <v>4</v>
      </c>
      <c r="M41" t="str">
        <f>INDEX([2]Define!E:E,MATCH(L41,[2]Define!D:D))</f>
        <v>光</v>
      </c>
      <c r="N41">
        <v>1</v>
      </c>
      <c r="O41" t="str">
        <f>INDEX([2]Define!H:H,MATCH(N41,[2]Define!G:G))</f>
        <v>魔法</v>
      </c>
      <c r="P41">
        <v>2</v>
      </c>
      <c r="Q41" t="str">
        <f>INDEX([2]Define!K:K,MATCH(P41,[2]Define!J:J))</f>
        <v>味方</v>
      </c>
      <c r="R41">
        <v>2</v>
      </c>
      <c r="S41" t="str">
        <f>INDEX([2]Define!N:N,MATCH(R41,[2]Define!M:M))</f>
        <v>列</v>
      </c>
      <c r="T41">
        <v>1</v>
      </c>
      <c r="U41">
        <v>1</v>
      </c>
      <c r="V41">
        <v>1</v>
      </c>
      <c r="W41">
        <v>0</v>
      </c>
    </row>
    <row r="42" spans="1:23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INDEX([2]Define!X:X,MATCH(D42,[2]Define!W:W))</f>
        <v>光</v>
      </c>
      <c r="F42">
        <v>51</v>
      </c>
      <c r="H42">
        <v>1</v>
      </c>
      <c r="I42" t="str">
        <f>INDEX([2]Define!B:B,MATCH(H42,[2]Define!A:A))</f>
        <v>単体</v>
      </c>
      <c r="J42">
        <v>4</v>
      </c>
      <c r="K42">
        <v>2</v>
      </c>
      <c r="L42">
        <v>4</v>
      </c>
      <c r="M42" t="str">
        <f>INDEX([2]Define!E:E,MATCH(L42,[2]Define!D:D))</f>
        <v>光</v>
      </c>
      <c r="N42">
        <v>1</v>
      </c>
      <c r="O42" t="str">
        <f>INDEX([2]Define!H:H,MATCH(N42,[2]Define!G:G))</f>
        <v>魔法</v>
      </c>
      <c r="P42">
        <v>2</v>
      </c>
      <c r="Q42" t="str">
        <f>INDEX([2]Define!K:K,MATCH(P42,[2]Define!J:J))</f>
        <v>味方</v>
      </c>
      <c r="R42">
        <v>2</v>
      </c>
      <c r="S42" t="str">
        <f>INDEX([2]Define!N:N,MATCH(R42,[2]Define!M:M))</f>
        <v>列</v>
      </c>
      <c r="T42">
        <v>1</v>
      </c>
      <c r="U42">
        <v>1</v>
      </c>
      <c r="V42">
        <v>1</v>
      </c>
      <c r="W42">
        <v>0</v>
      </c>
    </row>
    <row r="43" ht="12" customHeight="1" spans="1:23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INDEX([2]Define!X:X,MATCH(D43,[2]Define!W:W))</f>
        <v>超次元</v>
      </c>
      <c r="F43">
        <v>501</v>
      </c>
      <c r="H43">
        <v>1</v>
      </c>
      <c r="I43" t="str">
        <f>INDEX([2]Define!B:B,MATCH(H43,[2]Define!A:A))</f>
        <v>単体</v>
      </c>
      <c r="J43">
        <v>0</v>
      </c>
      <c r="K43">
        <v>1</v>
      </c>
      <c r="L43">
        <v>5</v>
      </c>
      <c r="M43" t="str">
        <f>INDEX([2]Define!E:E,MATCH(L43,[2]Define!D:D))</f>
        <v>闇</v>
      </c>
      <c r="N43">
        <v>1</v>
      </c>
      <c r="O43" t="str">
        <f>INDEX([2]Define!H:H,MATCH(N43,[2]Define!G:G))</f>
        <v>魔法</v>
      </c>
      <c r="P43">
        <v>1</v>
      </c>
      <c r="Q43" t="str">
        <f>INDEX([2]Define!K:K,MATCH(P43,[2]Define!J:J))</f>
        <v>相手</v>
      </c>
      <c r="R43">
        <v>1</v>
      </c>
      <c r="S43" t="str">
        <f>INDEX([2]Define!N:N,MATCH(R43,[2]Define!M:M))</f>
        <v>単体</v>
      </c>
      <c r="T43">
        <v>1</v>
      </c>
      <c r="U43">
        <v>1</v>
      </c>
      <c r="V43">
        <v>1</v>
      </c>
      <c r="W43">
        <v>0</v>
      </c>
    </row>
    <row r="44" ht="12" customHeight="1" spans="1:23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INDEX([2]Define!X:X,MATCH(D44,[2]Define!W:W))</f>
        <v>超次元</v>
      </c>
      <c r="F44">
        <v>501</v>
      </c>
      <c r="H44">
        <v>1</v>
      </c>
      <c r="I44" t="str">
        <f>INDEX([2]Define!B:B,MATCH(H44,[2]Define!A:A))</f>
        <v>単体</v>
      </c>
      <c r="J44">
        <v>5</v>
      </c>
      <c r="K44">
        <v>2</v>
      </c>
      <c r="L44">
        <v>5</v>
      </c>
      <c r="M44" t="str">
        <f>INDEX([2]Define!E:E,MATCH(L44,[2]Define!D:D))</f>
        <v>闇</v>
      </c>
      <c r="N44">
        <v>1</v>
      </c>
      <c r="O44" t="str">
        <f>INDEX([2]Define!H:H,MATCH(N44,[2]Define!G:G))</f>
        <v>魔法</v>
      </c>
      <c r="P44">
        <v>1</v>
      </c>
      <c r="Q44" t="str">
        <f>INDEX([2]Define!K:K,MATCH(P44,[2]Define!J:J))</f>
        <v>相手</v>
      </c>
      <c r="R44">
        <v>3</v>
      </c>
      <c r="S44" t="str">
        <f>INDEX([2]Define!N:N,MATCH(R44,[2]Define!M:M))</f>
        <v>全体</v>
      </c>
      <c r="T44">
        <v>2</v>
      </c>
      <c r="U44">
        <v>1</v>
      </c>
      <c r="V44">
        <v>1</v>
      </c>
      <c r="W44">
        <v>0</v>
      </c>
    </row>
    <row r="45" ht="12" customHeight="1" spans="1:23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INDEX([2]Define!X:X,MATCH(D45,[2]Define!W:W))</f>
        <v>超次元</v>
      </c>
      <c r="F45">
        <v>501</v>
      </c>
      <c r="H45">
        <v>1</v>
      </c>
      <c r="I45" t="str">
        <f>INDEX([2]Define!B:B,MATCH(H45,[2]Define!A:A))</f>
        <v>単体</v>
      </c>
      <c r="J45">
        <v>5</v>
      </c>
      <c r="K45">
        <v>2</v>
      </c>
      <c r="L45">
        <v>5</v>
      </c>
      <c r="M45" t="str">
        <f>INDEX([2]Define!E:E,MATCH(L45,[2]Define!D:D))</f>
        <v>闇</v>
      </c>
      <c r="N45">
        <v>1</v>
      </c>
      <c r="O45" t="str">
        <f>INDEX([2]Define!H:H,MATCH(N45,[2]Define!G:G))</f>
        <v>魔法</v>
      </c>
      <c r="P45">
        <v>1</v>
      </c>
      <c r="Q45" t="str">
        <f>INDEX([2]Define!K:K,MATCH(P45,[2]Define!J:J))</f>
        <v>相手</v>
      </c>
      <c r="R45">
        <v>1</v>
      </c>
      <c r="S45" t="str">
        <f>INDEX([2]Define!N:N,MATCH(R45,[2]Define!M:M))</f>
        <v>単体</v>
      </c>
      <c r="T45">
        <v>1</v>
      </c>
      <c r="U45">
        <v>1</v>
      </c>
      <c r="V45">
        <v>1</v>
      </c>
      <c r="W45">
        <v>0</v>
      </c>
    </row>
    <row r="46" ht="12" customHeight="1" spans="1:23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INDEX([2]Define!X:X,MATCH(D46,[2]Define!W:W))</f>
        <v>超次元</v>
      </c>
      <c r="F46">
        <v>501</v>
      </c>
      <c r="H46">
        <v>1</v>
      </c>
      <c r="I46" t="str">
        <f>INDEX([2]Define!B:B,MATCH(H46,[2]Define!A:A))</f>
        <v>単体</v>
      </c>
      <c r="J46">
        <v>3</v>
      </c>
      <c r="K46">
        <v>2</v>
      </c>
      <c r="L46">
        <v>5</v>
      </c>
      <c r="M46" t="str">
        <f>INDEX([2]Define!E:E,MATCH(L46,[2]Define!D:D))</f>
        <v>闇</v>
      </c>
      <c r="N46">
        <v>1</v>
      </c>
      <c r="O46" t="str">
        <f>INDEX([2]Define!H:H,MATCH(N46,[2]Define!G:G))</f>
        <v>魔法</v>
      </c>
      <c r="P46">
        <v>1</v>
      </c>
      <c r="Q46" t="str">
        <f>INDEX([2]Define!K:K,MATCH(P46,[2]Define!J:J))</f>
        <v>相手</v>
      </c>
      <c r="R46">
        <v>1</v>
      </c>
      <c r="S46" t="str">
        <f>INDEX([2]Define!N:N,MATCH(R46,[2]Define!M:M))</f>
        <v>単体</v>
      </c>
      <c r="T46">
        <v>1</v>
      </c>
      <c r="U46">
        <v>1</v>
      </c>
      <c r="V46">
        <v>1</v>
      </c>
      <c r="W46">
        <v>0</v>
      </c>
    </row>
    <row r="47" ht="12" customHeight="1" spans="1:23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INDEX([2]Define!X:X,MATCH(D47,[2]Define!W:W))</f>
        <v>理術</v>
      </c>
      <c r="F47">
        <v>501</v>
      </c>
      <c r="H47">
        <v>1</v>
      </c>
      <c r="I47" t="str">
        <f>INDEX([2]Define!B:B,MATCH(H47,[2]Define!A:A))</f>
        <v>単体</v>
      </c>
      <c r="J47">
        <v>2</v>
      </c>
      <c r="K47">
        <v>2</v>
      </c>
      <c r="L47">
        <v>5</v>
      </c>
      <c r="M47" t="str">
        <f>INDEX([2]Define!E:E,MATCH(L47,[2]Define!D:D))</f>
        <v>闇</v>
      </c>
      <c r="N47">
        <v>1</v>
      </c>
      <c r="O47" t="str">
        <f>INDEX([2]Define!H:H,MATCH(N47,[2]Define!G:G))</f>
        <v>魔法</v>
      </c>
      <c r="P47">
        <v>1</v>
      </c>
      <c r="Q47" t="str">
        <f>INDEX([2]Define!K:K,MATCH(P47,[2]Define!J:J))</f>
        <v>相手</v>
      </c>
      <c r="R47">
        <v>1</v>
      </c>
      <c r="S47" t="str">
        <f>INDEX([2]Define!N:N,MATCH(R47,[2]Define!M:M))</f>
        <v>単体</v>
      </c>
      <c r="T47">
        <v>1</v>
      </c>
      <c r="U47">
        <v>1</v>
      </c>
      <c r="V47">
        <v>1</v>
      </c>
      <c r="W47">
        <v>0</v>
      </c>
    </row>
    <row r="48" ht="12" customHeight="1" spans="1:23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INDEX([2]Define!X:X,MATCH(D48,[2]Define!W:W))</f>
        <v>理術</v>
      </c>
      <c r="F48">
        <v>61</v>
      </c>
      <c r="H48">
        <v>1</v>
      </c>
      <c r="I48" t="str">
        <f>INDEX([2]Define!B:B,MATCH(H48,[2]Define!A:A))</f>
        <v>単体</v>
      </c>
      <c r="J48">
        <v>3</v>
      </c>
      <c r="K48">
        <v>2</v>
      </c>
      <c r="L48">
        <v>5</v>
      </c>
      <c r="M48" t="str">
        <f>INDEX([2]Define!E:E,MATCH(L48,[2]Define!D:D))</f>
        <v>闇</v>
      </c>
      <c r="N48">
        <v>1</v>
      </c>
      <c r="O48" t="str">
        <f>INDEX([2]Define!H:H,MATCH(N48,[2]Define!G:G))</f>
        <v>魔法</v>
      </c>
      <c r="P48">
        <v>1</v>
      </c>
      <c r="Q48" t="str">
        <f>INDEX([2]Define!K:K,MATCH(P48,[2]Define!J:J))</f>
        <v>相手</v>
      </c>
      <c r="R48">
        <v>1</v>
      </c>
      <c r="S48" t="str">
        <f>INDEX([2]Define!N:N,MATCH(R48,[2]Define!M:M))</f>
        <v>単体</v>
      </c>
      <c r="T48">
        <v>1</v>
      </c>
      <c r="U48">
        <v>1</v>
      </c>
      <c r="V48">
        <v>1</v>
      </c>
      <c r="W48">
        <v>0</v>
      </c>
    </row>
    <row r="49" ht="12" customHeight="1" spans="1:23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INDEX([2]Define!X:X,MATCH(D49,[2]Define!W:W))</f>
        <v>超次元</v>
      </c>
      <c r="F49">
        <v>61</v>
      </c>
      <c r="H49">
        <v>1</v>
      </c>
      <c r="I49" t="str">
        <f>INDEX([2]Define!B:B,MATCH(H49,[2]Define!A:A))</f>
        <v>単体</v>
      </c>
      <c r="J49">
        <v>2</v>
      </c>
      <c r="K49">
        <v>2</v>
      </c>
      <c r="L49">
        <v>5</v>
      </c>
      <c r="M49" t="str">
        <f>INDEX([2]Define!E:E,MATCH(L49,[2]Define!D:D))</f>
        <v>闇</v>
      </c>
      <c r="N49">
        <v>1</v>
      </c>
      <c r="O49" t="str">
        <f>INDEX([2]Define!H:H,MATCH(N49,[2]Define!G:G))</f>
        <v>魔法</v>
      </c>
      <c r="P49">
        <v>1</v>
      </c>
      <c r="Q49" t="str">
        <f>INDEX([2]Define!K:K,MATCH(P49,[2]Define!J:J))</f>
        <v>相手</v>
      </c>
      <c r="R49">
        <v>2</v>
      </c>
      <c r="S49" t="str">
        <f>INDEX([2]Define!N:N,MATCH(R49,[2]Define!M:M))</f>
        <v>列</v>
      </c>
      <c r="T49">
        <v>2</v>
      </c>
      <c r="U49">
        <v>1</v>
      </c>
      <c r="V49">
        <v>1</v>
      </c>
      <c r="W49">
        <v>0</v>
      </c>
    </row>
    <row r="50" ht="12" customHeight="1" spans="1:23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INDEX([2]Define!X:X,MATCH(D50,[2]Define!W:W))</f>
        <v>超次元</v>
      </c>
      <c r="F50">
        <v>501</v>
      </c>
      <c r="H50">
        <v>1</v>
      </c>
      <c r="I50" t="str">
        <f>INDEX([2]Define!B:B,MATCH(H50,[2]Define!A:A))</f>
        <v>単体</v>
      </c>
      <c r="J50">
        <v>2</v>
      </c>
      <c r="K50">
        <v>2</v>
      </c>
      <c r="L50">
        <v>5</v>
      </c>
      <c r="M50" t="str">
        <f>INDEX([2]Define!E:E,MATCH(L50,[2]Define!D:D))</f>
        <v>闇</v>
      </c>
      <c r="N50">
        <v>1</v>
      </c>
      <c r="O50" t="str">
        <f>INDEX([2]Define!H:H,MATCH(N50,[2]Define!G:G))</f>
        <v>魔法</v>
      </c>
      <c r="P50">
        <v>1</v>
      </c>
      <c r="Q50" t="str">
        <f>INDEX([2]Define!K:K,MATCH(P50,[2]Define!J:J))</f>
        <v>相手</v>
      </c>
      <c r="R50">
        <v>1</v>
      </c>
      <c r="S50" t="str">
        <f>INDEX([2]Define!N:N,MATCH(R50,[2]Define!M:M))</f>
        <v>単体</v>
      </c>
      <c r="T50">
        <v>1</v>
      </c>
      <c r="U50">
        <v>1</v>
      </c>
      <c r="V50">
        <v>1</v>
      </c>
      <c r="W50">
        <v>0</v>
      </c>
    </row>
    <row r="51" ht="12" customHeight="1" spans="1:23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INDEX([2]Define!X:X,MATCH(D51,[2]Define!W:W))</f>
        <v>なし</v>
      </c>
      <c r="F51">
        <v>0</v>
      </c>
      <c r="H51">
        <v>1</v>
      </c>
      <c r="I51" t="str">
        <f>INDEX([2]Define!B:B,MATCH(H51,[2]Define!A:A))</f>
        <v>単体</v>
      </c>
      <c r="J51">
        <v>0</v>
      </c>
      <c r="K51">
        <v>0</v>
      </c>
      <c r="L51">
        <v>0</v>
      </c>
      <c r="M51" t="str">
        <f>INDEX([2]Define!E:E,MATCH(L51,[2]Define!D:D))</f>
        <v>なし</v>
      </c>
      <c r="N51">
        <v>1</v>
      </c>
      <c r="O51" t="str">
        <f>INDEX([2]Define!H:H,MATCH(N51,[2]Define!G:G))</f>
        <v>魔法</v>
      </c>
      <c r="P51">
        <v>4</v>
      </c>
      <c r="Q51" t="str">
        <f>INDEX([2]Define!K:K,MATCH(P51,[2]Define!J:J))</f>
        <v>自身</v>
      </c>
      <c r="R51">
        <v>4</v>
      </c>
      <c r="S51" t="str">
        <f>INDEX([2]Define!N:N,MATCH(R51,[2]Define!M:M))</f>
        <v>自身</v>
      </c>
      <c r="T51">
        <v>1</v>
      </c>
      <c r="U51">
        <v>1</v>
      </c>
      <c r="V51">
        <v>1</v>
      </c>
      <c r="W51">
        <v>0</v>
      </c>
    </row>
    <row r="52" spans="1:23">
      <c r="A52">
        <v>10010</v>
      </c>
      <c r="B52">
        <v>10010</v>
      </c>
      <c r="C52" t="str">
        <f>INDEX(TextData!B:B,MATCH(B52,TextData!A:A))</f>
        <v>アンデッド</v>
      </c>
      <c r="D52">
        <v>6</v>
      </c>
      <c r="E52" t="str">
        <f>INDEX([2]Define!X:X,MATCH(D52,[2]Define!W:W))</f>
        <v>自己強化</v>
      </c>
      <c r="F52">
        <v>51</v>
      </c>
      <c r="H52">
        <v>1</v>
      </c>
      <c r="I52" t="str">
        <f>INDEX([2]Define!B:B,MATCH(H52,[2]Define!A:A))</f>
        <v>単体</v>
      </c>
      <c r="J52">
        <v>0</v>
      </c>
      <c r="K52">
        <v>0</v>
      </c>
      <c r="L52">
        <v>0</v>
      </c>
      <c r="M52" t="str">
        <f>INDEX([2]Define!E:E,MATCH(L52,[2]Define!D:D))</f>
        <v>なし</v>
      </c>
      <c r="N52">
        <v>2</v>
      </c>
      <c r="O52" t="str">
        <f>INDEX([2]Define!H:H,MATCH(N52,[2]Define!G:G))</f>
        <v>パッシブ</v>
      </c>
      <c r="P52">
        <v>4</v>
      </c>
      <c r="Q52" t="str">
        <f>INDEX([2]Define!K:K,MATCH(P52,[2]Define!J:J))</f>
        <v>自身</v>
      </c>
      <c r="R52">
        <v>4</v>
      </c>
      <c r="S52" t="str">
        <f>INDEX([2]Define!N:N,MATCH(R52,[2]Define!M:M))</f>
        <v>自身</v>
      </c>
      <c r="T52">
        <v>1</v>
      </c>
      <c r="U52">
        <v>1</v>
      </c>
      <c r="V52">
        <v>1</v>
      </c>
      <c r="W52">
        <v>0</v>
      </c>
    </row>
    <row r="53" spans="1:23">
      <c r="A53">
        <v>10020</v>
      </c>
      <c r="B53">
        <v>10020</v>
      </c>
      <c r="C53" t="str">
        <f>INDEX(TextData!B:B,MATCH(B53,TextData!A:A))</f>
        <v>エアリアル</v>
      </c>
      <c r="D53">
        <v>6</v>
      </c>
      <c r="E53" t="str">
        <f>INDEX([2]Define!X:X,MATCH(D53,[2]Define!W:W))</f>
        <v>自己強化</v>
      </c>
      <c r="F53">
        <v>51</v>
      </c>
      <c r="H53">
        <v>1</v>
      </c>
      <c r="I53" t="str">
        <f>INDEX([2]Define!B:B,MATCH(H53,[2]Define!A:A))</f>
        <v>単体</v>
      </c>
      <c r="J53">
        <v>0</v>
      </c>
      <c r="K53">
        <v>0</v>
      </c>
      <c r="L53">
        <v>0</v>
      </c>
      <c r="M53" t="str">
        <f>INDEX([2]Define!E:E,MATCH(L53,[2]Define!D:D))</f>
        <v>なし</v>
      </c>
      <c r="N53">
        <v>2</v>
      </c>
      <c r="O53" t="str">
        <f>INDEX([2]Define!H:H,MATCH(N53,[2]Define!G:G))</f>
        <v>パッシブ</v>
      </c>
      <c r="P53">
        <v>4</v>
      </c>
      <c r="Q53" t="str">
        <f>INDEX([2]Define!K:K,MATCH(P53,[2]Define!J:J))</f>
        <v>自身</v>
      </c>
      <c r="R53">
        <v>4</v>
      </c>
      <c r="S53" t="str">
        <f>INDEX([2]Define!N:N,MATCH(R53,[2]Define!M:M))</f>
        <v>自身</v>
      </c>
      <c r="T53">
        <v>1</v>
      </c>
      <c r="U53">
        <v>1</v>
      </c>
      <c r="V53">
        <v>1</v>
      </c>
      <c r="W53">
        <v>0</v>
      </c>
    </row>
    <row r="54" spans="1:23">
      <c r="A54">
        <v>10030</v>
      </c>
      <c r="B54">
        <v>10030</v>
      </c>
      <c r="C54" t="str">
        <f>INDEX(TextData!B:B,MATCH(B54,TextData!A:A))</f>
        <v>悪魔</v>
      </c>
      <c r="D54">
        <v>6</v>
      </c>
      <c r="E54" t="str">
        <f>INDEX([2]Define!X:X,MATCH(D54,[2]Define!W:W))</f>
        <v>自己強化</v>
      </c>
      <c r="F54">
        <v>51</v>
      </c>
      <c r="H54">
        <v>1</v>
      </c>
      <c r="I54" t="str">
        <f>INDEX([2]Define!B:B,MATCH(H54,[2]Define!A:A))</f>
        <v>単体</v>
      </c>
      <c r="J54">
        <v>0</v>
      </c>
      <c r="K54">
        <v>0</v>
      </c>
      <c r="L54">
        <v>0</v>
      </c>
      <c r="M54" t="str">
        <f>INDEX([2]Define!E:E,MATCH(L54,[2]Define!D:D))</f>
        <v>なし</v>
      </c>
      <c r="N54">
        <v>2</v>
      </c>
      <c r="O54" t="str">
        <f>INDEX([2]Define!H:H,MATCH(N54,[2]Define!G:G))</f>
        <v>パッシブ</v>
      </c>
      <c r="P54">
        <v>4</v>
      </c>
      <c r="Q54" t="str">
        <f>INDEX([2]Define!K:K,MATCH(P54,[2]Define!J:J))</f>
        <v>自身</v>
      </c>
      <c r="R54">
        <v>4</v>
      </c>
      <c r="S54" t="str">
        <f>INDEX([2]Define!N:N,MATCH(R54,[2]Define!M:M))</f>
        <v>自身</v>
      </c>
      <c r="T54">
        <v>1</v>
      </c>
      <c r="U54">
        <v>1</v>
      </c>
      <c r="V54">
        <v>1</v>
      </c>
      <c r="W54">
        <v>0</v>
      </c>
    </row>
    <row r="55" spans="1:23">
      <c r="A55">
        <v>10040</v>
      </c>
      <c r="B55">
        <v>10040</v>
      </c>
      <c r="C55" t="str">
        <f>INDEX(TextData!B:B,MATCH(B55,TextData!A:A))</f>
        <v>クリーチャー</v>
      </c>
      <c r="D55">
        <v>6</v>
      </c>
      <c r="E55" t="str">
        <f>INDEX([2]Define!X:X,MATCH(D55,[2]Define!W:W))</f>
        <v>自己強化</v>
      </c>
      <c r="F55">
        <v>51</v>
      </c>
      <c r="H55">
        <v>1</v>
      </c>
      <c r="I55" t="str">
        <f>INDEX([2]Define!B:B,MATCH(H55,[2]Define!A:A))</f>
        <v>単体</v>
      </c>
      <c r="J55">
        <v>0</v>
      </c>
      <c r="K55">
        <v>0</v>
      </c>
      <c r="L55">
        <v>0</v>
      </c>
      <c r="M55" t="str">
        <f>INDEX([2]Define!E:E,MATCH(L55,[2]Define!D:D))</f>
        <v>なし</v>
      </c>
      <c r="N55">
        <v>2</v>
      </c>
      <c r="O55" t="str">
        <f>INDEX([2]Define!H:H,MATCH(N55,[2]Define!G:G))</f>
        <v>パッシブ</v>
      </c>
      <c r="P55">
        <v>4</v>
      </c>
      <c r="Q55" t="str">
        <f>INDEX([2]Define!K:K,MATCH(P55,[2]Define!J:J))</f>
        <v>自身</v>
      </c>
      <c r="R55">
        <v>4</v>
      </c>
      <c r="S55" t="str">
        <f>INDEX([2]Define!N:N,MATCH(R55,[2]Define!M:M))</f>
        <v>自身</v>
      </c>
      <c r="T55">
        <v>1</v>
      </c>
      <c r="U55">
        <v>1</v>
      </c>
      <c r="V55">
        <v>1</v>
      </c>
      <c r="W55">
        <v>0</v>
      </c>
    </row>
    <row r="56" spans="1:23">
      <c r="A56">
        <v>10050</v>
      </c>
      <c r="B56">
        <v>10050</v>
      </c>
      <c r="C56" t="str">
        <f>INDEX(TextData!B:B,MATCH(B56,TextData!A:A))</f>
        <v>野生の記憶</v>
      </c>
      <c r="D56">
        <v>6</v>
      </c>
      <c r="E56" t="str">
        <f>INDEX([2]Define!X:X,MATCH(D56,[2]Define!W:W))</f>
        <v>自己強化</v>
      </c>
      <c r="F56">
        <v>51</v>
      </c>
      <c r="H56">
        <v>1</v>
      </c>
      <c r="I56" t="str">
        <f>INDEX([2]Define!B:B,MATCH(H56,[2]Define!A:A))</f>
        <v>単体</v>
      </c>
      <c r="J56">
        <v>0</v>
      </c>
      <c r="K56">
        <v>0</v>
      </c>
      <c r="L56">
        <v>0</v>
      </c>
      <c r="M56" t="str">
        <f>INDEX([2]Define!E:E,MATCH(L56,[2]Define!D:D))</f>
        <v>なし</v>
      </c>
      <c r="N56">
        <v>2</v>
      </c>
      <c r="O56" t="str">
        <f>INDEX([2]Define!H:H,MATCH(N56,[2]Define!G:G))</f>
        <v>パッシブ</v>
      </c>
      <c r="P56">
        <v>4</v>
      </c>
      <c r="Q56" t="str">
        <f>INDEX([2]Define!K:K,MATCH(P56,[2]Define!J:J))</f>
        <v>自身</v>
      </c>
      <c r="R56">
        <v>4</v>
      </c>
      <c r="S56" t="str">
        <f>INDEX([2]Define!N:N,MATCH(R56,[2]Define!M:M))</f>
        <v>自身</v>
      </c>
      <c r="T56">
        <v>1</v>
      </c>
      <c r="U56">
        <v>1</v>
      </c>
      <c r="V56">
        <v>1</v>
      </c>
      <c r="W56">
        <v>0</v>
      </c>
    </row>
    <row r="57" spans="1:23">
      <c r="A57">
        <v>10060</v>
      </c>
      <c r="B57">
        <v>10060</v>
      </c>
      <c r="C57" t="str">
        <f>INDEX(TextData!B:B,MATCH(B57,TextData!A:A))</f>
        <v>変異生物</v>
      </c>
      <c r="D57">
        <v>6</v>
      </c>
      <c r="E57" t="str">
        <f>INDEX([2]Define!X:X,MATCH(D57,[2]Define!W:W))</f>
        <v>自己強化</v>
      </c>
      <c r="F57">
        <v>51</v>
      </c>
      <c r="H57">
        <v>1</v>
      </c>
      <c r="I57" t="str">
        <f>INDEX([2]Define!B:B,MATCH(H57,[2]Define!A:A))</f>
        <v>単体</v>
      </c>
      <c r="J57">
        <v>0</v>
      </c>
      <c r="K57">
        <v>0</v>
      </c>
      <c r="L57">
        <v>0</v>
      </c>
      <c r="M57" t="str">
        <f>INDEX([2]Define!E:E,MATCH(L57,[2]Define!D:D))</f>
        <v>なし</v>
      </c>
      <c r="N57">
        <v>2</v>
      </c>
      <c r="O57" t="str">
        <f>INDEX([2]Define!H:H,MATCH(N57,[2]Define!G:G))</f>
        <v>パッシブ</v>
      </c>
      <c r="P57">
        <v>4</v>
      </c>
      <c r="Q57" t="str">
        <f>INDEX([2]Define!K:K,MATCH(P57,[2]Define!J:J))</f>
        <v>自身</v>
      </c>
      <c r="R57">
        <v>4</v>
      </c>
      <c r="S57" t="str">
        <f>INDEX([2]Define!N:N,MATCH(R57,[2]Define!M:M))</f>
        <v>自身</v>
      </c>
      <c r="T57">
        <v>1</v>
      </c>
      <c r="U57">
        <v>1</v>
      </c>
      <c r="V57">
        <v>1</v>
      </c>
      <c r="W57">
        <v>0</v>
      </c>
    </row>
    <row r="58" spans="1:23">
      <c r="A58">
        <v>11010</v>
      </c>
      <c r="B58">
        <v>11010</v>
      </c>
      <c r="C58" t="str">
        <f>INDEX(TextData!B:B,MATCH(B58,TextData!A:A))</f>
        <v>ウルフソウル</v>
      </c>
      <c r="D58">
        <v>6</v>
      </c>
      <c r="E58" t="str">
        <f>INDEX([2]Define!X:X,MATCH(D58,[2]Define!W:W))</f>
        <v>自己強化</v>
      </c>
      <c r="F58">
        <v>51</v>
      </c>
      <c r="H58">
        <v>1</v>
      </c>
      <c r="I58" t="str">
        <f>INDEX([2]Define!B:B,MATCH(H58,[2]Define!A:A))</f>
        <v>単体</v>
      </c>
      <c r="J58">
        <v>0</v>
      </c>
      <c r="K58">
        <v>10</v>
      </c>
      <c r="L58">
        <v>1</v>
      </c>
      <c r="M58" t="str">
        <f>INDEX([2]Define!E:E,MATCH(L58,[2]Define!D:D))</f>
        <v>炎</v>
      </c>
      <c r="N58">
        <v>2</v>
      </c>
      <c r="O58" t="str">
        <f>INDEX([2]Define!H:H,MATCH(N58,[2]Define!G:G))</f>
        <v>パッシブ</v>
      </c>
      <c r="P58">
        <v>4</v>
      </c>
      <c r="Q58" t="str">
        <f>INDEX([2]Define!K:K,MATCH(P58,[2]Define!J:J))</f>
        <v>自身</v>
      </c>
      <c r="R58">
        <v>4</v>
      </c>
      <c r="S58" t="str">
        <f>INDEX([2]Define!N:N,MATCH(R58,[2]Define!M:M))</f>
        <v>自身</v>
      </c>
      <c r="T58">
        <v>1</v>
      </c>
      <c r="U58">
        <v>1</v>
      </c>
      <c r="V58">
        <v>1</v>
      </c>
      <c r="W58">
        <v>0</v>
      </c>
    </row>
    <row r="59" spans="1:23">
      <c r="A59">
        <v>11020</v>
      </c>
      <c r="B59">
        <v>11020</v>
      </c>
      <c r="C59" t="str">
        <f>INDEX(TextData!B:B,MATCH(B59,TextData!A:A))</f>
        <v>プリディカメント</v>
      </c>
      <c r="D59">
        <v>6</v>
      </c>
      <c r="E59" t="str">
        <f>INDEX([2]Define!X:X,MATCH(D59,[2]Define!W:W))</f>
        <v>自己強化</v>
      </c>
      <c r="F59">
        <v>51</v>
      </c>
      <c r="H59">
        <v>1</v>
      </c>
      <c r="I59" t="str">
        <f>INDEX([2]Define!B:B,MATCH(H59,[2]Define!A:A))</f>
        <v>単体</v>
      </c>
      <c r="J59">
        <v>0</v>
      </c>
      <c r="K59">
        <v>10</v>
      </c>
      <c r="L59">
        <v>1</v>
      </c>
      <c r="M59" t="str">
        <f>INDEX([2]Define!E:E,MATCH(L59,[2]Define!D:D))</f>
        <v>炎</v>
      </c>
      <c r="N59">
        <v>2</v>
      </c>
      <c r="O59" t="str">
        <f>INDEX([2]Define!H:H,MATCH(N59,[2]Define!G:G))</f>
        <v>パッシブ</v>
      </c>
      <c r="P59">
        <v>4</v>
      </c>
      <c r="Q59" t="str">
        <f>INDEX([2]Define!K:K,MATCH(P59,[2]Define!J:J))</f>
        <v>自身</v>
      </c>
      <c r="R59">
        <v>4</v>
      </c>
      <c r="S59" t="str">
        <f>INDEX([2]Define!N:N,MATCH(R59,[2]Define!M:M))</f>
        <v>自身</v>
      </c>
      <c r="T59">
        <v>1</v>
      </c>
      <c r="U59">
        <v>1</v>
      </c>
      <c r="V59">
        <v>1</v>
      </c>
      <c r="W59">
        <v>0</v>
      </c>
    </row>
    <row r="60" spans="1:23">
      <c r="A60">
        <v>11030</v>
      </c>
      <c r="B60">
        <v>11030</v>
      </c>
      <c r="C60" t="str">
        <f>INDEX(TextData!B:B,MATCH(B60,TextData!A:A))</f>
        <v>アサルトシフト</v>
      </c>
      <c r="D60">
        <v>6</v>
      </c>
      <c r="E60" t="str">
        <f>INDEX([2]Define!X:X,MATCH(D60,[2]Define!W:W))</f>
        <v>自己強化</v>
      </c>
      <c r="F60">
        <v>51</v>
      </c>
      <c r="H60">
        <v>1</v>
      </c>
      <c r="I60" t="str">
        <f>INDEX([2]Define!B:B,MATCH(H60,[2]Define!A:A))</f>
        <v>単体</v>
      </c>
      <c r="J60">
        <v>0</v>
      </c>
      <c r="K60">
        <v>10</v>
      </c>
      <c r="L60">
        <v>1</v>
      </c>
      <c r="M60" t="str">
        <f>INDEX([2]Define!E:E,MATCH(L60,[2]Define!D:D))</f>
        <v>炎</v>
      </c>
      <c r="N60">
        <v>2</v>
      </c>
      <c r="O60" t="str">
        <f>INDEX([2]Define!H:H,MATCH(N60,[2]Define!G:G))</f>
        <v>パッシブ</v>
      </c>
      <c r="P60">
        <v>4</v>
      </c>
      <c r="Q60" t="str">
        <f>INDEX([2]Define!K:K,MATCH(P60,[2]Define!J:J))</f>
        <v>自身</v>
      </c>
      <c r="R60">
        <v>4</v>
      </c>
      <c r="S60" t="str">
        <f>INDEX([2]Define!N:N,MATCH(R60,[2]Define!M:M))</f>
        <v>自身</v>
      </c>
      <c r="T60">
        <v>1</v>
      </c>
      <c r="U60">
        <v>1</v>
      </c>
      <c r="V60">
        <v>1</v>
      </c>
      <c r="W60">
        <v>0</v>
      </c>
    </row>
    <row r="61" spans="1:23">
      <c r="A61">
        <v>11040</v>
      </c>
      <c r="B61">
        <v>11040</v>
      </c>
      <c r="C61" t="str">
        <f>INDEX(TextData!B:B,MATCH(B61,TextData!A:A))</f>
        <v>アクティブギフト</v>
      </c>
      <c r="D61">
        <v>6</v>
      </c>
      <c r="E61" t="str">
        <f>INDEX([2]Define!X:X,MATCH(D61,[2]Define!W:W))</f>
        <v>自己強化</v>
      </c>
      <c r="F61">
        <v>51</v>
      </c>
      <c r="H61">
        <v>1</v>
      </c>
      <c r="I61" t="str">
        <f>INDEX([2]Define!B:B,MATCH(H61,[2]Define!A:A))</f>
        <v>単体</v>
      </c>
      <c r="J61">
        <v>4</v>
      </c>
      <c r="K61">
        <v>10</v>
      </c>
      <c r="L61">
        <v>1</v>
      </c>
      <c r="M61" t="str">
        <f>INDEX([2]Define!E:E,MATCH(L61,[2]Define!D:D))</f>
        <v>炎</v>
      </c>
      <c r="N61">
        <v>2</v>
      </c>
      <c r="O61" t="str">
        <f>INDEX([2]Define!H:H,MATCH(N61,[2]Define!G:G))</f>
        <v>パッシブ</v>
      </c>
      <c r="P61">
        <v>11</v>
      </c>
      <c r="Q61" t="str">
        <f>INDEX([2]Define!K:K,MATCH(P61,[2]Define!J:J))</f>
        <v>Triggerの条件を満たす</v>
      </c>
      <c r="R61">
        <v>1</v>
      </c>
      <c r="S61" t="str">
        <f>INDEX([2]Define!N:N,MATCH(R61,[2]Define!M:M))</f>
        <v>単体</v>
      </c>
      <c r="T61">
        <v>1</v>
      </c>
      <c r="U61">
        <v>1</v>
      </c>
      <c r="V61">
        <v>1</v>
      </c>
      <c r="W61">
        <v>1</v>
      </c>
    </row>
    <row r="62" spans="1:23">
      <c r="A62">
        <v>11050</v>
      </c>
      <c r="B62">
        <v>11050</v>
      </c>
      <c r="C62" t="str">
        <f>INDEX(TextData!B:B,MATCH(B62,TextData!A:A))</f>
        <v>イグナイテッド</v>
      </c>
      <c r="D62">
        <v>6</v>
      </c>
      <c r="E62" t="str">
        <f>INDEX([2]Define!X:X,MATCH(D62,[2]Define!W:W))</f>
        <v>自己強化</v>
      </c>
      <c r="F62">
        <v>51</v>
      </c>
      <c r="H62">
        <v>1</v>
      </c>
      <c r="I62" t="str">
        <f>INDEX([2]Define!B:B,MATCH(H62,[2]Define!A:A))</f>
        <v>単体</v>
      </c>
      <c r="J62">
        <v>0</v>
      </c>
      <c r="K62">
        <v>10</v>
      </c>
      <c r="L62">
        <v>1</v>
      </c>
      <c r="M62" t="str">
        <f>INDEX([2]Define!E:E,MATCH(L62,[2]Define!D:D))</f>
        <v>炎</v>
      </c>
      <c r="N62">
        <v>2</v>
      </c>
      <c r="O62" t="str">
        <f>INDEX([2]Define!H:H,MATCH(N62,[2]Define!G:G))</f>
        <v>パッシブ</v>
      </c>
      <c r="P62">
        <v>4</v>
      </c>
      <c r="Q62" t="str">
        <f>INDEX([2]Define!K:K,MATCH(P62,[2]Define!J:J))</f>
        <v>自身</v>
      </c>
      <c r="R62">
        <v>4</v>
      </c>
      <c r="S62" t="str">
        <f>INDEX([2]Define!N:N,MATCH(R62,[2]Define!M:M))</f>
        <v>自身</v>
      </c>
      <c r="T62">
        <v>1</v>
      </c>
      <c r="U62">
        <v>1</v>
      </c>
      <c r="V62">
        <v>1</v>
      </c>
      <c r="W62">
        <v>0</v>
      </c>
    </row>
    <row r="63" spans="1:23">
      <c r="A63">
        <v>11060</v>
      </c>
      <c r="B63">
        <v>11060</v>
      </c>
      <c r="C63" t="str">
        <f>INDEX(TextData!B:B,MATCH(B63,TextData!A:A))</f>
        <v>ライジングファイア</v>
      </c>
      <c r="D63">
        <v>6</v>
      </c>
      <c r="E63" t="str">
        <f>INDEX([2]Define!X:X,MATCH(D63,[2]Define!W:W))</f>
        <v>自己強化</v>
      </c>
      <c r="F63">
        <v>51</v>
      </c>
      <c r="H63">
        <v>1</v>
      </c>
      <c r="I63" t="str">
        <f>INDEX([2]Define!B:B,MATCH(H63,[2]Define!A:A))</f>
        <v>単体</v>
      </c>
      <c r="J63">
        <v>0</v>
      </c>
      <c r="K63">
        <v>20</v>
      </c>
      <c r="L63">
        <v>1</v>
      </c>
      <c r="M63" t="str">
        <f>INDEX([2]Define!E:E,MATCH(L63,[2]Define!D:D))</f>
        <v>炎</v>
      </c>
      <c r="N63">
        <v>2</v>
      </c>
      <c r="O63" t="str">
        <f>INDEX([2]Define!H:H,MATCH(N63,[2]Define!G:G))</f>
        <v>パッシブ</v>
      </c>
      <c r="P63">
        <v>4</v>
      </c>
      <c r="Q63" t="str">
        <f>INDEX([2]Define!K:K,MATCH(P63,[2]Define!J:J))</f>
        <v>自身</v>
      </c>
      <c r="R63">
        <v>4</v>
      </c>
      <c r="S63" t="str">
        <f>INDEX([2]Define!N:N,MATCH(R63,[2]Define!M:M))</f>
        <v>自身</v>
      </c>
      <c r="T63">
        <v>1</v>
      </c>
      <c r="U63">
        <v>1</v>
      </c>
      <c r="V63">
        <v>1</v>
      </c>
      <c r="W63">
        <v>0</v>
      </c>
    </row>
    <row r="64" spans="1:23">
      <c r="A64">
        <v>11070</v>
      </c>
      <c r="B64">
        <v>11070</v>
      </c>
      <c r="C64" t="str">
        <f>INDEX(TextData!B:B,MATCH(B64,TextData!A:A))</f>
        <v>ルージュバック</v>
      </c>
      <c r="D64">
        <v>6</v>
      </c>
      <c r="E64" t="str">
        <f>INDEX([2]Define!X:X,MATCH(D64,[2]Define!W:W))</f>
        <v>自己強化</v>
      </c>
      <c r="F64">
        <v>51</v>
      </c>
      <c r="H64">
        <v>1</v>
      </c>
      <c r="I64" t="str">
        <f>INDEX([2]Define!B:B,MATCH(H64,[2]Define!A:A))</f>
        <v>単体</v>
      </c>
      <c r="J64">
        <v>0</v>
      </c>
      <c r="K64">
        <v>20</v>
      </c>
      <c r="L64">
        <v>1</v>
      </c>
      <c r="M64" t="str">
        <f>INDEX([2]Define!E:E,MATCH(L64,[2]Define!D:D))</f>
        <v>炎</v>
      </c>
      <c r="N64">
        <v>2</v>
      </c>
      <c r="O64" t="str">
        <f>INDEX([2]Define!H:H,MATCH(N64,[2]Define!G:G))</f>
        <v>パッシブ</v>
      </c>
      <c r="P64">
        <v>4</v>
      </c>
      <c r="Q64" t="str">
        <f>INDEX([2]Define!K:K,MATCH(P64,[2]Define!J:J))</f>
        <v>自身</v>
      </c>
      <c r="R64">
        <v>4</v>
      </c>
      <c r="S64" t="str">
        <f>INDEX([2]Define!N:N,MATCH(R64,[2]Define!M:M))</f>
        <v>自身</v>
      </c>
      <c r="T64">
        <v>1</v>
      </c>
      <c r="U64">
        <v>1</v>
      </c>
      <c r="V64">
        <v>1</v>
      </c>
      <c r="W64">
        <v>0</v>
      </c>
    </row>
    <row r="65" spans="1:23">
      <c r="A65">
        <v>11080</v>
      </c>
      <c r="B65">
        <v>11080</v>
      </c>
      <c r="C65" t="str">
        <f>INDEX(TextData!B:B,MATCH(B65,TextData!A:A))</f>
        <v>パワーエール</v>
      </c>
      <c r="D65">
        <v>6</v>
      </c>
      <c r="E65" t="str">
        <f>INDEX([2]Define!X:X,MATCH(D65,[2]Define!W:W))</f>
        <v>自己強化</v>
      </c>
      <c r="F65">
        <v>51</v>
      </c>
      <c r="H65">
        <v>1</v>
      </c>
      <c r="I65" t="str">
        <f>INDEX([2]Define!B:B,MATCH(H65,[2]Define!A:A))</f>
        <v>単体</v>
      </c>
      <c r="J65">
        <v>3</v>
      </c>
      <c r="K65">
        <v>20</v>
      </c>
      <c r="L65">
        <v>1</v>
      </c>
      <c r="M65" t="str">
        <f>INDEX([2]Define!E:E,MATCH(L65,[2]Define!D:D))</f>
        <v>炎</v>
      </c>
      <c r="N65">
        <v>2</v>
      </c>
      <c r="O65" t="str">
        <f>INDEX([2]Define!H:H,MATCH(N65,[2]Define!G:G))</f>
        <v>パッシブ</v>
      </c>
      <c r="P65">
        <v>11</v>
      </c>
      <c r="Q65" t="str">
        <f>INDEX([2]Define!K:K,MATCH(P65,[2]Define!J:J))</f>
        <v>Triggerの条件を満たす</v>
      </c>
      <c r="R65">
        <v>1</v>
      </c>
      <c r="S65" t="str">
        <f>INDEX([2]Define!N:N,MATCH(R65,[2]Define!M:M))</f>
        <v>単体</v>
      </c>
      <c r="T65">
        <v>1</v>
      </c>
      <c r="U65">
        <v>1</v>
      </c>
      <c r="V65">
        <v>1</v>
      </c>
      <c r="W65">
        <v>1</v>
      </c>
    </row>
    <row r="66" spans="1:23">
      <c r="A66">
        <v>11090</v>
      </c>
      <c r="B66">
        <v>11090</v>
      </c>
      <c r="C66" t="str">
        <f>INDEX(TextData!B:B,MATCH(B66,TextData!A:A))</f>
        <v>スレイプニル</v>
      </c>
      <c r="D66">
        <v>6</v>
      </c>
      <c r="E66" t="str">
        <f>INDEX([2]Define!X:X,MATCH(D66,[2]Define!W:W))</f>
        <v>自己強化</v>
      </c>
      <c r="F66">
        <v>51</v>
      </c>
      <c r="H66">
        <v>1</v>
      </c>
      <c r="I66" t="str">
        <f>INDEX([2]Define!B:B,MATCH(H66,[2]Define!A:A))</f>
        <v>単体</v>
      </c>
      <c r="J66">
        <v>3</v>
      </c>
      <c r="K66">
        <v>20</v>
      </c>
      <c r="L66">
        <v>1</v>
      </c>
      <c r="M66" t="str">
        <f>INDEX([2]Define!E:E,MATCH(L66,[2]Define!D:D))</f>
        <v>炎</v>
      </c>
      <c r="N66">
        <v>2</v>
      </c>
      <c r="O66" t="str">
        <f>INDEX([2]Define!H:H,MATCH(N66,[2]Define!G:G))</f>
        <v>パッシブ</v>
      </c>
      <c r="P66">
        <v>4</v>
      </c>
      <c r="Q66" t="str">
        <f>INDEX([2]Define!K:K,MATCH(P66,[2]Define!J:J))</f>
        <v>自身</v>
      </c>
      <c r="R66">
        <v>4</v>
      </c>
      <c r="S66" t="str">
        <f>INDEX([2]Define!N:N,MATCH(R66,[2]Define!M:M))</f>
        <v>自身</v>
      </c>
      <c r="T66">
        <v>1</v>
      </c>
      <c r="U66">
        <v>1</v>
      </c>
      <c r="V66">
        <v>1</v>
      </c>
      <c r="W66">
        <v>0</v>
      </c>
    </row>
    <row r="67" spans="1:23">
      <c r="A67">
        <v>12010</v>
      </c>
      <c r="B67">
        <v>12010</v>
      </c>
      <c r="C67" t="str">
        <f>INDEX(TextData!B:B,MATCH(B67,TextData!A:A))</f>
        <v>エクステンション</v>
      </c>
      <c r="D67">
        <v>6</v>
      </c>
      <c r="E67" t="str">
        <f>INDEX([2]Define!X:X,MATCH(D67,[2]Define!W:W))</f>
        <v>自己強化</v>
      </c>
      <c r="F67">
        <v>51</v>
      </c>
      <c r="H67">
        <v>1</v>
      </c>
      <c r="I67" t="str">
        <f>INDEX([2]Define!B:B,MATCH(H67,[2]Define!A:A))</f>
        <v>単体</v>
      </c>
      <c r="J67">
        <v>0</v>
      </c>
      <c r="K67">
        <v>10</v>
      </c>
      <c r="L67">
        <v>2</v>
      </c>
      <c r="M67" t="str">
        <f>INDEX([2]Define!E:E,MATCH(L67,[2]Define!D:D))</f>
        <v>雷</v>
      </c>
      <c r="N67">
        <v>2</v>
      </c>
      <c r="O67" t="str">
        <f>INDEX([2]Define!H:H,MATCH(N67,[2]Define!G:G))</f>
        <v>パッシブ</v>
      </c>
      <c r="P67">
        <v>4</v>
      </c>
      <c r="Q67" t="str">
        <f>INDEX([2]Define!K:K,MATCH(P67,[2]Define!J:J))</f>
        <v>自身</v>
      </c>
      <c r="R67">
        <v>4</v>
      </c>
      <c r="S67" t="str">
        <f>INDEX([2]Define!N:N,MATCH(R67,[2]Define!M:M))</f>
        <v>自身</v>
      </c>
      <c r="T67">
        <v>1</v>
      </c>
      <c r="U67">
        <v>1</v>
      </c>
      <c r="V67">
        <v>1</v>
      </c>
      <c r="W67">
        <v>0</v>
      </c>
    </row>
    <row r="68" spans="1:23">
      <c r="A68">
        <v>12020</v>
      </c>
      <c r="B68">
        <v>12020</v>
      </c>
      <c r="C68" t="str">
        <f>INDEX(TextData!B:B,MATCH(B68,TextData!A:A))</f>
        <v>ヘブンリーラック</v>
      </c>
      <c r="D68">
        <v>6</v>
      </c>
      <c r="E68" t="str">
        <f>INDEX([2]Define!X:X,MATCH(D68,[2]Define!W:W))</f>
        <v>自己強化</v>
      </c>
      <c r="F68">
        <v>51</v>
      </c>
      <c r="H68">
        <v>1</v>
      </c>
      <c r="I68" t="str">
        <f>INDEX([2]Define!B:B,MATCH(H68,[2]Define!A:A))</f>
        <v>単体</v>
      </c>
      <c r="J68">
        <v>0</v>
      </c>
      <c r="K68">
        <v>10</v>
      </c>
      <c r="L68">
        <v>2</v>
      </c>
      <c r="M68" t="str">
        <f>INDEX([2]Define!E:E,MATCH(L68,[2]Define!D:D))</f>
        <v>雷</v>
      </c>
      <c r="N68">
        <v>2</v>
      </c>
      <c r="O68" t="str">
        <f>INDEX([2]Define!H:H,MATCH(N68,[2]Define!G:G))</f>
        <v>パッシブ</v>
      </c>
      <c r="P68">
        <v>4</v>
      </c>
      <c r="Q68" t="str">
        <f>INDEX([2]Define!K:K,MATCH(P68,[2]Define!J:J))</f>
        <v>自身</v>
      </c>
      <c r="R68">
        <v>4</v>
      </c>
      <c r="S68" t="str">
        <f>INDEX([2]Define!N:N,MATCH(R68,[2]Define!M:M))</f>
        <v>自身</v>
      </c>
      <c r="T68">
        <v>1</v>
      </c>
      <c r="U68">
        <v>1</v>
      </c>
      <c r="V68">
        <v>1</v>
      </c>
      <c r="W68">
        <v>0</v>
      </c>
    </row>
    <row r="69" spans="1:23">
      <c r="A69">
        <v>12030</v>
      </c>
      <c r="B69">
        <v>12030</v>
      </c>
      <c r="C69" t="str">
        <f>INDEX(TextData!B:B,MATCH(B69,TextData!A:A))</f>
        <v>スウィフトカレント</v>
      </c>
      <c r="D69">
        <v>6</v>
      </c>
      <c r="E69" t="str">
        <f>INDEX([2]Define!X:X,MATCH(D69,[2]Define!W:W))</f>
        <v>自己強化</v>
      </c>
      <c r="F69">
        <v>51</v>
      </c>
      <c r="H69">
        <v>1</v>
      </c>
      <c r="I69" t="str">
        <f>INDEX([2]Define!B:B,MATCH(H69,[2]Define!A:A))</f>
        <v>単体</v>
      </c>
      <c r="J69">
        <v>0</v>
      </c>
      <c r="K69">
        <v>10</v>
      </c>
      <c r="L69">
        <v>2</v>
      </c>
      <c r="M69" t="str">
        <f>INDEX([2]Define!E:E,MATCH(L69,[2]Define!D:D))</f>
        <v>雷</v>
      </c>
      <c r="N69">
        <v>2</v>
      </c>
      <c r="O69" t="str">
        <f>INDEX([2]Define!H:H,MATCH(N69,[2]Define!G:G))</f>
        <v>パッシブ</v>
      </c>
      <c r="P69">
        <v>4</v>
      </c>
      <c r="Q69" t="str">
        <f>INDEX([2]Define!K:K,MATCH(P69,[2]Define!J:J))</f>
        <v>自身</v>
      </c>
      <c r="R69">
        <v>4</v>
      </c>
      <c r="S69" t="str">
        <f>INDEX([2]Define!N:N,MATCH(R69,[2]Define!M:M))</f>
        <v>自身</v>
      </c>
      <c r="T69">
        <v>1</v>
      </c>
      <c r="U69">
        <v>1</v>
      </c>
      <c r="V69">
        <v>1</v>
      </c>
      <c r="W69">
        <v>0</v>
      </c>
    </row>
    <row r="70" spans="1:23">
      <c r="A70">
        <v>12040</v>
      </c>
      <c r="B70">
        <v>12040</v>
      </c>
      <c r="C70" t="str">
        <f>INDEX(TextData!B:B,MATCH(B70,TextData!A:A))</f>
        <v>イヴェイドオール</v>
      </c>
      <c r="D70">
        <v>6</v>
      </c>
      <c r="E70" t="str">
        <f>INDEX([2]Define!X:X,MATCH(D70,[2]Define!W:W))</f>
        <v>自己強化</v>
      </c>
      <c r="F70">
        <v>51</v>
      </c>
      <c r="H70">
        <v>1</v>
      </c>
      <c r="I70" t="str">
        <f>INDEX([2]Define!B:B,MATCH(H70,[2]Define!A:A))</f>
        <v>単体</v>
      </c>
      <c r="J70">
        <v>0</v>
      </c>
      <c r="K70">
        <v>10</v>
      </c>
      <c r="L70">
        <v>2</v>
      </c>
      <c r="M70" t="str">
        <f>INDEX([2]Define!E:E,MATCH(L70,[2]Define!D:D))</f>
        <v>雷</v>
      </c>
      <c r="N70">
        <v>2</v>
      </c>
      <c r="O70" t="str">
        <f>INDEX([2]Define!H:H,MATCH(N70,[2]Define!G:G))</f>
        <v>パッシブ</v>
      </c>
      <c r="P70">
        <v>2</v>
      </c>
      <c r="Q70" t="str">
        <f>INDEX([2]Define!K:K,MATCH(P70,[2]Define!J:J))</f>
        <v>味方</v>
      </c>
      <c r="R70">
        <v>2</v>
      </c>
      <c r="S70" t="str">
        <f>INDEX([2]Define!N:N,MATCH(R70,[2]Define!M:M))</f>
        <v>列</v>
      </c>
      <c r="T70">
        <v>1</v>
      </c>
      <c r="U70">
        <v>1</v>
      </c>
      <c r="V70">
        <v>1</v>
      </c>
      <c r="W70">
        <v>0</v>
      </c>
    </row>
    <row r="71" spans="1:23">
      <c r="A71">
        <v>12050</v>
      </c>
      <c r="B71">
        <v>12050</v>
      </c>
      <c r="C71" t="str">
        <f>INDEX(TextData!B:B,MATCH(B71,TextData!A:A))</f>
        <v>クイックムーブ</v>
      </c>
      <c r="D71">
        <v>6</v>
      </c>
      <c r="E71" t="str">
        <f>INDEX([2]Define!X:X,MATCH(D71,[2]Define!W:W))</f>
        <v>自己強化</v>
      </c>
      <c r="F71">
        <v>51</v>
      </c>
      <c r="H71">
        <v>1</v>
      </c>
      <c r="I71" t="str">
        <f>INDEX([2]Define!B:B,MATCH(H71,[2]Define!A:A))</f>
        <v>単体</v>
      </c>
      <c r="J71">
        <v>0</v>
      </c>
      <c r="K71">
        <v>10</v>
      </c>
      <c r="L71">
        <v>2</v>
      </c>
      <c r="M71" t="str">
        <f>INDEX([2]Define!E:E,MATCH(L71,[2]Define!D:D))</f>
        <v>雷</v>
      </c>
      <c r="N71">
        <v>2</v>
      </c>
      <c r="O71" t="str">
        <f>INDEX([2]Define!H:H,MATCH(N71,[2]Define!G:G))</f>
        <v>パッシブ</v>
      </c>
      <c r="P71">
        <v>4</v>
      </c>
      <c r="Q71" t="str">
        <f>INDEX([2]Define!K:K,MATCH(P71,[2]Define!J:J))</f>
        <v>自身</v>
      </c>
      <c r="R71">
        <v>4</v>
      </c>
      <c r="S71" t="str">
        <f>INDEX([2]Define!N:N,MATCH(R71,[2]Define!M:M))</f>
        <v>自身</v>
      </c>
      <c r="T71">
        <v>1</v>
      </c>
      <c r="U71">
        <v>1</v>
      </c>
      <c r="V71">
        <v>1</v>
      </c>
      <c r="W71">
        <v>0</v>
      </c>
    </row>
    <row r="72" spans="1:23">
      <c r="A72">
        <v>12060</v>
      </c>
      <c r="B72">
        <v>12060</v>
      </c>
      <c r="C72" t="str">
        <f>INDEX(TextData!B:B,MATCH(B72,TextData!A:A))</f>
        <v>チェイスマジック</v>
      </c>
      <c r="D72">
        <v>6</v>
      </c>
      <c r="E72" t="str">
        <f>INDEX([2]Define!X:X,MATCH(D72,[2]Define!W:W))</f>
        <v>自己強化</v>
      </c>
      <c r="F72">
        <v>201</v>
      </c>
      <c r="H72">
        <v>1</v>
      </c>
      <c r="I72" t="str">
        <f>INDEX([2]Define!B:B,MATCH(H72,[2]Define!A:A))</f>
        <v>単体</v>
      </c>
      <c r="J72">
        <v>3</v>
      </c>
      <c r="K72">
        <v>20</v>
      </c>
      <c r="L72">
        <v>2</v>
      </c>
      <c r="M72" t="str">
        <f>INDEX([2]Define!E:E,MATCH(L72,[2]Define!D:D))</f>
        <v>雷</v>
      </c>
      <c r="N72">
        <v>2</v>
      </c>
      <c r="O72" t="str">
        <f>INDEX([2]Define!H:H,MATCH(N72,[2]Define!G:G))</f>
        <v>パッシブ</v>
      </c>
      <c r="P72">
        <v>7</v>
      </c>
      <c r="Q72" t="str">
        <f>INDEX([2]Define!K:K,MATCH(P72,[2]Define!J:J))</f>
        <v>追撃</v>
      </c>
      <c r="R72">
        <v>1</v>
      </c>
      <c r="S72" t="str">
        <f>INDEX([2]Define!N:N,MATCH(R72,[2]Define!M:M))</f>
        <v>単体</v>
      </c>
      <c r="T72">
        <v>1</v>
      </c>
      <c r="U72">
        <v>1</v>
      </c>
      <c r="V72">
        <v>1</v>
      </c>
      <c r="W72">
        <v>0</v>
      </c>
    </row>
    <row r="73" spans="1:23">
      <c r="A73">
        <v>12070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INDEX([2]Define!X:X,MATCH(D73,[2]Define!W:W))</f>
        <v>自己強化</v>
      </c>
      <c r="F73">
        <v>51</v>
      </c>
      <c r="H73">
        <v>1</v>
      </c>
      <c r="I73" t="str">
        <f>INDEX([2]Define!B:B,MATCH(H73,[2]Define!A:A))</f>
        <v>単体</v>
      </c>
      <c r="J73">
        <v>3</v>
      </c>
      <c r="K73">
        <v>20</v>
      </c>
      <c r="L73">
        <v>2</v>
      </c>
      <c r="M73" t="str">
        <f>INDEX([2]Define!E:E,MATCH(L73,[2]Define!D:D))</f>
        <v>雷</v>
      </c>
      <c r="N73">
        <v>2</v>
      </c>
      <c r="O73" t="str">
        <f>INDEX([2]Define!H:H,MATCH(N73,[2]Define!G:G))</f>
        <v>パッシブ</v>
      </c>
      <c r="P73">
        <v>11</v>
      </c>
      <c r="Q73" t="str">
        <f>INDEX([2]Define!K:K,MATCH(P73,[2]Define!J:J))</f>
        <v>Triggerの条件を満たす</v>
      </c>
      <c r="R73">
        <v>1</v>
      </c>
      <c r="S73" t="str">
        <f>INDEX([2]Define!N:N,MATCH(R73,[2]Define!M:M))</f>
        <v>単体</v>
      </c>
      <c r="T73">
        <v>1</v>
      </c>
      <c r="U73">
        <v>1</v>
      </c>
      <c r="V73">
        <v>1</v>
      </c>
      <c r="W73">
        <v>1</v>
      </c>
    </row>
    <row r="74" spans="1:23">
      <c r="A74">
        <v>12071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INDEX([2]Define!X:X,MATCH(D74,[2]Define!W:W))</f>
        <v>自己強化</v>
      </c>
      <c r="F74">
        <v>61</v>
      </c>
      <c r="H74">
        <v>1</v>
      </c>
      <c r="I74" t="str">
        <f>INDEX([2]Define!B:B,MATCH(H74,[2]Define!A:A))</f>
        <v>単体</v>
      </c>
      <c r="J74">
        <v>3</v>
      </c>
      <c r="K74">
        <v>20</v>
      </c>
      <c r="L74">
        <v>2</v>
      </c>
      <c r="M74" t="str">
        <f>INDEX([2]Define!E:E,MATCH(L74,[2]Define!D:D))</f>
        <v>雷</v>
      </c>
      <c r="N74">
        <v>2</v>
      </c>
      <c r="O74" t="str">
        <f>INDEX([2]Define!H:H,MATCH(N74,[2]Define!G:G))</f>
        <v>パッシブ</v>
      </c>
      <c r="P74">
        <v>4</v>
      </c>
      <c r="Q74" t="str">
        <f>INDEX([2]Define!K:K,MATCH(P74,[2]Define!J:J))</f>
        <v>自身</v>
      </c>
      <c r="R74">
        <v>4</v>
      </c>
      <c r="S74" t="str">
        <f>INDEX([2]Define!N:N,MATCH(R74,[2]Define!M:M))</f>
        <v>自身</v>
      </c>
      <c r="T74">
        <v>1</v>
      </c>
      <c r="U74">
        <v>1</v>
      </c>
      <c r="V74">
        <v>1</v>
      </c>
      <c r="W74">
        <v>0</v>
      </c>
    </row>
    <row r="75" spans="1:23">
      <c r="A75">
        <v>12080</v>
      </c>
      <c r="B75">
        <v>12080</v>
      </c>
      <c r="C75" t="str">
        <f>INDEX(TextData!B:B,MATCH(B75,TextData!A:A))</f>
        <v>ウィンドライズ</v>
      </c>
      <c r="D75">
        <v>6</v>
      </c>
      <c r="E75" t="str">
        <f>INDEX([2]Define!X:X,MATCH(D75,[2]Define!W:W))</f>
        <v>自己強化</v>
      </c>
      <c r="F75">
        <v>201</v>
      </c>
      <c r="H75">
        <v>1</v>
      </c>
      <c r="I75" t="str">
        <f>INDEX([2]Define!B:B,MATCH(H75,[2]Define!A:A))</f>
        <v>単体</v>
      </c>
      <c r="J75">
        <v>0</v>
      </c>
      <c r="K75">
        <v>20</v>
      </c>
      <c r="L75">
        <v>2</v>
      </c>
      <c r="M75" t="str">
        <f>INDEX([2]Define!E:E,MATCH(L75,[2]Define!D:D))</f>
        <v>雷</v>
      </c>
      <c r="N75">
        <v>2</v>
      </c>
      <c r="O75" t="str">
        <f>INDEX([2]Define!H:H,MATCH(N75,[2]Define!G:G))</f>
        <v>パッシブ</v>
      </c>
      <c r="P75">
        <v>6</v>
      </c>
      <c r="Q75" t="str">
        <f>INDEX([2]Define!K:K,MATCH(P75,[2]Define!J:J))</f>
        <v>反撃</v>
      </c>
      <c r="R75">
        <v>1</v>
      </c>
      <c r="S75" t="str">
        <f>INDEX([2]Define!N:N,MATCH(R75,[2]Define!M:M))</f>
        <v>単体</v>
      </c>
      <c r="T75">
        <v>2</v>
      </c>
      <c r="U75">
        <v>1</v>
      </c>
      <c r="V75">
        <v>1</v>
      </c>
      <c r="W75">
        <v>0</v>
      </c>
    </row>
    <row r="76" spans="1:23">
      <c r="A76">
        <v>12090</v>
      </c>
      <c r="B76">
        <v>12090</v>
      </c>
      <c r="C76" t="str">
        <f>INDEX(TextData!B:B,MATCH(B76,TextData!A:A))</f>
        <v>アウトオブオーダー</v>
      </c>
      <c r="D76">
        <v>6</v>
      </c>
      <c r="E76" t="str">
        <f>INDEX([2]Define!X:X,MATCH(D76,[2]Define!W:W))</f>
        <v>自己強化</v>
      </c>
      <c r="F76">
        <v>51</v>
      </c>
      <c r="H76">
        <v>1</v>
      </c>
      <c r="I76" t="str">
        <f>INDEX([2]Define!B:B,MATCH(H76,[2]Define!A:A))</f>
        <v>単体</v>
      </c>
      <c r="J76">
        <v>0</v>
      </c>
      <c r="K76">
        <v>20</v>
      </c>
      <c r="L76">
        <v>2</v>
      </c>
      <c r="M76" t="str">
        <f>INDEX([2]Define!E:E,MATCH(L76,[2]Define!D:D))</f>
        <v>雷</v>
      </c>
      <c r="N76">
        <v>2</v>
      </c>
      <c r="O76" t="str">
        <f>INDEX([2]Define!H:H,MATCH(N76,[2]Define!G:G))</f>
        <v>パッシブ</v>
      </c>
      <c r="P76">
        <v>4</v>
      </c>
      <c r="Q76" t="str">
        <f>INDEX([2]Define!K:K,MATCH(P76,[2]Define!J:J))</f>
        <v>自身</v>
      </c>
      <c r="R76">
        <v>2</v>
      </c>
      <c r="S76" t="str">
        <f>INDEX([2]Define!N:N,MATCH(R76,[2]Define!M:M))</f>
        <v>列</v>
      </c>
      <c r="T76">
        <v>2</v>
      </c>
      <c r="U76">
        <v>1</v>
      </c>
      <c r="V76">
        <v>1</v>
      </c>
      <c r="W76">
        <v>0</v>
      </c>
    </row>
    <row r="77" spans="1:23">
      <c r="A77">
        <v>13010</v>
      </c>
      <c r="B77">
        <v>13010</v>
      </c>
      <c r="C77" t="str">
        <f>INDEX(TextData!B:B,MATCH(B77,TextData!A:A))</f>
        <v>アーマーコード</v>
      </c>
      <c r="D77">
        <v>6</v>
      </c>
      <c r="E77" t="str">
        <f>INDEX([2]Define!X:X,MATCH(D77,[2]Define!W:W))</f>
        <v>自己強化</v>
      </c>
      <c r="F77">
        <v>51</v>
      </c>
      <c r="H77">
        <v>1</v>
      </c>
      <c r="I77" t="str">
        <f>INDEX([2]Define!B:B,MATCH(H77,[2]Define!A:A))</f>
        <v>単体</v>
      </c>
      <c r="J77">
        <v>0</v>
      </c>
      <c r="K77">
        <v>10</v>
      </c>
      <c r="L77">
        <v>3</v>
      </c>
      <c r="M77" t="str">
        <f>INDEX([2]Define!E:E,MATCH(L77,[2]Define!D:D))</f>
        <v>氷</v>
      </c>
      <c r="N77">
        <v>2</v>
      </c>
      <c r="O77" t="str">
        <f>INDEX([2]Define!H:H,MATCH(N77,[2]Define!G:G))</f>
        <v>パッシブ</v>
      </c>
      <c r="P77">
        <v>4</v>
      </c>
      <c r="Q77" t="str">
        <f>INDEX([2]Define!K:K,MATCH(P77,[2]Define!J:J))</f>
        <v>自身</v>
      </c>
      <c r="R77">
        <v>4</v>
      </c>
      <c r="S77" t="str">
        <f>INDEX([2]Define!N:N,MATCH(R77,[2]Define!M:M))</f>
        <v>自身</v>
      </c>
      <c r="T77">
        <v>1</v>
      </c>
      <c r="U77">
        <v>1</v>
      </c>
      <c r="V77">
        <v>1</v>
      </c>
      <c r="W77">
        <v>0</v>
      </c>
    </row>
    <row r="78" ht="12" customHeight="1" spans="1:23">
      <c r="A78">
        <v>13020</v>
      </c>
      <c r="B78">
        <v>13020</v>
      </c>
      <c r="C78" t="str">
        <f>INDEX(TextData!B:B,MATCH(B78,TextData!A:A))</f>
        <v>クイックバリア</v>
      </c>
      <c r="D78">
        <v>6</v>
      </c>
      <c r="E78" t="str">
        <f>INDEX([2]Define!X:X,MATCH(D78,[2]Define!W:W))</f>
        <v>自己強化</v>
      </c>
      <c r="F78">
        <v>21</v>
      </c>
      <c r="H78">
        <v>1</v>
      </c>
      <c r="I78" t="str">
        <f>INDEX([2]Define!B:B,MATCH(H78,[2]Define!A:A))</f>
        <v>単体</v>
      </c>
      <c r="J78">
        <v>3</v>
      </c>
      <c r="K78">
        <v>10</v>
      </c>
      <c r="L78">
        <v>3</v>
      </c>
      <c r="M78" t="str">
        <f>INDEX([2]Define!E:E,MATCH(L78,[2]Define!D:D))</f>
        <v>氷</v>
      </c>
      <c r="N78">
        <v>2</v>
      </c>
      <c r="O78" t="str">
        <f>INDEX([2]Define!H:H,MATCH(N78,[2]Define!G:G))</f>
        <v>パッシブ</v>
      </c>
      <c r="P78">
        <v>11</v>
      </c>
      <c r="Q78" t="str">
        <f>INDEX([2]Define!K:K,MATCH(P78,[2]Define!J:J))</f>
        <v>Triggerの条件を満たす</v>
      </c>
      <c r="R78">
        <v>1</v>
      </c>
      <c r="S78" t="str">
        <f>INDEX([2]Define!N:N,MATCH(R78,[2]Define!M:M))</f>
        <v>単体</v>
      </c>
      <c r="T78">
        <v>1</v>
      </c>
      <c r="U78">
        <v>1</v>
      </c>
      <c r="V78">
        <v>1</v>
      </c>
      <c r="W78">
        <v>1</v>
      </c>
    </row>
    <row r="79" ht="12" customHeight="1" spans="1:23">
      <c r="A79">
        <v>13030</v>
      </c>
      <c r="B79">
        <v>13030</v>
      </c>
      <c r="C79" t="str">
        <f>INDEX(TextData!B:B,MATCH(B79,TextData!A:A))</f>
        <v>クイックキュア</v>
      </c>
      <c r="D79">
        <v>6</v>
      </c>
      <c r="E79" t="str">
        <f>INDEX([2]Define!X:X,MATCH(D79,[2]Define!W:W))</f>
        <v>自己強化</v>
      </c>
      <c r="F79">
        <v>51</v>
      </c>
      <c r="H79">
        <v>1</v>
      </c>
      <c r="I79" t="str">
        <f>INDEX([2]Define!B:B,MATCH(H79,[2]Define!A:A))</f>
        <v>単体</v>
      </c>
      <c r="J79">
        <v>2</v>
      </c>
      <c r="K79">
        <v>10</v>
      </c>
      <c r="L79">
        <v>3</v>
      </c>
      <c r="M79" t="str">
        <f>INDEX([2]Define!E:E,MATCH(L79,[2]Define!D:D))</f>
        <v>氷</v>
      </c>
      <c r="N79">
        <v>2</v>
      </c>
      <c r="O79" t="str">
        <f>INDEX([2]Define!H:H,MATCH(N79,[2]Define!G:G))</f>
        <v>パッシブ</v>
      </c>
      <c r="P79">
        <v>11</v>
      </c>
      <c r="Q79" t="str">
        <f>INDEX([2]Define!K:K,MATCH(P79,[2]Define!J:J))</f>
        <v>Triggerの条件を満たす</v>
      </c>
      <c r="R79">
        <v>1</v>
      </c>
      <c r="S79" t="str">
        <f>INDEX([2]Define!N:N,MATCH(R79,[2]Define!M:M))</f>
        <v>単体</v>
      </c>
      <c r="T79">
        <v>1</v>
      </c>
      <c r="U79">
        <v>1</v>
      </c>
      <c r="V79">
        <v>1</v>
      </c>
      <c r="W79">
        <v>1</v>
      </c>
    </row>
    <row r="80" spans="1:23">
      <c r="A80">
        <v>13040</v>
      </c>
      <c r="B80">
        <v>13040</v>
      </c>
      <c r="C80" t="str">
        <f>INDEX(TextData!B:B,MATCH(B80,TextData!A:A))</f>
        <v>セルフシールド</v>
      </c>
      <c r="D80">
        <v>6</v>
      </c>
      <c r="E80" t="str">
        <f>INDEX([2]Define!X:X,MATCH(D80,[2]Define!W:W))</f>
        <v>自己強化</v>
      </c>
      <c r="F80">
        <v>51</v>
      </c>
      <c r="H80">
        <v>1</v>
      </c>
      <c r="I80" t="str">
        <f>INDEX([2]Define!B:B,MATCH(H80,[2]Define!A:A))</f>
        <v>単体</v>
      </c>
      <c r="J80">
        <v>3</v>
      </c>
      <c r="K80">
        <v>10</v>
      </c>
      <c r="L80">
        <v>3</v>
      </c>
      <c r="M80" t="str">
        <f>INDEX([2]Define!E:E,MATCH(L80,[2]Define!D:D))</f>
        <v>氷</v>
      </c>
      <c r="N80">
        <v>2</v>
      </c>
      <c r="O80" t="str">
        <f>INDEX([2]Define!H:H,MATCH(N80,[2]Define!G:G))</f>
        <v>パッシブ</v>
      </c>
      <c r="P80">
        <v>4</v>
      </c>
      <c r="Q80" t="str">
        <f>INDEX([2]Define!K:K,MATCH(P80,[2]Define!J:J))</f>
        <v>自身</v>
      </c>
      <c r="R80">
        <v>4</v>
      </c>
      <c r="S80" t="str">
        <f>INDEX([2]Define!N:N,MATCH(R80,[2]Define!M:M))</f>
        <v>自身</v>
      </c>
      <c r="T80">
        <v>1</v>
      </c>
      <c r="U80">
        <v>1</v>
      </c>
      <c r="V80">
        <v>1</v>
      </c>
      <c r="W80">
        <v>0</v>
      </c>
    </row>
    <row r="81" spans="1:23">
      <c r="A81">
        <v>13050</v>
      </c>
      <c r="B81">
        <v>13050</v>
      </c>
      <c r="C81" t="str">
        <f>INDEX(TextData!B:B,MATCH(B81,TextData!A:A))</f>
        <v>パッシブジャミング</v>
      </c>
      <c r="D81">
        <v>6</v>
      </c>
      <c r="E81" t="str">
        <f>INDEX([2]Define!X:X,MATCH(D81,[2]Define!W:W))</f>
        <v>自己強化</v>
      </c>
      <c r="F81">
        <v>51</v>
      </c>
      <c r="H81">
        <v>1</v>
      </c>
      <c r="I81" t="str">
        <f>INDEX([2]Define!B:B,MATCH(H81,[2]Define!A:A))</f>
        <v>単体</v>
      </c>
      <c r="J81">
        <v>5</v>
      </c>
      <c r="K81">
        <v>10</v>
      </c>
      <c r="L81">
        <v>3</v>
      </c>
      <c r="M81" t="str">
        <f>INDEX([2]Define!E:E,MATCH(L81,[2]Define!D:D))</f>
        <v>氷</v>
      </c>
      <c r="N81">
        <v>2</v>
      </c>
      <c r="O81" t="str">
        <f>INDEX([2]Define!H:H,MATCH(N81,[2]Define!G:G))</f>
        <v>パッシブ</v>
      </c>
      <c r="P81">
        <v>11</v>
      </c>
      <c r="Q81" t="str">
        <f>INDEX([2]Define!K:K,MATCH(P81,[2]Define!J:J))</f>
        <v>Triggerの条件を満たす</v>
      </c>
      <c r="R81">
        <v>1</v>
      </c>
      <c r="S81" t="str">
        <f>INDEX([2]Define!N:N,MATCH(R81,[2]Define!M:M))</f>
        <v>単体</v>
      </c>
      <c r="T81">
        <v>1</v>
      </c>
      <c r="U81">
        <v>1</v>
      </c>
      <c r="V81">
        <v>1</v>
      </c>
      <c r="W81">
        <v>1</v>
      </c>
    </row>
    <row r="82" spans="1:23">
      <c r="A82">
        <v>13060</v>
      </c>
      <c r="B82">
        <v>13060</v>
      </c>
      <c r="C82" t="str">
        <f>INDEX(TextData!B:B,MATCH(B82,TextData!A:A))</f>
        <v>サプライカバー</v>
      </c>
      <c r="D82">
        <v>6</v>
      </c>
      <c r="E82" t="str">
        <f>INDEX([2]Define!X:X,MATCH(D82,[2]Define!W:W))</f>
        <v>自己強化</v>
      </c>
      <c r="F82">
        <v>51</v>
      </c>
      <c r="H82">
        <v>1</v>
      </c>
      <c r="I82" t="str">
        <f>INDEX([2]Define!B:B,MATCH(H82,[2]Define!A:A))</f>
        <v>単体</v>
      </c>
      <c r="J82">
        <v>2</v>
      </c>
      <c r="K82">
        <v>20</v>
      </c>
      <c r="L82">
        <v>3</v>
      </c>
      <c r="M82" t="str">
        <f>INDEX([2]Define!E:E,MATCH(L82,[2]Define!D:D))</f>
        <v>氷</v>
      </c>
      <c r="N82">
        <v>2</v>
      </c>
      <c r="O82" t="str">
        <f>INDEX([2]Define!H:H,MATCH(N82,[2]Define!G:G))</f>
        <v>パッシブ</v>
      </c>
      <c r="P82">
        <v>4</v>
      </c>
      <c r="Q82" t="str">
        <f>INDEX([2]Define!K:K,MATCH(P82,[2]Define!J:J))</f>
        <v>自身</v>
      </c>
      <c r="R82">
        <v>4</v>
      </c>
      <c r="S82" t="str">
        <f>INDEX([2]Define!N:N,MATCH(R82,[2]Define!M:M))</f>
        <v>自身</v>
      </c>
      <c r="T82">
        <v>1</v>
      </c>
      <c r="U82">
        <v>1</v>
      </c>
      <c r="V82">
        <v>1</v>
      </c>
      <c r="W82">
        <v>0</v>
      </c>
    </row>
    <row r="83" spans="1:23">
      <c r="A83">
        <v>13070</v>
      </c>
      <c r="B83">
        <v>13070</v>
      </c>
      <c r="C83" t="str">
        <f>INDEX(TextData!B:B,MATCH(B83,TextData!A:A))</f>
        <v>アシッドラッシュ</v>
      </c>
      <c r="D83">
        <v>6</v>
      </c>
      <c r="E83" t="str">
        <f>INDEX([2]Define!X:X,MATCH(D83,[2]Define!W:W))</f>
        <v>自己強化</v>
      </c>
      <c r="F83">
        <v>51</v>
      </c>
      <c r="H83">
        <v>1</v>
      </c>
      <c r="I83" t="str">
        <f>INDEX([2]Define!B:B,MATCH(H83,[2]Define!A:A))</f>
        <v>単体</v>
      </c>
      <c r="J83">
        <v>0</v>
      </c>
      <c r="K83">
        <v>20</v>
      </c>
      <c r="L83">
        <v>3</v>
      </c>
      <c r="M83" t="str">
        <f>INDEX([2]Define!E:E,MATCH(L83,[2]Define!D:D))</f>
        <v>氷</v>
      </c>
      <c r="N83">
        <v>2</v>
      </c>
      <c r="O83" t="str">
        <f>INDEX([2]Define!H:H,MATCH(N83,[2]Define!G:G))</f>
        <v>パッシブ</v>
      </c>
      <c r="P83">
        <v>7</v>
      </c>
      <c r="Q83" t="str">
        <f>INDEX([2]Define!K:K,MATCH(P83,[2]Define!J:J))</f>
        <v>追撃</v>
      </c>
      <c r="R83">
        <v>1</v>
      </c>
      <c r="S83" t="str">
        <f>INDEX([2]Define!N:N,MATCH(R83,[2]Define!M:M))</f>
        <v>単体</v>
      </c>
      <c r="T83">
        <v>1</v>
      </c>
      <c r="U83">
        <v>1</v>
      </c>
      <c r="V83">
        <v>1</v>
      </c>
      <c r="W83">
        <v>0</v>
      </c>
    </row>
    <row r="84" spans="1:23">
      <c r="A84">
        <v>13080</v>
      </c>
      <c r="B84">
        <v>13080</v>
      </c>
      <c r="C84" t="str">
        <f>INDEX(TextData!B:B,MATCH(B84,TextData!A:A))</f>
        <v>ライフスティール</v>
      </c>
      <c r="D84">
        <v>6</v>
      </c>
      <c r="E84" t="str">
        <f>INDEX([2]Define!X:X,MATCH(D84,[2]Define!W:W))</f>
        <v>自己強化</v>
      </c>
      <c r="F84">
        <v>51</v>
      </c>
      <c r="H84">
        <v>1</v>
      </c>
      <c r="I84" t="str">
        <f>INDEX([2]Define!B:B,MATCH(H84,[2]Define!A:A))</f>
        <v>単体</v>
      </c>
      <c r="J84">
        <v>3</v>
      </c>
      <c r="K84">
        <v>20</v>
      </c>
      <c r="L84">
        <v>3</v>
      </c>
      <c r="M84" t="str">
        <f>INDEX([2]Define!E:E,MATCH(L84,[2]Define!D:D))</f>
        <v>氷</v>
      </c>
      <c r="N84">
        <v>2</v>
      </c>
      <c r="O84" t="str">
        <f>INDEX([2]Define!H:H,MATCH(N84,[2]Define!G:G))</f>
        <v>パッシブ</v>
      </c>
      <c r="P84">
        <v>4</v>
      </c>
      <c r="Q84" t="str">
        <f>INDEX([2]Define!K:K,MATCH(P84,[2]Define!J:J))</f>
        <v>自身</v>
      </c>
      <c r="R84">
        <v>4</v>
      </c>
      <c r="S84" t="str">
        <f>INDEX([2]Define!N:N,MATCH(R84,[2]Define!M:M))</f>
        <v>自身</v>
      </c>
      <c r="T84">
        <v>1</v>
      </c>
      <c r="U84">
        <v>1</v>
      </c>
      <c r="V84">
        <v>1</v>
      </c>
      <c r="W84">
        <v>0</v>
      </c>
    </row>
    <row r="85" spans="1:23">
      <c r="A85">
        <v>13090</v>
      </c>
      <c r="B85">
        <v>13090</v>
      </c>
      <c r="C85" t="str">
        <f>INDEX(TextData!B:B,MATCH(B85,TextData!A:A))</f>
        <v>アイスセイバー</v>
      </c>
      <c r="D85">
        <v>6</v>
      </c>
      <c r="E85" t="str">
        <f>INDEX([2]Define!X:X,MATCH(D85,[2]Define!W:W))</f>
        <v>自己強化</v>
      </c>
      <c r="F85">
        <v>51</v>
      </c>
      <c r="H85">
        <v>1</v>
      </c>
      <c r="I85" t="str">
        <f>INDEX([2]Define!B:B,MATCH(H85,[2]Define!A:A))</f>
        <v>単体</v>
      </c>
      <c r="J85">
        <v>3</v>
      </c>
      <c r="K85">
        <v>20</v>
      </c>
      <c r="L85">
        <v>3</v>
      </c>
      <c r="M85" t="str">
        <f>INDEX([2]Define!E:E,MATCH(L85,[2]Define!D:D))</f>
        <v>氷</v>
      </c>
      <c r="N85">
        <v>2</v>
      </c>
      <c r="O85" t="str">
        <f>INDEX([2]Define!H:H,MATCH(N85,[2]Define!G:G))</f>
        <v>パッシブ</v>
      </c>
      <c r="P85">
        <v>7</v>
      </c>
      <c r="Q85" t="str">
        <f>INDEX([2]Define!K:K,MATCH(P85,[2]Define!J:J))</f>
        <v>追撃</v>
      </c>
      <c r="R85">
        <v>3</v>
      </c>
      <c r="S85" t="str">
        <f>INDEX([2]Define!N:N,MATCH(R85,[2]Define!M:M))</f>
        <v>全体</v>
      </c>
      <c r="T85">
        <v>1</v>
      </c>
      <c r="U85">
        <v>1</v>
      </c>
      <c r="V85">
        <v>1</v>
      </c>
      <c r="W85">
        <v>0</v>
      </c>
    </row>
    <row r="86" ht="12" customHeight="1" spans="1:23">
      <c r="A86">
        <v>14010</v>
      </c>
      <c r="B86">
        <v>14010</v>
      </c>
      <c r="C86" t="str">
        <f>INDEX(TextData!B:B,MATCH(B86,TextData!A:A))</f>
        <v>ディバインシールド</v>
      </c>
      <c r="D86">
        <v>6</v>
      </c>
      <c r="E86" t="str">
        <f>INDEX([2]Define!X:X,MATCH(D86,[2]Define!W:W))</f>
        <v>自己強化</v>
      </c>
      <c r="F86">
        <v>51</v>
      </c>
      <c r="H86">
        <v>1</v>
      </c>
      <c r="I86" t="str">
        <f>INDEX([2]Define!B:B,MATCH(H86,[2]Define!A:A))</f>
        <v>単体</v>
      </c>
      <c r="J86">
        <v>0</v>
      </c>
      <c r="K86">
        <v>10</v>
      </c>
      <c r="L86">
        <v>4</v>
      </c>
      <c r="M86" t="str">
        <f>INDEX([2]Define!E:E,MATCH(L86,[2]Define!D:D))</f>
        <v>光</v>
      </c>
      <c r="N86">
        <v>2</v>
      </c>
      <c r="O86" t="str">
        <f>INDEX([2]Define!H:H,MATCH(N86,[2]Define!G:G))</f>
        <v>パッシブ</v>
      </c>
      <c r="P86">
        <v>4</v>
      </c>
      <c r="Q86" t="str">
        <f>INDEX([2]Define!K:K,MATCH(P86,[2]Define!J:J))</f>
        <v>自身</v>
      </c>
      <c r="R86">
        <v>4</v>
      </c>
      <c r="S86" t="str">
        <f>INDEX([2]Define!N:N,MATCH(R86,[2]Define!M:M))</f>
        <v>自身</v>
      </c>
      <c r="T86">
        <v>1</v>
      </c>
      <c r="U86">
        <v>1</v>
      </c>
      <c r="V86">
        <v>1</v>
      </c>
      <c r="W86">
        <v>0</v>
      </c>
    </row>
    <row r="87" ht="12" customHeight="1" spans="1:23">
      <c r="A87">
        <v>14020</v>
      </c>
      <c r="B87">
        <v>14020</v>
      </c>
      <c r="C87" t="str">
        <f>INDEX(TextData!B:B,MATCH(B87,TextData!A:A))</f>
        <v>ライフディバイド</v>
      </c>
      <c r="D87">
        <v>6</v>
      </c>
      <c r="E87" t="str">
        <f>INDEX([2]Define!X:X,MATCH(D87,[2]Define!W:W))</f>
        <v>自己強化</v>
      </c>
      <c r="F87">
        <v>21</v>
      </c>
      <c r="H87">
        <v>1</v>
      </c>
      <c r="I87" t="str">
        <f>INDEX([2]Define!B:B,MATCH(H87,[2]Define!A:A))</f>
        <v>単体</v>
      </c>
      <c r="J87">
        <v>3</v>
      </c>
      <c r="K87">
        <v>10</v>
      </c>
      <c r="L87">
        <v>4</v>
      </c>
      <c r="M87" t="str">
        <f>INDEX([2]Define!E:E,MATCH(L87,[2]Define!D:D))</f>
        <v>光</v>
      </c>
      <c r="N87">
        <v>2</v>
      </c>
      <c r="O87" t="str">
        <f>INDEX([2]Define!H:H,MATCH(N87,[2]Define!G:G))</f>
        <v>パッシブ</v>
      </c>
      <c r="P87">
        <v>11</v>
      </c>
      <c r="Q87" t="str">
        <f>INDEX([2]Define!K:K,MATCH(P87,[2]Define!J:J))</f>
        <v>Triggerの条件を満たす</v>
      </c>
      <c r="R87">
        <v>1</v>
      </c>
      <c r="S87" t="str">
        <f>INDEX([2]Define!N:N,MATCH(R87,[2]Define!M:M))</f>
        <v>単体</v>
      </c>
      <c r="T87">
        <v>1</v>
      </c>
      <c r="U87">
        <v>1</v>
      </c>
      <c r="V87">
        <v>1</v>
      </c>
      <c r="W87">
        <v>1</v>
      </c>
    </row>
    <row r="88" ht="12" customHeight="1" spans="1:23">
      <c r="A88">
        <v>14030</v>
      </c>
      <c r="B88">
        <v>14030</v>
      </c>
      <c r="C88" t="str">
        <f>INDEX(TextData!B:B,MATCH(B88,TextData!A:A))</f>
        <v>エイミングスコープ</v>
      </c>
      <c r="D88">
        <v>6</v>
      </c>
      <c r="E88" t="str">
        <f>INDEX([2]Define!X:X,MATCH(D88,[2]Define!W:W))</f>
        <v>自己強化</v>
      </c>
      <c r="F88">
        <v>51</v>
      </c>
      <c r="H88">
        <v>1</v>
      </c>
      <c r="I88" t="str">
        <f>INDEX([2]Define!B:B,MATCH(H88,[2]Define!A:A))</f>
        <v>単体</v>
      </c>
      <c r="J88">
        <v>0</v>
      </c>
      <c r="K88">
        <v>10</v>
      </c>
      <c r="L88">
        <v>4</v>
      </c>
      <c r="M88" t="str">
        <f>INDEX([2]Define!E:E,MATCH(L88,[2]Define!D:D))</f>
        <v>光</v>
      </c>
      <c r="N88">
        <v>2</v>
      </c>
      <c r="O88" t="str">
        <f>INDEX([2]Define!H:H,MATCH(N88,[2]Define!G:G))</f>
        <v>パッシブ</v>
      </c>
      <c r="P88">
        <v>2</v>
      </c>
      <c r="Q88" t="str">
        <f>INDEX([2]Define!K:K,MATCH(P88,[2]Define!J:J))</f>
        <v>味方</v>
      </c>
      <c r="R88">
        <v>3</v>
      </c>
      <c r="S88" t="str">
        <f>INDEX([2]Define!N:N,MATCH(R88,[2]Define!M:M))</f>
        <v>全体</v>
      </c>
      <c r="T88">
        <v>1</v>
      </c>
      <c r="U88">
        <v>1</v>
      </c>
      <c r="V88">
        <v>1</v>
      </c>
      <c r="W88">
        <v>0</v>
      </c>
    </row>
    <row r="89" ht="12" customHeight="1" spans="1:23">
      <c r="A89">
        <v>14040</v>
      </c>
      <c r="B89">
        <v>14040</v>
      </c>
      <c r="C89" t="str">
        <f>INDEX(TextData!B:B,MATCH(B89,TextData!A:A))</f>
        <v>リジェネレーション</v>
      </c>
      <c r="D89">
        <v>6</v>
      </c>
      <c r="E89" t="str">
        <f>INDEX([2]Define!X:X,MATCH(D89,[2]Define!W:W))</f>
        <v>自己強化</v>
      </c>
      <c r="F89">
        <v>21</v>
      </c>
      <c r="H89">
        <v>1</v>
      </c>
      <c r="I89" t="str">
        <f>INDEX([2]Define!B:B,MATCH(H89,[2]Define!A:A))</f>
        <v>単体</v>
      </c>
      <c r="J89">
        <v>0</v>
      </c>
      <c r="K89">
        <v>10</v>
      </c>
      <c r="L89">
        <v>4</v>
      </c>
      <c r="M89" t="str">
        <f>INDEX([2]Define!E:E,MATCH(L89,[2]Define!D:D))</f>
        <v>光</v>
      </c>
      <c r="N89">
        <v>2</v>
      </c>
      <c r="O89" t="str">
        <f>INDEX([2]Define!H:H,MATCH(N89,[2]Define!G:G))</f>
        <v>パッシブ</v>
      </c>
      <c r="P89">
        <v>4</v>
      </c>
      <c r="Q89" t="str">
        <f>INDEX([2]Define!K:K,MATCH(P89,[2]Define!J:J))</f>
        <v>自身</v>
      </c>
      <c r="R89">
        <v>4</v>
      </c>
      <c r="S89" t="str">
        <f>INDEX([2]Define!N:N,MATCH(R89,[2]Define!M:M))</f>
        <v>自身</v>
      </c>
      <c r="T89">
        <v>1</v>
      </c>
      <c r="U89">
        <v>1</v>
      </c>
      <c r="V89">
        <v>1</v>
      </c>
      <c r="W89">
        <v>0</v>
      </c>
    </row>
    <row r="90" ht="12" customHeight="1" spans="1:23">
      <c r="A90">
        <v>14050</v>
      </c>
      <c r="B90">
        <v>14050</v>
      </c>
      <c r="C90" t="str">
        <f>INDEX(TextData!B:B,MATCH(B90,TextData!A:A))</f>
        <v>ホープフルアイリス</v>
      </c>
      <c r="D90">
        <v>6</v>
      </c>
      <c r="E90" t="str">
        <f>INDEX([2]Define!X:X,MATCH(D90,[2]Define!W:W))</f>
        <v>自己強化</v>
      </c>
      <c r="F90">
        <v>51</v>
      </c>
      <c r="H90">
        <v>1</v>
      </c>
      <c r="I90" t="str">
        <f>INDEX([2]Define!B:B,MATCH(H90,[2]Define!A:A))</f>
        <v>単体</v>
      </c>
      <c r="J90">
        <v>0</v>
      </c>
      <c r="K90">
        <v>10</v>
      </c>
      <c r="L90">
        <v>4</v>
      </c>
      <c r="M90" t="str">
        <f>INDEX([2]Define!E:E,MATCH(L90,[2]Define!D:D))</f>
        <v>光</v>
      </c>
      <c r="N90">
        <v>2</v>
      </c>
      <c r="O90" t="str">
        <f>INDEX([2]Define!H:H,MATCH(N90,[2]Define!G:G))</f>
        <v>パッシブ</v>
      </c>
      <c r="P90">
        <v>4</v>
      </c>
      <c r="Q90" t="str">
        <f>INDEX([2]Define!K:K,MATCH(P90,[2]Define!J:J))</f>
        <v>自身</v>
      </c>
      <c r="R90">
        <v>4</v>
      </c>
      <c r="S90" t="str">
        <f>INDEX([2]Define!N:N,MATCH(R90,[2]Define!M:M))</f>
        <v>自身</v>
      </c>
      <c r="T90">
        <v>1</v>
      </c>
      <c r="U90">
        <v>1</v>
      </c>
      <c r="V90">
        <v>1</v>
      </c>
      <c r="W90">
        <v>0</v>
      </c>
    </row>
    <row r="91" ht="12" customHeight="1" spans="1:23">
      <c r="A91">
        <v>14060</v>
      </c>
      <c r="B91">
        <v>14060</v>
      </c>
      <c r="C91" t="str">
        <f>INDEX(TextData!B:B,MATCH(B91,TextData!A:A))</f>
        <v>パッシブサプライ</v>
      </c>
      <c r="D91">
        <v>6</v>
      </c>
      <c r="E91" t="str">
        <f>INDEX([2]Define!X:X,MATCH(D91,[2]Define!W:W))</f>
        <v>自己強化</v>
      </c>
      <c r="F91">
        <v>51</v>
      </c>
      <c r="H91">
        <v>1</v>
      </c>
      <c r="I91" t="str">
        <f>INDEX([2]Define!B:B,MATCH(H91,[2]Define!A:A))</f>
        <v>単体</v>
      </c>
      <c r="J91">
        <v>0</v>
      </c>
      <c r="K91">
        <v>20</v>
      </c>
      <c r="L91">
        <v>4</v>
      </c>
      <c r="M91" t="str">
        <f>INDEX([2]Define!E:E,MATCH(L91,[2]Define!D:D))</f>
        <v>光</v>
      </c>
      <c r="N91">
        <v>2</v>
      </c>
      <c r="O91" t="str">
        <f>INDEX([2]Define!H:H,MATCH(N91,[2]Define!G:G))</f>
        <v>パッシブ</v>
      </c>
      <c r="P91">
        <v>6</v>
      </c>
      <c r="Q91" t="str">
        <f>INDEX([2]Define!K:K,MATCH(P91,[2]Define!J:J))</f>
        <v>反撃</v>
      </c>
      <c r="R91">
        <v>1</v>
      </c>
      <c r="S91" t="str">
        <f>INDEX([2]Define!N:N,MATCH(R91,[2]Define!M:M))</f>
        <v>単体</v>
      </c>
      <c r="T91">
        <v>1</v>
      </c>
      <c r="U91">
        <v>1</v>
      </c>
      <c r="V91">
        <v>1</v>
      </c>
      <c r="W91">
        <v>0</v>
      </c>
    </row>
    <row r="92" ht="12" customHeight="1" spans="1:23">
      <c r="A92">
        <v>14070</v>
      </c>
      <c r="B92">
        <v>14070</v>
      </c>
      <c r="C92" t="str">
        <f>INDEX(TextData!B:B,MATCH(B92,TextData!A:A))</f>
        <v>ホーミングクルセイド</v>
      </c>
      <c r="D92">
        <v>6</v>
      </c>
      <c r="E92" t="str">
        <f>INDEX([2]Define!X:X,MATCH(D92,[2]Define!W:W))</f>
        <v>自己強化</v>
      </c>
      <c r="F92">
        <v>51</v>
      </c>
      <c r="H92">
        <v>1</v>
      </c>
      <c r="I92" t="str">
        <f>INDEX([2]Define!B:B,MATCH(H92,[2]Define!A:A))</f>
        <v>単体</v>
      </c>
      <c r="J92">
        <v>0</v>
      </c>
      <c r="K92">
        <v>20</v>
      </c>
      <c r="L92">
        <v>4</v>
      </c>
      <c r="M92" t="str">
        <f>INDEX([2]Define!E:E,MATCH(L92,[2]Define!D:D))</f>
        <v>光</v>
      </c>
      <c r="N92">
        <v>2</v>
      </c>
      <c r="O92" t="str">
        <f>INDEX([2]Define!H:H,MATCH(N92,[2]Define!G:G))</f>
        <v>パッシブ</v>
      </c>
      <c r="P92">
        <v>4</v>
      </c>
      <c r="Q92" t="str">
        <f>INDEX([2]Define!K:K,MATCH(P92,[2]Define!J:J))</f>
        <v>自身</v>
      </c>
      <c r="R92">
        <v>4</v>
      </c>
      <c r="S92" t="str">
        <f>INDEX([2]Define!N:N,MATCH(R92,[2]Define!M:M))</f>
        <v>自身</v>
      </c>
      <c r="T92">
        <v>1</v>
      </c>
      <c r="U92">
        <v>1</v>
      </c>
      <c r="V92">
        <v>1</v>
      </c>
      <c r="W92">
        <v>0</v>
      </c>
    </row>
    <row r="93" ht="12" customHeight="1" spans="1:23">
      <c r="A93">
        <v>14080</v>
      </c>
      <c r="B93">
        <v>14080</v>
      </c>
      <c r="C93" t="str">
        <f>INDEX(TextData!B:B,MATCH(B93,TextData!A:A))</f>
        <v>クイックヒール</v>
      </c>
      <c r="D93">
        <v>6</v>
      </c>
      <c r="E93" t="str">
        <f>INDEX([2]Define!X:X,MATCH(D93,[2]Define!W:W))</f>
        <v>自己強化</v>
      </c>
      <c r="F93">
        <v>21</v>
      </c>
      <c r="H93">
        <v>1</v>
      </c>
      <c r="I93" t="str">
        <f>INDEX([2]Define!B:B,MATCH(H93,[2]Define!A:A))</f>
        <v>単体</v>
      </c>
      <c r="J93">
        <v>2</v>
      </c>
      <c r="K93">
        <v>20</v>
      </c>
      <c r="L93">
        <v>4</v>
      </c>
      <c r="M93" t="str">
        <f>INDEX([2]Define!E:E,MATCH(L93,[2]Define!D:D))</f>
        <v>光</v>
      </c>
      <c r="N93">
        <v>2</v>
      </c>
      <c r="O93" t="str">
        <f>INDEX([2]Define!H:H,MATCH(N93,[2]Define!G:G))</f>
        <v>パッシブ</v>
      </c>
      <c r="P93">
        <v>11</v>
      </c>
      <c r="Q93" t="str">
        <f>INDEX([2]Define!K:K,MATCH(P93,[2]Define!J:J))</f>
        <v>Triggerの条件を満たす</v>
      </c>
      <c r="R93">
        <v>1</v>
      </c>
      <c r="S93" t="str">
        <f>INDEX([2]Define!N:N,MATCH(R93,[2]Define!M:M))</f>
        <v>単体</v>
      </c>
      <c r="T93">
        <v>1</v>
      </c>
      <c r="U93">
        <v>1</v>
      </c>
      <c r="V93">
        <v>1</v>
      </c>
      <c r="W93">
        <v>0</v>
      </c>
    </row>
    <row r="94" ht="12" customHeight="1" spans="1:23">
      <c r="A94">
        <v>14090</v>
      </c>
      <c r="B94">
        <v>14090</v>
      </c>
      <c r="C94" t="str">
        <f>INDEX(TextData!B:B,MATCH(B94,TextData!A:A))</f>
        <v>リレイズ</v>
      </c>
      <c r="D94">
        <v>6</v>
      </c>
      <c r="E94" t="str">
        <f>INDEX([2]Define!X:X,MATCH(D94,[2]Define!W:W))</f>
        <v>自己強化</v>
      </c>
      <c r="F94">
        <v>21</v>
      </c>
      <c r="H94">
        <v>1</v>
      </c>
      <c r="I94" t="str">
        <f>INDEX([2]Define!B:B,MATCH(H94,[2]Define!A:A))</f>
        <v>単体</v>
      </c>
      <c r="J94">
        <v>5</v>
      </c>
      <c r="K94">
        <v>20</v>
      </c>
      <c r="L94">
        <v>4</v>
      </c>
      <c r="M94" t="str">
        <f>INDEX([2]Define!E:E,MATCH(L94,[2]Define!D:D))</f>
        <v>光</v>
      </c>
      <c r="N94">
        <v>2</v>
      </c>
      <c r="O94" t="str">
        <f>INDEX([2]Define!H:H,MATCH(N94,[2]Define!G:G))</f>
        <v>パッシブ</v>
      </c>
      <c r="P94">
        <v>4</v>
      </c>
      <c r="Q94" t="str">
        <f>INDEX([2]Define!K:K,MATCH(P94,[2]Define!J:J))</f>
        <v>自身</v>
      </c>
      <c r="R94">
        <v>4</v>
      </c>
      <c r="S94" t="str">
        <f>INDEX([2]Define!N:N,MATCH(R94,[2]Define!M:M))</f>
        <v>自身</v>
      </c>
      <c r="T94">
        <v>1</v>
      </c>
      <c r="U94">
        <v>1</v>
      </c>
      <c r="V94">
        <v>1</v>
      </c>
      <c r="W94">
        <v>0</v>
      </c>
    </row>
    <row r="95" ht="12" customHeight="1" spans="1:23">
      <c r="A95">
        <v>15010</v>
      </c>
      <c r="B95">
        <v>15010</v>
      </c>
      <c r="C95" t="str">
        <f>INDEX(TextData!B:B,MATCH(B95,TextData!A:A))</f>
        <v>イーグルアイ</v>
      </c>
      <c r="D95">
        <v>6</v>
      </c>
      <c r="E95" t="str">
        <f>INDEX([2]Define!X:X,MATCH(D95,[2]Define!W:W))</f>
        <v>自己強化</v>
      </c>
      <c r="F95">
        <v>51</v>
      </c>
      <c r="H95">
        <v>1</v>
      </c>
      <c r="I95" t="str">
        <f>INDEX([2]Define!B:B,MATCH(H95,[2]Define!A:A))</f>
        <v>単体</v>
      </c>
      <c r="J95">
        <v>0</v>
      </c>
      <c r="K95">
        <v>10</v>
      </c>
      <c r="L95">
        <v>5</v>
      </c>
      <c r="M95" t="str">
        <f>INDEX([2]Define!E:E,MATCH(L95,[2]Define!D:D))</f>
        <v>闇</v>
      </c>
      <c r="N95">
        <v>2</v>
      </c>
      <c r="O95" t="str">
        <f>INDEX([2]Define!H:H,MATCH(N95,[2]Define!G:G))</f>
        <v>パッシブ</v>
      </c>
      <c r="P95">
        <v>4</v>
      </c>
      <c r="Q95" t="str">
        <f>INDEX([2]Define!K:K,MATCH(P95,[2]Define!J:J))</f>
        <v>自身</v>
      </c>
      <c r="R95">
        <v>4</v>
      </c>
      <c r="S95" t="str">
        <f>INDEX([2]Define!N:N,MATCH(R95,[2]Define!M:M))</f>
        <v>自身</v>
      </c>
      <c r="T95">
        <v>1</v>
      </c>
      <c r="U95">
        <v>1</v>
      </c>
      <c r="V95">
        <v>1</v>
      </c>
      <c r="W95">
        <v>0</v>
      </c>
    </row>
    <row r="96" ht="12" customHeight="1" spans="1:23">
      <c r="A96">
        <v>15020</v>
      </c>
      <c r="B96">
        <v>15020</v>
      </c>
      <c r="C96" t="str">
        <f>INDEX(TextData!B:B,MATCH(B96,TextData!A:A))</f>
        <v>ネヴァーエンド</v>
      </c>
      <c r="D96">
        <v>6</v>
      </c>
      <c r="E96" t="str">
        <f>INDEX([2]Define!X:X,MATCH(D96,[2]Define!W:W))</f>
        <v>自己強化</v>
      </c>
      <c r="F96">
        <v>51</v>
      </c>
      <c r="H96">
        <v>1</v>
      </c>
      <c r="I96" t="str">
        <f>INDEX([2]Define!B:B,MATCH(H96,[2]Define!A:A))</f>
        <v>単体</v>
      </c>
      <c r="J96">
        <v>0</v>
      </c>
      <c r="K96">
        <v>10</v>
      </c>
      <c r="L96">
        <v>5</v>
      </c>
      <c r="M96" t="str">
        <f>INDEX([2]Define!E:E,MATCH(L96,[2]Define!D:D))</f>
        <v>闇</v>
      </c>
      <c r="N96">
        <v>2</v>
      </c>
      <c r="O96" t="str">
        <f>INDEX([2]Define!H:H,MATCH(N96,[2]Define!G:G))</f>
        <v>パッシブ</v>
      </c>
      <c r="P96">
        <v>4</v>
      </c>
      <c r="Q96" t="str">
        <f>INDEX([2]Define!K:K,MATCH(P96,[2]Define!J:J))</f>
        <v>自身</v>
      </c>
      <c r="R96">
        <v>4</v>
      </c>
      <c r="S96" t="str">
        <f>INDEX([2]Define!N:N,MATCH(R96,[2]Define!M:M))</f>
        <v>自身</v>
      </c>
      <c r="T96">
        <v>1</v>
      </c>
      <c r="U96">
        <v>1</v>
      </c>
      <c r="V96">
        <v>1</v>
      </c>
      <c r="W96">
        <v>0</v>
      </c>
    </row>
    <row r="97" ht="12" customHeight="1" spans="1:23">
      <c r="A97">
        <v>15030</v>
      </c>
      <c r="B97">
        <v>15030</v>
      </c>
      <c r="C97" t="str">
        <f>INDEX(TextData!B:B,MATCH(B97,TextData!A:A))</f>
        <v>グレイブアクト</v>
      </c>
      <c r="D97">
        <v>6</v>
      </c>
      <c r="E97" t="str">
        <f>INDEX([2]Define!X:X,MATCH(D97,[2]Define!W:W))</f>
        <v>自己強化</v>
      </c>
      <c r="F97">
        <v>51</v>
      </c>
      <c r="H97">
        <v>1</v>
      </c>
      <c r="I97" t="str">
        <f>INDEX([2]Define!B:B,MATCH(H97,[2]Define!A:A))</f>
        <v>単体</v>
      </c>
      <c r="J97">
        <v>0</v>
      </c>
      <c r="K97">
        <v>10</v>
      </c>
      <c r="L97">
        <v>5</v>
      </c>
      <c r="M97" t="str">
        <f>INDEX([2]Define!E:E,MATCH(L97,[2]Define!D:D))</f>
        <v>闇</v>
      </c>
      <c r="N97">
        <v>2</v>
      </c>
      <c r="O97" t="str">
        <f>INDEX([2]Define!H:H,MATCH(N97,[2]Define!G:G))</f>
        <v>パッシブ</v>
      </c>
      <c r="P97">
        <v>4</v>
      </c>
      <c r="Q97" t="str">
        <f>INDEX([2]Define!K:K,MATCH(P97,[2]Define!J:J))</f>
        <v>自身</v>
      </c>
      <c r="R97">
        <v>4</v>
      </c>
      <c r="S97" t="str">
        <f>INDEX([2]Define!N:N,MATCH(R97,[2]Define!M:M))</f>
        <v>自身</v>
      </c>
      <c r="T97">
        <v>1</v>
      </c>
      <c r="U97">
        <v>1</v>
      </c>
      <c r="V97">
        <v>1</v>
      </c>
      <c r="W97">
        <v>0</v>
      </c>
    </row>
    <row r="98" ht="12" customHeight="1" spans="1:23">
      <c r="A98">
        <v>15040</v>
      </c>
      <c r="B98">
        <v>15040</v>
      </c>
      <c r="C98" t="str">
        <f>INDEX(TextData!B:B,MATCH(B98,TextData!A:A))</f>
        <v>スカルグラッジ</v>
      </c>
      <c r="D98">
        <v>6</v>
      </c>
      <c r="E98" t="str">
        <f>INDEX([2]Define!X:X,MATCH(D98,[2]Define!W:W))</f>
        <v>自己強化</v>
      </c>
      <c r="F98">
        <v>51</v>
      </c>
      <c r="H98">
        <v>1</v>
      </c>
      <c r="I98" t="str">
        <f>INDEX([2]Define!B:B,MATCH(H98,[2]Define!A:A))</f>
        <v>単体</v>
      </c>
      <c r="J98">
        <v>0</v>
      </c>
      <c r="K98">
        <v>10</v>
      </c>
      <c r="L98">
        <v>5</v>
      </c>
      <c r="M98" t="str">
        <f>INDEX([2]Define!E:E,MATCH(L98,[2]Define!D:D))</f>
        <v>闇</v>
      </c>
      <c r="N98">
        <v>2</v>
      </c>
      <c r="O98" t="str">
        <f>INDEX([2]Define!H:H,MATCH(N98,[2]Define!G:G))</f>
        <v>パッシブ</v>
      </c>
      <c r="P98">
        <v>4</v>
      </c>
      <c r="Q98" t="str">
        <f>INDEX([2]Define!K:K,MATCH(P98,[2]Define!J:J))</f>
        <v>自身</v>
      </c>
      <c r="R98">
        <v>4</v>
      </c>
      <c r="S98" t="str">
        <f>INDEX([2]Define!N:N,MATCH(R98,[2]Define!M:M))</f>
        <v>自身</v>
      </c>
      <c r="T98">
        <v>1</v>
      </c>
      <c r="U98">
        <v>1</v>
      </c>
      <c r="V98">
        <v>1</v>
      </c>
      <c r="W98">
        <v>0</v>
      </c>
    </row>
    <row r="99" ht="12" customHeight="1" spans="1:23">
      <c r="A99">
        <v>15050</v>
      </c>
      <c r="B99">
        <v>15050</v>
      </c>
      <c r="C99" t="str">
        <f>INDEX(TextData!B:B,MATCH(B99,TextData!A:A))</f>
        <v>ネガティブドレイン</v>
      </c>
      <c r="D99">
        <v>6</v>
      </c>
      <c r="E99" t="str">
        <f>INDEX([2]Define!X:X,MATCH(D99,[2]Define!W:W))</f>
        <v>自己強化</v>
      </c>
      <c r="F99">
        <v>51</v>
      </c>
      <c r="H99">
        <v>1</v>
      </c>
      <c r="I99" t="str">
        <f>INDEX([2]Define!B:B,MATCH(H99,[2]Define!A:A))</f>
        <v>単体</v>
      </c>
      <c r="J99">
        <v>0</v>
      </c>
      <c r="K99">
        <v>10</v>
      </c>
      <c r="L99">
        <v>5</v>
      </c>
      <c r="M99" t="str">
        <f>INDEX([2]Define!E:E,MATCH(L99,[2]Define!D:D))</f>
        <v>闇</v>
      </c>
      <c r="N99">
        <v>2</v>
      </c>
      <c r="O99" t="str">
        <f>INDEX([2]Define!H:H,MATCH(N99,[2]Define!G:G))</f>
        <v>パッシブ</v>
      </c>
      <c r="P99">
        <v>4</v>
      </c>
      <c r="Q99" t="str">
        <f>INDEX([2]Define!K:K,MATCH(P99,[2]Define!J:J))</f>
        <v>自身</v>
      </c>
      <c r="R99">
        <v>4</v>
      </c>
      <c r="S99" t="str">
        <f>INDEX([2]Define!N:N,MATCH(R99,[2]Define!M:M))</f>
        <v>自身</v>
      </c>
      <c r="T99">
        <v>1</v>
      </c>
      <c r="U99">
        <v>1</v>
      </c>
      <c r="V99">
        <v>1</v>
      </c>
      <c r="W99">
        <v>0</v>
      </c>
    </row>
    <row r="100" ht="12" customHeight="1" spans="1:23">
      <c r="A100">
        <v>15060</v>
      </c>
      <c r="B100">
        <v>15060</v>
      </c>
      <c r="C100" t="str">
        <f>INDEX(TextData!B:B,MATCH(B100,TextData!A:A))</f>
        <v>アンデッドペイン</v>
      </c>
      <c r="D100">
        <v>6</v>
      </c>
      <c r="E100" t="str">
        <f>INDEX([2]Define!X:X,MATCH(D100,[2]Define!W:W))</f>
        <v>自己強化</v>
      </c>
      <c r="F100">
        <v>51</v>
      </c>
      <c r="H100">
        <v>1</v>
      </c>
      <c r="I100" t="str">
        <f>INDEX([2]Define!B:B,MATCH(H100,[2]Define!A:A))</f>
        <v>単体</v>
      </c>
      <c r="J100">
        <v>0</v>
      </c>
      <c r="K100">
        <v>20</v>
      </c>
      <c r="L100">
        <v>5</v>
      </c>
      <c r="M100" t="str">
        <f>INDEX([2]Define!E:E,MATCH(L100,[2]Define!D:D))</f>
        <v>闇</v>
      </c>
      <c r="N100">
        <v>2</v>
      </c>
      <c r="O100" t="str">
        <f>INDEX([2]Define!H:H,MATCH(N100,[2]Define!G:G))</f>
        <v>パッシブ</v>
      </c>
      <c r="P100">
        <v>4</v>
      </c>
      <c r="Q100" t="str">
        <f>INDEX([2]Define!K:K,MATCH(P100,[2]Define!J:J))</f>
        <v>自身</v>
      </c>
      <c r="R100">
        <v>4</v>
      </c>
      <c r="S100" t="str">
        <f>INDEX([2]Define!N:N,MATCH(R100,[2]Define!M:M))</f>
        <v>自身</v>
      </c>
      <c r="T100">
        <v>1</v>
      </c>
      <c r="U100">
        <v>1</v>
      </c>
      <c r="V100">
        <v>1</v>
      </c>
      <c r="W100">
        <v>0</v>
      </c>
    </row>
    <row r="101" ht="12" customHeight="1" spans="1:23">
      <c r="A101">
        <v>15070</v>
      </c>
      <c r="B101">
        <v>15070</v>
      </c>
      <c r="C101" t="str">
        <f>INDEX(TextData!B:B,MATCH(B101,TextData!A:A))</f>
        <v>ジャックポッド</v>
      </c>
      <c r="D101">
        <v>6</v>
      </c>
      <c r="E101" t="str">
        <f>INDEX([2]Define!X:X,MATCH(D101,[2]Define!W:W))</f>
        <v>自己強化</v>
      </c>
      <c r="F101">
        <v>51</v>
      </c>
      <c r="H101">
        <v>1</v>
      </c>
      <c r="I101" t="str">
        <f>INDEX([2]Define!B:B,MATCH(H101,[2]Define!A:A))</f>
        <v>単体</v>
      </c>
      <c r="J101">
        <v>3</v>
      </c>
      <c r="K101">
        <v>20</v>
      </c>
      <c r="L101">
        <v>5</v>
      </c>
      <c r="M101" t="str">
        <f>INDEX([2]Define!E:E,MATCH(L101,[2]Define!D:D))</f>
        <v>闇</v>
      </c>
      <c r="N101">
        <v>2</v>
      </c>
      <c r="O101" t="str">
        <f>INDEX([2]Define!H:H,MATCH(N101,[2]Define!G:G))</f>
        <v>パッシブ</v>
      </c>
      <c r="P101">
        <v>11</v>
      </c>
      <c r="Q101" t="str">
        <f>INDEX([2]Define!K:K,MATCH(P101,[2]Define!J:J))</f>
        <v>Triggerの条件を満たす</v>
      </c>
      <c r="R101">
        <v>1</v>
      </c>
      <c r="S101" t="str">
        <f>INDEX([2]Define!N:N,MATCH(R101,[2]Define!M:M))</f>
        <v>単体</v>
      </c>
      <c r="T101">
        <v>1</v>
      </c>
      <c r="U101">
        <v>1</v>
      </c>
      <c r="V101">
        <v>1</v>
      </c>
      <c r="W101">
        <v>1</v>
      </c>
    </row>
    <row r="102" ht="12" customHeight="1" spans="1:23">
      <c r="A102">
        <v>15080</v>
      </c>
      <c r="B102">
        <v>15080</v>
      </c>
      <c r="C102" t="str">
        <f>INDEX(TextData!B:B,MATCH(B102,TextData!A:A))</f>
        <v>ヒールハント</v>
      </c>
      <c r="D102">
        <v>6</v>
      </c>
      <c r="E102" t="str">
        <f>INDEX([2]Define!X:X,MATCH(D102,[2]Define!W:W))</f>
        <v>自己強化</v>
      </c>
      <c r="F102">
        <v>51</v>
      </c>
      <c r="H102">
        <v>1</v>
      </c>
      <c r="I102" t="str">
        <f>INDEX([2]Define!B:B,MATCH(H102,[2]Define!A:A))</f>
        <v>単体</v>
      </c>
      <c r="J102">
        <v>2</v>
      </c>
      <c r="K102">
        <v>20</v>
      </c>
      <c r="L102">
        <v>5</v>
      </c>
      <c r="M102" t="str">
        <f>INDEX([2]Define!E:E,MATCH(L102,[2]Define!D:D))</f>
        <v>闇</v>
      </c>
      <c r="N102">
        <v>2</v>
      </c>
      <c r="O102" t="str">
        <f>INDEX([2]Define!H:H,MATCH(N102,[2]Define!G:G))</f>
        <v>パッシブ</v>
      </c>
      <c r="P102">
        <v>6</v>
      </c>
      <c r="Q102" t="str">
        <f>INDEX([2]Define!K:K,MATCH(P102,[2]Define!J:J))</f>
        <v>反撃</v>
      </c>
      <c r="R102">
        <v>1</v>
      </c>
      <c r="S102" t="str">
        <f>INDEX([2]Define!N:N,MATCH(R102,[2]Define!M:M))</f>
        <v>単体</v>
      </c>
      <c r="T102">
        <v>2</v>
      </c>
      <c r="U102">
        <v>1</v>
      </c>
      <c r="V102">
        <v>1</v>
      </c>
      <c r="W102">
        <v>0</v>
      </c>
    </row>
    <row r="103" ht="12" customHeight="1" spans="1:23">
      <c r="A103">
        <v>15090</v>
      </c>
      <c r="B103">
        <v>15090</v>
      </c>
      <c r="C103" t="str">
        <f>INDEX(TextData!B:B,MATCH(B103,TextData!A:A))</f>
        <v>クイックカース</v>
      </c>
      <c r="D103">
        <v>6</v>
      </c>
      <c r="E103" t="str">
        <f>INDEX([2]Define!X:X,MATCH(D103,[2]Define!W:W))</f>
        <v>自己強化</v>
      </c>
      <c r="F103">
        <v>61</v>
      </c>
      <c r="H103">
        <v>1</v>
      </c>
      <c r="I103" t="str">
        <f>INDEX([2]Define!B:B,MATCH(H103,[2]Define!A:A))</f>
        <v>単体</v>
      </c>
      <c r="J103">
        <v>2</v>
      </c>
      <c r="K103">
        <v>20</v>
      </c>
      <c r="L103">
        <v>5</v>
      </c>
      <c r="M103" t="str">
        <f>INDEX([2]Define!E:E,MATCH(L103,[2]Define!D:D))</f>
        <v>闇</v>
      </c>
      <c r="N103">
        <v>2</v>
      </c>
      <c r="O103" t="str">
        <f>INDEX([2]Define!H:H,MATCH(N103,[2]Define!G:G))</f>
        <v>パッシブ</v>
      </c>
      <c r="P103">
        <v>6</v>
      </c>
      <c r="Q103" t="str">
        <f>INDEX([2]Define!K:K,MATCH(P103,[2]Define!J:J))</f>
        <v>反撃</v>
      </c>
      <c r="R103">
        <v>1</v>
      </c>
      <c r="S103" t="str">
        <f>INDEX([2]Define!N:N,MATCH(R103,[2]Define!M:M))</f>
        <v>単体</v>
      </c>
      <c r="T103">
        <v>2</v>
      </c>
      <c r="U103">
        <v>1</v>
      </c>
      <c r="V103">
        <v>1</v>
      </c>
      <c r="W103">
        <v>0</v>
      </c>
    </row>
    <row r="104" ht="12" customHeight="1" spans="1:23">
      <c r="A104">
        <v>20010</v>
      </c>
      <c r="B104">
        <v>20010</v>
      </c>
      <c r="C104" t="str">
        <f>INDEX(TextData!B:B,MATCH(B104,TextData!A:A))</f>
        <v>ウェイトユニゾン</v>
      </c>
      <c r="D104">
        <v>99</v>
      </c>
      <c r="E104" t="str">
        <f>INDEX([2]Define!X:X,MATCH(D104,[2]Define!W:W))</f>
        <v>その他</v>
      </c>
      <c r="F104">
        <v>0</v>
      </c>
      <c r="H104">
        <v>1</v>
      </c>
      <c r="I104" t="str">
        <f>INDEX([2]Define!B:B,MATCH(H104,[2]Define!A:A))</f>
        <v>単体</v>
      </c>
      <c r="J104">
        <v>0</v>
      </c>
      <c r="K104">
        <v>0</v>
      </c>
      <c r="L104">
        <v>0</v>
      </c>
      <c r="M104" t="str">
        <f>INDEX([2]Define!E:E,MATCH(L104,[2]Define!D:D))</f>
        <v>なし</v>
      </c>
      <c r="N104">
        <v>1</v>
      </c>
      <c r="O104" t="str">
        <f>INDEX([2]Define!H:H,MATCH(N104,[2]Define!G:G))</f>
        <v>魔法</v>
      </c>
      <c r="P104">
        <v>4</v>
      </c>
      <c r="Q104" t="str">
        <f>INDEX([2]Define!K:K,MATCH(P104,[2]Define!J:J))</f>
        <v>自身</v>
      </c>
      <c r="R104">
        <v>4</v>
      </c>
      <c r="S104" t="str">
        <f>INDEX([2]Define!N:N,MATCH(R104,[2]Define!M:M))</f>
        <v>自身</v>
      </c>
      <c r="T104">
        <v>1</v>
      </c>
      <c r="U104">
        <v>1</v>
      </c>
      <c r="V104">
        <v>1</v>
      </c>
      <c r="W104">
        <v>0</v>
      </c>
    </row>
    <row r="105" spans="1:23">
      <c r="A105">
        <v>100110</v>
      </c>
      <c r="B105">
        <v>100110</v>
      </c>
      <c r="C105" t="str">
        <f>INDEX(TextData!B:B,MATCH(B105,TextData!A:A))</f>
        <v>ソーイングアームド</v>
      </c>
      <c r="D105">
        <v>10</v>
      </c>
      <c r="E105" t="str">
        <f>INDEX([2]Define!X:X,MATCH(D105,[2]Define!W:W))</f>
        <v>半神</v>
      </c>
      <c r="F105">
        <v>51</v>
      </c>
      <c r="H105">
        <v>1</v>
      </c>
      <c r="I105" t="str">
        <f>INDEX([2]Define!B:B,MATCH(H105,[2]Define!A:A))</f>
        <v>単体</v>
      </c>
      <c r="J105">
        <v>0</v>
      </c>
      <c r="K105">
        <v>1000</v>
      </c>
      <c r="L105">
        <v>1</v>
      </c>
      <c r="M105" t="str">
        <f>INDEX([2]Define!E:E,MATCH(L105,[2]Define!D:D))</f>
        <v>炎</v>
      </c>
      <c r="N105">
        <v>3</v>
      </c>
      <c r="O105" t="str">
        <f>INDEX([2]Define!H:H,MATCH(N105,[2]Define!G:G))</f>
        <v>神化</v>
      </c>
      <c r="P105">
        <v>4</v>
      </c>
      <c r="Q105" t="str">
        <f>INDEX([2]Define!K:K,MATCH(P105,[2]Define!J:J))</f>
        <v>自身</v>
      </c>
      <c r="R105">
        <v>2</v>
      </c>
      <c r="S105" t="str">
        <f>INDEX([2]Define!N:N,MATCH(R105,[2]Define!M:M))</f>
        <v>列</v>
      </c>
      <c r="T105">
        <v>2</v>
      </c>
      <c r="U105">
        <v>1</v>
      </c>
      <c r="V105">
        <v>1</v>
      </c>
      <c r="W105">
        <v>0</v>
      </c>
    </row>
    <row r="106" spans="1:23">
      <c r="A106">
        <v>100120</v>
      </c>
      <c r="B106">
        <v>100120</v>
      </c>
      <c r="C106" t="str">
        <f>INDEX(TextData!B:B,MATCH(B106,TextData!A:A))</f>
        <v>エターナルロンド</v>
      </c>
      <c r="D106">
        <v>11</v>
      </c>
      <c r="E106" t="str">
        <f>INDEX([2]Define!X:X,MATCH(D106,[2]Define!W:W))</f>
        <v>覚醒</v>
      </c>
      <c r="F106">
        <v>101</v>
      </c>
      <c r="H106">
        <v>1</v>
      </c>
      <c r="I106" t="str">
        <f>INDEX([2]Define!B:B,MATCH(H106,[2]Define!A:A))</f>
        <v>単体</v>
      </c>
      <c r="J106">
        <v>0</v>
      </c>
      <c r="K106">
        <v>1000</v>
      </c>
      <c r="L106">
        <v>1</v>
      </c>
      <c r="M106" t="str">
        <f>INDEX([2]Define!E:E,MATCH(L106,[2]Define!D:D))</f>
        <v>炎</v>
      </c>
      <c r="N106">
        <v>4</v>
      </c>
      <c r="O106" t="str">
        <f>INDEX([2]Define!H:H,MATCH(N106,[2]Define!G:G))</f>
        <v>覚醒</v>
      </c>
      <c r="P106">
        <v>1</v>
      </c>
      <c r="Q106" t="str">
        <f>INDEX([2]Define!K:K,MATCH(P106,[2]Define!J:J))</f>
        <v>相手</v>
      </c>
      <c r="R106">
        <v>2</v>
      </c>
      <c r="S106" t="str">
        <f>INDEX([2]Define!N:N,MATCH(R106,[2]Define!M:M))</f>
        <v>列</v>
      </c>
      <c r="T106">
        <v>1</v>
      </c>
      <c r="U106">
        <v>1</v>
      </c>
      <c r="V106">
        <v>1</v>
      </c>
      <c r="W106">
        <v>0</v>
      </c>
    </row>
    <row r="107" spans="1:23">
      <c r="A107">
        <v>100210</v>
      </c>
      <c r="B107">
        <v>100210</v>
      </c>
      <c r="C107" t="str">
        <f>INDEX(TextData!B:B,MATCH(B107,TextData!A:A))</f>
        <v>アブソリュートパリィ</v>
      </c>
      <c r="D107">
        <v>10</v>
      </c>
      <c r="E107" t="str">
        <f>INDEX([2]Define!X:X,MATCH(D107,[2]Define!W:W))</f>
        <v>半神</v>
      </c>
      <c r="F107">
        <v>51</v>
      </c>
      <c r="H107">
        <v>1</v>
      </c>
      <c r="I107" t="str">
        <f>INDEX([2]Define!B:B,MATCH(H107,[2]Define!A:A))</f>
        <v>単体</v>
      </c>
      <c r="J107">
        <v>0</v>
      </c>
      <c r="K107">
        <v>1000</v>
      </c>
      <c r="L107">
        <v>2</v>
      </c>
      <c r="M107" t="str">
        <f>INDEX([2]Define!E:E,MATCH(L107,[2]Define!D:D))</f>
        <v>雷</v>
      </c>
      <c r="N107">
        <v>3</v>
      </c>
      <c r="O107" t="str">
        <f>INDEX([2]Define!H:H,MATCH(N107,[2]Define!G:G))</f>
        <v>神化</v>
      </c>
      <c r="P107">
        <v>4</v>
      </c>
      <c r="Q107" t="str">
        <f>INDEX([2]Define!K:K,MATCH(P107,[2]Define!J:J))</f>
        <v>自身</v>
      </c>
      <c r="R107">
        <v>4</v>
      </c>
      <c r="S107" t="str">
        <f>INDEX([2]Define!N:N,MATCH(R107,[2]Define!M:M))</f>
        <v>自身</v>
      </c>
      <c r="T107">
        <v>1</v>
      </c>
      <c r="U107">
        <v>1</v>
      </c>
      <c r="V107">
        <v>1</v>
      </c>
      <c r="W107">
        <v>0</v>
      </c>
    </row>
    <row r="108" spans="1:23">
      <c r="A108">
        <v>100220</v>
      </c>
      <c r="B108">
        <v>100220</v>
      </c>
      <c r="C108" t="str">
        <f>INDEX(TextData!B:B,MATCH(B108,TextData!A:A))</f>
        <v>レヴェリー</v>
      </c>
      <c r="D108">
        <v>11</v>
      </c>
      <c r="E108" t="str">
        <f>INDEX([2]Define!X:X,MATCH(D108,[2]Define!W:W))</f>
        <v>覚醒</v>
      </c>
      <c r="F108">
        <v>1002</v>
      </c>
      <c r="H108">
        <v>1</v>
      </c>
      <c r="I108" t="str">
        <f>INDEX([2]Define!B:B,MATCH(H108,[2]Define!A:A))</f>
        <v>単体</v>
      </c>
      <c r="J108">
        <v>0</v>
      </c>
      <c r="K108">
        <v>1000</v>
      </c>
      <c r="L108">
        <v>2</v>
      </c>
      <c r="M108" t="str">
        <f>INDEX([2]Define!E:E,MATCH(L108,[2]Define!D:D))</f>
        <v>雷</v>
      </c>
      <c r="N108">
        <v>4</v>
      </c>
      <c r="O108" t="str">
        <f>INDEX([2]Define!H:H,MATCH(N108,[2]Define!G:G))</f>
        <v>覚醒</v>
      </c>
      <c r="P108">
        <v>1</v>
      </c>
      <c r="Q108" t="str">
        <f>INDEX([2]Define!K:K,MATCH(P108,[2]Define!J:J))</f>
        <v>相手</v>
      </c>
      <c r="R108">
        <v>3</v>
      </c>
      <c r="S108" t="str">
        <f>INDEX([2]Define!N:N,MATCH(R108,[2]Define!M:M))</f>
        <v>全体</v>
      </c>
      <c r="T108">
        <v>2</v>
      </c>
      <c r="U108">
        <v>7</v>
      </c>
      <c r="V108">
        <v>1</v>
      </c>
      <c r="W108">
        <v>0</v>
      </c>
    </row>
    <row r="109" spans="1:23">
      <c r="A109">
        <v>100310</v>
      </c>
      <c r="B109">
        <v>100310</v>
      </c>
      <c r="C109" t="str">
        <f>INDEX(TextData!B:B,MATCH(B109,TextData!A:A))</f>
        <v>セイクリッドバリア</v>
      </c>
      <c r="D109">
        <v>10</v>
      </c>
      <c r="E109" t="str">
        <f>INDEX([2]Define!X:X,MATCH(D109,[2]Define!W:W))</f>
        <v>半神</v>
      </c>
      <c r="F109">
        <v>51</v>
      </c>
      <c r="H109">
        <v>1</v>
      </c>
      <c r="I109" t="str">
        <f>INDEX([2]Define!B:B,MATCH(H109,[2]Define!A:A))</f>
        <v>単体</v>
      </c>
      <c r="J109">
        <v>0</v>
      </c>
      <c r="K109">
        <v>1000</v>
      </c>
      <c r="L109">
        <v>3</v>
      </c>
      <c r="M109" t="str">
        <f>INDEX([2]Define!E:E,MATCH(L109,[2]Define!D:D))</f>
        <v>氷</v>
      </c>
      <c r="N109">
        <v>3</v>
      </c>
      <c r="O109" t="str">
        <f>INDEX([2]Define!H:H,MATCH(N109,[2]Define!G:G))</f>
        <v>神化</v>
      </c>
      <c r="P109">
        <v>2</v>
      </c>
      <c r="Q109" t="str">
        <f>INDEX([2]Define!K:K,MATCH(P109,[2]Define!J:J))</f>
        <v>味方</v>
      </c>
      <c r="R109">
        <v>3</v>
      </c>
      <c r="S109" t="str">
        <f>INDEX([2]Define!N:N,MATCH(R109,[2]Define!M:M))</f>
        <v>全体</v>
      </c>
      <c r="T109">
        <v>2</v>
      </c>
      <c r="U109">
        <v>1</v>
      </c>
      <c r="V109">
        <v>1</v>
      </c>
      <c r="W109">
        <v>0</v>
      </c>
    </row>
    <row r="110" spans="1:23">
      <c r="A110">
        <v>100320</v>
      </c>
      <c r="B110">
        <v>100320</v>
      </c>
      <c r="C110" t="str">
        <f>INDEX(TextData!B:B,MATCH(B110,TextData!A:A))</f>
        <v>リベンジニードル</v>
      </c>
      <c r="D110">
        <v>11</v>
      </c>
      <c r="E110" t="str">
        <f>INDEX([2]Define!X:X,MATCH(D110,[2]Define!W:W))</f>
        <v>覚醒</v>
      </c>
      <c r="F110">
        <v>1003</v>
      </c>
      <c r="H110">
        <v>1</v>
      </c>
      <c r="I110" t="str">
        <f>INDEX([2]Define!B:B,MATCH(H110,[2]Define!A:A))</f>
        <v>単体</v>
      </c>
      <c r="J110">
        <v>0</v>
      </c>
      <c r="K110">
        <v>1000</v>
      </c>
      <c r="L110">
        <v>3</v>
      </c>
      <c r="M110" t="str">
        <f>INDEX([2]Define!E:E,MATCH(L110,[2]Define!D:D))</f>
        <v>氷</v>
      </c>
      <c r="N110">
        <v>4</v>
      </c>
      <c r="O110" t="str">
        <f>INDEX([2]Define!H:H,MATCH(N110,[2]Define!G:G))</f>
        <v>覚醒</v>
      </c>
      <c r="P110">
        <v>1</v>
      </c>
      <c r="Q110" t="str">
        <f>INDEX([2]Define!K:K,MATCH(P110,[2]Define!J:J))</f>
        <v>相手</v>
      </c>
      <c r="R110">
        <v>3</v>
      </c>
      <c r="S110" t="str">
        <f>INDEX([2]Define!N:N,MATCH(R110,[2]Define!M:M))</f>
        <v>全体</v>
      </c>
      <c r="T110">
        <v>1</v>
      </c>
      <c r="U110">
        <v>1</v>
      </c>
      <c r="V110">
        <v>1</v>
      </c>
      <c r="W110">
        <v>0</v>
      </c>
    </row>
    <row r="111" spans="1:23">
      <c r="A111">
        <v>100410</v>
      </c>
      <c r="B111">
        <v>100410</v>
      </c>
      <c r="C111" t="str">
        <f>INDEX(TextData!B:B,MATCH(B111,TextData!A:A))</f>
        <v>アバンデンス</v>
      </c>
      <c r="D111">
        <v>10</v>
      </c>
      <c r="E111" t="str">
        <f>INDEX([2]Define!X:X,MATCH(D111,[2]Define!W:W))</f>
        <v>半神</v>
      </c>
      <c r="F111">
        <v>401</v>
      </c>
      <c r="H111">
        <v>1</v>
      </c>
      <c r="I111" t="str">
        <f>INDEX([2]Define!B:B,MATCH(H111,[2]Define!A:A))</f>
        <v>単体</v>
      </c>
      <c r="J111">
        <v>0</v>
      </c>
      <c r="K111">
        <v>1000</v>
      </c>
      <c r="L111">
        <v>4</v>
      </c>
      <c r="M111" t="str">
        <f>INDEX([2]Define!E:E,MATCH(L111,[2]Define!D:D))</f>
        <v>光</v>
      </c>
      <c r="N111">
        <v>3</v>
      </c>
      <c r="O111" t="str">
        <f>INDEX([2]Define!H:H,MATCH(N111,[2]Define!G:G))</f>
        <v>神化</v>
      </c>
      <c r="P111">
        <v>2</v>
      </c>
      <c r="Q111" t="str">
        <f>INDEX([2]Define!K:K,MATCH(P111,[2]Define!J:J))</f>
        <v>味方</v>
      </c>
      <c r="R111">
        <v>3</v>
      </c>
      <c r="S111" t="str">
        <f>INDEX([2]Define!N:N,MATCH(R111,[2]Define!M:M))</f>
        <v>全体</v>
      </c>
      <c r="T111">
        <v>2</v>
      </c>
      <c r="U111">
        <v>1</v>
      </c>
      <c r="V111">
        <v>0</v>
      </c>
      <c r="W111">
        <v>0</v>
      </c>
    </row>
    <row r="112" spans="1:23">
      <c r="A112">
        <v>100420</v>
      </c>
      <c r="B112">
        <v>100420</v>
      </c>
      <c r="C112" t="str">
        <f>INDEX(TextData!B:B,MATCH(B112,TextData!A:A))</f>
        <v>ハーヴェスト</v>
      </c>
      <c r="D112">
        <v>11</v>
      </c>
      <c r="E112" t="str">
        <f>INDEX([2]Define!X:X,MATCH(D112,[2]Define!W:W))</f>
        <v>覚醒</v>
      </c>
      <c r="F112">
        <v>1004</v>
      </c>
      <c r="H112">
        <v>1</v>
      </c>
      <c r="I112" t="str">
        <f>INDEX([2]Define!B:B,MATCH(H112,[2]Define!A:A))</f>
        <v>単体</v>
      </c>
      <c r="J112">
        <v>0</v>
      </c>
      <c r="K112">
        <v>1000</v>
      </c>
      <c r="L112">
        <v>4</v>
      </c>
      <c r="M112" t="str">
        <f>INDEX([2]Define!E:E,MATCH(L112,[2]Define!D:D))</f>
        <v>光</v>
      </c>
      <c r="N112">
        <v>4</v>
      </c>
      <c r="O112" t="str">
        <f>INDEX([2]Define!H:H,MATCH(N112,[2]Define!G:G))</f>
        <v>覚醒</v>
      </c>
      <c r="P112">
        <v>2</v>
      </c>
      <c r="Q112" t="str">
        <f>INDEX([2]Define!K:K,MATCH(P112,[2]Define!J:J))</f>
        <v>味方</v>
      </c>
      <c r="R112">
        <v>3</v>
      </c>
      <c r="S112" t="str">
        <f>INDEX([2]Define!N:N,MATCH(R112,[2]Define!M:M))</f>
        <v>全体</v>
      </c>
      <c r="T112">
        <v>2</v>
      </c>
      <c r="U112">
        <v>1</v>
      </c>
      <c r="V112">
        <v>1</v>
      </c>
      <c r="W112">
        <v>0</v>
      </c>
    </row>
    <row r="113" ht="12" customHeight="1" spans="1:23">
      <c r="A113">
        <v>100510</v>
      </c>
      <c r="B113">
        <v>100510</v>
      </c>
      <c r="C113" t="str">
        <f>INDEX(TextData!B:B,MATCH(B113,TextData!A:A))</f>
        <v>カースドブレイク</v>
      </c>
      <c r="D113">
        <v>10</v>
      </c>
      <c r="E113" t="str">
        <f>INDEX([2]Define!X:X,MATCH(D113,[2]Define!W:W))</f>
        <v>半神</v>
      </c>
      <c r="F113">
        <v>51</v>
      </c>
      <c r="H113">
        <v>1</v>
      </c>
      <c r="I113" t="str">
        <f>INDEX([2]Define!B:B,MATCH(H113,[2]Define!A:A))</f>
        <v>単体</v>
      </c>
      <c r="J113">
        <v>0</v>
      </c>
      <c r="K113">
        <v>1000</v>
      </c>
      <c r="L113">
        <v>5</v>
      </c>
      <c r="M113" t="str">
        <f>INDEX([2]Define!E:E,MATCH(L113,[2]Define!D:D))</f>
        <v>闇</v>
      </c>
      <c r="N113">
        <v>3</v>
      </c>
      <c r="O113" t="str">
        <f>INDEX([2]Define!H:H,MATCH(N113,[2]Define!G:G))</f>
        <v>神化</v>
      </c>
      <c r="P113">
        <v>4</v>
      </c>
      <c r="Q113" t="str">
        <f>INDEX([2]Define!K:K,MATCH(P113,[2]Define!J:J))</f>
        <v>自身</v>
      </c>
      <c r="R113">
        <v>4</v>
      </c>
      <c r="S113" t="str">
        <f>INDEX([2]Define!N:N,MATCH(R113,[2]Define!M:M))</f>
        <v>自身</v>
      </c>
      <c r="T113">
        <v>1</v>
      </c>
      <c r="U113">
        <v>1</v>
      </c>
      <c r="V113">
        <v>1</v>
      </c>
      <c r="W113">
        <v>0</v>
      </c>
    </row>
    <row r="114" ht="12" customHeight="1" spans="1:23">
      <c r="A114">
        <v>100520</v>
      </c>
      <c r="B114">
        <v>100520</v>
      </c>
      <c r="C114" t="str">
        <f>INDEX(TextData!B:B,MATCH(B114,TextData!A:A))</f>
        <v>ムーンライトレイ</v>
      </c>
      <c r="D114">
        <v>11</v>
      </c>
      <c r="E114" t="str">
        <f>INDEX([2]Define!X:X,MATCH(D114,[2]Define!W:W))</f>
        <v>覚醒</v>
      </c>
      <c r="F114">
        <v>1005</v>
      </c>
      <c r="H114">
        <v>1</v>
      </c>
      <c r="I114" t="str">
        <f>INDEX([2]Define!B:B,MATCH(H114,[2]Define!A:A))</f>
        <v>単体</v>
      </c>
      <c r="J114">
        <v>0</v>
      </c>
      <c r="K114">
        <v>1000</v>
      </c>
      <c r="L114">
        <v>5</v>
      </c>
      <c r="M114" t="str">
        <f>INDEX([2]Define!E:E,MATCH(L114,[2]Define!D:D))</f>
        <v>闇</v>
      </c>
      <c r="N114">
        <v>4</v>
      </c>
      <c r="O114" t="str">
        <f>INDEX([2]Define!H:H,MATCH(N114,[2]Define!G:G))</f>
        <v>覚醒</v>
      </c>
      <c r="P114">
        <v>1</v>
      </c>
      <c r="Q114" t="str">
        <f>INDEX([2]Define!K:K,MATCH(P114,[2]Define!J:J))</f>
        <v>相手</v>
      </c>
      <c r="R114">
        <v>3</v>
      </c>
      <c r="S114" t="str">
        <f>INDEX([2]Define!N:N,MATCH(R114,[2]Define!M:M))</f>
        <v>全体</v>
      </c>
      <c r="T114">
        <v>2</v>
      </c>
      <c r="U114">
        <v>1</v>
      </c>
      <c r="V114">
        <v>1</v>
      </c>
      <c r="W114">
        <v>0</v>
      </c>
    </row>
    <row r="115" spans="1:23">
      <c r="A115">
        <v>100610</v>
      </c>
      <c r="B115">
        <v>100610</v>
      </c>
      <c r="C115" t="str">
        <f>INDEX(TextData!B:B,MATCH(B115,TextData!A:A))</f>
        <v>サンフレイム</v>
      </c>
      <c r="D115">
        <v>10</v>
      </c>
      <c r="E115" t="str">
        <f>INDEX([2]Define!X:X,MATCH(D115,[2]Define!W:W))</f>
        <v>半神</v>
      </c>
      <c r="F115">
        <v>51</v>
      </c>
      <c r="H115">
        <v>1</v>
      </c>
      <c r="I115" t="str">
        <f>INDEX([2]Define!B:B,MATCH(H115,[2]Define!A:A))</f>
        <v>単体</v>
      </c>
      <c r="J115">
        <v>0</v>
      </c>
      <c r="K115">
        <v>1000</v>
      </c>
      <c r="L115">
        <v>1</v>
      </c>
      <c r="M115" t="str">
        <f>INDEX([2]Define!E:E,MATCH(L115,[2]Define!D:D))</f>
        <v>炎</v>
      </c>
      <c r="N115">
        <v>3</v>
      </c>
      <c r="O115" t="str">
        <f>INDEX([2]Define!H:H,MATCH(N115,[2]Define!G:G))</f>
        <v>神化</v>
      </c>
      <c r="P115">
        <v>4</v>
      </c>
      <c r="Q115" t="str">
        <f>INDEX([2]Define!K:K,MATCH(P115,[2]Define!J:J))</f>
        <v>自身</v>
      </c>
      <c r="R115">
        <v>31</v>
      </c>
      <c r="S115" t="str">
        <f>INDEX([2]Define!N:N,MATCH(R115,[2]Define!M:M))</f>
        <v>単体と両隣</v>
      </c>
      <c r="T115">
        <v>2</v>
      </c>
      <c r="U115">
        <v>1</v>
      </c>
      <c r="V115">
        <v>1</v>
      </c>
      <c r="W115">
        <v>0</v>
      </c>
    </row>
    <row r="116" spans="1:23">
      <c r="A116">
        <v>100620</v>
      </c>
      <c r="B116">
        <v>100620</v>
      </c>
      <c r="C116" t="str">
        <f>INDEX(TextData!B:B,MATCH(B116,TextData!A:A))</f>
        <v>フレイムタン</v>
      </c>
      <c r="D116">
        <v>11</v>
      </c>
      <c r="E116" t="str">
        <f>INDEX([2]Define!X:X,MATCH(D116,[2]Define!W:W))</f>
        <v>覚醒</v>
      </c>
      <c r="F116">
        <v>1005</v>
      </c>
      <c r="H116">
        <v>1</v>
      </c>
      <c r="I116" t="str">
        <f>INDEX([2]Define!B:B,MATCH(H116,[2]Define!A:A))</f>
        <v>単体</v>
      </c>
      <c r="J116">
        <v>0</v>
      </c>
      <c r="K116">
        <v>1000</v>
      </c>
      <c r="L116">
        <v>1</v>
      </c>
      <c r="M116" t="str">
        <f>INDEX([2]Define!E:E,MATCH(L116,[2]Define!D:D))</f>
        <v>炎</v>
      </c>
      <c r="N116">
        <v>4</v>
      </c>
      <c r="O116" t="str">
        <f>INDEX([2]Define!H:H,MATCH(N116,[2]Define!G:G))</f>
        <v>覚醒</v>
      </c>
      <c r="P116">
        <v>1</v>
      </c>
      <c r="Q116" t="str">
        <f>INDEX([2]Define!K:K,MATCH(P116,[2]Define!J:J))</f>
        <v>相手</v>
      </c>
      <c r="R116">
        <v>3</v>
      </c>
      <c r="S116" t="str">
        <f>INDEX([2]Define!N:N,MATCH(R116,[2]Define!M:M))</f>
        <v>全体</v>
      </c>
      <c r="T116">
        <v>2</v>
      </c>
      <c r="U116">
        <v>1</v>
      </c>
      <c r="V116">
        <v>1</v>
      </c>
      <c r="W116">
        <v>0</v>
      </c>
    </row>
    <row r="117" ht="12" customHeight="1" spans="1:23">
      <c r="A117">
        <v>100710</v>
      </c>
      <c r="B117">
        <v>100710</v>
      </c>
      <c r="C117" t="str">
        <f>INDEX(TextData!B:B,MATCH(B117,TextData!A:A))</f>
        <v>ライズザフラッグ</v>
      </c>
      <c r="D117">
        <v>10</v>
      </c>
      <c r="E117" t="str">
        <f>INDEX([2]Define!X:X,MATCH(D117,[2]Define!W:W))</f>
        <v>半神</v>
      </c>
      <c r="F117">
        <v>201</v>
      </c>
      <c r="H117">
        <v>1</v>
      </c>
      <c r="I117" t="str">
        <f>INDEX([2]Define!B:B,MATCH(H117,[2]Define!A:A))</f>
        <v>単体</v>
      </c>
      <c r="J117">
        <v>0</v>
      </c>
      <c r="K117">
        <v>1000</v>
      </c>
      <c r="L117">
        <v>2</v>
      </c>
      <c r="M117" t="str">
        <f>INDEX([2]Define!E:E,MATCH(L117,[2]Define!D:D))</f>
        <v>雷</v>
      </c>
      <c r="N117">
        <v>3</v>
      </c>
      <c r="O117" t="str">
        <f>INDEX([2]Define!H:H,MATCH(N117,[2]Define!G:G))</f>
        <v>神化</v>
      </c>
      <c r="P117">
        <v>4</v>
      </c>
      <c r="Q117" t="str">
        <f>INDEX([2]Define!K:K,MATCH(P117,[2]Define!J:J))</f>
        <v>自身</v>
      </c>
      <c r="R117">
        <v>4</v>
      </c>
      <c r="S117" t="str">
        <f>INDEX([2]Define!N:N,MATCH(R117,[2]Define!M:M))</f>
        <v>自身</v>
      </c>
      <c r="T117">
        <v>1</v>
      </c>
      <c r="U117">
        <v>1</v>
      </c>
      <c r="V117">
        <v>1</v>
      </c>
      <c r="W117">
        <v>0</v>
      </c>
    </row>
    <row r="118" ht="12" customHeight="1" spans="1:23">
      <c r="A118">
        <v>100720</v>
      </c>
      <c r="B118">
        <v>100720</v>
      </c>
      <c r="C118" t="str">
        <f>INDEX(TextData!B:B,MATCH(B118,TextData!A:A))</f>
        <v>オーバーリミット</v>
      </c>
      <c r="D118">
        <v>11</v>
      </c>
      <c r="E118" t="str">
        <f>INDEX([2]Define!X:X,MATCH(D118,[2]Define!W:W))</f>
        <v>覚醒</v>
      </c>
      <c r="F118">
        <v>1005</v>
      </c>
      <c r="H118">
        <v>1</v>
      </c>
      <c r="I118" t="str">
        <f>INDEX([2]Define!B:B,MATCH(H118,[2]Define!A:A))</f>
        <v>単体</v>
      </c>
      <c r="J118">
        <v>0</v>
      </c>
      <c r="K118">
        <v>1000</v>
      </c>
      <c r="L118">
        <v>2</v>
      </c>
      <c r="M118" t="str">
        <f>INDEX([2]Define!E:E,MATCH(L118,[2]Define!D:D))</f>
        <v>雷</v>
      </c>
      <c r="N118">
        <v>4</v>
      </c>
      <c r="O118" t="str">
        <f>INDEX([2]Define!H:H,MATCH(N118,[2]Define!G:G))</f>
        <v>覚醒</v>
      </c>
      <c r="P118">
        <v>2</v>
      </c>
      <c r="Q118" t="str">
        <f>INDEX([2]Define!K:K,MATCH(P118,[2]Define!J:J))</f>
        <v>味方</v>
      </c>
      <c r="R118">
        <v>2</v>
      </c>
      <c r="S118" t="str">
        <f>INDEX([2]Define!N:N,MATCH(R118,[2]Define!M:M))</f>
        <v>列</v>
      </c>
      <c r="T118">
        <v>1</v>
      </c>
      <c r="U118">
        <v>1</v>
      </c>
      <c r="V118">
        <v>1</v>
      </c>
      <c r="W118">
        <v>0</v>
      </c>
    </row>
    <row r="119" ht="12" customHeight="1" spans="1:23">
      <c r="A119">
        <v>100810</v>
      </c>
      <c r="B119">
        <v>100810</v>
      </c>
      <c r="C119" t="str">
        <f>INDEX(TextData!B:B,MATCH(B119,TextData!A:A))</f>
        <v>テンパランス</v>
      </c>
      <c r="D119">
        <v>10</v>
      </c>
      <c r="E119" t="str">
        <f>INDEX([2]Define!X:X,MATCH(D119,[2]Define!W:W))</f>
        <v>半神</v>
      </c>
      <c r="F119">
        <v>51</v>
      </c>
      <c r="H119">
        <v>1</v>
      </c>
      <c r="I119" t="str">
        <f>INDEX([2]Define!B:B,MATCH(H119,[2]Define!A:A))</f>
        <v>単体</v>
      </c>
      <c r="J119">
        <v>0</v>
      </c>
      <c r="K119">
        <v>1000</v>
      </c>
      <c r="L119">
        <v>3</v>
      </c>
      <c r="M119" t="str">
        <f>INDEX([2]Define!E:E,MATCH(L119,[2]Define!D:D))</f>
        <v>氷</v>
      </c>
      <c r="N119">
        <v>3</v>
      </c>
      <c r="O119" t="str">
        <f>INDEX([2]Define!H:H,MATCH(N119,[2]Define!G:G))</f>
        <v>神化</v>
      </c>
      <c r="P119">
        <v>2</v>
      </c>
      <c r="Q119" t="str">
        <f>INDEX([2]Define!K:K,MATCH(P119,[2]Define!J:J))</f>
        <v>味方</v>
      </c>
      <c r="R119">
        <v>3</v>
      </c>
      <c r="S119" t="str">
        <f>INDEX([2]Define!N:N,MATCH(R119,[2]Define!M:M))</f>
        <v>全体</v>
      </c>
      <c r="T119">
        <v>2</v>
      </c>
      <c r="U119">
        <v>1</v>
      </c>
      <c r="V119">
        <v>1</v>
      </c>
      <c r="W119">
        <v>0</v>
      </c>
    </row>
    <row r="120" ht="12" customHeight="1" spans="1:23">
      <c r="A120">
        <v>100820</v>
      </c>
      <c r="B120">
        <v>100820</v>
      </c>
      <c r="C120" t="str">
        <f>INDEX(TextData!B:B,MATCH(B120,TextData!A:A))</f>
        <v>シエルクルセイダー</v>
      </c>
      <c r="D120">
        <v>11</v>
      </c>
      <c r="E120" t="str">
        <f>INDEX([2]Define!X:X,MATCH(D120,[2]Define!W:W))</f>
        <v>覚醒</v>
      </c>
      <c r="F120">
        <v>1005</v>
      </c>
      <c r="H120">
        <v>1</v>
      </c>
      <c r="I120" t="str">
        <f>INDEX([2]Define!B:B,MATCH(H120,[2]Define!A:A))</f>
        <v>単体</v>
      </c>
      <c r="J120">
        <v>0</v>
      </c>
      <c r="K120">
        <v>1000</v>
      </c>
      <c r="L120">
        <v>3</v>
      </c>
      <c r="M120" t="str">
        <f>INDEX([2]Define!E:E,MATCH(L120,[2]Define!D:D))</f>
        <v>氷</v>
      </c>
      <c r="N120">
        <v>4</v>
      </c>
      <c r="O120" t="str">
        <f>INDEX([2]Define!H:H,MATCH(N120,[2]Define!G:G))</f>
        <v>覚醒</v>
      </c>
      <c r="P120">
        <v>1</v>
      </c>
      <c r="Q120" t="str">
        <f>INDEX([2]Define!K:K,MATCH(P120,[2]Define!J:J))</f>
        <v>相手</v>
      </c>
      <c r="R120">
        <v>3</v>
      </c>
      <c r="S120" t="str">
        <f>INDEX([2]Define!N:N,MATCH(R120,[2]Define!M:M))</f>
        <v>全体</v>
      </c>
      <c r="T120">
        <v>2</v>
      </c>
      <c r="U120">
        <v>1</v>
      </c>
      <c r="V120">
        <v>1</v>
      </c>
      <c r="W120">
        <v>0</v>
      </c>
    </row>
    <row r="121" ht="12" customHeight="1" spans="1:23">
      <c r="A121">
        <v>100910</v>
      </c>
      <c r="B121">
        <v>100910</v>
      </c>
      <c r="C121" t="str">
        <f>INDEX(TextData!B:B,MATCH(B121,TextData!A:A))</f>
        <v>バーニングカウンター</v>
      </c>
      <c r="D121">
        <v>10</v>
      </c>
      <c r="E121" t="str">
        <f>INDEX([2]Define!X:X,MATCH(D121,[2]Define!W:W))</f>
        <v>半神</v>
      </c>
      <c r="F121">
        <v>101</v>
      </c>
      <c r="H121">
        <v>1</v>
      </c>
      <c r="I121" t="str">
        <f>INDEX([2]Define!B:B,MATCH(H121,[2]Define!A:A))</f>
        <v>単体</v>
      </c>
      <c r="J121">
        <v>0</v>
      </c>
      <c r="K121">
        <v>1000</v>
      </c>
      <c r="L121">
        <v>1</v>
      </c>
      <c r="M121" t="str">
        <f>INDEX([2]Define!E:E,MATCH(L121,[2]Define!D:D))</f>
        <v>炎</v>
      </c>
      <c r="N121">
        <v>3</v>
      </c>
      <c r="O121" t="str">
        <f>INDEX([2]Define!H:H,MATCH(N121,[2]Define!G:G))</f>
        <v>神化</v>
      </c>
      <c r="P121">
        <v>6</v>
      </c>
      <c r="Q121" t="str">
        <f>INDEX([2]Define!K:K,MATCH(P121,[2]Define!J:J))</f>
        <v>反撃</v>
      </c>
      <c r="R121">
        <v>1</v>
      </c>
      <c r="S121" t="str">
        <f>INDEX([2]Define!N:N,MATCH(R121,[2]Define!M:M))</f>
        <v>単体</v>
      </c>
      <c r="T121">
        <v>1</v>
      </c>
      <c r="U121">
        <v>1</v>
      </c>
      <c r="V121">
        <v>1</v>
      </c>
      <c r="W121">
        <v>0</v>
      </c>
    </row>
    <row r="122" ht="12" customHeight="1" spans="1:23">
      <c r="A122">
        <v>100911</v>
      </c>
      <c r="B122">
        <v>100911</v>
      </c>
      <c r="C122" t="str">
        <f>INDEX(TextData!B:B,MATCH(B122,TextData!A:A))</f>
        <v>バーニングカウンター</v>
      </c>
      <c r="D122">
        <v>10</v>
      </c>
      <c r="E122" t="str">
        <f>INDEX([2]Define!X:X,MATCH(D122,[2]Define!W:W))</f>
        <v>半神</v>
      </c>
      <c r="F122">
        <v>51</v>
      </c>
      <c r="H122">
        <v>1</v>
      </c>
      <c r="I122" t="str">
        <f>INDEX([2]Define!B:B,MATCH(H122,[2]Define!A:A))</f>
        <v>単体</v>
      </c>
      <c r="J122">
        <v>0</v>
      </c>
      <c r="K122">
        <v>1000</v>
      </c>
      <c r="L122">
        <v>1</v>
      </c>
      <c r="M122" t="str">
        <f>INDEX([2]Define!E:E,MATCH(L122,[2]Define!D:D))</f>
        <v>炎</v>
      </c>
      <c r="N122">
        <v>2</v>
      </c>
      <c r="O122" t="str">
        <f>INDEX([2]Define!H:H,MATCH(N122,[2]Define!G:G))</f>
        <v>パッシブ</v>
      </c>
      <c r="P122">
        <v>4</v>
      </c>
      <c r="Q122" t="str">
        <f>INDEX([2]Define!K:K,MATCH(P122,[2]Define!J:J))</f>
        <v>自身</v>
      </c>
      <c r="R122">
        <v>4</v>
      </c>
      <c r="S122" t="str">
        <f>INDEX([2]Define!N:N,MATCH(R122,[2]Define!M:M))</f>
        <v>自身</v>
      </c>
      <c r="T122">
        <v>1</v>
      </c>
      <c r="U122">
        <v>1</v>
      </c>
      <c r="V122">
        <v>1</v>
      </c>
      <c r="W122">
        <v>0</v>
      </c>
    </row>
    <row r="123" ht="12" customHeight="1" spans="1:23">
      <c r="A123">
        <v>100920</v>
      </c>
      <c r="B123">
        <v>100920</v>
      </c>
      <c r="C123" t="str">
        <f>INDEX(TextData!B:B,MATCH(B123,TextData!A:A))</f>
        <v>プロミネンス</v>
      </c>
      <c r="D123">
        <v>11</v>
      </c>
      <c r="E123" t="str">
        <f>INDEX([2]Define!X:X,MATCH(D123,[2]Define!W:W))</f>
        <v>覚醒</v>
      </c>
      <c r="F123">
        <v>1005</v>
      </c>
      <c r="H123">
        <v>1</v>
      </c>
      <c r="I123" t="str">
        <f>INDEX([2]Define!B:B,MATCH(H123,[2]Define!A:A))</f>
        <v>単体</v>
      </c>
      <c r="J123">
        <v>0</v>
      </c>
      <c r="K123">
        <v>1000</v>
      </c>
      <c r="L123">
        <v>1</v>
      </c>
      <c r="M123" t="str">
        <f>INDEX([2]Define!E:E,MATCH(L123,[2]Define!D:D))</f>
        <v>炎</v>
      </c>
      <c r="N123">
        <v>4</v>
      </c>
      <c r="O123" t="str">
        <f>INDEX([2]Define!H:H,MATCH(N123,[2]Define!G:G))</f>
        <v>覚醒</v>
      </c>
      <c r="P123">
        <v>1</v>
      </c>
      <c r="Q123" t="str">
        <f>INDEX([2]Define!K:K,MATCH(P123,[2]Define!J:J))</f>
        <v>相手</v>
      </c>
      <c r="R123">
        <v>1</v>
      </c>
      <c r="S123" t="str">
        <f>INDEX([2]Define!N:N,MATCH(R123,[2]Define!M:M))</f>
        <v>単体</v>
      </c>
      <c r="T123">
        <v>1</v>
      </c>
      <c r="U123">
        <v>1</v>
      </c>
      <c r="V123">
        <v>1</v>
      </c>
      <c r="W123">
        <v>0</v>
      </c>
    </row>
    <row r="124" ht="12" customHeight="1" spans="1:23">
      <c r="A124">
        <v>100921</v>
      </c>
      <c r="B124">
        <v>100921</v>
      </c>
      <c r="C124" t="str">
        <f>INDEX(TextData!B:B,MATCH(B124,TextData!A:A))</f>
        <v>プロミネンス</v>
      </c>
      <c r="D124">
        <v>11</v>
      </c>
      <c r="E124" t="str">
        <f>INDEX([2]Define!X:X,MATCH(D124,[2]Define!W:W))</f>
        <v>覚醒</v>
      </c>
      <c r="F124">
        <v>51</v>
      </c>
      <c r="H124">
        <v>1</v>
      </c>
      <c r="I124" t="str">
        <f>INDEX([2]Define!B:B,MATCH(H124,[2]Define!A:A))</f>
        <v>単体</v>
      </c>
      <c r="J124">
        <v>0</v>
      </c>
      <c r="K124">
        <v>1000</v>
      </c>
      <c r="L124">
        <v>1</v>
      </c>
      <c r="M124" t="str">
        <f>INDEX([2]Define!E:E,MATCH(L124,[2]Define!D:D))</f>
        <v>炎</v>
      </c>
      <c r="N124">
        <v>2</v>
      </c>
      <c r="O124" t="str">
        <f>INDEX([2]Define!H:H,MATCH(N124,[2]Define!G:G))</f>
        <v>パッシブ</v>
      </c>
      <c r="P124">
        <v>4</v>
      </c>
      <c r="Q124" t="str">
        <f>INDEX([2]Define!K:K,MATCH(P124,[2]Define!J:J))</f>
        <v>自身</v>
      </c>
      <c r="R124">
        <v>4</v>
      </c>
      <c r="S124" t="str">
        <f>INDEX([2]Define!N:N,MATCH(R124,[2]Define!M:M))</f>
        <v>自身</v>
      </c>
      <c r="T124">
        <v>1</v>
      </c>
      <c r="U124">
        <v>1</v>
      </c>
      <c r="V124">
        <v>1</v>
      </c>
      <c r="W124">
        <v>0</v>
      </c>
    </row>
    <row r="125" ht="12" customHeight="1" spans="1:23">
      <c r="A125">
        <v>101010</v>
      </c>
      <c r="B125">
        <v>101010</v>
      </c>
      <c r="C125" t="str">
        <f>INDEX(TextData!B:B,MATCH(B125,TextData!A:A))</f>
        <v>エウロス</v>
      </c>
      <c r="D125">
        <v>10</v>
      </c>
      <c r="E125" t="str">
        <f>INDEX([2]Define!X:X,MATCH(D125,[2]Define!W:W))</f>
        <v>半神</v>
      </c>
      <c r="F125">
        <v>51</v>
      </c>
      <c r="H125">
        <v>1</v>
      </c>
      <c r="I125" t="str">
        <f>INDEX([2]Define!B:B,MATCH(H125,[2]Define!A:A))</f>
        <v>単体</v>
      </c>
      <c r="J125">
        <v>0</v>
      </c>
      <c r="K125">
        <v>1000</v>
      </c>
      <c r="L125">
        <v>2</v>
      </c>
      <c r="M125" t="str">
        <f>INDEX([2]Define!E:E,MATCH(L125,[2]Define!D:D))</f>
        <v>雷</v>
      </c>
      <c r="N125">
        <v>3</v>
      </c>
      <c r="O125" t="str">
        <f>INDEX([2]Define!H:H,MATCH(N125,[2]Define!G:G))</f>
        <v>神化</v>
      </c>
      <c r="P125">
        <v>6</v>
      </c>
      <c r="Q125" t="str">
        <f>INDEX([2]Define!K:K,MATCH(P125,[2]Define!J:J))</f>
        <v>反撃</v>
      </c>
      <c r="R125">
        <v>1</v>
      </c>
      <c r="S125" t="str">
        <f>INDEX([2]Define!N:N,MATCH(R125,[2]Define!M:M))</f>
        <v>単体</v>
      </c>
      <c r="T125">
        <v>1</v>
      </c>
      <c r="U125">
        <v>1</v>
      </c>
      <c r="V125">
        <v>1</v>
      </c>
      <c r="W125">
        <v>0</v>
      </c>
    </row>
    <row r="126" ht="12" customHeight="1" spans="1:23">
      <c r="A126">
        <v>101020</v>
      </c>
      <c r="B126">
        <v>101020</v>
      </c>
      <c r="C126" t="str">
        <f>INDEX(TextData!B:B,MATCH(B126,TextData!A:A))</f>
        <v>ボレアス</v>
      </c>
      <c r="D126">
        <v>11</v>
      </c>
      <c r="E126" t="str">
        <f>INDEX([2]Define!X:X,MATCH(D126,[2]Define!W:W))</f>
        <v>覚醒</v>
      </c>
      <c r="F126">
        <v>1005</v>
      </c>
      <c r="H126">
        <v>1</v>
      </c>
      <c r="I126" t="str">
        <f>INDEX([2]Define!B:B,MATCH(H126,[2]Define!A:A))</f>
        <v>単体</v>
      </c>
      <c r="J126">
        <v>0</v>
      </c>
      <c r="K126">
        <v>1000</v>
      </c>
      <c r="L126">
        <v>2</v>
      </c>
      <c r="M126" t="str">
        <f>INDEX([2]Define!E:E,MATCH(L126,[2]Define!D:D))</f>
        <v>雷</v>
      </c>
      <c r="N126">
        <v>4</v>
      </c>
      <c r="O126" t="str">
        <f>INDEX([2]Define!H:H,MATCH(N126,[2]Define!G:G))</f>
        <v>覚醒</v>
      </c>
      <c r="P126">
        <v>1</v>
      </c>
      <c r="Q126" t="str">
        <f>INDEX([2]Define!K:K,MATCH(P126,[2]Define!J:J))</f>
        <v>相手</v>
      </c>
      <c r="R126">
        <v>3</v>
      </c>
      <c r="S126" t="str">
        <f>INDEX([2]Define!N:N,MATCH(R126,[2]Define!M:M))</f>
        <v>全体</v>
      </c>
      <c r="T126">
        <v>2</v>
      </c>
      <c r="U126">
        <v>1</v>
      </c>
      <c r="V126">
        <v>1</v>
      </c>
      <c r="W126">
        <v>0</v>
      </c>
    </row>
    <row r="127" ht="12" customHeight="1" spans="1:23">
      <c r="A127">
        <v>101110</v>
      </c>
      <c r="B127">
        <v>101110</v>
      </c>
      <c r="C127" t="str">
        <f>INDEX(TextData!B:B,MATCH(B127,TextData!A:A))</f>
        <v>アバランシュ</v>
      </c>
      <c r="D127">
        <v>10</v>
      </c>
      <c r="E127" t="str">
        <f>INDEX([2]Define!X:X,MATCH(D127,[2]Define!W:W))</f>
        <v>半神</v>
      </c>
      <c r="F127">
        <v>301</v>
      </c>
      <c r="H127">
        <v>1</v>
      </c>
      <c r="I127" t="str">
        <f>INDEX([2]Define!B:B,MATCH(H127,[2]Define!A:A))</f>
        <v>単体</v>
      </c>
      <c r="J127">
        <v>0</v>
      </c>
      <c r="K127">
        <v>1000</v>
      </c>
      <c r="L127">
        <v>3</v>
      </c>
      <c r="M127" t="str">
        <f>INDEX([2]Define!E:E,MATCH(L127,[2]Define!D:D))</f>
        <v>氷</v>
      </c>
      <c r="N127">
        <v>3</v>
      </c>
      <c r="O127" t="str">
        <f>INDEX([2]Define!H:H,MATCH(N127,[2]Define!G:G))</f>
        <v>神化</v>
      </c>
      <c r="P127">
        <v>1</v>
      </c>
      <c r="Q127" t="str">
        <f>INDEX([2]Define!K:K,MATCH(P127,[2]Define!J:J))</f>
        <v>相手</v>
      </c>
      <c r="R127">
        <v>3</v>
      </c>
      <c r="S127" t="str">
        <f>INDEX([2]Define!N:N,MATCH(R127,[2]Define!M:M))</f>
        <v>全体</v>
      </c>
      <c r="T127">
        <v>2</v>
      </c>
      <c r="U127">
        <v>1</v>
      </c>
      <c r="V127">
        <v>1</v>
      </c>
      <c r="W127">
        <v>0</v>
      </c>
    </row>
    <row r="128" ht="12" customHeight="1" spans="1:23">
      <c r="A128">
        <v>101120</v>
      </c>
      <c r="B128">
        <v>101120</v>
      </c>
      <c r="C128" t="str">
        <f>INDEX(TextData!B:B,MATCH(B128,TextData!A:A))</f>
        <v>ブリザードコフィン</v>
      </c>
      <c r="D128">
        <v>11</v>
      </c>
      <c r="E128" t="str">
        <f>INDEX([2]Define!X:X,MATCH(D128,[2]Define!W:W))</f>
        <v>覚醒</v>
      </c>
      <c r="F128">
        <v>1005</v>
      </c>
      <c r="H128">
        <v>1</v>
      </c>
      <c r="I128" t="str">
        <f>INDEX([2]Define!B:B,MATCH(H128,[2]Define!A:A))</f>
        <v>単体</v>
      </c>
      <c r="J128">
        <v>0</v>
      </c>
      <c r="K128">
        <v>1000</v>
      </c>
      <c r="L128">
        <v>3</v>
      </c>
      <c r="M128" t="str">
        <f>INDEX([2]Define!E:E,MATCH(L128,[2]Define!D:D))</f>
        <v>氷</v>
      </c>
      <c r="N128">
        <v>4</v>
      </c>
      <c r="O128" t="str">
        <f>INDEX([2]Define!H:H,MATCH(N128,[2]Define!G:G))</f>
        <v>覚醒</v>
      </c>
      <c r="P128">
        <v>1</v>
      </c>
      <c r="Q128" t="str">
        <f>INDEX([2]Define!K:K,MATCH(P128,[2]Define!J:J))</f>
        <v>相手</v>
      </c>
      <c r="R128">
        <v>2</v>
      </c>
      <c r="S128" t="str">
        <f>INDEX([2]Define!N:N,MATCH(R128,[2]Define!M:M))</f>
        <v>列</v>
      </c>
      <c r="T128">
        <v>2</v>
      </c>
      <c r="U128">
        <v>1</v>
      </c>
      <c r="V128">
        <v>1</v>
      </c>
      <c r="W128">
        <v>0</v>
      </c>
    </row>
    <row r="129" spans="1:23">
      <c r="A129">
        <v>200210</v>
      </c>
      <c r="B129">
        <v>200210</v>
      </c>
      <c r="C129" t="str">
        <f>INDEX(TextData!B:B,MATCH(B129,TextData!A:A))</f>
        <v>マイトレインフォース</v>
      </c>
      <c r="D129">
        <v>10</v>
      </c>
      <c r="E129" t="str">
        <f>INDEX([2]Define!X:X,MATCH(D129,[2]Define!W:W))</f>
        <v>半神</v>
      </c>
      <c r="F129">
        <v>51</v>
      </c>
      <c r="H129">
        <v>1</v>
      </c>
      <c r="I129" t="str">
        <f>INDEX([2]Define!B:B,MATCH(H129,[2]Define!A:A))</f>
        <v>単体</v>
      </c>
      <c r="J129">
        <v>0</v>
      </c>
      <c r="K129">
        <v>1000</v>
      </c>
      <c r="L129">
        <v>1</v>
      </c>
      <c r="M129" t="str">
        <f>INDEX([2]Define!E:E,MATCH(L129,[2]Define!D:D))</f>
        <v>炎</v>
      </c>
      <c r="N129">
        <v>3</v>
      </c>
      <c r="O129" t="str">
        <f>INDEX([2]Define!H:H,MATCH(N129,[2]Define!G:G))</f>
        <v>神化</v>
      </c>
      <c r="P129">
        <v>4</v>
      </c>
      <c r="Q129" t="str">
        <f>INDEX([2]Define!K:K,MATCH(P129,[2]Define!J:J))</f>
        <v>自身</v>
      </c>
      <c r="R129">
        <v>4</v>
      </c>
      <c r="S129" t="str">
        <f>INDEX([2]Define!N:N,MATCH(R129,[2]Define!M:M))</f>
        <v>自身</v>
      </c>
      <c r="T129">
        <v>1</v>
      </c>
      <c r="U129">
        <v>1</v>
      </c>
      <c r="V129">
        <v>1</v>
      </c>
      <c r="W129">
        <v>0</v>
      </c>
    </row>
    <row r="130" spans="1:23">
      <c r="A130">
        <v>200220</v>
      </c>
      <c r="B130">
        <v>200220</v>
      </c>
      <c r="C130" t="str">
        <f>INDEX(TextData!B:B,MATCH(B130,TextData!A:A))</f>
        <v>カタストロフィ</v>
      </c>
      <c r="D130">
        <v>11</v>
      </c>
      <c r="E130" t="str">
        <f>INDEX([2]Define!X:X,MATCH(D130,[2]Define!W:W))</f>
        <v>覚醒</v>
      </c>
      <c r="F130">
        <v>101</v>
      </c>
      <c r="H130">
        <v>1</v>
      </c>
      <c r="I130" t="str">
        <f>INDEX([2]Define!B:B,MATCH(H130,[2]Define!A:A))</f>
        <v>単体</v>
      </c>
      <c r="J130">
        <v>0</v>
      </c>
      <c r="K130">
        <v>1000</v>
      </c>
      <c r="L130">
        <v>1</v>
      </c>
      <c r="M130" t="str">
        <f>INDEX([2]Define!E:E,MATCH(L130,[2]Define!D:D))</f>
        <v>炎</v>
      </c>
      <c r="N130">
        <v>4</v>
      </c>
      <c r="O130" t="str">
        <f>INDEX([2]Define!H:H,MATCH(N130,[2]Define!G:G))</f>
        <v>覚醒</v>
      </c>
      <c r="P130">
        <v>1</v>
      </c>
      <c r="Q130" t="str">
        <f>INDEX([2]Define!K:K,MATCH(P130,[2]Define!J:J))</f>
        <v>相手</v>
      </c>
      <c r="R130">
        <v>1</v>
      </c>
      <c r="S130" t="str">
        <f>INDEX([2]Define!N:N,MATCH(R130,[2]Define!M:M))</f>
        <v>単体</v>
      </c>
      <c r="T130">
        <v>1</v>
      </c>
      <c r="U130">
        <v>1</v>
      </c>
      <c r="V130">
        <v>1</v>
      </c>
      <c r="W130">
        <v>0</v>
      </c>
    </row>
    <row r="131" spans="1:23">
      <c r="A131">
        <v>200230</v>
      </c>
      <c r="B131">
        <v>200230</v>
      </c>
      <c r="C131" t="str">
        <f>INDEX(TextData!B:B,MATCH(B131,TextData!A:A))</f>
        <v>悪魔(ベリト)</v>
      </c>
      <c r="D131">
        <v>6</v>
      </c>
      <c r="E131" t="str">
        <f>INDEX([2]Define!X:X,MATCH(D131,[2]Define!W:W))</f>
        <v>自己強化</v>
      </c>
      <c r="F131">
        <v>51</v>
      </c>
      <c r="H131">
        <v>1</v>
      </c>
      <c r="I131" t="str">
        <f>INDEX([2]Define!B:B,MATCH(H131,[2]Define!A:A))</f>
        <v>単体</v>
      </c>
      <c r="J131">
        <v>0</v>
      </c>
      <c r="K131">
        <v>0</v>
      </c>
      <c r="L131">
        <v>0</v>
      </c>
      <c r="M131" t="str">
        <f>INDEX([2]Define!E:E,MATCH(L131,[2]Define!D:D))</f>
        <v>なし</v>
      </c>
      <c r="N131">
        <v>2</v>
      </c>
      <c r="O131" t="str">
        <f>INDEX([2]Define!H:H,MATCH(N131,[2]Define!G:G))</f>
        <v>パッシブ</v>
      </c>
      <c r="P131">
        <v>4</v>
      </c>
      <c r="Q131" t="str">
        <f>INDEX([2]Define!K:K,MATCH(P131,[2]Define!J:J))</f>
        <v>自身</v>
      </c>
      <c r="R131">
        <v>4</v>
      </c>
      <c r="S131" t="str">
        <f>INDEX([2]Define!N:N,MATCH(R131,[2]Define!M:M))</f>
        <v>自身</v>
      </c>
      <c r="T131">
        <v>1</v>
      </c>
      <c r="U131">
        <v>1</v>
      </c>
      <c r="V131">
        <v>1</v>
      </c>
      <c r="W131">
        <v>0</v>
      </c>
    </row>
    <row r="132" spans="1:23">
      <c r="A132">
        <v>200310</v>
      </c>
      <c r="B132">
        <v>200310</v>
      </c>
      <c r="C132" t="str">
        <f>INDEX(TextData!B:B,MATCH(B132,TextData!A:A))</f>
        <v>プルガシオン</v>
      </c>
      <c r="D132">
        <v>10</v>
      </c>
      <c r="E132" t="str">
        <f>INDEX([2]Define!X:X,MATCH(D132,[2]Define!W:W))</f>
        <v>半神</v>
      </c>
      <c r="F132">
        <v>21</v>
      </c>
      <c r="H132">
        <v>1</v>
      </c>
      <c r="I132" t="str">
        <f>INDEX([2]Define!B:B,MATCH(H132,[2]Define!A:A))</f>
        <v>単体</v>
      </c>
      <c r="J132">
        <v>0</v>
      </c>
      <c r="K132">
        <v>1000</v>
      </c>
      <c r="L132">
        <v>4</v>
      </c>
      <c r="M132" t="str">
        <f>INDEX([2]Define!E:E,MATCH(L132,[2]Define!D:D))</f>
        <v>光</v>
      </c>
      <c r="N132">
        <v>3</v>
      </c>
      <c r="O132" t="str">
        <f>INDEX([2]Define!H:H,MATCH(N132,[2]Define!G:G))</f>
        <v>神化</v>
      </c>
      <c r="P132">
        <v>2</v>
      </c>
      <c r="Q132" t="str">
        <f>INDEX([2]Define!K:K,MATCH(P132,[2]Define!J:J))</f>
        <v>味方</v>
      </c>
      <c r="R132">
        <v>3</v>
      </c>
      <c r="S132" t="str">
        <f>INDEX([2]Define!N:N,MATCH(R132,[2]Define!M:M))</f>
        <v>全体</v>
      </c>
      <c r="T132">
        <v>2</v>
      </c>
      <c r="U132">
        <v>1</v>
      </c>
      <c r="V132">
        <v>1</v>
      </c>
      <c r="W132">
        <v>0</v>
      </c>
    </row>
    <row r="133" spans="1:23">
      <c r="A133">
        <v>200320</v>
      </c>
      <c r="B133">
        <v>200320</v>
      </c>
      <c r="C133" t="str">
        <f>INDEX(TextData!B:B,MATCH(B133,TextData!A:A))</f>
        <v>プリエステス</v>
      </c>
      <c r="D133">
        <v>11</v>
      </c>
      <c r="E133" t="str">
        <f>INDEX([2]Define!X:X,MATCH(D133,[2]Define!W:W))</f>
        <v>覚醒</v>
      </c>
      <c r="F133">
        <v>21</v>
      </c>
      <c r="H133">
        <v>1</v>
      </c>
      <c r="I133" t="str">
        <f>INDEX([2]Define!B:B,MATCH(H133,[2]Define!A:A))</f>
        <v>単体</v>
      </c>
      <c r="J133">
        <v>0</v>
      </c>
      <c r="K133">
        <v>1000</v>
      </c>
      <c r="L133">
        <v>4</v>
      </c>
      <c r="M133" t="str">
        <f>INDEX([2]Define!E:E,MATCH(L133,[2]Define!D:D))</f>
        <v>光</v>
      </c>
      <c r="N133">
        <v>4</v>
      </c>
      <c r="O133" t="str">
        <f>INDEX([2]Define!H:H,MATCH(N133,[2]Define!G:G))</f>
        <v>覚醒</v>
      </c>
      <c r="P133">
        <v>4</v>
      </c>
      <c r="Q133" t="str">
        <f>INDEX([2]Define!K:K,MATCH(P133,[2]Define!J:J))</f>
        <v>自身</v>
      </c>
      <c r="R133">
        <v>4</v>
      </c>
      <c r="S133" t="str">
        <f>INDEX([2]Define!N:N,MATCH(R133,[2]Define!M:M))</f>
        <v>自身</v>
      </c>
      <c r="T133">
        <v>1</v>
      </c>
      <c r="U133">
        <v>1</v>
      </c>
      <c r="V133">
        <v>1</v>
      </c>
      <c r="W133">
        <v>0</v>
      </c>
    </row>
    <row r="134" spans="1:23">
      <c r="A134">
        <v>200330</v>
      </c>
      <c r="B134">
        <v>200330</v>
      </c>
      <c r="C134" t="str">
        <f>INDEX(TextData!B:B,MATCH(B134,TextData!A:A))</f>
        <v>悪魔(パイモン)</v>
      </c>
      <c r="D134">
        <v>6</v>
      </c>
      <c r="E134" t="str">
        <f>INDEX([2]Define!X:X,MATCH(D134,[2]Define!W:W))</f>
        <v>自己強化</v>
      </c>
      <c r="F134">
        <v>51</v>
      </c>
      <c r="H134">
        <v>1</v>
      </c>
      <c r="I134" t="str">
        <f>INDEX([2]Define!B:B,MATCH(H134,[2]Define!A:A))</f>
        <v>単体</v>
      </c>
      <c r="J134">
        <v>0</v>
      </c>
      <c r="K134">
        <v>0</v>
      </c>
      <c r="L134">
        <v>0</v>
      </c>
      <c r="M134" t="str">
        <f>INDEX([2]Define!E:E,MATCH(L134,[2]Define!D:D))</f>
        <v>なし</v>
      </c>
      <c r="N134">
        <v>2</v>
      </c>
      <c r="O134" t="str">
        <f>INDEX([2]Define!H:H,MATCH(N134,[2]Define!G:G))</f>
        <v>パッシブ</v>
      </c>
      <c r="P134">
        <v>4</v>
      </c>
      <c r="Q134" t="str">
        <f>INDEX([2]Define!K:K,MATCH(P134,[2]Define!J:J))</f>
        <v>自身</v>
      </c>
      <c r="R134">
        <v>4</v>
      </c>
      <c r="S134" t="str">
        <f>INDEX([2]Define!N:N,MATCH(R134,[2]Define!M:M))</f>
        <v>自身</v>
      </c>
      <c r="T134">
        <v>1</v>
      </c>
      <c r="U134">
        <v>1</v>
      </c>
      <c r="V134">
        <v>1</v>
      </c>
      <c r="W134">
        <v>0</v>
      </c>
    </row>
    <row r="135" spans="1:23">
      <c r="A135">
        <v>200410</v>
      </c>
      <c r="B135">
        <v>200410</v>
      </c>
      <c r="C135" t="str">
        <f>INDEX(TextData!B:B,MATCH(B135,TextData!A:A))</f>
        <v>コウソクテンショウ</v>
      </c>
      <c r="D135">
        <v>10</v>
      </c>
      <c r="E135" t="str">
        <f>INDEX([2]Define!X:X,MATCH(D135,[2]Define!W:W))</f>
        <v>半神</v>
      </c>
      <c r="F135">
        <v>201</v>
      </c>
      <c r="H135">
        <v>1</v>
      </c>
      <c r="I135" t="str">
        <f>INDEX([2]Define!B:B,MATCH(H135,[2]Define!A:A))</f>
        <v>単体</v>
      </c>
      <c r="J135">
        <v>0</v>
      </c>
      <c r="K135">
        <v>1000</v>
      </c>
      <c r="L135">
        <v>2</v>
      </c>
      <c r="M135" t="str">
        <f>INDEX([2]Define!E:E,MATCH(L135,[2]Define!D:D))</f>
        <v>雷</v>
      </c>
      <c r="N135">
        <v>3</v>
      </c>
      <c r="O135" t="str">
        <f>INDEX([2]Define!H:H,MATCH(N135,[2]Define!G:G))</f>
        <v>神化</v>
      </c>
      <c r="P135">
        <v>1</v>
      </c>
      <c r="Q135" t="str">
        <f>INDEX([2]Define!K:K,MATCH(P135,[2]Define!J:J))</f>
        <v>相手</v>
      </c>
      <c r="R135">
        <v>2</v>
      </c>
      <c r="S135" t="str">
        <f>INDEX([2]Define!N:N,MATCH(R135,[2]Define!M:M))</f>
        <v>列</v>
      </c>
      <c r="T135">
        <v>2</v>
      </c>
      <c r="U135">
        <v>1</v>
      </c>
      <c r="V135">
        <v>1</v>
      </c>
      <c r="W135">
        <v>0</v>
      </c>
    </row>
    <row r="136" spans="1:23">
      <c r="A136">
        <v>200411</v>
      </c>
      <c r="B136">
        <v>200411</v>
      </c>
      <c r="C136" t="str">
        <f>INDEX(TextData!B:B,MATCH(B136,TextData!A:A))</f>
        <v>コウソクテンショウ</v>
      </c>
      <c r="D136">
        <v>10</v>
      </c>
      <c r="E136" t="str">
        <f>INDEX([2]Define!X:X,MATCH(D136,[2]Define!W:W))</f>
        <v>半神</v>
      </c>
      <c r="F136">
        <v>51</v>
      </c>
      <c r="H136">
        <v>1</v>
      </c>
      <c r="I136" t="str">
        <f>INDEX([2]Define!B:B,MATCH(H136,[2]Define!A:A))</f>
        <v>単体</v>
      </c>
      <c r="J136">
        <v>0</v>
      </c>
      <c r="K136">
        <v>1000</v>
      </c>
      <c r="L136">
        <v>2</v>
      </c>
      <c r="M136" t="str">
        <f>INDEX([2]Define!E:E,MATCH(L136,[2]Define!D:D))</f>
        <v>雷</v>
      </c>
      <c r="N136">
        <v>2</v>
      </c>
      <c r="O136" t="str">
        <f>INDEX([2]Define!H:H,MATCH(N136,[2]Define!G:G))</f>
        <v>パッシブ</v>
      </c>
      <c r="P136">
        <v>4</v>
      </c>
      <c r="Q136" t="str">
        <f>INDEX([2]Define!K:K,MATCH(P136,[2]Define!J:J))</f>
        <v>自身</v>
      </c>
      <c r="R136">
        <v>4</v>
      </c>
      <c r="S136" t="str">
        <f>INDEX([2]Define!N:N,MATCH(R136,[2]Define!M:M))</f>
        <v>自身</v>
      </c>
      <c r="T136">
        <v>1</v>
      </c>
      <c r="U136">
        <v>1</v>
      </c>
      <c r="V136">
        <v>1</v>
      </c>
      <c r="W136">
        <v>0</v>
      </c>
    </row>
    <row r="137" spans="1:23">
      <c r="A137">
        <v>200420</v>
      </c>
      <c r="B137">
        <v>200420</v>
      </c>
      <c r="C137" t="str">
        <f>INDEX(TextData!B:B,MATCH(B137,TextData!A:A))</f>
        <v>アンチバフ</v>
      </c>
      <c r="D137">
        <v>11</v>
      </c>
      <c r="E137" t="str">
        <f>INDEX([2]Define!X:X,MATCH(D137,[2]Define!W:W))</f>
        <v>覚醒</v>
      </c>
      <c r="F137">
        <v>61</v>
      </c>
      <c r="H137">
        <v>1</v>
      </c>
      <c r="I137" t="str">
        <f>INDEX([2]Define!B:B,MATCH(H137,[2]Define!A:A))</f>
        <v>単体</v>
      </c>
      <c r="J137">
        <v>0</v>
      </c>
      <c r="K137">
        <v>1000</v>
      </c>
      <c r="L137">
        <v>2</v>
      </c>
      <c r="M137" t="str">
        <f>INDEX([2]Define!E:E,MATCH(L137,[2]Define!D:D))</f>
        <v>雷</v>
      </c>
      <c r="N137">
        <v>4</v>
      </c>
      <c r="O137" t="str">
        <f>INDEX([2]Define!H:H,MATCH(N137,[2]Define!G:G))</f>
        <v>覚醒</v>
      </c>
      <c r="P137">
        <v>1</v>
      </c>
      <c r="Q137" t="str">
        <f>INDEX([2]Define!K:K,MATCH(P137,[2]Define!J:J))</f>
        <v>相手</v>
      </c>
      <c r="R137">
        <v>3</v>
      </c>
      <c r="S137" t="str">
        <f>INDEX([2]Define!N:N,MATCH(R137,[2]Define!M:M))</f>
        <v>全体</v>
      </c>
      <c r="T137">
        <v>2</v>
      </c>
      <c r="U137">
        <v>1</v>
      </c>
      <c r="V137">
        <v>1</v>
      </c>
      <c r="W137">
        <v>0</v>
      </c>
    </row>
    <row r="138" spans="1:23">
      <c r="A138">
        <v>200430</v>
      </c>
      <c r="B138">
        <v>200430</v>
      </c>
      <c r="C138" t="str">
        <f>INDEX(TextData!B:B,MATCH(B138,TextData!A:A))</f>
        <v>悪魔(アンドラス)</v>
      </c>
      <c r="D138">
        <v>6</v>
      </c>
      <c r="E138" t="str">
        <f>INDEX([2]Define!X:X,MATCH(D138,[2]Define!W:W))</f>
        <v>自己強化</v>
      </c>
      <c r="F138">
        <v>51</v>
      </c>
      <c r="H138">
        <v>1</v>
      </c>
      <c r="I138" t="str">
        <f>INDEX([2]Define!B:B,MATCH(H138,[2]Define!A:A))</f>
        <v>単体</v>
      </c>
      <c r="J138">
        <v>0</v>
      </c>
      <c r="K138">
        <v>0</v>
      </c>
      <c r="L138">
        <v>0</v>
      </c>
      <c r="M138" t="str">
        <f>INDEX([2]Define!E:E,MATCH(L138,[2]Define!D:D))</f>
        <v>なし</v>
      </c>
      <c r="N138">
        <v>6</v>
      </c>
      <c r="O138" t="str">
        <f>INDEX([2]Define!H:H,MATCH(N138,[2]Define!G:G))</f>
        <v>強化</v>
      </c>
      <c r="P138">
        <v>4</v>
      </c>
      <c r="Q138" t="str">
        <f>INDEX([2]Define!K:K,MATCH(P138,[2]Define!J:J))</f>
        <v>自身</v>
      </c>
      <c r="R138">
        <v>4</v>
      </c>
      <c r="S138" t="str">
        <f>INDEX([2]Define!N:N,MATCH(R138,[2]Define!M:M))</f>
        <v>自身</v>
      </c>
      <c r="T138">
        <v>1</v>
      </c>
      <c r="U138">
        <v>1</v>
      </c>
      <c r="V138">
        <v>1</v>
      </c>
      <c r="W138">
        <v>0</v>
      </c>
    </row>
    <row r="139" spans="1:23">
      <c r="A139">
        <v>200510</v>
      </c>
      <c r="B139">
        <v>200510</v>
      </c>
      <c r="C139" t="str">
        <f>INDEX(TextData!B:B,MATCH(B139,TextData!A:A))</f>
        <v>カウントダウン</v>
      </c>
      <c r="D139">
        <v>10</v>
      </c>
      <c r="E139" t="str">
        <f>INDEX([2]Define!X:X,MATCH(D139,[2]Define!W:W))</f>
        <v>半神</v>
      </c>
      <c r="F139">
        <v>51</v>
      </c>
      <c r="H139">
        <v>1</v>
      </c>
      <c r="I139" t="str">
        <f>INDEX([2]Define!B:B,MATCH(H139,[2]Define!A:A))</f>
        <v>単体</v>
      </c>
      <c r="J139">
        <v>0</v>
      </c>
      <c r="K139">
        <v>1000</v>
      </c>
      <c r="L139">
        <v>3</v>
      </c>
      <c r="M139" t="str">
        <f>INDEX([2]Define!E:E,MATCH(L139,[2]Define!D:D))</f>
        <v>氷</v>
      </c>
      <c r="N139">
        <v>3</v>
      </c>
      <c r="O139" t="str">
        <f>INDEX([2]Define!H:H,MATCH(N139,[2]Define!G:G))</f>
        <v>神化</v>
      </c>
      <c r="P139">
        <v>4</v>
      </c>
      <c r="Q139" t="str">
        <f>INDEX([2]Define!K:K,MATCH(P139,[2]Define!J:J))</f>
        <v>自身</v>
      </c>
      <c r="R139">
        <v>4</v>
      </c>
      <c r="S139" t="str">
        <f>INDEX([2]Define!N:N,MATCH(R139,[2]Define!M:M))</f>
        <v>自身</v>
      </c>
      <c r="T139">
        <v>1</v>
      </c>
      <c r="U139">
        <v>1</v>
      </c>
      <c r="V139">
        <v>1</v>
      </c>
      <c r="W139">
        <v>0</v>
      </c>
    </row>
    <row r="140" spans="1:23">
      <c r="A140">
        <v>200520</v>
      </c>
      <c r="B140">
        <v>200520</v>
      </c>
      <c r="C140" t="str">
        <f>INDEX(TextData!B:B,MATCH(B140,TextData!A:A))</f>
        <v>グラウンドゼロ</v>
      </c>
      <c r="D140">
        <v>11</v>
      </c>
      <c r="E140" t="str">
        <f>INDEX([2]Define!X:X,MATCH(D140,[2]Define!W:W))</f>
        <v>覚醒</v>
      </c>
      <c r="F140">
        <v>301</v>
      </c>
      <c r="H140">
        <v>1</v>
      </c>
      <c r="I140" t="str">
        <f>INDEX([2]Define!B:B,MATCH(H140,[2]Define!A:A))</f>
        <v>単体</v>
      </c>
      <c r="J140">
        <v>0</v>
      </c>
      <c r="K140">
        <v>1000</v>
      </c>
      <c r="L140">
        <v>3</v>
      </c>
      <c r="M140" t="str">
        <f>INDEX([2]Define!E:E,MATCH(L140,[2]Define!D:D))</f>
        <v>氷</v>
      </c>
      <c r="N140">
        <v>4</v>
      </c>
      <c r="O140" t="str">
        <f>INDEX([2]Define!H:H,MATCH(N140,[2]Define!G:G))</f>
        <v>覚醒</v>
      </c>
      <c r="P140">
        <v>1</v>
      </c>
      <c r="Q140" t="str">
        <f>INDEX([2]Define!K:K,MATCH(P140,[2]Define!J:J))</f>
        <v>相手</v>
      </c>
      <c r="R140">
        <v>3</v>
      </c>
      <c r="S140" t="str">
        <f>INDEX([2]Define!N:N,MATCH(R140,[2]Define!M:M))</f>
        <v>全体</v>
      </c>
      <c r="T140">
        <v>2</v>
      </c>
      <c r="U140">
        <v>1</v>
      </c>
      <c r="V140">
        <v>1</v>
      </c>
      <c r="W140">
        <v>0</v>
      </c>
    </row>
    <row r="141" spans="1:23">
      <c r="A141">
        <v>200530</v>
      </c>
      <c r="B141">
        <v>200530</v>
      </c>
      <c r="C141" t="str">
        <f>INDEX(TextData!B:B,MATCH(B141,TextData!A:A))</f>
        <v>悪魔(ビフロンス)</v>
      </c>
      <c r="D141">
        <v>6</v>
      </c>
      <c r="E141" t="str">
        <f>INDEX([2]Define!X:X,MATCH(D141,[2]Define!W:W))</f>
        <v>自己強化</v>
      </c>
      <c r="F141">
        <v>51</v>
      </c>
      <c r="H141">
        <v>1</v>
      </c>
      <c r="I141" t="str">
        <f>INDEX([2]Define!B:B,MATCH(H141,[2]Define!A:A))</f>
        <v>単体</v>
      </c>
      <c r="J141">
        <v>99</v>
      </c>
      <c r="K141">
        <v>0</v>
      </c>
      <c r="L141">
        <v>0</v>
      </c>
      <c r="M141" t="str">
        <f>INDEX([2]Define!E:E,MATCH(L141,[2]Define!D:D))</f>
        <v>なし</v>
      </c>
      <c r="N141">
        <v>2</v>
      </c>
      <c r="O141" t="str">
        <f>INDEX([2]Define!H:H,MATCH(N141,[2]Define!G:G))</f>
        <v>パッシブ</v>
      </c>
      <c r="P141">
        <v>4</v>
      </c>
      <c r="Q141" t="str">
        <f>INDEX([2]Define!K:K,MATCH(P141,[2]Define!J:J))</f>
        <v>自身</v>
      </c>
      <c r="R141">
        <v>4</v>
      </c>
      <c r="S141" t="str">
        <f>INDEX([2]Define!N:N,MATCH(R141,[2]Define!M:M))</f>
        <v>自身</v>
      </c>
      <c r="T141">
        <v>1</v>
      </c>
      <c r="U141">
        <v>1</v>
      </c>
      <c r="V141">
        <v>1</v>
      </c>
      <c r="W141">
        <v>0</v>
      </c>
    </row>
    <row r="142" spans="1:23">
      <c r="A142">
        <v>201010</v>
      </c>
      <c r="B142">
        <v>201010</v>
      </c>
      <c r="C142" t="str">
        <f>INDEX(TextData!B:B,MATCH(B142,TextData!A:A))</f>
        <v>カオスペイン</v>
      </c>
      <c r="D142">
        <v>10</v>
      </c>
      <c r="E142" t="str">
        <f>INDEX([2]Define!X:X,MATCH(D142,[2]Define!W:W))</f>
        <v>半神</v>
      </c>
      <c r="F142">
        <v>501</v>
      </c>
      <c r="H142">
        <v>1</v>
      </c>
      <c r="I142" t="str">
        <f>INDEX([2]Define!B:B,MATCH(H142,[2]Define!A:A))</f>
        <v>単体</v>
      </c>
      <c r="J142">
        <v>0</v>
      </c>
      <c r="K142">
        <v>1000</v>
      </c>
      <c r="L142">
        <v>5</v>
      </c>
      <c r="M142" t="str">
        <f>INDEX([2]Define!E:E,MATCH(L142,[2]Define!D:D))</f>
        <v>闇</v>
      </c>
      <c r="N142">
        <v>3</v>
      </c>
      <c r="O142" t="str">
        <f>INDEX([2]Define!H:H,MATCH(N142,[2]Define!G:G))</f>
        <v>神化</v>
      </c>
      <c r="P142">
        <v>1</v>
      </c>
      <c r="Q142" t="str">
        <f>INDEX([2]Define!K:K,MATCH(P142,[2]Define!J:J))</f>
        <v>相手</v>
      </c>
      <c r="R142">
        <v>3</v>
      </c>
      <c r="S142" t="str">
        <f>INDEX([2]Define!N:N,MATCH(R142,[2]Define!M:M))</f>
        <v>全体</v>
      </c>
      <c r="T142">
        <v>2</v>
      </c>
      <c r="U142">
        <v>1</v>
      </c>
      <c r="V142">
        <v>1</v>
      </c>
      <c r="W142">
        <v>0</v>
      </c>
    </row>
    <row r="143" spans="1:23">
      <c r="A143">
        <v>201020</v>
      </c>
      <c r="B143">
        <v>201020</v>
      </c>
      <c r="C143" t="str">
        <f>INDEX(TextData!B:B,MATCH(B143,TextData!A:A))</f>
        <v>フォールンワン</v>
      </c>
      <c r="D143">
        <v>11</v>
      </c>
      <c r="E143" t="str">
        <f>INDEX([2]Define!X:X,MATCH(D143,[2]Define!W:W))</f>
        <v>覚醒</v>
      </c>
      <c r="F143">
        <v>501</v>
      </c>
      <c r="H143">
        <v>1</v>
      </c>
      <c r="I143" t="str">
        <f>INDEX([2]Define!B:B,MATCH(H143,[2]Define!A:A))</f>
        <v>単体</v>
      </c>
      <c r="J143">
        <v>0</v>
      </c>
      <c r="K143">
        <v>1000</v>
      </c>
      <c r="L143">
        <v>5</v>
      </c>
      <c r="M143" t="str">
        <f>INDEX([2]Define!E:E,MATCH(L143,[2]Define!D:D))</f>
        <v>闇</v>
      </c>
      <c r="N143">
        <v>4</v>
      </c>
      <c r="O143" t="str">
        <f>INDEX([2]Define!H:H,MATCH(N143,[2]Define!G:G))</f>
        <v>覚醒</v>
      </c>
      <c r="P143">
        <v>1</v>
      </c>
      <c r="Q143" t="str">
        <f>INDEX([2]Define!K:K,MATCH(P143,[2]Define!J:J))</f>
        <v>相手</v>
      </c>
      <c r="R143">
        <v>3</v>
      </c>
      <c r="S143" t="str">
        <f>INDEX([2]Define!N:N,MATCH(R143,[2]Define!M:M))</f>
        <v>全体</v>
      </c>
      <c r="T143">
        <v>2</v>
      </c>
      <c r="U143">
        <v>1</v>
      </c>
      <c r="V143">
        <v>1</v>
      </c>
      <c r="W143">
        <v>0</v>
      </c>
    </row>
    <row r="144" spans="1:23">
      <c r="A144">
        <v>201030</v>
      </c>
      <c r="B144">
        <v>201030</v>
      </c>
      <c r="C144" t="str">
        <f>INDEX(TextData!B:B,MATCH(B144,TextData!A:A))</f>
        <v>アンリマユ</v>
      </c>
      <c r="D144">
        <v>6</v>
      </c>
      <c r="E144" t="str">
        <f>INDEX([2]Define!X:X,MATCH(D144,[2]Define!W:W))</f>
        <v>自己強化</v>
      </c>
      <c r="F144">
        <v>51</v>
      </c>
      <c r="H144">
        <v>1</v>
      </c>
      <c r="I144" t="str">
        <f>INDEX([2]Define!B:B,MATCH(H144,[2]Define!A:A))</f>
        <v>単体</v>
      </c>
      <c r="J144">
        <v>0</v>
      </c>
      <c r="K144">
        <v>0</v>
      </c>
      <c r="L144">
        <v>0</v>
      </c>
      <c r="M144" t="str">
        <f>INDEX([2]Define!E:E,MATCH(L144,[2]Define!D:D))</f>
        <v>なし</v>
      </c>
      <c r="N144">
        <v>2</v>
      </c>
      <c r="O144" t="str">
        <f>INDEX([2]Define!H:H,MATCH(N144,[2]Define!G:G))</f>
        <v>パッシブ</v>
      </c>
      <c r="P144">
        <v>4</v>
      </c>
      <c r="Q144" t="str">
        <f>INDEX([2]Define!K:K,MATCH(P144,[2]Define!J:J))</f>
        <v>自身</v>
      </c>
      <c r="R144">
        <v>4</v>
      </c>
      <c r="S144" t="str">
        <f>INDEX([2]Define!N:N,MATCH(R144,[2]Define!M:M))</f>
        <v>自身</v>
      </c>
      <c r="T144">
        <v>1</v>
      </c>
      <c r="U144">
        <v>1</v>
      </c>
      <c r="V144">
        <v>1</v>
      </c>
      <c r="W144">
        <v>0</v>
      </c>
    </row>
    <row r="145" spans="1:23">
      <c r="A145">
        <v>300010</v>
      </c>
      <c r="B145">
        <v>300010</v>
      </c>
      <c r="C145" t="str">
        <f>INDEX(TextData!B:B,MATCH(B145,TextData!A:A))</f>
        <v>ライフブースト</v>
      </c>
      <c r="D145">
        <v>6</v>
      </c>
      <c r="E145" t="str">
        <f>INDEX([2]Define!X:X,MATCH(D145,[2]Define!W:W))</f>
        <v>自己強化</v>
      </c>
      <c r="F145">
        <v>51</v>
      </c>
      <c r="H145">
        <v>1</v>
      </c>
      <c r="I145" t="str">
        <f>INDEX([2]Define!B:B,MATCH(H145,[2]Define!A:A))</f>
        <v>単体</v>
      </c>
      <c r="J145">
        <v>0</v>
      </c>
      <c r="K145">
        <v>200</v>
      </c>
      <c r="L145">
        <v>4</v>
      </c>
      <c r="M145" t="str">
        <f>INDEX([2]Define!E:E,MATCH(L145,[2]Define!D:D))</f>
        <v>光</v>
      </c>
      <c r="N145">
        <v>5</v>
      </c>
      <c r="O145" t="str">
        <f>INDEX([2]Define!H:H,MATCH(N145,[2]Define!G:G))</f>
        <v>レリック</v>
      </c>
      <c r="P145">
        <v>2</v>
      </c>
      <c r="Q145" t="str">
        <f>INDEX([2]Define!K:K,MATCH(P145,[2]Define!J:J))</f>
        <v>味方</v>
      </c>
      <c r="R145">
        <v>3</v>
      </c>
      <c r="S145" t="str">
        <f>INDEX([2]Define!N:N,MATCH(R145,[2]Define!M:M))</f>
        <v>全体</v>
      </c>
      <c r="T145">
        <v>2</v>
      </c>
      <c r="U145">
        <v>1</v>
      </c>
      <c r="V145">
        <v>1</v>
      </c>
      <c r="W145">
        <v>0</v>
      </c>
    </row>
    <row r="146" spans="1:23">
      <c r="A146">
        <v>300020</v>
      </c>
      <c r="B146">
        <v>300020</v>
      </c>
      <c r="C146" t="str">
        <f>INDEX(TextData!B:B,MATCH(B146,TextData!A:A))</f>
        <v>スピリットチャージ</v>
      </c>
      <c r="D146">
        <v>6</v>
      </c>
      <c r="E146" t="str">
        <f>INDEX([2]Define!X:X,MATCH(D146,[2]Define!W:W))</f>
        <v>自己強化</v>
      </c>
      <c r="F146">
        <v>51</v>
      </c>
      <c r="H146">
        <v>1</v>
      </c>
      <c r="I146" t="str">
        <f>INDEX([2]Define!B:B,MATCH(H146,[2]Define!A:A))</f>
        <v>単体</v>
      </c>
      <c r="J146">
        <v>0</v>
      </c>
      <c r="K146">
        <v>200</v>
      </c>
      <c r="L146">
        <v>5</v>
      </c>
      <c r="M146" t="str">
        <f>INDEX([2]Define!E:E,MATCH(L146,[2]Define!D:D))</f>
        <v>闇</v>
      </c>
      <c r="N146">
        <v>5</v>
      </c>
      <c r="O146" t="str">
        <f>INDEX([2]Define!H:H,MATCH(N146,[2]Define!G:G))</f>
        <v>レリック</v>
      </c>
      <c r="P146">
        <v>2</v>
      </c>
      <c r="Q146" t="str">
        <f>INDEX([2]Define!K:K,MATCH(P146,[2]Define!J:J))</f>
        <v>味方</v>
      </c>
      <c r="R146">
        <v>3</v>
      </c>
      <c r="S146" t="str">
        <f>INDEX([2]Define!N:N,MATCH(R146,[2]Define!M:M))</f>
        <v>全体</v>
      </c>
      <c r="T146">
        <v>2</v>
      </c>
      <c r="U146">
        <v>1</v>
      </c>
      <c r="V146">
        <v>1</v>
      </c>
      <c r="W146">
        <v>0</v>
      </c>
    </row>
    <row r="147" spans="1:23">
      <c r="A147">
        <v>300030</v>
      </c>
      <c r="B147">
        <v>300030</v>
      </c>
      <c r="C147" t="str">
        <f>INDEX(TextData!B:B,MATCH(B147,TextData!A:A))</f>
        <v>フォースライズ</v>
      </c>
      <c r="D147">
        <v>6</v>
      </c>
      <c r="E147" t="str">
        <f>INDEX([2]Define!X:X,MATCH(D147,[2]Define!W:W))</f>
        <v>自己強化</v>
      </c>
      <c r="F147">
        <v>51</v>
      </c>
      <c r="H147">
        <v>1</v>
      </c>
      <c r="I147" t="str">
        <f>INDEX([2]Define!B:B,MATCH(H147,[2]Define!A:A))</f>
        <v>単体</v>
      </c>
      <c r="J147">
        <v>0</v>
      </c>
      <c r="K147">
        <v>200</v>
      </c>
      <c r="L147">
        <v>1</v>
      </c>
      <c r="M147" t="str">
        <f>INDEX([2]Define!E:E,MATCH(L147,[2]Define!D:D))</f>
        <v>炎</v>
      </c>
      <c r="N147">
        <v>5</v>
      </c>
      <c r="O147" t="str">
        <f>INDEX([2]Define!H:H,MATCH(N147,[2]Define!G:G))</f>
        <v>レリック</v>
      </c>
      <c r="P147">
        <v>2</v>
      </c>
      <c r="Q147" t="str">
        <f>INDEX([2]Define!K:K,MATCH(P147,[2]Define!J:J))</f>
        <v>味方</v>
      </c>
      <c r="R147">
        <v>3</v>
      </c>
      <c r="S147" t="str">
        <f>INDEX([2]Define!N:N,MATCH(R147,[2]Define!M:M))</f>
        <v>全体</v>
      </c>
      <c r="T147">
        <v>2</v>
      </c>
      <c r="U147">
        <v>1</v>
      </c>
      <c r="V147">
        <v>1</v>
      </c>
      <c r="W147">
        <v>0</v>
      </c>
    </row>
    <row r="148" spans="1:23">
      <c r="A148">
        <v>300040</v>
      </c>
      <c r="B148">
        <v>300040</v>
      </c>
      <c r="C148" t="str">
        <f>INDEX(TextData!B:B,MATCH(B148,TextData!A:A))</f>
        <v>ディフェンスオーラ</v>
      </c>
      <c r="D148">
        <v>6</v>
      </c>
      <c r="E148" t="str">
        <f>INDEX([2]Define!X:X,MATCH(D148,[2]Define!W:W))</f>
        <v>自己強化</v>
      </c>
      <c r="F148">
        <v>51</v>
      </c>
      <c r="H148">
        <v>1</v>
      </c>
      <c r="I148" t="str">
        <f>INDEX([2]Define!B:B,MATCH(H148,[2]Define!A:A))</f>
        <v>単体</v>
      </c>
      <c r="J148">
        <v>0</v>
      </c>
      <c r="K148">
        <v>200</v>
      </c>
      <c r="L148">
        <v>3</v>
      </c>
      <c r="M148" t="str">
        <f>INDEX([2]Define!E:E,MATCH(L148,[2]Define!D:D))</f>
        <v>氷</v>
      </c>
      <c r="N148">
        <v>5</v>
      </c>
      <c r="O148" t="str">
        <f>INDEX([2]Define!H:H,MATCH(N148,[2]Define!G:G))</f>
        <v>レリック</v>
      </c>
      <c r="P148">
        <v>2</v>
      </c>
      <c r="Q148" t="str">
        <f>INDEX([2]Define!K:K,MATCH(P148,[2]Define!J:J))</f>
        <v>味方</v>
      </c>
      <c r="R148">
        <v>3</v>
      </c>
      <c r="S148" t="str">
        <f>INDEX([2]Define!N:N,MATCH(R148,[2]Define!M:M))</f>
        <v>全体</v>
      </c>
      <c r="T148">
        <v>2</v>
      </c>
      <c r="U148">
        <v>1</v>
      </c>
      <c r="V148">
        <v>1</v>
      </c>
      <c r="W148">
        <v>0</v>
      </c>
    </row>
    <row r="149" spans="1:23">
      <c r="A149">
        <v>300050</v>
      </c>
      <c r="B149">
        <v>300050</v>
      </c>
      <c r="C149" t="str">
        <f>INDEX(TextData!B:B,MATCH(B149,TextData!A:A))</f>
        <v>ラピッドムーブ</v>
      </c>
      <c r="D149">
        <v>6</v>
      </c>
      <c r="E149" t="str">
        <f>INDEX([2]Define!X:X,MATCH(D149,[2]Define!W:W))</f>
        <v>自己強化</v>
      </c>
      <c r="F149">
        <v>51</v>
      </c>
      <c r="H149">
        <v>1</v>
      </c>
      <c r="I149" t="str">
        <f>INDEX([2]Define!B:B,MATCH(H149,[2]Define!A:A))</f>
        <v>単体</v>
      </c>
      <c r="J149">
        <v>0</v>
      </c>
      <c r="K149">
        <v>200</v>
      </c>
      <c r="L149">
        <v>2</v>
      </c>
      <c r="M149" t="str">
        <f>INDEX([2]Define!E:E,MATCH(L149,[2]Define!D:D))</f>
        <v>雷</v>
      </c>
      <c r="N149">
        <v>5</v>
      </c>
      <c r="O149" t="str">
        <f>INDEX([2]Define!H:H,MATCH(N149,[2]Define!G:G))</f>
        <v>レリック</v>
      </c>
      <c r="P149">
        <v>2</v>
      </c>
      <c r="Q149" t="str">
        <f>INDEX([2]Define!K:K,MATCH(P149,[2]Define!J:J))</f>
        <v>味方</v>
      </c>
      <c r="R149">
        <v>3</v>
      </c>
      <c r="S149" t="str">
        <f>INDEX([2]Define!N:N,MATCH(R149,[2]Define!M:M))</f>
        <v>全体</v>
      </c>
      <c r="T149">
        <v>2</v>
      </c>
      <c r="U149">
        <v>1</v>
      </c>
      <c r="V149">
        <v>1</v>
      </c>
      <c r="W149">
        <v>0</v>
      </c>
    </row>
    <row r="150" spans="1:23">
      <c r="A150">
        <v>300130</v>
      </c>
      <c r="B150">
        <v>300130</v>
      </c>
      <c r="C150" t="str">
        <f>INDEX(TextData!B:B,MATCH(B150,TextData!A:A))</f>
        <v>アタックブレイク</v>
      </c>
      <c r="D150">
        <v>6</v>
      </c>
      <c r="E150" t="str">
        <f>INDEX([2]Define!X:X,MATCH(D150,[2]Define!W:W))</f>
        <v>自己強化</v>
      </c>
      <c r="F150">
        <v>61</v>
      </c>
      <c r="H150">
        <v>1</v>
      </c>
      <c r="I150" t="str">
        <f>INDEX([2]Define!B:B,MATCH(H150,[2]Define!A:A))</f>
        <v>単体</v>
      </c>
      <c r="J150">
        <v>0</v>
      </c>
      <c r="K150">
        <v>200</v>
      </c>
      <c r="L150">
        <v>5</v>
      </c>
      <c r="M150" t="str">
        <f>INDEX([2]Define!E:E,MATCH(L150,[2]Define!D:D))</f>
        <v>闇</v>
      </c>
      <c r="N150">
        <v>5</v>
      </c>
      <c r="O150" t="str">
        <f>INDEX([2]Define!H:H,MATCH(N150,[2]Define!G:G))</f>
        <v>レリック</v>
      </c>
      <c r="P150">
        <v>1</v>
      </c>
      <c r="Q150" t="str">
        <f>INDEX([2]Define!K:K,MATCH(P150,[2]Define!J:J))</f>
        <v>相手</v>
      </c>
      <c r="R150">
        <v>3</v>
      </c>
      <c r="S150" t="str">
        <f>INDEX([2]Define!N:N,MATCH(R150,[2]Define!M:M))</f>
        <v>全体</v>
      </c>
      <c r="T150">
        <v>2</v>
      </c>
      <c r="U150">
        <v>1</v>
      </c>
      <c r="V150">
        <v>1</v>
      </c>
      <c r="W150">
        <v>0</v>
      </c>
    </row>
    <row r="151" spans="1:23">
      <c r="A151">
        <v>300140</v>
      </c>
      <c r="B151">
        <v>300140</v>
      </c>
      <c r="C151" t="str">
        <f>INDEX(TextData!B:B,MATCH(B151,TextData!A:A))</f>
        <v>シールドバニッシュ</v>
      </c>
      <c r="D151">
        <v>6</v>
      </c>
      <c r="E151" t="str">
        <f>INDEX([2]Define!X:X,MATCH(D151,[2]Define!W:W))</f>
        <v>自己強化</v>
      </c>
      <c r="F151">
        <v>61</v>
      </c>
      <c r="H151">
        <v>1</v>
      </c>
      <c r="I151" t="str">
        <f>INDEX([2]Define!B:B,MATCH(H151,[2]Define!A:A))</f>
        <v>単体</v>
      </c>
      <c r="J151">
        <v>0</v>
      </c>
      <c r="K151">
        <v>200</v>
      </c>
      <c r="L151">
        <v>5</v>
      </c>
      <c r="M151" t="str">
        <f>INDEX([2]Define!E:E,MATCH(L151,[2]Define!D:D))</f>
        <v>闇</v>
      </c>
      <c r="N151">
        <v>5</v>
      </c>
      <c r="O151" t="str">
        <f>INDEX([2]Define!H:H,MATCH(N151,[2]Define!G:G))</f>
        <v>レリック</v>
      </c>
      <c r="P151">
        <v>1</v>
      </c>
      <c r="Q151" t="str">
        <f>INDEX([2]Define!K:K,MATCH(P151,[2]Define!J:J))</f>
        <v>相手</v>
      </c>
      <c r="R151">
        <v>3</v>
      </c>
      <c r="S151" t="str">
        <f>INDEX([2]Define!N:N,MATCH(R151,[2]Define!M:M))</f>
        <v>全体</v>
      </c>
      <c r="T151">
        <v>2</v>
      </c>
      <c r="U151">
        <v>1</v>
      </c>
      <c r="V151">
        <v>1</v>
      </c>
      <c r="W151">
        <v>0</v>
      </c>
    </row>
    <row r="152" spans="1:23">
      <c r="A152">
        <v>300210</v>
      </c>
      <c r="B152">
        <v>300210</v>
      </c>
      <c r="C152" t="str">
        <f>INDEX(TextData!B:B,MATCH(B152,TextData!A:A))</f>
        <v>エーテルリチャージ</v>
      </c>
      <c r="D152">
        <v>6</v>
      </c>
      <c r="E152" t="str">
        <f>INDEX([2]Define!X:X,MATCH(D152,[2]Define!W:W))</f>
        <v>自己強化</v>
      </c>
      <c r="F152">
        <v>51</v>
      </c>
      <c r="H152">
        <v>1</v>
      </c>
      <c r="I152" t="str">
        <f>INDEX([2]Define!B:B,MATCH(H152,[2]Define!A:A))</f>
        <v>単体</v>
      </c>
      <c r="J152">
        <v>0</v>
      </c>
      <c r="K152">
        <v>200</v>
      </c>
      <c r="L152">
        <v>1</v>
      </c>
      <c r="M152" t="str">
        <f>INDEX([2]Define!E:E,MATCH(L152,[2]Define!D:D))</f>
        <v>炎</v>
      </c>
      <c r="N152">
        <v>5</v>
      </c>
      <c r="O152" t="str">
        <f>INDEX([2]Define!H:H,MATCH(N152,[2]Define!G:G))</f>
        <v>レリック</v>
      </c>
      <c r="P152">
        <v>2</v>
      </c>
      <c r="Q152" t="str">
        <f>INDEX([2]Define!K:K,MATCH(P152,[2]Define!J:J))</f>
        <v>味方</v>
      </c>
      <c r="R152">
        <v>3</v>
      </c>
      <c r="S152" t="str">
        <f>INDEX([2]Define!N:N,MATCH(R152,[2]Define!M:M))</f>
        <v>全体</v>
      </c>
      <c r="T152">
        <v>2</v>
      </c>
      <c r="U152">
        <v>1</v>
      </c>
      <c r="V152">
        <v>1</v>
      </c>
      <c r="W152">
        <v>0</v>
      </c>
    </row>
    <row r="153" spans="1:23">
      <c r="A153">
        <v>300220</v>
      </c>
      <c r="B153">
        <v>300220</v>
      </c>
      <c r="C153" t="str">
        <f>INDEX(TextData!B:B,MATCH(B153,TextData!A:A))</f>
        <v>リカバリーエンハンス</v>
      </c>
      <c r="D153">
        <v>6</v>
      </c>
      <c r="E153" t="str">
        <f>INDEX([2]Define!X:X,MATCH(D153,[2]Define!W:W))</f>
        <v>自己強化</v>
      </c>
      <c r="F153">
        <v>51</v>
      </c>
      <c r="H153">
        <v>1</v>
      </c>
      <c r="I153" t="str">
        <f>INDEX([2]Define!B:B,MATCH(H153,[2]Define!A:A))</f>
        <v>単体</v>
      </c>
      <c r="J153">
        <v>0</v>
      </c>
      <c r="K153">
        <v>200</v>
      </c>
      <c r="L153">
        <v>4</v>
      </c>
      <c r="M153" t="str">
        <f>INDEX([2]Define!E:E,MATCH(L153,[2]Define!D:D))</f>
        <v>光</v>
      </c>
      <c r="N153">
        <v>5</v>
      </c>
      <c r="O153" t="str">
        <f>INDEX([2]Define!H:H,MATCH(N153,[2]Define!G:G))</f>
        <v>レリック</v>
      </c>
      <c r="P153">
        <v>2</v>
      </c>
      <c r="Q153" t="str">
        <f>INDEX([2]Define!K:K,MATCH(P153,[2]Define!J:J))</f>
        <v>味方</v>
      </c>
      <c r="R153">
        <v>3</v>
      </c>
      <c r="S153" t="str">
        <f>INDEX([2]Define!N:N,MATCH(R153,[2]Define!M:M))</f>
        <v>全体</v>
      </c>
      <c r="T153">
        <v>2</v>
      </c>
      <c r="U153">
        <v>1</v>
      </c>
      <c r="V153">
        <v>1</v>
      </c>
      <c r="W153">
        <v>0</v>
      </c>
    </row>
    <row r="154" spans="1:23">
      <c r="A154">
        <v>300230</v>
      </c>
      <c r="B154">
        <v>300230</v>
      </c>
      <c r="C154" t="str">
        <f>INDEX(TextData!B:B,MATCH(B154,TextData!A:A))</f>
        <v>ヴェンジェンス</v>
      </c>
      <c r="D154">
        <v>6</v>
      </c>
      <c r="E154" t="str">
        <f>INDEX([2]Define!X:X,MATCH(D154,[2]Define!W:W))</f>
        <v>自己強化</v>
      </c>
      <c r="F154">
        <v>51</v>
      </c>
      <c r="H154">
        <v>1</v>
      </c>
      <c r="I154" t="str">
        <f>INDEX([2]Define!B:B,MATCH(H154,[2]Define!A:A))</f>
        <v>単体</v>
      </c>
      <c r="J154">
        <v>0</v>
      </c>
      <c r="K154">
        <v>200</v>
      </c>
      <c r="L154">
        <v>3</v>
      </c>
      <c r="M154" t="str">
        <f>INDEX([2]Define!E:E,MATCH(L154,[2]Define!D:D))</f>
        <v>氷</v>
      </c>
      <c r="N154">
        <v>5</v>
      </c>
      <c r="O154" t="str">
        <f>INDEX([2]Define!H:H,MATCH(N154,[2]Define!G:G))</f>
        <v>レリック</v>
      </c>
      <c r="P154">
        <v>2</v>
      </c>
      <c r="Q154" t="str">
        <f>INDEX([2]Define!K:K,MATCH(P154,[2]Define!J:J))</f>
        <v>味方</v>
      </c>
      <c r="R154">
        <v>3</v>
      </c>
      <c r="S154" t="str">
        <f>INDEX([2]Define!N:N,MATCH(R154,[2]Define!M:M))</f>
        <v>全体</v>
      </c>
      <c r="T154">
        <v>2</v>
      </c>
      <c r="U154">
        <v>1</v>
      </c>
      <c r="V154">
        <v>1</v>
      </c>
      <c r="W154">
        <v>0</v>
      </c>
    </row>
    <row r="155" spans="1:23">
      <c r="A155">
        <v>301010</v>
      </c>
      <c r="B155">
        <v>301010</v>
      </c>
      <c r="C155" t="str">
        <f>INDEX(TextData!B:B,MATCH(B155,TextData!A:A))</f>
        <v>ディケイドリセット</v>
      </c>
      <c r="D155">
        <v>6</v>
      </c>
      <c r="E155" t="str">
        <f>INDEX([2]Define!X:X,MATCH(D155,[2]Define!W:W))</f>
        <v>自己強化</v>
      </c>
      <c r="F155">
        <v>51</v>
      </c>
      <c r="H155">
        <v>1</v>
      </c>
      <c r="I155" t="str">
        <f>INDEX([2]Define!B:B,MATCH(H155,[2]Define!A:A))</f>
        <v>単体</v>
      </c>
      <c r="J155">
        <v>0</v>
      </c>
      <c r="K155">
        <v>210</v>
      </c>
      <c r="L155">
        <v>2</v>
      </c>
      <c r="M155" t="str">
        <f>INDEX([2]Define!E:E,MATCH(L155,[2]Define!D:D))</f>
        <v>雷</v>
      </c>
      <c r="N155">
        <v>5</v>
      </c>
      <c r="O155" t="str">
        <f>INDEX([2]Define!H:H,MATCH(N155,[2]Define!G:G))</f>
        <v>レリック</v>
      </c>
      <c r="P155">
        <v>2</v>
      </c>
      <c r="Q155" t="str">
        <f>INDEX([2]Define!K:K,MATCH(P155,[2]Define!J:J))</f>
        <v>味方</v>
      </c>
      <c r="R155">
        <v>3</v>
      </c>
      <c r="S155" t="str">
        <f>INDEX([2]Define!N:N,MATCH(R155,[2]Define!M:M))</f>
        <v>全体</v>
      </c>
      <c r="T155">
        <v>2</v>
      </c>
      <c r="U155">
        <v>1</v>
      </c>
      <c r="V155">
        <v>1</v>
      </c>
      <c r="W155">
        <v>0</v>
      </c>
    </row>
    <row r="156" spans="1:23">
      <c r="A156">
        <v>301020</v>
      </c>
      <c r="B156">
        <v>301020</v>
      </c>
      <c r="C156" t="str">
        <f>INDEX(TextData!B:B,MATCH(B156,TextData!A:A))</f>
        <v>ウォーリアーブラッド</v>
      </c>
      <c r="D156">
        <v>6</v>
      </c>
      <c r="E156" t="str">
        <f>INDEX([2]Define!X:X,MATCH(D156,[2]Define!W:W))</f>
        <v>自己強化</v>
      </c>
      <c r="F156">
        <v>51</v>
      </c>
      <c r="H156">
        <v>1</v>
      </c>
      <c r="I156" t="str">
        <f>INDEX([2]Define!B:B,MATCH(H156,[2]Define!A:A))</f>
        <v>単体</v>
      </c>
      <c r="J156">
        <v>0</v>
      </c>
      <c r="K156">
        <v>210</v>
      </c>
      <c r="L156">
        <v>5</v>
      </c>
      <c r="M156" t="str">
        <f>INDEX([2]Define!E:E,MATCH(L156,[2]Define!D:D))</f>
        <v>闇</v>
      </c>
      <c r="N156">
        <v>5</v>
      </c>
      <c r="O156" t="str">
        <f>INDEX([2]Define!H:H,MATCH(N156,[2]Define!G:G))</f>
        <v>レリック</v>
      </c>
      <c r="P156">
        <v>2</v>
      </c>
      <c r="Q156" t="str">
        <f>INDEX([2]Define!K:K,MATCH(P156,[2]Define!J:J))</f>
        <v>味方</v>
      </c>
      <c r="R156">
        <v>3</v>
      </c>
      <c r="S156" t="str">
        <f>INDEX([2]Define!N:N,MATCH(R156,[2]Define!M:M))</f>
        <v>全体</v>
      </c>
      <c r="T156">
        <v>2</v>
      </c>
      <c r="U156">
        <v>1</v>
      </c>
      <c r="V156">
        <v>1</v>
      </c>
      <c r="W156">
        <v>0</v>
      </c>
    </row>
    <row r="157" spans="1:23">
      <c r="A157">
        <v>301030</v>
      </c>
      <c r="B157">
        <v>301030</v>
      </c>
      <c r="C157" t="str">
        <f>INDEX(TextData!B:B,MATCH(B157,TextData!A:A))</f>
        <v>トライアングルガード</v>
      </c>
      <c r="D157">
        <v>6</v>
      </c>
      <c r="E157" t="str">
        <f>INDEX([2]Define!X:X,MATCH(D157,[2]Define!W:W))</f>
        <v>自己強化</v>
      </c>
      <c r="F157">
        <v>51</v>
      </c>
      <c r="H157">
        <v>1</v>
      </c>
      <c r="I157" t="str">
        <f>INDEX([2]Define!B:B,MATCH(H157,[2]Define!A:A))</f>
        <v>単体</v>
      </c>
      <c r="J157">
        <v>0</v>
      </c>
      <c r="K157">
        <v>210</v>
      </c>
      <c r="L157">
        <v>3</v>
      </c>
      <c r="M157" t="str">
        <f>INDEX([2]Define!E:E,MATCH(L157,[2]Define!D:D))</f>
        <v>氷</v>
      </c>
      <c r="N157">
        <v>5</v>
      </c>
      <c r="O157" t="str">
        <f>INDEX([2]Define!H:H,MATCH(N157,[2]Define!G:G))</f>
        <v>レリック</v>
      </c>
      <c r="P157">
        <v>2</v>
      </c>
      <c r="Q157" t="str">
        <f>INDEX([2]Define!K:K,MATCH(P157,[2]Define!J:J))</f>
        <v>味方</v>
      </c>
      <c r="R157">
        <v>3</v>
      </c>
      <c r="S157" t="str">
        <f>INDEX([2]Define!N:N,MATCH(R157,[2]Define!M:M))</f>
        <v>全体</v>
      </c>
      <c r="T157">
        <v>2</v>
      </c>
      <c r="U157">
        <v>1</v>
      </c>
      <c r="V157">
        <v>1</v>
      </c>
      <c r="W157">
        <v>0</v>
      </c>
    </row>
    <row r="158" spans="1:23">
      <c r="A158">
        <v>301040</v>
      </c>
      <c r="B158">
        <v>301040</v>
      </c>
      <c r="C158" t="str">
        <f>INDEX(TextData!B:B,MATCH(B158,TextData!A:A))</f>
        <v>セーフティバリア</v>
      </c>
      <c r="D158">
        <v>6</v>
      </c>
      <c r="E158" t="str">
        <f>INDEX([2]Define!X:X,MATCH(D158,[2]Define!W:W))</f>
        <v>自己強化</v>
      </c>
      <c r="F158">
        <v>51</v>
      </c>
      <c r="H158">
        <v>1</v>
      </c>
      <c r="I158" t="str">
        <f>INDEX([2]Define!B:B,MATCH(H158,[2]Define!A:A))</f>
        <v>単体</v>
      </c>
      <c r="J158">
        <v>0</v>
      </c>
      <c r="K158">
        <v>210</v>
      </c>
      <c r="L158">
        <v>3</v>
      </c>
      <c r="M158" t="str">
        <f>INDEX([2]Define!E:E,MATCH(L158,[2]Define!D:D))</f>
        <v>氷</v>
      </c>
      <c r="N158">
        <v>5</v>
      </c>
      <c r="O158" t="str">
        <f>INDEX([2]Define!H:H,MATCH(N158,[2]Define!G:G))</f>
        <v>レリック</v>
      </c>
      <c r="P158">
        <v>2</v>
      </c>
      <c r="Q158" t="str">
        <f>INDEX([2]Define!K:K,MATCH(P158,[2]Define!J:J))</f>
        <v>味方</v>
      </c>
      <c r="R158">
        <v>3</v>
      </c>
      <c r="S158" t="str">
        <f>INDEX([2]Define!N:N,MATCH(R158,[2]Define!M:M))</f>
        <v>全体</v>
      </c>
      <c r="T158">
        <v>2</v>
      </c>
      <c r="U158">
        <v>1</v>
      </c>
      <c r="V158">
        <v>1</v>
      </c>
      <c r="W158">
        <v>0</v>
      </c>
    </row>
    <row r="159" spans="1:23">
      <c r="A159">
        <v>301050</v>
      </c>
      <c r="B159">
        <v>301050</v>
      </c>
      <c r="C159" t="str">
        <f>INDEX(TextData!B:B,MATCH(B159,TextData!A:A))</f>
        <v>ヒロインズハイ</v>
      </c>
      <c r="D159">
        <v>6</v>
      </c>
      <c r="E159" t="str">
        <f>INDEX([2]Define!X:X,MATCH(D159,[2]Define!W:W))</f>
        <v>自己強化</v>
      </c>
      <c r="F159">
        <v>51</v>
      </c>
      <c r="H159">
        <v>1</v>
      </c>
      <c r="I159" t="str">
        <f>INDEX([2]Define!B:B,MATCH(H159,[2]Define!A:A))</f>
        <v>単体</v>
      </c>
      <c r="J159">
        <v>0</v>
      </c>
      <c r="K159">
        <v>210</v>
      </c>
      <c r="L159">
        <v>4</v>
      </c>
      <c r="M159" t="str">
        <f>INDEX([2]Define!E:E,MATCH(L159,[2]Define!D:D))</f>
        <v>光</v>
      </c>
      <c r="N159">
        <v>5</v>
      </c>
      <c r="O159" t="str">
        <f>INDEX([2]Define!H:H,MATCH(N159,[2]Define!G:G))</f>
        <v>レリック</v>
      </c>
      <c r="P159">
        <v>2</v>
      </c>
      <c r="Q159" t="str">
        <f>INDEX([2]Define!K:K,MATCH(P159,[2]Define!J:J))</f>
        <v>味方</v>
      </c>
      <c r="R159">
        <v>3</v>
      </c>
      <c r="S159" t="str">
        <f>INDEX([2]Define!N:N,MATCH(R159,[2]Define!M:M))</f>
        <v>全体</v>
      </c>
      <c r="T159">
        <v>2</v>
      </c>
      <c r="U159">
        <v>1</v>
      </c>
      <c r="V159">
        <v>1</v>
      </c>
      <c r="W159">
        <v>0</v>
      </c>
    </row>
    <row r="160" spans="1:23">
      <c r="A160">
        <v>301060</v>
      </c>
      <c r="B160">
        <v>301060</v>
      </c>
      <c r="C160" t="str">
        <f>INDEX(TextData!B:B,MATCH(B160,TextData!A:A))</f>
        <v>セカンドステージ</v>
      </c>
      <c r="D160">
        <v>6</v>
      </c>
      <c r="E160" t="str">
        <f>INDEX([2]Define!X:X,MATCH(D160,[2]Define!W:W))</f>
        <v>自己強化</v>
      </c>
      <c r="F160">
        <v>51</v>
      </c>
      <c r="H160">
        <v>1</v>
      </c>
      <c r="I160" t="str">
        <f>INDEX([2]Define!B:B,MATCH(H160,[2]Define!A:A))</f>
        <v>単体</v>
      </c>
      <c r="J160">
        <v>0</v>
      </c>
      <c r="K160">
        <v>210</v>
      </c>
      <c r="L160">
        <v>4</v>
      </c>
      <c r="M160" t="str">
        <f>INDEX([2]Define!E:E,MATCH(L160,[2]Define!D:D))</f>
        <v>光</v>
      </c>
      <c r="N160">
        <v>5</v>
      </c>
      <c r="O160" t="str">
        <f>INDEX([2]Define!H:H,MATCH(N160,[2]Define!G:G))</f>
        <v>レリック</v>
      </c>
      <c r="P160">
        <v>2</v>
      </c>
      <c r="Q160" t="str">
        <f>INDEX([2]Define!K:K,MATCH(P160,[2]Define!J:J))</f>
        <v>味方</v>
      </c>
      <c r="R160">
        <v>3</v>
      </c>
      <c r="S160" t="str">
        <f>INDEX([2]Define!N:N,MATCH(R160,[2]Define!M:M))</f>
        <v>全体</v>
      </c>
      <c r="T160">
        <v>2</v>
      </c>
      <c r="U160">
        <v>1</v>
      </c>
      <c r="V160">
        <v>0</v>
      </c>
      <c r="W160">
        <v>0</v>
      </c>
    </row>
    <row r="161" spans="1:23">
      <c r="A161">
        <v>301070</v>
      </c>
      <c r="B161">
        <v>301070</v>
      </c>
      <c r="C161" t="str">
        <f>INDEX(TextData!B:B,MATCH(B161,TextData!A:A))</f>
        <v>ハイヒットポイント</v>
      </c>
      <c r="D161">
        <v>6</v>
      </c>
      <c r="E161" t="str">
        <f>INDEX([2]Define!X:X,MATCH(D161,[2]Define!W:W))</f>
        <v>自己強化</v>
      </c>
      <c r="F161">
        <v>51</v>
      </c>
      <c r="H161">
        <v>1</v>
      </c>
      <c r="I161" t="str">
        <f>INDEX([2]Define!B:B,MATCH(H161,[2]Define!A:A))</f>
        <v>単体</v>
      </c>
      <c r="J161">
        <v>0</v>
      </c>
      <c r="K161">
        <v>210</v>
      </c>
      <c r="L161">
        <v>4</v>
      </c>
      <c r="M161" t="str">
        <f>INDEX([2]Define!E:E,MATCH(L161,[2]Define!D:D))</f>
        <v>光</v>
      </c>
      <c r="N161">
        <v>5</v>
      </c>
      <c r="O161" t="str">
        <f>INDEX([2]Define!H:H,MATCH(N161,[2]Define!G:G))</f>
        <v>レリック</v>
      </c>
      <c r="P161">
        <v>2</v>
      </c>
      <c r="Q161" t="str">
        <f>INDEX([2]Define!K:K,MATCH(P161,[2]Define!J:J))</f>
        <v>味方</v>
      </c>
      <c r="R161">
        <v>3</v>
      </c>
      <c r="S161" t="str">
        <f>INDEX([2]Define!N:N,MATCH(R161,[2]Define!M:M))</f>
        <v>全体</v>
      </c>
      <c r="T161">
        <v>2</v>
      </c>
      <c r="U161">
        <v>1</v>
      </c>
      <c r="V161">
        <v>1</v>
      </c>
      <c r="W161">
        <v>0</v>
      </c>
    </row>
    <row r="162" spans="1:23">
      <c r="A162">
        <v>301080</v>
      </c>
      <c r="B162">
        <v>301080</v>
      </c>
      <c r="C162" t="str">
        <f>INDEX(TextData!B:B,MATCH(B162,TextData!A:A))</f>
        <v>セプタブラスト</v>
      </c>
      <c r="D162">
        <v>6</v>
      </c>
      <c r="E162" t="str">
        <f>INDEX([2]Define!X:X,MATCH(D162,[2]Define!W:W))</f>
        <v>自己強化</v>
      </c>
      <c r="F162">
        <v>101</v>
      </c>
      <c r="H162">
        <v>1</v>
      </c>
      <c r="I162" t="str">
        <f>INDEX([2]Define!B:B,MATCH(H162,[2]Define!A:A))</f>
        <v>単体</v>
      </c>
      <c r="J162">
        <v>0</v>
      </c>
      <c r="K162">
        <v>210</v>
      </c>
      <c r="L162">
        <v>1</v>
      </c>
      <c r="M162" t="str">
        <f>INDEX([2]Define!E:E,MATCH(L162,[2]Define!D:D))</f>
        <v>炎</v>
      </c>
      <c r="N162">
        <v>5</v>
      </c>
      <c r="O162" t="str">
        <f>INDEX([2]Define!H:H,MATCH(N162,[2]Define!G:G))</f>
        <v>レリック</v>
      </c>
      <c r="P162">
        <v>7</v>
      </c>
      <c r="Q162" t="str">
        <f>INDEX([2]Define!K:K,MATCH(P162,[2]Define!J:J))</f>
        <v>追撃</v>
      </c>
      <c r="R162">
        <v>1</v>
      </c>
      <c r="S162" t="str">
        <f>INDEX([2]Define!N:N,MATCH(R162,[2]Define!M:M))</f>
        <v>単体</v>
      </c>
      <c r="T162">
        <v>2</v>
      </c>
      <c r="U162">
        <v>1</v>
      </c>
      <c r="V162">
        <v>1</v>
      </c>
      <c r="W162">
        <v>0</v>
      </c>
    </row>
    <row r="163" spans="1:23">
      <c r="A163">
        <v>301090</v>
      </c>
      <c r="B163">
        <v>301090</v>
      </c>
      <c r="C163" t="str">
        <f>INDEX(TextData!B:B,MATCH(B163,TextData!A:A))</f>
        <v>イニシャルブロッカー</v>
      </c>
      <c r="D163">
        <v>6</v>
      </c>
      <c r="E163" t="str">
        <f>INDEX([2]Define!X:X,MATCH(D163,[2]Define!W:W))</f>
        <v>自己強化</v>
      </c>
      <c r="F163">
        <v>51</v>
      </c>
      <c r="H163">
        <v>1</v>
      </c>
      <c r="I163" t="str">
        <f>INDEX([2]Define!B:B,MATCH(H163,[2]Define!A:A))</f>
        <v>単体</v>
      </c>
      <c r="J163">
        <v>0</v>
      </c>
      <c r="K163">
        <v>210</v>
      </c>
      <c r="L163">
        <v>3</v>
      </c>
      <c r="M163" t="str">
        <f>INDEX([2]Define!E:E,MATCH(L163,[2]Define!D:D))</f>
        <v>氷</v>
      </c>
      <c r="N163">
        <v>5</v>
      </c>
      <c r="O163" t="str">
        <f>INDEX([2]Define!H:H,MATCH(N163,[2]Define!G:G))</f>
        <v>レリック</v>
      </c>
      <c r="P163">
        <v>2</v>
      </c>
      <c r="Q163" t="str">
        <f>INDEX([2]Define!K:K,MATCH(P163,[2]Define!J:J))</f>
        <v>味方</v>
      </c>
      <c r="R163">
        <v>3</v>
      </c>
      <c r="S163" t="str">
        <f>INDEX([2]Define!N:N,MATCH(R163,[2]Define!M:M))</f>
        <v>全体</v>
      </c>
      <c r="T163">
        <v>2</v>
      </c>
      <c r="U163">
        <v>1</v>
      </c>
      <c r="V163">
        <v>1</v>
      </c>
      <c r="W163">
        <v>0</v>
      </c>
    </row>
    <row r="164" spans="1:23">
      <c r="A164">
        <v>301100</v>
      </c>
      <c r="B164">
        <v>301100</v>
      </c>
      <c r="C164" t="str">
        <f>INDEX(TextData!B:B,MATCH(B164,TextData!A:A))</f>
        <v>ファーストテイク</v>
      </c>
      <c r="D164">
        <v>6</v>
      </c>
      <c r="E164" t="str">
        <f>INDEX([2]Define!X:X,MATCH(D164,[2]Define!W:W))</f>
        <v>自己強化</v>
      </c>
      <c r="F164">
        <v>51</v>
      </c>
      <c r="H164">
        <v>1</v>
      </c>
      <c r="I164" t="str">
        <f>INDEX([2]Define!B:B,MATCH(H164,[2]Define!A:A))</f>
        <v>単体</v>
      </c>
      <c r="J164">
        <v>0</v>
      </c>
      <c r="K164">
        <v>210</v>
      </c>
      <c r="L164">
        <v>2</v>
      </c>
      <c r="M164" t="str">
        <f>INDEX([2]Define!E:E,MATCH(L164,[2]Define!D:D))</f>
        <v>雷</v>
      </c>
      <c r="N164">
        <v>5</v>
      </c>
      <c r="O164" t="str">
        <f>INDEX([2]Define!H:H,MATCH(N164,[2]Define!G:G))</f>
        <v>レリック</v>
      </c>
      <c r="P164">
        <v>2</v>
      </c>
      <c r="Q164" t="str">
        <f>INDEX([2]Define!K:K,MATCH(P164,[2]Define!J:J))</f>
        <v>味方</v>
      </c>
      <c r="R164">
        <v>3</v>
      </c>
      <c r="S164" t="str">
        <f>INDEX([2]Define!N:N,MATCH(R164,[2]Define!M:M))</f>
        <v>全体</v>
      </c>
      <c r="T164">
        <v>2</v>
      </c>
      <c r="U164">
        <v>1</v>
      </c>
      <c r="V164">
        <v>1</v>
      </c>
      <c r="W164">
        <v>0</v>
      </c>
    </row>
    <row r="165" spans="1:23">
      <c r="A165">
        <v>401010</v>
      </c>
      <c r="B165">
        <v>401010</v>
      </c>
      <c r="C165" t="str">
        <f>INDEX(TextData!B:B,MATCH(B165,TextData!A:A))</f>
        <v>ファイアボール+</v>
      </c>
      <c r="D165">
        <v>1</v>
      </c>
      <c r="E165" t="str">
        <f>INDEX([2]Define!X:X,MATCH(D165,[2]Define!W:W))</f>
        <v>元素</v>
      </c>
      <c r="F165">
        <v>101</v>
      </c>
      <c r="H165">
        <v>1</v>
      </c>
      <c r="I165" t="str">
        <f>INDEX([2]Define!B:B,MATCH(H165,[2]Define!A:A))</f>
        <v>単体</v>
      </c>
      <c r="J165">
        <v>0</v>
      </c>
      <c r="K165">
        <v>120</v>
      </c>
      <c r="L165">
        <v>1</v>
      </c>
      <c r="M165" t="str">
        <f>INDEX([2]Define!E:E,MATCH(L165,[2]Define!D:D))</f>
        <v>炎</v>
      </c>
      <c r="N165">
        <v>6</v>
      </c>
      <c r="O165" t="str">
        <f>INDEX([2]Define!H:H,MATCH(N165,[2]Define!G:G))</f>
        <v>強化</v>
      </c>
      <c r="P165">
        <v>4</v>
      </c>
      <c r="Q165" t="str">
        <f>INDEX([2]Define!K:K,MATCH(P165,[2]Define!J:J))</f>
        <v>自身</v>
      </c>
      <c r="R165">
        <v>4</v>
      </c>
      <c r="S165" t="str">
        <f>INDEX([2]Define!N:N,MATCH(R165,[2]Define!M:M))</f>
        <v>自身</v>
      </c>
      <c r="T165">
        <v>1</v>
      </c>
      <c r="U165">
        <v>1</v>
      </c>
      <c r="V165">
        <v>1</v>
      </c>
      <c r="W165">
        <v>0</v>
      </c>
    </row>
    <row r="166" spans="1:23">
      <c r="A166">
        <v>401020</v>
      </c>
      <c r="B166">
        <v>401020</v>
      </c>
      <c r="C166" t="str">
        <f>INDEX(TextData!B:B,MATCH(B166,TextData!A:A))</f>
        <v>バーンストーム+</v>
      </c>
      <c r="D166">
        <v>1</v>
      </c>
      <c r="E166" t="str">
        <f>INDEX([2]Define!X:X,MATCH(D166,[2]Define!W:W))</f>
        <v>元素</v>
      </c>
      <c r="F166">
        <v>101</v>
      </c>
      <c r="H166">
        <v>2</v>
      </c>
      <c r="I166" t="str">
        <f>INDEX([2]Define!B:B,MATCH(H166,[2]Define!A:A))</f>
        <v>列</v>
      </c>
      <c r="J166">
        <v>0</v>
      </c>
      <c r="K166">
        <v>120</v>
      </c>
      <c r="L166">
        <v>1</v>
      </c>
      <c r="M166" t="str">
        <f>INDEX([2]Define!E:E,MATCH(L166,[2]Define!D:D))</f>
        <v>炎</v>
      </c>
      <c r="N166">
        <v>6</v>
      </c>
      <c r="O166" t="str">
        <f>INDEX([2]Define!H:H,MATCH(N166,[2]Define!G:G))</f>
        <v>強化</v>
      </c>
      <c r="P166">
        <v>4</v>
      </c>
      <c r="Q166" t="str">
        <f>INDEX([2]Define!K:K,MATCH(P166,[2]Define!J:J))</f>
        <v>自身</v>
      </c>
      <c r="R166">
        <v>4</v>
      </c>
      <c r="S166" t="str">
        <f>INDEX([2]Define!N:N,MATCH(R166,[2]Define!M:M))</f>
        <v>自身</v>
      </c>
      <c r="T166">
        <v>1</v>
      </c>
      <c r="U166">
        <v>1</v>
      </c>
      <c r="V166">
        <v>1</v>
      </c>
      <c r="W166">
        <v>0</v>
      </c>
    </row>
    <row r="167" spans="1:23">
      <c r="A167">
        <v>401030</v>
      </c>
      <c r="B167">
        <v>401030</v>
      </c>
      <c r="C167" t="str">
        <f>INDEX(TextData!B:B,MATCH(B167,TextData!A:A))</f>
        <v>ヒートスタンプ+</v>
      </c>
      <c r="D167">
        <v>2</v>
      </c>
      <c r="E167" t="str">
        <f>INDEX([2]Define!X:X,MATCH(D167,[2]Define!W:W))</f>
        <v>光</v>
      </c>
      <c r="F167">
        <v>21</v>
      </c>
      <c r="H167">
        <v>1</v>
      </c>
      <c r="I167" t="str">
        <f>INDEX([2]Define!B:B,MATCH(H167,[2]Define!A:A))</f>
        <v>単体</v>
      </c>
      <c r="J167">
        <v>0</v>
      </c>
      <c r="K167">
        <v>120</v>
      </c>
      <c r="L167">
        <v>1</v>
      </c>
      <c r="M167" t="str">
        <f>INDEX([2]Define!E:E,MATCH(L167,[2]Define!D:D))</f>
        <v>炎</v>
      </c>
      <c r="N167">
        <v>6</v>
      </c>
      <c r="O167" t="str">
        <f>INDEX([2]Define!H:H,MATCH(N167,[2]Define!G:G))</f>
        <v>強化</v>
      </c>
      <c r="P167">
        <v>4</v>
      </c>
      <c r="Q167" t="str">
        <f>INDEX([2]Define!K:K,MATCH(P167,[2]Define!J:J))</f>
        <v>自身</v>
      </c>
      <c r="R167">
        <v>4</v>
      </c>
      <c r="S167" t="str">
        <f>INDEX([2]Define!N:N,MATCH(R167,[2]Define!M:M))</f>
        <v>自身</v>
      </c>
      <c r="T167">
        <v>1</v>
      </c>
      <c r="U167">
        <v>1</v>
      </c>
      <c r="V167">
        <v>1</v>
      </c>
      <c r="W167">
        <v>0</v>
      </c>
    </row>
    <row r="168" spans="1:23">
      <c r="A168">
        <v>401040</v>
      </c>
      <c r="B168">
        <v>401040</v>
      </c>
      <c r="C168" t="str">
        <f>INDEX(TextData!B:B,MATCH(B168,TextData!A:A))</f>
        <v>ソードアダプト+</v>
      </c>
      <c r="D168">
        <v>4</v>
      </c>
      <c r="E168" t="str">
        <f>INDEX([2]Define!X:X,MATCH(D168,[2]Define!W:W))</f>
        <v>精神</v>
      </c>
      <c r="F168">
        <v>51</v>
      </c>
      <c r="H168">
        <v>1</v>
      </c>
      <c r="I168" t="str">
        <f>INDEX([2]Define!B:B,MATCH(H168,[2]Define!A:A))</f>
        <v>単体</v>
      </c>
      <c r="J168">
        <v>0</v>
      </c>
      <c r="K168">
        <v>120</v>
      </c>
      <c r="L168">
        <v>1</v>
      </c>
      <c r="M168" t="str">
        <f>INDEX([2]Define!E:E,MATCH(L168,[2]Define!D:D))</f>
        <v>炎</v>
      </c>
      <c r="N168">
        <v>6</v>
      </c>
      <c r="O168" t="str">
        <f>INDEX([2]Define!H:H,MATCH(N168,[2]Define!G:G))</f>
        <v>強化</v>
      </c>
      <c r="P168">
        <v>4</v>
      </c>
      <c r="Q168" t="str">
        <f>INDEX([2]Define!K:K,MATCH(P168,[2]Define!J:J))</f>
        <v>自身</v>
      </c>
      <c r="R168">
        <v>4</v>
      </c>
      <c r="S168" t="str">
        <f>INDEX([2]Define!N:N,MATCH(R168,[2]Define!M:M))</f>
        <v>自身</v>
      </c>
      <c r="T168">
        <v>1</v>
      </c>
      <c r="U168">
        <v>1</v>
      </c>
      <c r="V168">
        <v>1</v>
      </c>
      <c r="W168">
        <v>0</v>
      </c>
    </row>
    <row r="169" ht="12" customHeight="1" spans="1:23">
      <c r="A169">
        <v>401050</v>
      </c>
      <c r="B169">
        <v>401050</v>
      </c>
      <c r="C169" t="str">
        <f>INDEX(TextData!B:B,MATCH(B169,TextData!A:A))</f>
        <v>フレイムレイン+</v>
      </c>
      <c r="D169">
        <v>1</v>
      </c>
      <c r="E169" t="str">
        <f>INDEX([2]Define!X:X,MATCH(D169,[2]Define!W:W))</f>
        <v>元素</v>
      </c>
      <c r="F169">
        <v>101</v>
      </c>
      <c r="H169">
        <v>1</v>
      </c>
      <c r="I169" t="str">
        <f>INDEX([2]Define!B:B,MATCH(H169,[2]Define!A:A))</f>
        <v>単体</v>
      </c>
      <c r="J169">
        <v>0</v>
      </c>
      <c r="K169">
        <v>120</v>
      </c>
      <c r="L169">
        <v>1</v>
      </c>
      <c r="M169" t="str">
        <f>INDEX([2]Define!E:E,MATCH(L169,[2]Define!D:D))</f>
        <v>炎</v>
      </c>
      <c r="N169">
        <v>6</v>
      </c>
      <c r="O169" t="str">
        <f>INDEX([2]Define!H:H,MATCH(N169,[2]Define!G:G))</f>
        <v>強化</v>
      </c>
      <c r="P169">
        <v>4</v>
      </c>
      <c r="Q169" t="str">
        <f>INDEX([2]Define!K:K,MATCH(P169,[2]Define!J:J))</f>
        <v>自身</v>
      </c>
      <c r="R169">
        <v>4</v>
      </c>
      <c r="S169" t="str">
        <f>INDEX([2]Define!N:N,MATCH(R169,[2]Define!M:M))</f>
        <v>自身</v>
      </c>
      <c r="T169">
        <v>1</v>
      </c>
      <c r="U169">
        <v>1</v>
      </c>
      <c r="V169">
        <v>1</v>
      </c>
      <c r="W169">
        <v>0</v>
      </c>
    </row>
    <row r="170" ht="12" customHeight="1" spans="1:23">
      <c r="A170">
        <v>401060</v>
      </c>
      <c r="B170">
        <v>401060</v>
      </c>
      <c r="C170" t="str">
        <f>INDEX(TextData!B:B,MATCH(B170,TextData!A:A))</f>
        <v>イクスティンクション+</v>
      </c>
      <c r="D170">
        <v>1</v>
      </c>
      <c r="E170" t="str">
        <f>INDEX([2]Define!X:X,MATCH(D170,[2]Define!W:W))</f>
        <v>元素</v>
      </c>
      <c r="F170">
        <v>101</v>
      </c>
      <c r="H170">
        <v>1</v>
      </c>
      <c r="I170" t="str">
        <f>INDEX([2]Define!B:B,MATCH(H170,[2]Define!A:A))</f>
        <v>単体</v>
      </c>
      <c r="J170">
        <v>0</v>
      </c>
      <c r="K170">
        <v>120</v>
      </c>
      <c r="L170">
        <v>1</v>
      </c>
      <c r="M170" t="str">
        <f>INDEX([2]Define!E:E,MATCH(L170,[2]Define!D:D))</f>
        <v>炎</v>
      </c>
      <c r="N170">
        <v>6</v>
      </c>
      <c r="O170" t="str">
        <f>INDEX([2]Define!H:H,MATCH(N170,[2]Define!G:G))</f>
        <v>強化</v>
      </c>
      <c r="P170">
        <v>4</v>
      </c>
      <c r="Q170" t="str">
        <f>INDEX([2]Define!K:K,MATCH(P170,[2]Define!J:J))</f>
        <v>自身</v>
      </c>
      <c r="R170">
        <v>4</v>
      </c>
      <c r="S170" t="str">
        <f>INDEX([2]Define!N:N,MATCH(R170,[2]Define!M:M))</f>
        <v>自身</v>
      </c>
      <c r="T170">
        <v>1</v>
      </c>
      <c r="U170">
        <v>1</v>
      </c>
      <c r="V170">
        <v>1</v>
      </c>
      <c r="W170">
        <v>0</v>
      </c>
    </row>
    <row r="171" ht="12" customHeight="1" spans="1:23">
      <c r="A171">
        <v>401070</v>
      </c>
      <c r="B171">
        <v>401070</v>
      </c>
      <c r="C171" t="str">
        <f>INDEX(TextData!B:B,MATCH(B171,TextData!A:A))</f>
        <v>バーニングソウル+</v>
      </c>
      <c r="D171">
        <v>2</v>
      </c>
      <c r="E171" t="str">
        <f>INDEX([2]Define!X:X,MATCH(D171,[2]Define!W:W))</f>
        <v>光</v>
      </c>
      <c r="F171">
        <v>101</v>
      </c>
      <c r="H171">
        <v>1</v>
      </c>
      <c r="I171" t="str">
        <f>INDEX([2]Define!B:B,MATCH(H171,[2]Define!A:A))</f>
        <v>単体</v>
      </c>
      <c r="J171">
        <v>0</v>
      </c>
      <c r="K171">
        <v>120</v>
      </c>
      <c r="L171">
        <v>1</v>
      </c>
      <c r="M171" t="str">
        <f>INDEX([2]Define!E:E,MATCH(L171,[2]Define!D:D))</f>
        <v>炎</v>
      </c>
      <c r="N171">
        <v>6</v>
      </c>
      <c r="O171" t="str">
        <f>INDEX([2]Define!H:H,MATCH(N171,[2]Define!G:G))</f>
        <v>強化</v>
      </c>
      <c r="P171">
        <v>4</v>
      </c>
      <c r="Q171" t="str">
        <f>INDEX([2]Define!K:K,MATCH(P171,[2]Define!J:J))</f>
        <v>自身</v>
      </c>
      <c r="R171">
        <v>4</v>
      </c>
      <c r="S171" t="str">
        <f>INDEX([2]Define!N:N,MATCH(R171,[2]Define!M:M))</f>
        <v>自身</v>
      </c>
      <c r="T171">
        <v>1</v>
      </c>
      <c r="U171">
        <v>1</v>
      </c>
      <c r="V171">
        <v>1</v>
      </c>
      <c r="W171">
        <v>0</v>
      </c>
    </row>
    <row r="172" ht="12" customHeight="1" spans="1:23">
      <c r="A172">
        <v>401080</v>
      </c>
      <c r="B172">
        <v>401080</v>
      </c>
      <c r="C172" t="str">
        <f>INDEX(TextData!B:B,MATCH(B172,TextData!A:A))</f>
        <v>レイジングバウンサー+</v>
      </c>
      <c r="D172">
        <v>1</v>
      </c>
      <c r="E172" t="str">
        <f>INDEX([2]Define!X:X,MATCH(D172,[2]Define!W:W))</f>
        <v>元素</v>
      </c>
      <c r="F172">
        <v>51</v>
      </c>
      <c r="H172">
        <v>1</v>
      </c>
      <c r="I172" t="str">
        <f>INDEX([2]Define!B:B,MATCH(H172,[2]Define!A:A))</f>
        <v>単体</v>
      </c>
      <c r="J172">
        <v>0</v>
      </c>
      <c r="K172">
        <v>120</v>
      </c>
      <c r="L172">
        <v>1</v>
      </c>
      <c r="M172" t="str">
        <f>INDEX([2]Define!E:E,MATCH(L172,[2]Define!D:D))</f>
        <v>炎</v>
      </c>
      <c r="N172">
        <v>6</v>
      </c>
      <c r="O172" t="str">
        <f>INDEX([2]Define!H:H,MATCH(N172,[2]Define!G:G))</f>
        <v>強化</v>
      </c>
      <c r="P172">
        <v>4</v>
      </c>
      <c r="Q172" t="str">
        <f>INDEX([2]Define!K:K,MATCH(P172,[2]Define!J:J))</f>
        <v>自身</v>
      </c>
      <c r="R172">
        <v>4</v>
      </c>
      <c r="S172" t="str">
        <f>INDEX([2]Define!N:N,MATCH(R172,[2]Define!M:M))</f>
        <v>自身</v>
      </c>
      <c r="T172">
        <v>1</v>
      </c>
      <c r="U172">
        <v>1</v>
      </c>
      <c r="V172">
        <v>1</v>
      </c>
      <c r="W172">
        <v>0</v>
      </c>
    </row>
    <row r="173" spans="1:23">
      <c r="A173">
        <v>402010</v>
      </c>
      <c r="B173">
        <v>402010</v>
      </c>
      <c r="C173" t="str">
        <f>INDEX(TextData!B:B,MATCH(B173,TextData!A:A))</f>
        <v>ディスチャージ+</v>
      </c>
      <c r="D173">
        <v>1</v>
      </c>
      <c r="E173" t="str">
        <f>INDEX([2]Define!X:X,MATCH(D173,[2]Define!W:W))</f>
        <v>元素</v>
      </c>
      <c r="F173">
        <v>201</v>
      </c>
      <c r="H173">
        <v>1</v>
      </c>
      <c r="I173" t="str">
        <f>INDEX([2]Define!B:B,MATCH(H173,[2]Define!A:A))</f>
        <v>単体</v>
      </c>
      <c r="J173">
        <v>0</v>
      </c>
      <c r="K173">
        <v>120</v>
      </c>
      <c r="L173">
        <v>2</v>
      </c>
      <c r="M173" t="str">
        <f>INDEX([2]Define!E:E,MATCH(L173,[2]Define!D:D))</f>
        <v>雷</v>
      </c>
      <c r="N173">
        <v>6</v>
      </c>
      <c r="O173" t="str">
        <f>INDEX([2]Define!H:H,MATCH(N173,[2]Define!G:G))</f>
        <v>強化</v>
      </c>
      <c r="P173">
        <v>4</v>
      </c>
      <c r="Q173" t="str">
        <f>INDEX([2]Define!K:K,MATCH(P173,[2]Define!J:J))</f>
        <v>自身</v>
      </c>
      <c r="R173">
        <v>4</v>
      </c>
      <c r="S173" t="str">
        <f>INDEX([2]Define!N:N,MATCH(R173,[2]Define!M:M))</f>
        <v>自身</v>
      </c>
      <c r="T173">
        <v>1</v>
      </c>
      <c r="U173">
        <v>1</v>
      </c>
      <c r="V173">
        <v>1</v>
      </c>
      <c r="W173">
        <v>0</v>
      </c>
    </row>
    <row r="174" spans="1:23">
      <c r="A174">
        <v>402020</v>
      </c>
      <c r="B174">
        <v>402020</v>
      </c>
      <c r="C174" t="str">
        <f>INDEX(TextData!B:B,MATCH(B174,TextData!A:A))</f>
        <v>イベイドコード+</v>
      </c>
      <c r="D174">
        <v>4</v>
      </c>
      <c r="E174" t="str">
        <f>INDEX([2]Define!X:X,MATCH(D174,[2]Define!W:W))</f>
        <v>精神</v>
      </c>
      <c r="F174">
        <v>51</v>
      </c>
      <c r="H174">
        <v>1</v>
      </c>
      <c r="I174" t="str">
        <f>INDEX([2]Define!B:B,MATCH(H174,[2]Define!A:A))</f>
        <v>単体</v>
      </c>
      <c r="J174">
        <v>0</v>
      </c>
      <c r="K174">
        <v>120</v>
      </c>
      <c r="L174">
        <v>2</v>
      </c>
      <c r="M174" t="str">
        <f>INDEX([2]Define!E:E,MATCH(L174,[2]Define!D:D))</f>
        <v>雷</v>
      </c>
      <c r="N174">
        <v>6</v>
      </c>
      <c r="O174" t="str">
        <f>INDEX([2]Define!H:H,MATCH(N174,[2]Define!G:G))</f>
        <v>強化</v>
      </c>
      <c r="P174">
        <v>4</v>
      </c>
      <c r="Q174" t="str">
        <f>INDEX([2]Define!K:K,MATCH(P174,[2]Define!J:J))</f>
        <v>自身</v>
      </c>
      <c r="R174">
        <v>4</v>
      </c>
      <c r="S174" t="str">
        <f>INDEX([2]Define!N:N,MATCH(R174,[2]Define!M:M))</f>
        <v>自身</v>
      </c>
      <c r="T174">
        <v>1</v>
      </c>
      <c r="U174">
        <v>1</v>
      </c>
      <c r="V174">
        <v>1</v>
      </c>
      <c r="W174">
        <v>0</v>
      </c>
    </row>
    <row r="175" spans="1:23">
      <c r="A175">
        <v>402030</v>
      </c>
      <c r="B175">
        <v>402030</v>
      </c>
      <c r="C175" t="str">
        <f>INDEX(TextData!B:B,MATCH(B175,TextData!A:A))</f>
        <v>ショックインパルス+</v>
      </c>
      <c r="D175">
        <v>3</v>
      </c>
      <c r="E175" t="str">
        <f>INDEX([2]Define!X:X,MATCH(D175,[2]Define!W:W))</f>
        <v>理術</v>
      </c>
      <c r="F175">
        <v>201</v>
      </c>
      <c r="H175">
        <v>1</v>
      </c>
      <c r="I175" t="str">
        <f>INDEX([2]Define!B:B,MATCH(H175,[2]Define!A:A))</f>
        <v>単体</v>
      </c>
      <c r="J175">
        <v>0</v>
      </c>
      <c r="K175">
        <v>120</v>
      </c>
      <c r="L175">
        <v>2</v>
      </c>
      <c r="M175" t="str">
        <f>INDEX([2]Define!E:E,MATCH(L175,[2]Define!D:D))</f>
        <v>雷</v>
      </c>
      <c r="N175">
        <v>6</v>
      </c>
      <c r="O175" t="str">
        <f>INDEX([2]Define!H:H,MATCH(N175,[2]Define!G:G))</f>
        <v>強化</v>
      </c>
      <c r="P175">
        <v>4</v>
      </c>
      <c r="Q175" t="str">
        <f>INDEX([2]Define!K:K,MATCH(P175,[2]Define!J:J))</f>
        <v>自身</v>
      </c>
      <c r="R175">
        <v>4</v>
      </c>
      <c r="S175" t="str">
        <f>INDEX([2]Define!N:N,MATCH(R175,[2]Define!M:M))</f>
        <v>自身</v>
      </c>
      <c r="T175">
        <v>1</v>
      </c>
      <c r="U175">
        <v>1</v>
      </c>
      <c r="V175">
        <v>1</v>
      </c>
      <c r="W175">
        <v>0</v>
      </c>
    </row>
    <row r="176" spans="1:23">
      <c r="A176">
        <v>402040</v>
      </c>
      <c r="B176">
        <v>402040</v>
      </c>
      <c r="C176" t="str">
        <f>INDEX(TextData!B:B,MATCH(B176,TextData!A:A))</f>
        <v>トラストチェイン+</v>
      </c>
      <c r="D176">
        <v>1</v>
      </c>
      <c r="E176" t="str">
        <f>INDEX([2]Define!X:X,MATCH(D176,[2]Define!W:W))</f>
        <v>元素</v>
      </c>
      <c r="F176">
        <v>51</v>
      </c>
      <c r="H176">
        <v>1</v>
      </c>
      <c r="I176" t="str">
        <f>INDEX([2]Define!B:B,MATCH(H176,[2]Define!A:A))</f>
        <v>単体</v>
      </c>
      <c r="J176">
        <v>0</v>
      </c>
      <c r="K176">
        <v>120</v>
      </c>
      <c r="L176">
        <v>2</v>
      </c>
      <c r="M176" t="str">
        <f>INDEX([2]Define!E:E,MATCH(L176,[2]Define!D:D))</f>
        <v>雷</v>
      </c>
      <c r="N176">
        <v>6</v>
      </c>
      <c r="O176" t="str">
        <f>INDEX([2]Define!H:H,MATCH(N176,[2]Define!G:G))</f>
        <v>強化</v>
      </c>
      <c r="P176">
        <v>4</v>
      </c>
      <c r="Q176" t="str">
        <f>INDEX([2]Define!K:K,MATCH(P176,[2]Define!J:J))</f>
        <v>自身</v>
      </c>
      <c r="R176">
        <v>4</v>
      </c>
      <c r="S176" t="str">
        <f>INDEX([2]Define!N:N,MATCH(R176,[2]Define!M:M))</f>
        <v>自身</v>
      </c>
      <c r="T176">
        <v>1</v>
      </c>
      <c r="U176">
        <v>1</v>
      </c>
      <c r="V176">
        <v>1</v>
      </c>
      <c r="W176">
        <v>0</v>
      </c>
    </row>
    <row r="177" spans="1:23">
      <c r="A177">
        <v>402050</v>
      </c>
      <c r="B177">
        <v>402050</v>
      </c>
      <c r="C177" t="str">
        <f>INDEX(TextData!B:B,MATCH(B177,TextData!A:A))</f>
        <v>スペルバニシング+</v>
      </c>
      <c r="D177">
        <v>1</v>
      </c>
      <c r="E177" t="str">
        <f>INDEX([2]Define!X:X,MATCH(D177,[2]Define!W:W))</f>
        <v>元素</v>
      </c>
      <c r="F177">
        <v>201</v>
      </c>
      <c r="H177">
        <v>1</v>
      </c>
      <c r="I177" t="str">
        <f>INDEX([2]Define!B:B,MATCH(H177,[2]Define!A:A))</f>
        <v>単体</v>
      </c>
      <c r="J177">
        <v>0</v>
      </c>
      <c r="K177">
        <v>120</v>
      </c>
      <c r="L177">
        <v>2</v>
      </c>
      <c r="M177" t="str">
        <f>INDEX([2]Define!E:E,MATCH(L177,[2]Define!D:D))</f>
        <v>雷</v>
      </c>
      <c r="N177">
        <v>6</v>
      </c>
      <c r="O177" t="str">
        <f>INDEX([2]Define!H:H,MATCH(N177,[2]Define!G:G))</f>
        <v>強化</v>
      </c>
      <c r="P177">
        <v>4</v>
      </c>
      <c r="Q177" t="str">
        <f>INDEX([2]Define!K:K,MATCH(P177,[2]Define!J:J))</f>
        <v>自身</v>
      </c>
      <c r="R177">
        <v>4</v>
      </c>
      <c r="S177" t="str">
        <f>INDEX([2]Define!N:N,MATCH(R177,[2]Define!M:M))</f>
        <v>自身</v>
      </c>
      <c r="T177">
        <v>1</v>
      </c>
      <c r="U177">
        <v>1</v>
      </c>
      <c r="V177">
        <v>1</v>
      </c>
      <c r="W177">
        <v>0</v>
      </c>
    </row>
    <row r="178" spans="1:23">
      <c r="A178">
        <v>402060</v>
      </c>
      <c r="B178">
        <v>402060</v>
      </c>
      <c r="C178" t="str">
        <f>INDEX(TextData!B:B,MATCH(B178,TextData!A:A))</f>
        <v>アーテニーストライク+</v>
      </c>
      <c r="D178">
        <v>1</v>
      </c>
      <c r="E178" t="str">
        <f>INDEX([2]Define!X:X,MATCH(D178,[2]Define!W:W))</f>
        <v>元素</v>
      </c>
      <c r="F178">
        <v>201</v>
      </c>
      <c r="H178">
        <v>1</v>
      </c>
      <c r="I178" t="str">
        <f>INDEX([2]Define!B:B,MATCH(H178,[2]Define!A:A))</f>
        <v>単体</v>
      </c>
      <c r="J178">
        <v>0</v>
      </c>
      <c r="K178">
        <v>120</v>
      </c>
      <c r="L178">
        <v>2</v>
      </c>
      <c r="M178" t="str">
        <f>INDEX([2]Define!E:E,MATCH(L178,[2]Define!D:D))</f>
        <v>雷</v>
      </c>
      <c r="N178">
        <v>6</v>
      </c>
      <c r="O178" t="str">
        <f>INDEX([2]Define!H:H,MATCH(N178,[2]Define!G:G))</f>
        <v>強化</v>
      </c>
      <c r="P178">
        <v>4</v>
      </c>
      <c r="Q178" t="str">
        <f>INDEX([2]Define!K:K,MATCH(P178,[2]Define!J:J))</f>
        <v>自身</v>
      </c>
      <c r="R178">
        <v>4</v>
      </c>
      <c r="S178" t="str">
        <f>INDEX([2]Define!N:N,MATCH(R178,[2]Define!M:M))</f>
        <v>自身</v>
      </c>
      <c r="T178">
        <v>1</v>
      </c>
      <c r="U178">
        <v>1</v>
      </c>
      <c r="V178">
        <v>1</v>
      </c>
      <c r="W178">
        <v>0</v>
      </c>
    </row>
    <row r="179" spans="1:23">
      <c r="A179">
        <v>402070</v>
      </c>
      <c r="B179">
        <v>402070</v>
      </c>
      <c r="C179" t="str">
        <f>INDEX(TextData!B:B,MATCH(B179,TextData!A:A))</f>
        <v>コンセントレイト+</v>
      </c>
      <c r="D179">
        <v>3</v>
      </c>
      <c r="E179" t="str">
        <f>INDEX([2]Define!X:X,MATCH(D179,[2]Define!W:W))</f>
        <v>理術</v>
      </c>
      <c r="F179">
        <v>51</v>
      </c>
      <c r="H179">
        <v>1</v>
      </c>
      <c r="I179" t="str">
        <f>INDEX([2]Define!B:B,MATCH(H179,[2]Define!A:A))</f>
        <v>単体</v>
      </c>
      <c r="J179">
        <v>0</v>
      </c>
      <c r="K179">
        <v>120</v>
      </c>
      <c r="L179">
        <v>2</v>
      </c>
      <c r="M179" t="str">
        <f>INDEX([2]Define!E:E,MATCH(L179,[2]Define!D:D))</f>
        <v>雷</v>
      </c>
      <c r="N179">
        <v>6</v>
      </c>
      <c r="O179" t="str">
        <f>INDEX([2]Define!H:H,MATCH(N179,[2]Define!G:G))</f>
        <v>強化</v>
      </c>
      <c r="P179">
        <v>4</v>
      </c>
      <c r="Q179" t="str">
        <f>INDEX([2]Define!K:K,MATCH(P179,[2]Define!J:J))</f>
        <v>自身</v>
      </c>
      <c r="R179">
        <v>4</v>
      </c>
      <c r="S179" t="str">
        <f>INDEX([2]Define!N:N,MATCH(R179,[2]Define!M:M))</f>
        <v>自身</v>
      </c>
      <c r="T179">
        <v>1</v>
      </c>
      <c r="U179">
        <v>1</v>
      </c>
      <c r="V179">
        <v>1</v>
      </c>
      <c r="W179">
        <v>0</v>
      </c>
    </row>
    <row r="180" spans="1:23">
      <c r="A180">
        <v>402080</v>
      </c>
      <c r="B180">
        <v>402080</v>
      </c>
      <c r="C180" t="str">
        <f>INDEX(TextData!B:B,MATCH(B180,TextData!A:A))</f>
        <v>ディレイマジック+</v>
      </c>
      <c r="D180">
        <v>5</v>
      </c>
      <c r="E180" t="str">
        <f>INDEX([2]Define!X:X,MATCH(D180,[2]Define!W:W))</f>
        <v>超次元</v>
      </c>
      <c r="F180">
        <v>201</v>
      </c>
      <c r="H180">
        <v>1</v>
      </c>
      <c r="I180" t="str">
        <f>INDEX([2]Define!B:B,MATCH(H180,[2]Define!A:A))</f>
        <v>単体</v>
      </c>
      <c r="J180">
        <v>0</v>
      </c>
      <c r="K180">
        <v>120</v>
      </c>
      <c r="L180">
        <v>2</v>
      </c>
      <c r="M180" t="str">
        <f>INDEX([2]Define!E:E,MATCH(L180,[2]Define!D:D))</f>
        <v>雷</v>
      </c>
      <c r="N180">
        <v>6</v>
      </c>
      <c r="O180" t="str">
        <f>INDEX([2]Define!H:H,MATCH(N180,[2]Define!G:G))</f>
        <v>強化</v>
      </c>
      <c r="P180">
        <v>4</v>
      </c>
      <c r="Q180" t="str">
        <f>INDEX([2]Define!K:K,MATCH(P180,[2]Define!J:J))</f>
        <v>自身</v>
      </c>
      <c r="R180">
        <v>4</v>
      </c>
      <c r="S180" t="str">
        <f>INDEX([2]Define!N:N,MATCH(R180,[2]Define!M:M))</f>
        <v>自身</v>
      </c>
      <c r="T180">
        <v>1</v>
      </c>
      <c r="U180">
        <v>1</v>
      </c>
      <c r="V180">
        <v>1</v>
      </c>
      <c r="W180">
        <v>0</v>
      </c>
    </row>
    <row r="181" spans="1:23">
      <c r="A181">
        <v>403010</v>
      </c>
      <c r="B181">
        <v>403010</v>
      </c>
      <c r="C181" t="str">
        <f>INDEX(TextData!B:B,MATCH(B181,TextData!A:A))</f>
        <v>アイスブレイド+</v>
      </c>
      <c r="D181">
        <v>1</v>
      </c>
      <c r="E181" t="str">
        <f>INDEX([2]Define!X:X,MATCH(D181,[2]Define!W:W))</f>
        <v>元素</v>
      </c>
      <c r="F181">
        <v>301</v>
      </c>
      <c r="H181">
        <v>1</v>
      </c>
      <c r="I181" t="str">
        <f>INDEX([2]Define!B:B,MATCH(H181,[2]Define!A:A))</f>
        <v>単体</v>
      </c>
      <c r="J181">
        <v>0</v>
      </c>
      <c r="K181">
        <v>120</v>
      </c>
      <c r="L181">
        <v>3</v>
      </c>
      <c r="M181" t="str">
        <f>INDEX([2]Define!E:E,MATCH(L181,[2]Define!D:D))</f>
        <v>氷</v>
      </c>
      <c r="N181">
        <v>6</v>
      </c>
      <c r="O181" t="str">
        <f>INDEX([2]Define!H:H,MATCH(N181,[2]Define!G:G))</f>
        <v>強化</v>
      </c>
      <c r="P181">
        <v>4</v>
      </c>
      <c r="Q181" t="str">
        <f>INDEX([2]Define!K:K,MATCH(P181,[2]Define!J:J))</f>
        <v>自身</v>
      </c>
      <c r="R181">
        <v>4</v>
      </c>
      <c r="S181" t="str">
        <f>INDEX([2]Define!N:N,MATCH(R181,[2]Define!M:M))</f>
        <v>自身</v>
      </c>
      <c r="T181">
        <v>1</v>
      </c>
      <c r="U181">
        <v>1</v>
      </c>
      <c r="V181">
        <v>1</v>
      </c>
      <c r="W181">
        <v>0</v>
      </c>
    </row>
    <row r="182" spans="1:23">
      <c r="A182">
        <v>403020</v>
      </c>
      <c r="B182">
        <v>403020</v>
      </c>
      <c r="C182" t="str">
        <f>INDEX(TextData!B:B,MATCH(B182,TextData!A:A))</f>
        <v>カウンターオーラ+</v>
      </c>
      <c r="D182">
        <v>2</v>
      </c>
      <c r="E182" t="str">
        <f>INDEX([2]Define!X:X,MATCH(D182,[2]Define!W:W))</f>
        <v>光</v>
      </c>
      <c r="F182">
        <v>301</v>
      </c>
      <c r="H182">
        <v>1</v>
      </c>
      <c r="I182" t="str">
        <f>INDEX([2]Define!B:B,MATCH(H182,[2]Define!A:A))</f>
        <v>単体</v>
      </c>
      <c r="J182">
        <v>0</v>
      </c>
      <c r="K182">
        <v>120</v>
      </c>
      <c r="L182">
        <v>3</v>
      </c>
      <c r="M182" t="str">
        <f>INDEX([2]Define!E:E,MATCH(L182,[2]Define!D:D))</f>
        <v>氷</v>
      </c>
      <c r="N182">
        <v>6</v>
      </c>
      <c r="O182" t="str">
        <f>INDEX([2]Define!H:H,MATCH(N182,[2]Define!G:G))</f>
        <v>強化</v>
      </c>
      <c r="P182">
        <v>4</v>
      </c>
      <c r="Q182" t="str">
        <f>INDEX([2]Define!K:K,MATCH(P182,[2]Define!J:J))</f>
        <v>自身</v>
      </c>
      <c r="R182">
        <v>4</v>
      </c>
      <c r="S182" t="str">
        <f>INDEX([2]Define!N:N,MATCH(R182,[2]Define!M:M))</f>
        <v>自身</v>
      </c>
      <c r="T182">
        <v>1</v>
      </c>
      <c r="U182">
        <v>1</v>
      </c>
      <c r="V182">
        <v>1</v>
      </c>
      <c r="W182">
        <v>0</v>
      </c>
    </row>
    <row r="183" spans="1:23">
      <c r="A183">
        <v>403030</v>
      </c>
      <c r="B183">
        <v>403030</v>
      </c>
      <c r="C183" t="str">
        <f>INDEX(TextData!B:B,MATCH(B183,TextData!A:A))</f>
        <v>ラインプロテクト+</v>
      </c>
      <c r="D183">
        <v>4</v>
      </c>
      <c r="E183" t="str">
        <f>INDEX([2]Define!X:X,MATCH(D183,[2]Define!W:W))</f>
        <v>精神</v>
      </c>
      <c r="F183">
        <v>51</v>
      </c>
      <c r="H183">
        <v>1</v>
      </c>
      <c r="I183" t="str">
        <f>INDEX([2]Define!B:B,MATCH(H183,[2]Define!A:A))</f>
        <v>単体</v>
      </c>
      <c r="J183">
        <v>0</v>
      </c>
      <c r="K183">
        <v>120</v>
      </c>
      <c r="L183">
        <v>3</v>
      </c>
      <c r="M183" t="str">
        <f>INDEX([2]Define!E:E,MATCH(L183,[2]Define!D:D))</f>
        <v>氷</v>
      </c>
      <c r="N183">
        <v>6</v>
      </c>
      <c r="O183" t="str">
        <f>INDEX([2]Define!H:H,MATCH(N183,[2]Define!G:G))</f>
        <v>強化</v>
      </c>
      <c r="P183">
        <v>4</v>
      </c>
      <c r="Q183" t="str">
        <f>INDEX([2]Define!K:K,MATCH(P183,[2]Define!J:J))</f>
        <v>自身</v>
      </c>
      <c r="R183">
        <v>4</v>
      </c>
      <c r="S183" t="str">
        <f>INDEX([2]Define!N:N,MATCH(R183,[2]Define!M:M))</f>
        <v>自身</v>
      </c>
      <c r="T183">
        <v>1</v>
      </c>
      <c r="U183">
        <v>1</v>
      </c>
      <c r="V183">
        <v>1</v>
      </c>
      <c r="W183">
        <v>0</v>
      </c>
    </row>
    <row r="184" spans="1:23">
      <c r="A184">
        <v>403040</v>
      </c>
      <c r="B184">
        <v>403040</v>
      </c>
      <c r="C184" t="str">
        <f>INDEX(TextData!B:B,MATCH(B184,TextData!A:A))</f>
        <v>エスコートソール+</v>
      </c>
      <c r="D184">
        <v>3</v>
      </c>
      <c r="E184" t="str">
        <f>INDEX([2]Define!X:X,MATCH(D184,[2]Define!W:W))</f>
        <v>理術</v>
      </c>
      <c r="F184">
        <v>61</v>
      </c>
      <c r="H184">
        <v>1</v>
      </c>
      <c r="I184" t="str">
        <f>INDEX([2]Define!B:B,MATCH(H184,[2]Define!A:A))</f>
        <v>単体</v>
      </c>
      <c r="J184">
        <v>0</v>
      </c>
      <c r="K184">
        <v>120</v>
      </c>
      <c r="L184">
        <v>3</v>
      </c>
      <c r="M184" t="str">
        <f>INDEX([2]Define!E:E,MATCH(L184,[2]Define!D:D))</f>
        <v>氷</v>
      </c>
      <c r="N184">
        <v>6</v>
      </c>
      <c r="O184" t="str">
        <f>INDEX([2]Define!H:H,MATCH(N184,[2]Define!G:G))</f>
        <v>強化</v>
      </c>
      <c r="P184">
        <v>4</v>
      </c>
      <c r="Q184" t="str">
        <f>INDEX([2]Define!K:K,MATCH(P184,[2]Define!J:J))</f>
        <v>自身</v>
      </c>
      <c r="R184">
        <v>4</v>
      </c>
      <c r="S184" t="str">
        <f>INDEX([2]Define!N:N,MATCH(R184,[2]Define!M:M))</f>
        <v>自身</v>
      </c>
      <c r="T184">
        <v>1</v>
      </c>
      <c r="U184">
        <v>1</v>
      </c>
      <c r="V184">
        <v>1</v>
      </c>
      <c r="W184">
        <v>0</v>
      </c>
    </row>
    <row r="185" spans="1:23">
      <c r="A185">
        <v>403050</v>
      </c>
      <c r="B185">
        <v>403050</v>
      </c>
      <c r="C185" t="str">
        <f>INDEX(TextData!B:B,MATCH(B185,TextData!A:A))</f>
        <v>ディープフリーズ+</v>
      </c>
      <c r="D185">
        <v>3</v>
      </c>
      <c r="E185" t="str">
        <f>INDEX([2]Define!X:X,MATCH(D185,[2]Define!W:W))</f>
        <v>理術</v>
      </c>
      <c r="F185">
        <v>301</v>
      </c>
      <c r="H185">
        <v>1</v>
      </c>
      <c r="I185" t="str">
        <f>INDEX([2]Define!B:B,MATCH(H185,[2]Define!A:A))</f>
        <v>単体</v>
      </c>
      <c r="J185">
        <v>0</v>
      </c>
      <c r="K185">
        <v>120</v>
      </c>
      <c r="L185">
        <v>3</v>
      </c>
      <c r="M185" t="str">
        <f>INDEX([2]Define!E:E,MATCH(L185,[2]Define!D:D))</f>
        <v>氷</v>
      </c>
      <c r="N185">
        <v>6</v>
      </c>
      <c r="O185" t="str">
        <f>INDEX([2]Define!H:H,MATCH(N185,[2]Define!G:G))</f>
        <v>強化</v>
      </c>
      <c r="P185">
        <v>4</v>
      </c>
      <c r="Q185" t="str">
        <f>INDEX([2]Define!K:K,MATCH(P185,[2]Define!J:J))</f>
        <v>自身</v>
      </c>
      <c r="R185">
        <v>4</v>
      </c>
      <c r="S185" t="str">
        <f>INDEX([2]Define!N:N,MATCH(R185,[2]Define!M:M))</f>
        <v>自身</v>
      </c>
      <c r="T185">
        <v>1</v>
      </c>
      <c r="U185">
        <v>1</v>
      </c>
      <c r="V185">
        <v>1</v>
      </c>
      <c r="W185">
        <v>0</v>
      </c>
    </row>
    <row r="186" spans="1:23">
      <c r="A186">
        <v>403060</v>
      </c>
      <c r="B186">
        <v>403060</v>
      </c>
      <c r="C186" t="str">
        <f>INDEX(TextData!B:B,MATCH(B186,TextData!A:A))</f>
        <v>バブルブロウ+</v>
      </c>
      <c r="D186">
        <v>3</v>
      </c>
      <c r="E186" t="str">
        <f>INDEX([2]Define!X:X,MATCH(D186,[2]Define!W:W))</f>
        <v>理術</v>
      </c>
      <c r="F186">
        <v>301</v>
      </c>
      <c r="H186">
        <v>1</v>
      </c>
      <c r="I186" t="str">
        <f>INDEX([2]Define!B:B,MATCH(H186,[2]Define!A:A))</f>
        <v>単体</v>
      </c>
      <c r="J186">
        <v>0</v>
      </c>
      <c r="K186">
        <v>120</v>
      </c>
      <c r="L186">
        <v>3</v>
      </c>
      <c r="M186" t="str">
        <f>INDEX([2]Define!E:E,MATCH(L186,[2]Define!D:D))</f>
        <v>氷</v>
      </c>
      <c r="N186">
        <v>6</v>
      </c>
      <c r="O186" t="str">
        <f>INDEX([2]Define!H:H,MATCH(N186,[2]Define!G:G))</f>
        <v>強化</v>
      </c>
      <c r="P186">
        <v>4</v>
      </c>
      <c r="Q186" t="str">
        <f>INDEX([2]Define!K:K,MATCH(P186,[2]Define!J:J))</f>
        <v>自身</v>
      </c>
      <c r="R186">
        <v>4</v>
      </c>
      <c r="S186" t="str">
        <f>INDEX([2]Define!N:N,MATCH(R186,[2]Define!M:M))</f>
        <v>自身</v>
      </c>
      <c r="T186">
        <v>1</v>
      </c>
      <c r="U186">
        <v>1</v>
      </c>
      <c r="V186">
        <v>1</v>
      </c>
      <c r="W186">
        <v>0</v>
      </c>
    </row>
    <row r="187" spans="1:23">
      <c r="A187">
        <v>403070</v>
      </c>
      <c r="B187">
        <v>403070</v>
      </c>
      <c r="C187" t="str">
        <f>INDEX(TextData!B:B,MATCH(B187,TextData!A:A))</f>
        <v>アクアミラージュ+</v>
      </c>
      <c r="D187">
        <v>4</v>
      </c>
      <c r="E187" t="str">
        <f>INDEX([2]Define!X:X,MATCH(D187,[2]Define!W:W))</f>
        <v>精神</v>
      </c>
      <c r="F187">
        <v>51</v>
      </c>
      <c r="H187">
        <v>1</v>
      </c>
      <c r="I187" t="str">
        <f>INDEX([2]Define!B:B,MATCH(H187,[2]Define!A:A))</f>
        <v>単体</v>
      </c>
      <c r="J187">
        <v>0</v>
      </c>
      <c r="K187">
        <v>120</v>
      </c>
      <c r="L187">
        <v>3</v>
      </c>
      <c r="M187" t="str">
        <f>INDEX([2]Define!E:E,MATCH(L187,[2]Define!D:D))</f>
        <v>氷</v>
      </c>
      <c r="N187">
        <v>6</v>
      </c>
      <c r="O187" t="str">
        <f>INDEX([2]Define!H:H,MATCH(N187,[2]Define!G:G))</f>
        <v>強化</v>
      </c>
      <c r="P187">
        <v>4</v>
      </c>
      <c r="Q187" t="str">
        <f>INDEX([2]Define!K:K,MATCH(P187,[2]Define!J:J))</f>
        <v>自身</v>
      </c>
      <c r="R187">
        <v>4</v>
      </c>
      <c r="S187" t="str">
        <f>INDEX([2]Define!N:N,MATCH(R187,[2]Define!M:M))</f>
        <v>自身</v>
      </c>
      <c r="T187">
        <v>1</v>
      </c>
      <c r="U187">
        <v>1</v>
      </c>
      <c r="V187">
        <v>1</v>
      </c>
      <c r="W187">
        <v>0</v>
      </c>
    </row>
    <row r="188" spans="1:23">
      <c r="A188">
        <v>403080</v>
      </c>
      <c r="B188">
        <v>403080</v>
      </c>
      <c r="C188" t="str">
        <f>INDEX(TextData!B:B,MATCH(B188,TextData!A:A))</f>
        <v>フロストシールド+</v>
      </c>
      <c r="D188">
        <v>4</v>
      </c>
      <c r="E188" t="str">
        <f>INDEX([2]Define!X:X,MATCH(D188,[2]Define!W:W))</f>
        <v>精神</v>
      </c>
      <c r="F188">
        <v>51</v>
      </c>
      <c r="H188">
        <v>1</v>
      </c>
      <c r="I188" t="str">
        <f>INDEX([2]Define!B:B,MATCH(H188,[2]Define!A:A))</f>
        <v>単体</v>
      </c>
      <c r="J188">
        <v>0</v>
      </c>
      <c r="K188">
        <v>120</v>
      </c>
      <c r="L188">
        <v>3</v>
      </c>
      <c r="M188" t="str">
        <f>INDEX([2]Define!E:E,MATCH(L188,[2]Define!D:D))</f>
        <v>氷</v>
      </c>
      <c r="N188">
        <v>6</v>
      </c>
      <c r="O188" t="str">
        <f>INDEX([2]Define!H:H,MATCH(N188,[2]Define!G:G))</f>
        <v>強化</v>
      </c>
      <c r="P188">
        <v>4</v>
      </c>
      <c r="Q188" t="str">
        <f>INDEX([2]Define!K:K,MATCH(P188,[2]Define!J:J))</f>
        <v>自身</v>
      </c>
      <c r="R188">
        <v>4</v>
      </c>
      <c r="S188" t="str">
        <f>INDEX([2]Define!N:N,MATCH(R188,[2]Define!M:M))</f>
        <v>自身</v>
      </c>
      <c r="T188">
        <v>1</v>
      </c>
      <c r="U188">
        <v>1</v>
      </c>
      <c r="V188">
        <v>1</v>
      </c>
      <c r="W188">
        <v>0</v>
      </c>
    </row>
    <row r="189" ht="12" customHeight="1" spans="1:23">
      <c r="A189">
        <v>404010</v>
      </c>
      <c r="B189">
        <v>404010</v>
      </c>
      <c r="C189" t="str">
        <f>INDEX(TextData!B:B,MATCH(B189,TextData!A:A))</f>
        <v>セイントレーザー+</v>
      </c>
      <c r="D189">
        <v>1</v>
      </c>
      <c r="E189" t="str">
        <f>INDEX([2]Define!X:X,MATCH(D189,[2]Define!W:W))</f>
        <v>元素</v>
      </c>
      <c r="F189">
        <v>401</v>
      </c>
      <c r="H189">
        <v>1</v>
      </c>
      <c r="I189" t="str">
        <f>INDEX([2]Define!B:B,MATCH(H189,[2]Define!A:A))</f>
        <v>単体</v>
      </c>
      <c r="J189">
        <v>0</v>
      </c>
      <c r="K189">
        <v>120</v>
      </c>
      <c r="L189">
        <v>4</v>
      </c>
      <c r="M189" t="str">
        <f>INDEX([2]Define!E:E,MATCH(L189,[2]Define!D:D))</f>
        <v>光</v>
      </c>
      <c r="N189">
        <v>6</v>
      </c>
      <c r="O189" t="str">
        <f>INDEX([2]Define!H:H,MATCH(N189,[2]Define!G:G))</f>
        <v>強化</v>
      </c>
      <c r="P189">
        <v>4</v>
      </c>
      <c r="Q189" t="str">
        <f>INDEX([2]Define!K:K,MATCH(P189,[2]Define!J:J))</f>
        <v>自身</v>
      </c>
      <c r="R189">
        <v>4</v>
      </c>
      <c r="S189" t="str">
        <f>INDEX([2]Define!N:N,MATCH(R189,[2]Define!M:M))</f>
        <v>自身</v>
      </c>
      <c r="T189">
        <v>1</v>
      </c>
      <c r="U189">
        <v>1</v>
      </c>
      <c r="V189">
        <v>1</v>
      </c>
      <c r="W189">
        <v>0</v>
      </c>
    </row>
    <row r="190" ht="12" customHeight="1" spans="1:23">
      <c r="A190">
        <v>404020</v>
      </c>
      <c r="B190">
        <v>404020</v>
      </c>
      <c r="C190" t="str">
        <f>INDEX(TextData!B:B,MATCH(B190,TextData!A:A))</f>
        <v>ペネトレイト+</v>
      </c>
      <c r="D190">
        <v>1</v>
      </c>
      <c r="E190" t="str">
        <f>INDEX([2]Define!X:X,MATCH(D190,[2]Define!W:W))</f>
        <v>元素</v>
      </c>
      <c r="F190">
        <v>401</v>
      </c>
      <c r="H190">
        <v>1</v>
      </c>
      <c r="I190" t="str">
        <f>INDEX([2]Define!B:B,MATCH(H190,[2]Define!A:A))</f>
        <v>単体</v>
      </c>
      <c r="J190">
        <v>0</v>
      </c>
      <c r="K190">
        <v>120</v>
      </c>
      <c r="L190">
        <v>4</v>
      </c>
      <c r="M190" t="str">
        <f>INDEX([2]Define!E:E,MATCH(L190,[2]Define!D:D))</f>
        <v>光</v>
      </c>
      <c r="N190">
        <v>6</v>
      </c>
      <c r="O190" t="str">
        <f>INDEX([2]Define!H:H,MATCH(N190,[2]Define!G:G))</f>
        <v>強化</v>
      </c>
      <c r="P190">
        <v>4</v>
      </c>
      <c r="Q190" t="str">
        <f>INDEX([2]Define!K:K,MATCH(P190,[2]Define!J:J))</f>
        <v>自身</v>
      </c>
      <c r="R190">
        <v>4</v>
      </c>
      <c r="S190" t="str">
        <f>INDEX([2]Define!N:N,MATCH(R190,[2]Define!M:M))</f>
        <v>自身</v>
      </c>
      <c r="T190">
        <v>1</v>
      </c>
      <c r="U190">
        <v>1</v>
      </c>
      <c r="V190">
        <v>1</v>
      </c>
      <c r="W190">
        <v>0</v>
      </c>
    </row>
    <row r="191" ht="12" customHeight="1" spans="1:23">
      <c r="A191">
        <v>404030</v>
      </c>
      <c r="B191">
        <v>404030</v>
      </c>
      <c r="C191" t="str">
        <f>INDEX(TextData!B:B,MATCH(B191,TextData!A:A))</f>
        <v>ヒーリング+</v>
      </c>
      <c r="D191">
        <v>2</v>
      </c>
      <c r="E191" t="str">
        <f>INDEX([2]Define!X:X,MATCH(D191,[2]Define!W:W))</f>
        <v>光</v>
      </c>
      <c r="F191">
        <v>21</v>
      </c>
      <c r="H191">
        <v>1</v>
      </c>
      <c r="I191" t="str">
        <f>INDEX([2]Define!B:B,MATCH(H191,[2]Define!A:A))</f>
        <v>単体</v>
      </c>
      <c r="J191">
        <v>0</v>
      </c>
      <c r="K191">
        <v>120</v>
      </c>
      <c r="L191">
        <v>4</v>
      </c>
      <c r="M191" t="str">
        <f>INDEX([2]Define!E:E,MATCH(L191,[2]Define!D:D))</f>
        <v>光</v>
      </c>
      <c r="N191">
        <v>6</v>
      </c>
      <c r="O191" t="str">
        <f>INDEX([2]Define!H:H,MATCH(N191,[2]Define!G:G))</f>
        <v>強化</v>
      </c>
      <c r="P191">
        <v>4</v>
      </c>
      <c r="Q191" t="str">
        <f>INDEX([2]Define!K:K,MATCH(P191,[2]Define!J:J))</f>
        <v>自身</v>
      </c>
      <c r="R191">
        <v>4</v>
      </c>
      <c r="S191" t="str">
        <f>INDEX([2]Define!N:N,MATCH(R191,[2]Define!M:M))</f>
        <v>自身</v>
      </c>
      <c r="T191">
        <v>1</v>
      </c>
      <c r="U191">
        <v>1</v>
      </c>
      <c r="V191">
        <v>1</v>
      </c>
      <c r="W191">
        <v>0</v>
      </c>
    </row>
    <row r="192" spans="1:23">
      <c r="A192">
        <v>404040</v>
      </c>
      <c r="B192">
        <v>404040</v>
      </c>
      <c r="C192" t="str">
        <f>INDEX(TextData!B:B,MATCH(B192,TextData!A:A))</f>
        <v>リザイアフォトン+</v>
      </c>
      <c r="D192">
        <v>2</v>
      </c>
      <c r="E192" t="str">
        <f>INDEX([2]Define!X:X,MATCH(D192,[2]Define!W:W))</f>
        <v>光</v>
      </c>
      <c r="F192">
        <v>401</v>
      </c>
      <c r="H192">
        <v>1</v>
      </c>
      <c r="I192" t="str">
        <f>INDEX([2]Define!B:B,MATCH(H192,[2]Define!A:A))</f>
        <v>単体</v>
      </c>
      <c r="J192">
        <v>0</v>
      </c>
      <c r="K192">
        <v>120</v>
      </c>
      <c r="L192">
        <v>4</v>
      </c>
      <c r="M192" t="str">
        <f>INDEX([2]Define!E:E,MATCH(L192,[2]Define!D:D))</f>
        <v>光</v>
      </c>
      <c r="N192">
        <v>6</v>
      </c>
      <c r="O192" t="str">
        <f>INDEX([2]Define!H:H,MATCH(N192,[2]Define!G:G))</f>
        <v>強化</v>
      </c>
      <c r="P192">
        <v>4</v>
      </c>
      <c r="Q192" t="str">
        <f>INDEX([2]Define!K:K,MATCH(P192,[2]Define!J:J))</f>
        <v>自身</v>
      </c>
      <c r="R192">
        <v>4</v>
      </c>
      <c r="S192" t="str">
        <f>INDEX([2]Define!N:N,MATCH(R192,[2]Define!M:M))</f>
        <v>自身</v>
      </c>
      <c r="T192">
        <v>1</v>
      </c>
      <c r="U192">
        <v>1</v>
      </c>
      <c r="V192">
        <v>1</v>
      </c>
      <c r="W192">
        <v>0</v>
      </c>
    </row>
    <row r="193" ht="12" customHeight="1" spans="1:23">
      <c r="A193">
        <v>404050</v>
      </c>
      <c r="B193">
        <v>404050</v>
      </c>
      <c r="C193" t="str">
        <f>INDEX(TextData!B:B,MATCH(B193,TextData!A:A))</f>
        <v>べネディクション+</v>
      </c>
      <c r="D193">
        <v>2</v>
      </c>
      <c r="E193" t="str">
        <f>INDEX([2]Define!X:X,MATCH(D193,[2]Define!W:W))</f>
        <v>光</v>
      </c>
      <c r="F193">
        <v>21</v>
      </c>
      <c r="H193">
        <v>1</v>
      </c>
      <c r="I193" t="str">
        <f>INDEX([2]Define!B:B,MATCH(H193,[2]Define!A:A))</f>
        <v>単体</v>
      </c>
      <c r="J193">
        <v>0</v>
      </c>
      <c r="K193">
        <v>120</v>
      </c>
      <c r="L193">
        <v>4</v>
      </c>
      <c r="M193" t="str">
        <f>INDEX([2]Define!E:E,MATCH(L193,[2]Define!D:D))</f>
        <v>光</v>
      </c>
      <c r="N193">
        <v>6</v>
      </c>
      <c r="O193" t="str">
        <f>INDEX([2]Define!H:H,MATCH(N193,[2]Define!G:G))</f>
        <v>強化</v>
      </c>
      <c r="P193">
        <v>4</v>
      </c>
      <c r="Q193" t="str">
        <f>INDEX([2]Define!K:K,MATCH(P193,[2]Define!J:J))</f>
        <v>自身</v>
      </c>
      <c r="R193">
        <v>4</v>
      </c>
      <c r="S193" t="str">
        <f>INDEX([2]Define!N:N,MATCH(R193,[2]Define!M:M))</f>
        <v>自身</v>
      </c>
      <c r="T193">
        <v>1</v>
      </c>
      <c r="U193">
        <v>1</v>
      </c>
      <c r="V193">
        <v>1</v>
      </c>
      <c r="W193">
        <v>0</v>
      </c>
    </row>
    <row r="194" spans="1:23">
      <c r="A194">
        <v>404060</v>
      </c>
      <c r="B194">
        <v>404060</v>
      </c>
      <c r="C194" t="str">
        <f>INDEX(TextData!B:B,MATCH(B194,TextData!A:A))</f>
        <v>ホーリーグレイス+</v>
      </c>
      <c r="D194">
        <v>2</v>
      </c>
      <c r="E194" t="str">
        <f>INDEX([2]Define!X:X,MATCH(D194,[2]Define!W:W))</f>
        <v>光</v>
      </c>
      <c r="F194">
        <v>21</v>
      </c>
      <c r="H194">
        <v>1</v>
      </c>
      <c r="I194" t="str">
        <f>INDEX([2]Define!B:B,MATCH(H194,[2]Define!A:A))</f>
        <v>単体</v>
      </c>
      <c r="J194">
        <v>0</v>
      </c>
      <c r="K194">
        <v>120</v>
      </c>
      <c r="L194">
        <v>4</v>
      </c>
      <c r="M194" t="str">
        <f>INDEX([2]Define!E:E,MATCH(L194,[2]Define!D:D))</f>
        <v>光</v>
      </c>
      <c r="N194">
        <v>6</v>
      </c>
      <c r="O194" t="str">
        <f>INDEX([2]Define!H:H,MATCH(N194,[2]Define!G:G))</f>
        <v>強化</v>
      </c>
      <c r="P194">
        <v>4</v>
      </c>
      <c r="Q194" t="str">
        <f>INDEX([2]Define!K:K,MATCH(P194,[2]Define!J:J))</f>
        <v>自身</v>
      </c>
      <c r="R194">
        <v>4</v>
      </c>
      <c r="S194" t="str">
        <f>INDEX([2]Define!N:N,MATCH(R194,[2]Define!M:M))</f>
        <v>自身</v>
      </c>
      <c r="T194">
        <v>1</v>
      </c>
      <c r="U194">
        <v>1</v>
      </c>
      <c r="V194">
        <v>1</v>
      </c>
      <c r="W194">
        <v>0</v>
      </c>
    </row>
    <row r="195" spans="1:23">
      <c r="A195">
        <v>404070</v>
      </c>
      <c r="B195">
        <v>404070</v>
      </c>
      <c r="C195" t="str">
        <f>INDEX(TextData!B:B,MATCH(B195,TextData!A:A))</f>
        <v>キュアエール+</v>
      </c>
      <c r="D195">
        <v>2</v>
      </c>
      <c r="E195" t="str">
        <f>INDEX([2]Define!X:X,MATCH(D195,[2]Define!W:W))</f>
        <v>光</v>
      </c>
      <c r="F195">
        <v>21</v>
      </c>
      <c r="H195">
        <v>1</v>
      </c>
      <c r="I195" t="str">
        <f>INDEX([2]Define!B:B,MATCH(H195,[2]Define!A:A))</f>
        <v>単体</v>
      </c>
      <c r="J195">
        <v>0</v>
      </c>
      <c r="K195">
        <v>120</v>
      </c>
      <c r="L195">
        <v>4</v>
      </c>
      <c r="M195" t="str">
        <f>INDEX([2]Define!E:E,MATCH(L195,[2]Define!D:D))</f>
        <v>光</v>
      </c>
      <c r="N195">
        <v>6</v>
      </c>
      <c r="O195" t="str">
        <f>INDEX([2]Define!H:H,MATCH(N195,[2]Define!G:G))</f>
        <v>強化</v>
      </c>
      <c r="P195">
        <v>4</v>
      </c>
      <c r="Q195" t="str">
        <f>INDEX([2]Define!K:K,MATCH(P195,[2]Define!J:J))</f>
        <v>自身</v>
      </c>
      <c r="R195">
        <v>4</v>
      </c>
      <c r="S195" t="str">
        <f>INDEX([2]Define!N:N,MATCH(R195,[2]Define!M:M))</f>
        <v>自身</v>
      </c>
      <c r="T195">
        <v>1</v>
      </c>
      <c r="U195">
        <v>1</v>
      </c>
      <c r="V195">
        <v>1</v>
      </c>
      <c r="W195">
        <v>0</v>
      </c>
    </row>
    <row r="196" spans="1:23">
      <c r="A196">
        <v>404080</v>
      </c>
      <c r="B196">
        <v>404080</v>
      </c>
      <c r="C196" t="str">
        <f>INDEX(TextData!B:B,MATCH(B196,TextData!A:A))</f>
        <v>ラインバリア+</v>
      </c>
      <c r="D196">
        <v>2</v>
      </c>
      <c r="E196" t="str">
        <f>INDEX([2]Define!X:X,MATCH(D196,[2]Define!W:W))</f>
        <v>光</v>
      </c>
      <c r="F196">
        <v>51</v>
      </c>
      <c r="H196">
        <v>1</v>
      </c>
      <c r="I196" t="str">
        <f>INDEX([2]Define!B:B,MATCH(H196,[2]Define!A:A))</f>
        <v>単体</v>
      </c>
      <c r="J196">
        <v>0</v>
      </c>
      <c r="K196">
        <v>120</v>
      </c>
      <c r="L196">
        <v>4</v>
      </c>
      <c r="M196" t="str">
        <f>INDEX([2]Define!E:E,MATCH(L196,[2]Define!D:D))</f>
        <v>光</v>
      </c>
      <c r="N196">
        <v>6</v>
      </c>
      <c r="O196" t="str">
        <f>INDEX([2]Define!H:H,MATCH(N196,[2]Define!G:G))</f>
        <v>強化</v>
      </c>
      <c r="P196">
        <v>4</v>
      </c>
      <c r="Q196" t="str">
        <f>INDEX([2]Define!K:K,MATCH(P196,[2]Define!J:J))</f>
        <v>自身</v>
      </c>
      <c r="R196">
        <v>4</v>
      </c>
      <c r="S196" t="str">
        <f>INDEX([2]Define!N:N,MATCH(R196,[2]Define!M:M))</f>
        <v>自身</v>
      </c>
      <c r="T196">
        <v>1</v>
      </c>
      <c r="U196">
        <v>1</v>
      </c>
      <c r="V196">
        <v>1</v>
      </c>
      <c r="W196">
        <v>0</v>
      </c>
    </row>
    <row r="197" ht="12" customHeight="1" spans="1:23">
      <c r="A197">
        <v>405010</v>
      </c>
      <c r="B197">
        <v>405010</v>
      </c>
      <c r="C197" t="str">
        <f>INDEX(TextData!B:B,MATCH(B197,TextData!A:A))</f>
        <v>ダークプリズン+</v>
      </c>
      <c r="D197">
        <v>5</v>
      </c>
      <c r="E197" t="str">
        <f>INDEX([2]Define!X:X,MATCH(D197,[2]Define!W:W))</f>
        <v>超次元</v>
      </c>
      <c r="F197">
        <v>501</v>
      </c>
      <c r="H197">
        <v>1</v>
      </c>
      <c r="I197" t="str">
        <f>INDEX([2]Define!B:B,MATCH(H197,[2]Define!A:A))</f>
        <v>単体</v>
      </c>
      <c r="J197">
        <v>0</v>
      </c>
      <c r="K197">
        <v>120</v>
      </c>
      <c r="L197">
        <v>5</v>
      </c>
      <c r="M197" t="str">
        <f>INDEX([2]Define!E:E,MATCH(L197,[2]Define!D:D))</f>
        <v>闇</v>
      </c>
      <c r="N197">
        <v>6</v>
      </c>
      <c r="O197" t="str">
        <f>INDEX([2]Define!H:H,MATCH(N197,[2]Define!G:G))</f>
        <v>強化</v>
      </c>
      <c r="P197">
        <v>4</v>
      </c>
      <c r="Q197" t="str">
        <f>INDEX([2]Define!K:K,MATCH(P197,[2]Define!J:J))</f>
        <v>自身</v>
      </c>
      <c r="R197">
        <v>4</v>
      </c>
      <c r="S197" t="str">
        <f>INDEX([2]Define!N:N,MATCH(R197,[2]Define!M:M))</f>
        <v>自身</v>
      </c>
      <c r="T197">
        <v>1</v>
      </c>
      <c r="U197">
        <v>1</v>
      </c>
      <c r="V197">
        <v>1</v>
      </c>
      <c r="W197">
        <v>0</v>
      </c>
    </row>
    <row r="198" ht="12" customHeight="1" spans="1:23">
      <c r="A198">
        <v>405020</v>
      </c>
      <c r="B198">
        <v>405020</v>
      </c>
      <c r="C198" t="str">
        <f>INDEX(TextData!B:B,MATCH(B198,TextData!A:A))</f>
        <v>ユーサネイジア+</v>
      </c>
      <c r="D198">
        <v>5</v>
      </c>
      <c r="E198" t="str">
        <f>INDEX([2]Define!X:X,MATCH(D198,[2]Define!W:W))</f>
        <v>超次元</v>
      </c>
      <c r="F198">
        <v>501</v>
      </c>
      <c r="H198">
        <v>3</v>
      </c>
      <c r="I198" t="str">
        <f>INDEX([2]Define!B:B,MATCH(H198,[2]Define!A:A))</f>
        <v>全体</v>
      </c>
      <c r="J198">
        <v>0</v>
      </c>
      <c r="K198">
        <v>120</v>
      </c>
      <c r="L198">
        <v>5</v>
      </c>
      <c r="M198" t="str">
        <f>INDEX([2]Define!E:E,MATCH(L198,[2]Define!D:D))</f>
        <v>闇</v>
      </c>
      <c r="N198">
        <v>6</v>
      </c>
      <c r="O198" t="str">
        <f>INDEX([2]Define!H:H,MATCH(N198,[2]Define!G:G))</f>
        <v>強化</v>
      </c>
      <c r="P198">
        <v>4</v>
      </c>
      <c r="Q198" t="str">
        <f>INDEX([2]Define!K:K,MATCH(P198,[2]Define!J:J))</f>
        <v>自身</v>
      </c>
      <c r="R198">
        <v>4</v>
      </c>
      <c r="S198" t="str">
        <f>INDEX([2]Define!N:N,MATCH(R198,[2]Define!M:M))</f>
        <v>自身</v>
      </c>
      <c r="T198">
        <v>1</v>
      </c>
      <c r="U198">
        <v>1</v>
      </c>
      <c r="V198">
        <v>1</v>
      </c>
      <c r="W198">
        <v>0</v>
      </c>
    </row>
    <row r="199" ht="12" customHeight="1" spans="1:23">
      <c r="A199">
        <v>405030</v>
      </c>
      <c r="B199">
        <v>405030</v>
      </c>
      <c r="C199" t="str">
        <f>INDEX(TextData!B:B,MATCH(B199,TextData!A:A))</f>
        <v>ドレインヒール+</v>
      </c>
      <c r="D199">
        <v>5</v>
      </c>
      <c r="E199" t="str">
        <f>INDEX([2]Define!X:X,MATCH(D199,[2]Define!W:W))</f>
        <v>超次元</v>
      </c>
      <c r="F199">
        <v>501</v>
      </c>
      <c r="H199">
        <v>1</v>
      </c>
      <c r="I199" t="str">
        <f>INDEX([2]Define!B:B,MATCH(H199,[2]Define!A:A))</f>
        <v>単体</v>
      </c>
      <c r="J199">
        <v>0</v>
      </c>
      <c r="K199">
        <v>120</v>
      </c>
      <c r="L199">
        <v>5</v>
      </c>
      <c r="M199" t="str">
        <f>INDEX([2]Define!E:E,MATCH(L199,[2]Define!D:D))</f>
        <v>闇</v>
      </c>
      <c r="N199">
        <v>6</v>
      </c>
      <c r="O199" t="str">
        <f>INDEX([2]Define!H:H,MATCH(N199,[2]Define!G:G))</f>
        <v>強化</v>
      </c>
      <c r="P199">
        <v>4</v>
      </c>
      <c r="Q199" t="str">
        <f>INDEX([2]Define!K:K,MATCH(P199,[2]Define!J:J))</f>
        <v>自身</v>
      </c>
      <c r="R199">
        <v>4</v>
      </c>
      <c r="S199" t="str">
        <f>INDEX([2]Define!N:N,MATCH(R199,[2]Define!M:M))</f>
        <v>自身</v>
      </c>
      <c r="T199">
        <v>1</v>
      </c>
      <c r="U199">
        <v>1</v>
      </c>
      <c r="V199">
        <v>1</v>
      </c>
      <c r="W199">
        <v>0</v>
      </c>
    </row>
    <row r="200" ht="12" customHeight="1" spans="1:23">
      <c r="A200">
        <v>405040</v>
      </c>
      <c r="B200">
        <v>405040</v>
      </c>
      <c r="C200" t="str">
        <f>INDEX(TextData!B:B,MATCH(B200,TextData!A:A))</f>
        <v>アビサルデスペア+</v>
      </c>
      <c r="D200">
        <v>5</v>
      </c>
      <c r="E200" t="str">
        <f>INDEX([2]Define!X:X,MATCH(D200,[2]Define!W:W))</f>
        <v>超次元</v>
      </c>
      <c r="F200">
        <v>501</v>
      </c>
      <c r="H200">
        <v>1</v>
      </c>
      <c r="I200" t="str">
        <f>INDEX([2]Define!B:B,MATCH(H200,[2]Define!A:A))</f>
        <v>単体</v>
      </c>
      <c r="J200">
        <v>0</v>
      </c>
      <c r="K200">
        <v>120</v>
      </c>
      <c r="L200">
        <v>5</v>
      </c>
      <c r="M200" t="str">
        <f>INDEX([2]Define!E:E,MATCH(L200,[2]Define!D:D))</f>
        <v>闇</v>
      </c>
      <c r="N200">
        <v>6</v>
      </c>
      <c r="O200" t="str">
        <f>INDEX([2]Define!H:H,MATCH(N200,[2]Define!G:G))</f>
        <v>強化</v>
      </c>
      <c r="P200">
        <v>4</v>
      </c>
      <c r="Q200" t="str">
        <f>INDEX([2]Define!K:K,MATCH(P200,[2]Define!J:J))</f>
        <v>自身</v>
      </c>
      <c r="R200">
        <v>4</v>
      </c>
      <c r="S200" t="str">
        <f>INDEX([2]Define!N:N,MATCH(R200,[2]Define!M:M))</f>
        <v>自身</v>
      </c>
      <c r="T200">
        <v>1</v>
      </c>
      <c r="U200">
        <v>1</v>
      </c>
      <c r="V200">
        <v>1</v>
      </c>
      <c r="W200">
        <v>0</v>
      </c>
    </row>
    <row r="201" ht="12" customHeight="1" spans="1:23">
      <c r="A201">
        <v>405050</v>
      </c>
      <c r="B201">
        <v>405050</v>
      </c>
      <c r="C201" t="str">
        <f>INDEX(TextData!B:B,MATCH(B201,TextData!A:A))</f>
        <v>ディプラヴィティ+</v>
      </c>
      <c r="D201">
        <v>3</v>
      </c>
      <c r="E201" t="str">
        <f>INDEX([2]Define!X:X,MATCH(D201,[2]Define!W:W))</f>
        <v>理術</v>
      </c>
      <c r="F201">
        <v>501</v>
      </c>
      <c r="H201">
        <v>1</v>
      </c>
      <c r="I201" t="str">
        <f>INDEX([2]Define!B:B,MATCH(H201,[2]Define!A:A))</f>
        <v>単体</v>
      </c>
      <c r="J201">
        <v>0</v>
      </c>
      <c r="K201">
        <v>120</v>
      </c>
      <c r="L201">
        <v>5</v>
      </c>
      <c r="M201" t="str">
        <f>INDEX([2]Define!E:E,MATCH(L201,[2]Define!D:D))</f>
        <v>闇</v>
      </c>
      <c r="N201">
        <v>6</v>
      </c>
      <c r="O201" t="str">
        <f>INDEX([2]Define!H:H,MATCH(N201,[2]Define!G:G))</f>
        <v>強化</v>
      </c>
      <c r="P201">
        <v>4</v>
      </c>
      <c r="Q201" t="str">
        <f>INDEX([2]Define!K:K,MATCH(P201,[2]Define!J:J))</f>
        <v>自身</v>
      </c>
      <c r="R201">
        <v>4</v>
      </c>
      <c r="S201" t="str">
        <f>INDEX([2]Define!N:N,MATCH(R201,[2]Define!M:M))</f>
        <v>自身</v>
      </c>
      <c r="T201">
        <v>1</v>
      </c>
      <c r="U201">
        <v>1</v>
      </c>
      <c r="V201">
        <v>1</v>
      </c>
      <c r="W201">
        <v>0</v>
      </c>
    </row>
    <row r="202" ht="12" customHeight="1" spans="1:23">
      <c r="A202">
        <v>405060</v>
      </c>
      <c r="B202">
        <v>405060</v>
      </c>
      <c r="C202" t="str">
        <f>INDEX(TextData!B:B,MATCH(B202,TextData!A:A))</f>
        <v>ダークネス+</v>
      </c>
      <c r="D202">
        <v>3</v>
      </c>
      <c r="E202" t="str">
        <f>INDEX([2]Define!X:X,MATCH(D202,[2]Define!W:W))</f>
        <v>理術</v>
      </c>
      <c r="F202">
        <v>61</v>
      </c>
      <c r="H202">
        <v>1</v>
      </c>
      <c r="I202" t="str">
        <f>INDEX([2]Define!B:B,MATCH(H202,[2]Define!A:A))</f>
        <v>単体</v>
      </c>
      <c r="J202">
        <v>0</v>
      </c>
      <c r="K202">
        <v>120</v>
      </c>
      <c r="L202">
        <v>5</v>
      </c>
      <c r="M202" t="str">
        <f>INDEX([2]Define!E:E,MATCH(L202,[2]Define!D:D))</f>
        <v>闇</v>
      </c>
      <c r="N202">
        <v>6</v>
      </c>
      <c r="O202" t="str">
        <f>INDEX([2]Define!H:H,MATCH(N202,[2]Define!G:G))</f>
        <v>強化</v>
      </c>
      <c r="P202">
        <v>4</v>
      </c>
      <c r="Q202" t="str">
        <f>INDEX([2]Define!K:K,MATCH(P202,[2]Define!J:J))</f>
        <v>自身</v>
      </c>
      <c r="R202">
        <v>4</v>
      </c>
      <c r="S202" t="str">
        <f>INDEX([2]Define!N:N,MATCH(R202,[2]Define!M:M))</f>
        <v>自身</v>
      </c>
      <c r="T202">
        <v>1</v>
      </c>
      <c r="U202">
        <v>1</v>
      </c>
      <c r="V202">
        <v>1</v>
      </c>
      <c r="W202">
        <v>0</v>
      </c>
    </row>
    <row r="203" ht="12" customHeight="1" spans="1:23">
      <c r="A203">
        <v>405070</v>
      </c>
      <c r="B203">
        <v>405070</v>
      </c>
      <c r="C203" t="str">
        <f>INDEX(TextData!B:B,MATCH(B203,TextData!A:A))</f>
        <v>シェイディークラウド+</v>
      </c>
      <c r="D203">
        <v>5</v>
      </c>
      <c r="E203" t="str">
        <f>INDEX([2]Define!X:X,MATCH(D203,[2]Define!W:W))</f>
        <v>超次元</v>
      </c>
      <c r="F203">
        <v>61</v>
      </c>
      <c r="H203">
        <v>1</v>
      </c>
      <c r="I203" t="str">
        <f>INDEX([2]Define!B:B,MATCH(H203,[2]Define!A:A))</f>
        <v>単体</v>
      </c>
      <c r="J203">
        <v>0</v>
      </c>
      <c r="K203">
        <v>120</v>
      </c>
      <c r="L203">
        <v>5</v>
      </c>
      <c r="M203" t="str">
        <f>INDEX([2]Define!E:E,MATCH(L203,[2]Define!D:D))</f>
        <v>闇</v>
      </c>
      <c r="N203">
        <v>6</v>
      </c>
      <c r="O203" t="str">
        <f>INDEX([2]Define!H:H,MATCH(N203,[2]Define!G:G))</f>
        <v>強化</v>
      </c>
      <c r="P203">
        <v>4</v>
      </c>
      <c r="Q203" t="str">
        <f>INDEX([2]Define!K:K,MATCH(P203,[2]Define!J:J))</f>
        <v>自身</v>
      </c>
      <c r="R203">
        <v>4</v>
      </c>
      <c r="S203" t="str">
        <f>INDEX([2]Define!N:N,MATCH(R203,[2]Define!M:M))</f>
        <v>自身</v>
      </c>
      <c r="T203">
        <v>1</v>
      </c>
      <c r="U203">
        <v>1</v>
      </c>
      <c r="V203">
        <v>1</v>
      </c>
      <c r="W203">
        <v>0</v>
      </c>
    </row>
    <row r="204" ht="12" customHeight="1" spans="1:23">
      <c r="A204">
        <v>405080</v>
      </c>
      <c r="B204">
        <v>405080</v>
      </c>
      <c r="C204" t="str">
        <f>INDEX(TextData!B:B,MATCH(B204,TextData!A:A))</f>
        <v>ポイズンブロウ+</v>
      </c>
      <c r="D204">
        <v>5</v>
      </c>
      <c r="E204" t="str">
        <f>INDEX([2]Define!X:X,MATCH(D204,[2]Define!W:W))</f>
        <v>超次元</v>
      </c>
      <c r="F204">
        <v>501</v>
      </c>
      <c r="H204">
        <v>1</v>
      </c>
      <c r="I204" t="str">
        <f>INDEX([2]Define!B:B,MATCH(H204,[2]Define!A:A))</f>
        <v>単体</v>
      </c>
      <c r="J204">
        <v>0</v>
      </c>
      <c r="K204">
        <v>120</v>
      </c>
      <c r="L204">
        <v>5</v>
      </c>
      <c r="M204" t="str">
        <f>INDEX([2]Define!E:E,MATCH(L204,[2]Define!D:D))</f>
        <v>闇</v>
      </c>
      <c r="N204">
        <v>6</v>
      </c>
      <c r="O204" t="str">
        <f>INDEX([2]Define!H:H,MATCH(N204,[2]Define!G:G))</f>
        <v>強化</v>
      </c>
      <c r="P204">
        <v>4</v>
      </c>
      <c r="Q204" t="str">
        <f>INDEX([2]Define!K:K,MATCH(P204,[2]Define!J:J))</f>
        <v>自身</v>
      </c>
      <c r="R204">
        <v>4</v>
      </c>
      <c r="S204" t="str">
        <f>INDEX([2]Define!N:N,MATCH(R204,[2]Define!M:M))</f>
        <v>自身</v>
      </c>
      <c r="T204">
        <v>1</v>
      </c>
      <c r="U204">
        <v>1</v>
      </c>
      <c r="V204">
        <v>1</v>
      </c>
      <c r="W204">
        <v>0</v>
      </c>
    </row>
    <row r="205" spans="1:23">
      <c r="A205">
        <v>411010</v>
      </c>
      <c r="B205">
        <v>411010</v>
      </c>
      <c r="C205" t="str">
        <f>INDEX(TextData!B:B,MATCH(B205,TextData!A:A))</f>
        <v>ウルフソウル+</v>
      </c>
      <c r="D205">
        <v>6</v>
      </c>
      <c r="E205" t="str">
        <f>INDEX([2]Define!X:X,MATCH(D205,[2]Define!W:W))</f>
        <v>自己強化</v>
      </c>
      <c r="H205">
        <v>1</v>
      </c>
      <c r="I205" t="str">
        <f>INDEX([2]Define!B:B,MATCH(H205,[2]Define!A:A))</f>
        <v>単体</v>
      </c>
      <c r="J205">
        <v>0</v>
      </c>
      <c r="K205">
        <v>110</v>
      </c>
      <c r="L205">
        <v>1</v>
      </c>
      <c r="M205" t="str">
        <f>INDEX([2]Define!E:E,MATCH(L205,[2]Define!D:D))</f>
        <v>炎</v>
      </c>
      <c r="N205">
        <v>6</v>
      </c>
      <c r="O205" t="str">
        <f>INDEX([2]Define!H:H,MATCH(N205,[2]Define!G:G))</f>
        <v>強化</v>
      </c>
      <c r="P205">
        <v>4</v>
      </c>
      <c r="Q205" t="str">
        <f>INDEX([2]Define!K:K,MATCH(P205,[2]Define!J:J))</f>
        <v>自身</v>
      </c>
      <c r="R205">
        <v>4</v>
      </c>
      <c r="S205" t="str">
        <f>INDEX([2]Define!N:N,MATCH(R205,[2]Define!M:M))</f>
        <v>自身</v>
      </c>
      <c r="T205">
        <v>1</v>
      </c>
      <c r="U205">
        <v>1</v>
      </c>
      <c r="V205">
        <v>1</v>
      </c>
      <c r="W205">
        <v>0</v>
      </c>
    </row>
    <row r="206" spans="1:23">
      <c r="A206">
        <v>411020</v>
      </c>
      <c r="B206">
        <v>411020</v>
      </c>
      <c r="C206" t="str">
        <f>INDEX(TextData!B:B,MATCH(B206,TextData!A:A))</f>
        <v>プリディカメント+</v>
      </c>
      <c r="D206">
        <v>6</v>
      </c>
      <c r="E206" t="str">
        <f>INDEX([2]Define!X:X,MATCH(D206,[2]Define!W:W))</f>
        <v>自己強化</v>
      </c>
      <c r="H206">
        <v>1</v>
      </c>
      <c r="I206" t="str">
        <f>INDEX([2]Define!B:B,MATCH(H206,[2]Define!A:A))</f>
        <v>単体</v>
      </c>
      <c r="J206">
        <v>0</v>
      </c>
      <c r="K206">
        <v>110</v>
      </c>
      <c r="L206">
        <v>1</v>
      </c>
      <c r="M206" t="str">
        <f>INDEX([2]Define!E:E,MATCH(L206,[2]Define!D:D))</f>
        <v>炎</v>
      </c>
      <c r="N206">
        <v>6</v>
      </c>
      <c r="O206" t="str">
        <f>INDEX([2]Define!H:H,MATCH(N206,[2]Define!G:G))</f>
        <v>強化</v>
      </c>
      <c r="P206">
        <v>4</v>
      </c>
      <c r="Q206" t="str">
        <f>INDEX([2]Define!K:K,MATCH(P206,[2]Define!J:J))</f>
        <v>自身</v>
      </c>
      <c r="R206">
        <v>4</v>
      </c>
      <c r="S206" t="str">
        <f>INDEX([2]Define!N:N,MATCH(R206,[2]Define!M:M))</f>
        <v>自身</v>
      </c>
      <c r="T206">
        <v>1</v>
      </c>
      <c r="U206">
        <v>1</v>
      </c>
      <c r="V206">
        <v>1</v>
      </c>
      <c r="W206">
        <v>0</v>
      </c>
    </row>
    <row r="207" spans="1:23">
      <c r="A207">
        <v>411030</v>
      </c>
      <c r="B207">
        <v>411030</v>
      </c>
      <c r="C207" t="str">
        <f>INDEX(TextData!B:B,MATCH(B207,TextData!A:A))</f>
        <v>アサルトシフト+</v>
      </c>
      <c r="D207">
        <v>6</v>
      </c>
      <c r="E207" t="str">
        <f>INDEX([2]Define!X:X,MATCH(D207,[2]Define!W:W))</f>
        <v>自己強化</v>
      </c>
      <c r="H207">
        <v>1</v>
      </c>
      <c r="I207" t="str">
        <f>INDEX([2]Define!B:B,MATCH(H207,[2]Define!A:A))</f>
        <v>単体</v>
      </c>
      <c r="J207">
        <v>0</v>
      </c>
      <c r="K207">
        <v>110</v>
      </c>
      <c r="L207">
        <v>1</v>
      </c>
      <c r="M207" t="str">
        <f>INDEX([2]Define!E:E,MATCH(L207,[2]Define!D:D))</f>
        <v>炎</v>
      </c>
      <c r="N207">
        <v>6</v>
      </c>
      <c r="O207" t="str">
        <f>INDEX([2]Define!H:H,MATCH(N207,[2]Define!G:G))</f>
        <v>強化</v>
      </c>
      <c r="P207">
        <v>4</v>
      </c>
      <c r="Q207" t="str">
        <f>INDEX([2]Define!K:K,MATCH(P207,[2]Define!J:J))</f>
        <v>自身</v>
      </c>
      <c r="R207">
        <v>4</v>
      </c>
      <c r="S207" t="str">
        <f>INDEX([2]Define!N:N,MATCH(R207,[2]Define!M:M))</f>
        <v>自身</v>
      </c>
      <c r="T207">
        <v>1</v>
      </c>
      <c r="U207">
        <v>1</v>
      </c>
      <c r="V207">
        <v>1</v>
      </c>
      <c r="W207">
        <v>0</v>
      </c>
    </row>
    <row r="208" spans="1:23">
      <c r="A208">
        <v>411040</v>
      </c>
      <c r="B208">
        <v>411040</v>
      </c>
      <c r="C208" t="str">
        <f>INDEX(TextData!B:B,MATCH(B208,TextData!A:A))</f>
        <v>アクティブギフト+</v>
      </c>
      <c r="D208">
        <v>6</v>
      </c>
      <c r="E208" t="str">
        <f>INDEX([2]Define!X:X,MATCH(D208,[2]Define!W:W))</f>
        <v>自己強化</v>
      </c>
      <c r="H208">
        <v>1</v>
      </c>
      <c r="I208" t="str">
        <f>INDEX([2]Define!B:B,MATCH(H208,[2]Define!A:A))</f>
        <v>単体</v>
      </c>
      <c r="J208">
        <v>0</v>
      </c>
      <c r="K208">
        <v>110</v>
      </c>
      <c r="L208">
        <v>1</v>
      </c>
      <c r="M208" t="str">
        <f>INDEX([2]Define!E:E,MATCH(L208,[2]Define!D:D))</f>
        <v>炎</v>
      </c>
      <c r="N208">
        <v>6</v>
      </c>
      <c r="O208" t="str">
        <f>INDEX([2]Define!H:H,MATCH(N208,[2]Define!G:G))</f>
        <v>強化</v>
      </c>
      <c r="P208">
        <v>4</v>
      </c>
      <c r="Q208" t="str">
        <f>INDEX([2]Define!K:K,MATCH(P208,[2]Define!J:J))</f>
        <v>自身</v>
      </c>
      <c r="R208">
        <v>4</v>
      </c>
      <c r="S208" t="str">
        <f>INDEX([2]Define!N:N,MATCH(R208,[2]Define!M:M))</f>
        <v>自身</v>
      </c>
      <c r="T208">
        <v>1</v>
      </c>
      <c r="U208">
        <v>1</v>
      </c>
      <c r="V208">
        <v>1</v>
      </c>
      <c r="W208">
        <v>0</v>
      </c>
    </row>
    <row r="209" spans="1:23">
      <c r="A209">
        <v>411050</v>
      </c>
      <c r="B209">
        <v>411050</v>
      </c>
      <c r="C209" t="str">
        <f>INDEX(TextData!B:B,MATCH(B209,TextData!A:A))</f>
        <v>イグナイテッド+</v>
      </c>
      <c r="D209">
        <v>6</v>
      </c>
      <c r="E209" t="str">
        <f>INDEX([2]Define!X:X,MATCH(D209,[2]Define!W:W))</f>
        <v>自己強化</v>
      </c>
      <c r="H209">
        <v>1</v>
      </c>
      <c r="I209" t="str">
        <f>INDEX([2]Define!B:B,MATCH(H209,[2]Define!A:A))</f>
        <v>単体</v>
      </c>
      <c r="J209">
        <v>0</v>
      </c>
      <c r="K209">
        <v>110</v>
      </c>
      <c r="L209">
        <v>1</v>
      </c>
      <c r="M209" t="str">
        <f>INDEX([2]Define!E:E,MATCH(L209,[2]Define!D:D))</f>
        <v>炎</v>
      </c>
      <c r="N209">
        <v>6</v>
      </c>
      <c r="O209" t="str">
        <f>INDEX([2]Define!H:H,MATCH(N209,[2]Define!G:G))</f>
        <v>強化</v>
      </c>
      <c r="P209">
        <v>4</v>
      </c>
      <c r="Q209" t="str">
        <f>INDEX([2]Define!K:K,MATCH(P209,[2]Define!J:J))</f>
        <v>自身</v>
      </c>
      <c r="R209">
        <v>4</v>
      </c>
      <c r="S209" t="str">
        <f>INDEX([2]Define!N:N,MATCH(R209,[2]Define!M:M))</f>
        <v>自身</v>
      </c>
      <c r="T209">
        <v>1</v>
      </c>
      <c r="U209">
        <v>1</v>
      </c>
      <c r="V209">
        <v>1</v>
      </c>
      <c r="W209">
        <v>0</v>
      </c>
    </row>
    <row r="210" spans="1:23">
      <c r="A210">
        <v>411060</v>
      </c>
      <c r="B210">
        <v>411060</v>
      </c>
      <c r="C210" t="str">
        <f>INDEX(TextData!B:B,MATCH(B210,TextData!A:A))</f>
        <v>ライジングファイア+</v>
      </c>
      <c r="D210">
        <v>6</v>
      </c>
      <c r="E210" t="str">
        <f>INDEX([2]Define!X:X,MATCH(D210,[2]Define!W:W))</f>
        <v>自己強化</v>
      </c>
      <c r="H210">
        <v>1</v>
      </c>
      <c r="I210" t="str">
        <f>INDEX([2]Define!B:B,MATCH(H210,[2]Define!A:A))</f>
        <v>単体</v>
      </c>
      <c r="J210">
        <v>0</v>
      </c>
      <c r="K210">
        <v>120</v>
      </c>
      <c r="L210">
        <v>1</v>
      </c>
      <c r="M210" t="str">
        <f>INDEX([2]Define!E:E,MATCH(L210,[2]Define!D:D))</f>
        <v>炎</v>
      </c>
      <c r="N210">
        <v>6</v>
      </c>
      <c r="O210" t="str">
        <f>INDEX([2]Define!H:H,MATCH(N210,[2]Define!G:G))</f>
        <v>強化</v>
      </c>
      <c r="P210">
        <v>4</v>
      </c>
      <c r="Q210" t="str">
        <f>INDEX([2]Define!K:K,MATCH(P210,[2]Define!J:J))</f>
        <v>自身</v>
      </c>
      <c r="R210">
        <v>4</v>
      </c>
      <c r="S210" t="str">
        <f>INDEX([2]Define!N:N,MATCH(R210,[2]Define!M:M))</f>
        <v>自身</v>
      </c>
      <c r="T210">
        <v>1</v>
      </c>
      <c r="U210">
        <v>1</v>
      </c>
      <c r="V210">
        <v>1</v>
      </c>
      <c r="W210">
        <v>0</v>
      </c>
    </row>
    <row r="211" spans="1:23">
      <c r="A211">
        <v>411070</v>
      </c>
      <c r="B211">
        <v>411070</v>
      </c>
      <c r="C211" t="str">
        <f>INDEX(TextData!B:B,MATCH(B211,TextData!A:A))</f>
        <v>ルージュバック+</v>
      </c>
      <c r="D211">
        <v>6</v>
      </c>
      <c r="E211" t="str">
        <f>INDEX([2]Define!X:X,MATCH(D211,[2]Define!W:W))</f>
        <v>自己強化</v>
      </c>
      <c r="H211">
        <v>1</v>
      </c>
      <c r="I211" t="str">
        <f>INDEX([2]Define!B:B,MATCH(H211,[2]Define!A:A))</f>
        <v>単体</v>
      </c>
      <c r="J211">
        <v>0</v>
      </c>
      <c r="K211">
        <v>120</v>
      </c>
      <c r="L211">
        <v>1</v>
      </c>
      <c r="M211" t="str">
        <f>INDEX([2]Define!E:E,MATCH(L211,[2]Define!D:D))</f>
        <v>炎</v>
      </c>
      <c r="N211">
        <v>6</v>
      </c>
      <c r="O211" t="str">
        <f>INDEX([2]Define!H:H,MATCH(N211,[2]Define!G:G))</f>
        <v>強化</v>
      </c>
      <c r="P211">
        <v>4</v>
      </c>
      <c r="Q211" t="str">
        <f>INDEX([2]Define!K:K,MATCH(P211,[2]Define!J:J))</f>
        <v>自身</v>
      </c>
      <c r="R211">
        <v>4</v>
      </c>
      <c r="S211" t="str">
        <f>INDEX([2]Define!N:N,MATCH(R211,[2]Define!M:M))</f>
        <v>自身</v>
      </c>
      <c r="T211">
        <v>1</v>
      </c>
      <c r="U211">
        <v>1</v>
      </c>
      <c r="V211">
        <v>1</v>
      </c>
      <c r="W211">
        <v>0</v>
      </c>
    </row>
    <row r="212" spans="1:23">
      <c r="A212">
        <v>411080</v>
      </c>
      <c r="B212">
        <v>411080</v>
      </c>
      <c r="C212" t="str">
        <f>INDEX(TextData!B:B,MATCH(B212,TextData!A:A))</f>
        <v>パワーエール+</v>
      </c>
      <c r="D212">
        <v>6</v>
      </c>
      <c r="E212" t="str">
        <f>INDEX([2]Define!X:X,MATCH(D212,[2]Define!W:W))</f>
        <v>自己強化</v>
      </c>
      <c r="H212">
        <v>1</v>
      </c>
      <c r="I212" t="str">
        <f>INDEX([2]Define!B:B,MATCH(H212,[2]Define!A:A))</f>
        <v>単体</v>
      </c>
      <c r="J212">
        <v>0</v>
      </c>
      <c r="K212">
        <v>120</v>
      </c>
      <c r="L212">
        <v>1</v>
      </c>
      <c r="M212" t="str">
        <f>INDEX([2]Define!E:E,MATCH(L212,[2]Define!D:D))</f>
        <v>炎</v>
      </c>
      <c r="N212">
        <v>6</v>
      </c>
      <c r="O212" t="str">
        <f>INDEX([2]Define!H:H,MATCH(N212,[2]Define!G:G))</f>
        <v>強化</v>
      </c>
      <c r="P212">
        <v>4</v>
      </c>
      <c r="Q212" t="str">
        <f>INDEX([2]Define!K:K,MATCH(P212,[2]Define!J:J))</f>
        <v>自身</v>
      </c>
      <c r="R212">
        <v>4</v>
      </c>
      <c r="S212" t="str">
        <f>INDEX([2]Define!N:N,MATCH(R212,[2]Define!M:M))</f>
        <v>自身</v>
      </c>
      <c r="T212">
        <v>1</v>
      </c>
      <c r="U212">
        <v>1</v>
      </c>
      <c r="V212">
        <v>1</v>
      </c>
      <c r="W212">
        <v>0</v>
      </c>
    </row>
    <row r="213" spans="1:23">
      <c r="A213">
        <v>411090</v>
      </c>
      <c r="B213">
        <v>411090</v>
      </c>
      <c r="C213" t="str">
        <f>INDEX(TextData!B:B,MATCH(B213,TextData!A:A))</f>
        <v>スレイプニル+</v>
      </c>
      <c r="D213">
        <v>6</v>
      </c>
      <c r="E213" t="str">
        <f>INDEX([2]Define!X:X,MATCH(D213,[2]Define!W:W))</f>
        <v>自己強化</v>
      </c>
      <c r="H213">
        <v>1</v>
      </c>
      <c r="I213" t="str">
        <f>INDEX([2]Define!B:B,MATCH(H213,[2]Define!A:A))</f>
        <v>単体</v>
      </c>
      <c r="J213">
        <v>0</v>
      </c>
      <c r="K213">
        <v>120</v>
      </c>
      <c r="L213">
        <v>1</v>
      </c>
      <c r="M213" t="str">
        <f>INDEX([2]Define!E:E,MATCH(L213,[2]Define!D:D))</f>
        <v>炎</v>
      </c>
      <c r="N213">
        <v>6</v>
      </c>
      <c r="O213" t="str">
        <f>INDEX([2]Define!H:H,MATCH(N213,[2]Define!G:G))</f>
        <v>強化</v>
      </c>
      <c r="P213">
        <v>4</v>
      </c>
      <c r="Q213" t="str">
        <f>INDEX([2]Define!K:K,MATCH(P213,[2]Define!J:J))</f>
        <v>自身</v>
      </c>
      <c r="R213">
        <v>4</v>
      </c>
      <c r="S213" t="str">
        <f>INDEX([2]Define!N:N,MATCH(R213,[2]Define!M:M))</f>
        <v>自身</v>
      </c>
      <c r="T213">
        <v>1</v>
      </c>
      <c r="U213">
        <v>1</v>
      </c>
      <c r="V213">
        <v>1</v>
      </c>
      <c r="W213">
        <v>0</v>
      </c>
    </row>
    <row r="214" spans="1:23">
      <c r="A214">
        <v>412010</v>
      </c>
      <c r="B214">
        <v>412010</v>
      </c>
      <c r="C214" t="str">
        <f>INDEX(TextData!B:B,MATCH(B214,TextData!A:A))</f>
        <v>エクステンション+</v>
      </c>
      <c r="D214">
        <v>6</v>
      </c>
      <c r="E214" t="str">
        <f>INDEX([2]Define!X:X,MATCH(D214,[2]Define!W:W))</f>
        <v>自己強化</v>
      </c>
      <c r="H214">
        <v>1</v>
      </c>
      <c r="I214" t="str">
        <f>INDEX([2]Define!B:B,MATCH(H214,[2]Define!A:A))</f>
        <v>単体</v>
      </c>
      <c r="J214">
        <v>0</v>
      </c>
      <c r="K214">
        <v>110</v>
      </c>
      <c r="L214">
        <v>2</v>
      </c>
      <c r="M214" t="str">
        <f>INDEX([2]Define!E:E,MATCH(L214,[2]Define!D:D))</f>
        <v>雷</v>
      </c>
      <c r="N214">
        <v>6</v>
      </c>
      <c r="O214" t="str">
        <f>INDEX([2]Define!H:H,MATCH(N214,[2]Define!G:G))</f>
        <v>強化</v>
      </c>
      <c r="P214">
        <v>4</v>
      </c>
      <c r="Q214" t="str">
        <f>INDEX([2]Define!K:K,MATCH(P214,[2]Define!J:J))</f>
        <v>自身</v>
      </c>
      <c r="R214">
        <v>4</v>
      </c>
      <c r="S214" t="str">
        <f>INDEX([2]Define!N:N,MATCH(R214,[2]Define!M:M))</f>
        <v>自身</v>
      </c>
      <c r="T214">
        <v>1</v>
      </c>
      <c r="U214">
        <v>1</v>
      </c>
      <c r="V214">
        <v>1</v>
      </c>
      <c r="W214">
        <v>0</v>
      </c>
    </row>
    <row r="215" spans="1:23">
      <c r="A215">
        <v>412020</v>
      </c>
      <c r="B215">
        <v>412020</v>
      </c>
      <c r="C215" t="str">
        <f>INDEX(TextData!B:B,MATCH(B215,TextData!A:A))</f>
        <v>ヘブンリーラック+</v>
      </c>
      <c r="D215">
        <v>6</v>
      </c>
      <c r="E215" t="str">
        <f>INDEX([2]Define!X:X,MATCH(D215,[2]Define!W:W))</f>
        <v>自己強化</v>
      </c>
      <c r="H215">
        <v>1</v>
      </c>
      <c r="I215" t="str">
        <f>INDEX([2]Define!B:B,MATCH(H215,[2]Define!A:A))</f>
        <v>単体</v>
      </c>
      <c r="J215">
        <v>0</v>
      </c>
      <c r="K215">
        <v>110</v>
      </c>
      <c r="L215">
        <v>2</v>
      </c>
      <c r="M215" t="str">
        <f>INDEX([2]Define!E:E,MATCH(L215,[2]Define!D:D))</f>
        <v>雷</v>
      </c>
      <c r="N215">
        <v>6</v>
      </c>
      <c r="O215" t="str">
        <f>INDEX([2]Define!H:H,MATCH(N215,[2]Define!G:G))</f>
        <v>強化</v>
      </c>
      <c r="P215">
        <v>4</v>
      </c>
      <c r="Q215" t="str">
        <f>INDEX([2]Define!K:K,MATCH(P215,[2]Define!J:J))</f>
        <v>自身</v>
      </c>
      <c r="R215">
        <v>4</v>
      </c>
      <c r="S215" t="str">
        <f>INDEX([2]Define!N:N,MATCH(R215,[2]Define!M:M))</f>
        <v>自身</v>
      </c>
      <c r="T215">
        <v>1</v>
      </c>
      <c r="U215">
        <v>1</v>
      </c>
      <c r="V215">
        <v>1</v>
      </c>
      <c r="W215">
        <v>0</v>
      </c>
    </row>
    <row r="216" spans="1:23">
      <c r="A216">
        <v>412030</v>
      </c>
      <c r="B216">
        <v>412030</v>
      </c>
      <c r="C216" t="str">
        <f>INDEX(TextData!B:B,MATCH(B216,TextData!A:A))</f>
        <v>スウィフトカレント+</v>
      </c>
      <c r="D216">
        <v>6</v>
      </c>
      <c r="E216" t="str">
        <f>INDEX([2]Define!X:X,MATCH(D216,[2]Define!W:W))</f>
        <v>自己強化</v>
      </c>
      <c r="H216">
        <v>1</v>
      </c>
      <c r="I216" t="str">
        <f>INDEX([2]Define!B:B,MATCH(H216,[2]Define!A:A))</f>
        <v>単体</v>
      </c>
      <c r="J216">
        <v>0</v>
      </c>
      <c r="K216">
        <v>110</v>
      </c>
      <c r="L216">
        <v>2</v>
      </c>
      <c r="M216" t="str">
        <f>INDEX([2]Define!E:E,MATCH(L216,[2]Define!D:D))</f>
        <v>雷</v>
      </c>
      <c r="N216">
        <v>6</v>
      </c>
      <c r="O216" t="str">
        <f>INDEX([2]Define!H:H,MATCH(N216,[2]Define!G:G))</f>
        <v>強化</v>
      </c>
      <c r="P216">
        <v>4</v>
      </c>
      <c r="Q216" t="str">
        <f>INDEX([2]Define!K:K,MATCH(P216,[2]Define!J:J))</f>
        <v>自身</v>
      </c>
      <c r="R216">
        <v>4</v>
      </c>
      <c r="S216" t="str">
        <f>INDEX([2]Define!N:N,MATCH(R216,[2]Define!M:M))</f>
        <v>自身</v>
      </c>
      <c r="T216">
        <v>1</v>
      </c>
      <c r="U216">
        <v>1</v>
      </c>
      <c r="V216">
        <v>1</v>
      </c>
      <c r="W216">
        <v>0</v>
      </c>
    </row>
    <row r="217" spans="1:23">
      <c r="A217">
        <v>412040</v>
      </c>
      <c r="B217">
        <v>412040</v>
      </c>
      <c r="C217" t="str">
        <f>INDEX(TextData!B:B,MATCH(B217,TextData!A:A))</f>
        <v>イヴェイドオール+</v>
      </c>
      <c r="D217">
        <v>6</v>
      </c>
      <c r="E217" t="str">
        <f>INDEX([2]Define!X:X,MATCH(D217,[2]Define!W:W))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110</v>
      </c>
      <c r="L217">
        <v>2</v>
      </c>
      <c r="M217" t="str">
        <f>INDEX([2]Define!E:E,MATCH(L217,[2]Define!D:D))</f>
        <v>雷</v>
      </c>
      <c r="N217">
        <v>6</v>
      </c>
      <c r="O217" t="str">
        <f>INDEX([2]Define!H:H,MATCH(N217,[2]Define!G:G))</f>
        <v>強化</v>
      </c>
      <c r="P217">
        <v>4</v>
      </c>
      <c r="Q217" t="str">
        <f>INDEX([2]Define!K:K,MATCH(P217,[2]Define!J:J))</f>
        <v>自身</v>
      </c>
      <c r="R217">
        <v>4</v>
      </c>
      <c r="S217" t="str">
        <f>INDEX([2]Define!N:N,MATCH(R217,[2]Define!M:M))</f>
        <v>自身</v>
      </c>
      <c r="T217">
        <v>1</v>
      </c>
      <c r="U217">
        <v>1</v>
      </c>
      <c r="V217">
        <v>1</v>
      </c>
      <c r="W217">
        <v>0</v>
      </c>
    </row>
    <row r="218" spans="1:23">
      <c r="A218">
        <v>412050</v>
      </c>
      <c r="B218">
        <v>412050</v>
      </c>
      <c r="C218" t="str">
        <f>INDEX(TextData!B:B,MATCH(B218,TextData!A:A))</f>
        <v>クイックムーブ+</v>
      </c>
      <c r="D218">
        <v>6</v>
      </c>
      <c r="E218" t="str">
        <f>INDEX([2]Define!X:X,MATCH(D218,[2]Define!W:W))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110</v>
      </c>
      <c r="L218">
        <v>2</v>
      </c>
      <c r="M218" t="str">
        <f>INDEX([2]Define!E:E,MATCH(L218,[2]Define!D:D))</f>
        <v>雷</v>
      </c>
      <c r="N218">
        <v>6</v>
      </c>
      <c r="O218" t="str">
        <f>INDEX([2]Define!H:H,MATCH(N218,[2]Define!G:G))</f>
        <v>強化</v>
      </c>
      <c r="P218">
        <v>4</v>
      </c>
      <c r="Q218" t="str">
        <f>INDEX([2]Define!K:K,MATCH(P218,[2]Define!J:J))</f>
        <v>自身</v>
      </c>
      <c r="R218">
        <v>4</v>
      </c>
      <c r="S218" t="str">
        <f>INDEX([2]Define!N:N,MATCH(R218,[2]Define!M:M))</f>
        <v>自身</v>
      </c>
      <c r="T218">
        <v>1</v>
      </c>
      <c r="U218">
        <v>1</v>
      </c>
      <c r="V218">
        <v>1</v>
      </c>
      <c r="W218">
        <v>0</v>
      </c>
    </row>
    <row r="219" spans="1:23">
      <c r="A219">
        <v>412060</v>
      </c>
      <c r="B219">
        <v>412060</v>
      </c>
      <c r="C219" t="str">
        <f>INDEX(TextData!B:B,MATCH(B219,TextData!A:A))</f>
        <v>チェイスマジック+</v>
      </c>
      <c r="D219">
        <v>6</v>
      </c>
      <c r="E219" t="str">
        <f>INDEX([2]Define!X:X,MATCH(D219,[2]Define!W:W))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120</v>
      </c>
      <c r="L219">
        <v>2</v>
      </c>
      <c r="M219" t="str">
        <f>INDEX([2]Define!E:E,MATCH(L219,[2]Define!D:D))</f>
        <v>雷</v>
      </c>
      <c r="N219">
        <v>6</v>
      </c>
      <c r="O219" t="str">
        <f>INDEX([2]Define!H:H,MATCH(N219,[2]Define!G:G))</f>
        <v>強化</v>
      </c>
      <c r="P219">
        <v>4</v>
      </c>
      <c r="Q219" t="str">
        <f>INDEX([2]Define!K:K,MATCH(P219,[2]Define!J:J))</f>
        <v>自身</v>
      </c>
      <c r="R219">
        <v>4</v>
      </c>
      <c r="S219" t="str">
        <f>INDEX([2]Define!N:N,MATCH(R219,[2]Define!M:M))</f>
        <v>自身</v>
      </c>
      <c r="T219">
        <v>1</v>
      </c>
      <c r="U219">
        <v>1</v>
      </c>
      <c r="V219">
        <v>1</v>
      </c>
      <c r="W219">
        <v>0</v>
      </c>
    </row>
    <row r="220" spans="1:23">
      <c r="A220">
        <v>412070</v>
      </c>
      <c r="B220">
        <v>412070</v>
      </c>
      <c r="C220" t="str">
        <f>INDEX(TextData!B:B,MATCH(B220,TextData!A:A))</f>
        <v>ソーサリーコネクト+</v>
      </c>
      <c r="D220">
        <v>6</v>
      </c>
      <c r="E220" t="str">
        <f>INDEX([2]Define!X:X,MATCH(D220,[2]Define!W:W))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120</v>
      </c>
      <c r="L220">
        <v>2</v>
      </c>
      <c r="M220" t="str">
        <f>INDEX([2]Define!E:E,MATCH(L220,[2]Define!D:D))</f>
        <v>雷</v>
      </c>
      <c r="N220">
        <v>6</v>
      </c>
      <c r="O220" t="str">
        <f>INDEX([2]Define!H:H,MATCH(N220,[2]Define!G:G))</f>
        <v>強化</v>
      </c>
      <c r="P220">
        <v>4</v>
      </c>
      <c r="Q220" t="str">
        <f>INDEX([2]Define!K:K,MATCH(P220,[2]Define!J:J))</f>
        <v>自身</v>
      </c>
      <c r="R220">
        <v>4</v>
      </c>
      <c r="S220" t="str">
        <f>INDEX([2]Define!N:N,MATCH(R220,[2]Define!M:M))</f>
        <v>自身</v>
      </c>
      <c r="T220">
        <v>1</v>
      </c>
      <c r="U220">
        <v>1</v>
      </c>
      <c r="V220">
        <v>1</v>
      </c>
      <c r="W220">
        <v>0</v>
      </c>
    </row>
    <row r="221" spans="1:23">
      <c r="A221">
        <v>412080</v>
      </c>
      <c r="B221">
        <v>412080</v>
      </c>
      <c r="C221" t="str">
        <f>INDEX(TextData!B:B,MATCH(B221,TextData!A:A))</f>
        <v>ウィンドライズ+</v>
      </c>
      <c r="D221">
        <v>6</v>
      </c>
      <c r="E221" t="str">
        <f>INDEX([2]Define!X:X,MATCH(D221,[2]Define!W:W))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120</v>
      </c>
      <c r="L221">
        <v>2</v>
      </c>
      <c r="M221" t="str">
        <f>INDEX([2]Define!E:E,MATCH(L221,[2]Define!D:D))</f>
        <v>雷</v>
      </c>
      <c r="N221">
        <v>6</v>
      </c>
      <c r="O221" t="str">
        <f>INDEX([2]Define!H:H,MATCH(N221,[2]Define!G:G))</f>
        <v>強化</v>
      </c>
      <c r="P221">
        <v>4</v>
      </c>
      <c r="Q221" t="str">
        <f>INDEX([2]Define!K:K,MATCH(P221,[2]Define!J:J))</f>
        <v>自身</v>
      </c>
      <c r="R221">
        <v>4</v>
      </c>
      <c r="S221" t="str">
        <f>INDEX([2]Define!N:N,MATCH(R221,[2]Define!M:M))</f>
        <v>自身</v>
      </c>
      <c r="T221">
        <v>1</v>
      </c>
      <c r="U221">
        <v>1</v>
      </c>
      <c r="V221">
        <v>1</v>
      </c>
      <c r="W221">
        <v>0</v>
      </c>
    </row>
    <row r="222" spans="1:23">
      <c r="A222">
        <v>412090</v>
      </c>
      <c r="B222">
        <v>412090</v>
      </c>
      <c r="C222" t="str">
        <f>INDEX(TextData!B:B,MATCH(B222,TextData!A:A))</f>
        <v>アウトオブオーダー+</v>
      </c>
      <c r="D222">
        <v>6</v>
      </c>
      <c r="E222" t="str">
        <f>INDEX([2]Define!X:X,MATCH(D222,[2]Define!W:W))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120</v>
      </c>
      <c r="L222">
        <v>2</v>
      </c>
      <c r="M222" t="str">
        <f>INDEX([2]Define!E:E,MATCH(L222,[2]Define!D:D))</f>
        <v>雷</v>
      </c>
      <c r="N222">
        <v>6</v>
      </c>
      <c r="O222" t="str">
        <f>INDEX([2]Define!H:H,MATCH(N222,[2]Define!G:G))</f>
        <v>強化</v>
      </c>
      <c r="P222">
        <v>4</v>
      </c>
      <c r="Q222" t="str">
        <f>INDEX([2]Define!K:K,MATCH(P222,[2]Define!J:J))</f>
        <v>自身</v>
      </c>
      <c r="R222">
        <v>4</v>
      </c>
      <c r="S222" t="str">
        <f>INDEX([2]Define!N:N,MATCH(R222,[2]Define!M:M))</f>
        <v>自身</v>
      </c>
      <c r="T222">
        <v>1</v>
      </c>
      <c r="U222">
        <v>1</v>
      </c>
      <c r="V222">
        <v>1</v>
      </c>
      <c r="W222">
        <v>0</v>
      </c>
    </row>
    <row r="223" spans="1:23">
      <c r="A223">
        <v>413010</v>
      </c>
      <c r="B223">
        <v>413010</v>
      </c>
      <c r="C223" t="str">
        <f>INDEX(TextData!B:B,MATCH(B223,TextData!A:A))</f>
        <v>アーマーコード+</v>
      </c>
      <c r="D223">
        <v>6</v>
      </c>
      <c r="E223" t="str">
        <f>INDEX([2]Define!X:X,MATCH(D223,[2]Define!W:W))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110</v>
      </c>
      <c r="L223">
        <v>3</v>
      </c>
      <c r="M223" t="str">
        <f>INDEX([2]Define!E:E,MATCH(L223,[2]Define!D:D))</f>
        <v>氷</v>
      </c>
      <c r="N223">
        <v>6</v>
      </c>
      <c r="O223" t="str">
        <f>INDEX([2]Define!H:H,MATCH(N223,[2]Define!G:G))</f>
        <v>強化</v>
      </c>
      <c r="P223">
        <v>4</v>
      </c>
      <c r="Q223" t="str">
        <f>INDEX([2]Define!K:K,MATCH(P223,[2]Define!J:J))</f>
        <v>自身</v>
      </c>
      <c r="R223">
        <v>4</v>
      </c>
      <c r="S223" t="str">
        <f>INDEX([2]Define!N:N,MATCH(R223,[2]Define!M:M))</f>
        <v>自身</v>
      </c>
      <c r="T223">
        <v>1</v>
      </c>
      <c r="U223">
        <v>1</v>
      </c>
      <c r="V223">
        <v>1</v>
      </c>
      <c r="W223">
        <v>0</v>
      </c>
    </row>
    <row r="224" ht="12" customHeight="1" spans="1:23">
      <c r="A224">
        <v>413020</v>
      </c>
      <c r="B224">
        <v>413020</v>
      </c>
      <c r="C224" t="str">
        <f>INDEX(TextData!B:B,MATCH(B224,TextData!A:A))</f>
        <v>クイックバリア+</v>
      </c>
      <c r="D224">
        <v>6</v>
      </c>
      <c r="E224" t="str">
        <f>INDEX([2]Define!X:X,MATCH(D224,[2]Define!W:W))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110</v>
      </c>
      <c r="L224">
        <v>3</v>
      </c>
      <c r="M224" t="str">
        <f>INDEX([2]Define!E:E,MATCH(L224,[2]Define!D:D))</f>
        <v>氷</v>
      </c>
      <c r="N224">
        <v>6</v>
      </c>
      <c r="O224" t="str">
        <f>INDEX([2]Define!H:H,MATCH(N224,[2]Define!G:G))</f>
        <v>強化</v>
      </c>
      <c r="P224">
        <v>4</v>
      </c>
      <c r="Q224" t="str">
        <f>INDEX([2]Define!K:K,MATCH(P224,[2]Define!J:J))</f>
        <v>自身</v>
      </c>
      <c r="R224">
        <v>4</v>
      </c>
      <c r="S224" t="str">
        <f>INDEX([2]Define!N:N,MATCH(R224,[2]Define!M:M))</f>
        <v>自身</v>
      </c>
      <c r="T224">
        <v>1</v>
      </c>
      <c r="U224">
        <v>1</v>
      </c>
      <c r="V224">
        <v>1</v>
      </c>
      <c r="W224">
        <v>0</v>
      </c>
    </row>
    <row r="225" ht="12" customHeight="1" spans="1:23">
      <c r="A225">
        <v>413030</v>
      </c>
      <c r="B225">
        <v>413030</v>
      </c>
      <c r="C225" t="str">
        <f>INDEX(TextData!B:B,MATCH(B225,TextData!A:A))</f>
        <v>クイックキュア+</v>
      </c>
      <c r="D225">
        <v>6</v>
      </c>
      <c r="E225" t="str">
        <f>INDEX([2]Define!X:X,MATCH(D225,[2]Define!W:W))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110</v>
      </c>
      <c r="L225">
        <v>3</v>
      </c>
      <c r="M225" t="str">
        <f>INDEX([2]Define!E:E,MATCH(L225,[2]Define!D:D))</f>
        <v>氷</v>
      </c>
      <c r="N225">
        <v>6</v>
      </c>
      <c r="O225" t="str">
        <f>INDEX([2]Define!H:H,MATCH(N225,[2]Define!G:G))</f>
        <v>強化</v>
      </c>
      <c r="P225">
        <v>4</v>
      </c>
      <c r="Q225" t="str">
        <f>INDEX([2]Define!K:K,MATCH(P225,[2]Define!J:J))</f>
        <v>自身</v>
      </c>
      <c r="R225">
        <v>4</v>
      </c>
      <c r="S225" t="str">
        <f>INDEX([2]Define!N:N,MATCH(R225,[2]Define!M:M))</f>
        <v>自身</v>
      </c>
      <c r="T225">
        <v>1</v>
      </c>
      <c r="U225">
        <v>1</v>
      </c>
      <c r="V225">
        <v>1</v>
      </c>
      <c r="W225">
        <v>0</v>
      </c>
    </row>
    <row r="226" spans="1:23">
      <c r="A226">
        <v>413040</v>
      </c>
      <c r="B226">
        <v>413040</v>
      </c>
      <c r="C226" t="str">
        <f>INDEX(TextData!B:B,MATCH(B226,TextData!A:A))</f>
        <v>セルフシールド+</v>
      </c>
      <c r="D226">
        <v>6</v>
      </c>
      <c r="E226" t="str">
        <f>INDEX([2]Define!X:X,MATCH(D226,[2]Define!W:W))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110</v>
      </c>
      <c r="L226">
        <v>3</v>
      </c>
      <c r="M226" t="str">
        <f>INDEX([2]Define!E:E,MATCH(L226,[2]Define!D:D))</f>
        <v>氷</v>
      </c>
      <c r="N226">
        <v>6</v>
      </c>
      <c r="O226" t="str">
        <f>INDEX([2]Define!H:H,MATCH(N226,[2]Define!G:G))</f>
        <v>強化</v>
      </c>
      <c r="P226">
        <v>4</v>
      </c>
      <c r="Q226" t="str">
        <f>INDEX([2]Define!K:K,MATCH(P226,[2]Define!J:J))</f>
        <v>自身</v>
      </c>
      <c r="R226">
        <v>4</v>
      </c>
      <c r="S226" t="str">
        <f>INDEX([2]Define!N:N,MATCH(R226,[2]Define!M:M))</f>
        <v>自身</v>
      </c>
      <c r="T226">
        <v>1</v>
      </c>
      <c r="U226">
        <v>1</v>
      </c>
      <c r="V226">
        <v>1</v>
      </c>
      <c r="W226">
        <v>0</v>
      </c>
    </row>
    <row r="227" spans="1:23">
      <c r="A227">
        <v>413050</v>
      </c>
      <c r="B227">
        <v>413050</v>
      </c>
      <c r="C227" t="str">
        <f>INDEX(TextData!B:B,MATCH(B227,TextData!A:A))</f>
        <v>パッシブジャミング+</v>
      </c>
      <c r="D227">
        <v>6</v>
      </c>
      <c r="E227" t="str">
        <f>INDEX([2]Define!X:X,MATCH(D227,[2]Define!W:W))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110</v>
      </c>
      <c r="L227">
        <v>3</v>
      </c>
      <c r="M227" t="str">
        <f>INDEX([2]Define!E:E,MATCH(L227,[2]Define!D:D))</f>
        <v>氷</v>
      </c>
      <c r="N227">
        <v>6</v>
      </c>
      <c r="O227" t="str">
        <f>INDEX([2]Define!H:H,MATCH(N227,[2]Define!G:G))</f>
        <v>強化</v>
      </c>
      <c r="P227">
        <v>4</v>
      </c>
      <c r="Q227" t="str">
        <f>INDEX([2]Define!K:K,MATCH(P227,[2]Define!J:J))</f>
        <v>自身</v>
      </c>
      <c r="R227">
        <v>4</v>
      </c>
      <c r="S227" t="str">
        <f>INDEX([2]Define!N:N,MATCH(R227,[2]Define!M:M))</f>
        <v>自身</v>
      </c>
      <c r="T227">
        <v>1</v>
      </c>
      <c r="U227">
        <v>1</v>
      </c>
      <c r="V227">
        <v>1</v>
      </c>
      <c r="W227">
        <v>0</v>
      </c>
    </row>
    <row r="228" spans="1:23">
      <c r="A228">
        <v>413060</v>
      </c>
      <c r="B228">
        <v>413060</v>
      </c>
      <c r="C228" t="str">
        <f>INDEX(TextData!B:B,MATCH(B228,TextData!A:A))</f>
        <v>サプライカバー+</v>
      </c>
      <c r="D228">
        <v>6</v>
      </c>
      <c r="E228" t="str">
        <f>INDEX([2]Define!X:X,MATCH(D228,[2]Define!W:W))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120</v>
      </c>
      <c r="L228">
        <v>3</v>
      </c>
      <c r="M228" t="str">
        <f>INDEX([2]Define!E:E,MATCH(L228,[2]Define!D:D))</f>
        <v>氷</v>
      </c>
      <c r="N228">
        <v>6</v>
      </c>
      <c r="O228" t="str">
        <f>INDEX([2]Define!H:H,MATCH(N228,[2]Define!G:G))</f>
        <v>強化</v>
      </c>
      <c r="P228">
        <v>4</v>
      </c>
      <c r="Q228" t="str">
        <f>INDEX([2]Define!K:K,MATCH(P228,[2]Define!J:J))</f>
        <v>自身</v>
      </c>
      <c r="R228">
        <v>4</v>
      </c>
      <c r="S228" t="str">
        <f>INDEX([2]Define!N:N,MATCH(R228,[2]Define!M:M))</f>
        <v>自身</v>
      </c>
      <c r="T228">
        <v>1</v>
      </c>
      <c r="U228">
        <v>1</v>
      </c>
      <c r="V228">
        <v>1</v>
      </c>
      <c r="W228">
        <v>0</v>
      </c>
    </row>
    <row r="229" spans="1:23">
      <c r="A229">
        <v>413070</v>
      </c>
      <c r="B229">
        <v>413070</v>
      </c>
      <c r="C229" t="str">
        <f>INDEX(TextData!B:B,MATCH(B229,TextData!A:A))</f>
        <v>アシッドラッシュ+</v>
      </c>
      <c r="D229">
        <v>6</v>
      </c>
      <c r="E229" t="str">
        <f>INDEX([2]Define!X:X,MATCH(D229,[2]Define!W:W))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120</v>
      </c>
      <c r="L229">
        <v>3</v>
      </c>
      <c r="M229" t="str">
        <f>INDEX([2]Define!E:E,MATCH(L229,[2]Define!D:D))</f>
        <v>氷</v>
      </c>
      <c r="N229">
        <v>6</v>
      </c>
      <c r="O229" t="str">
        <f>INDEX([2]Define!H:H,MATCH(N229,[2]Define!G:G))</f>
        <v>強化</v>
      </c>
      <c r="P229">
        <v>4</v>
      </c>
      <c r="Q229" t="str">
        <f>INDEX([2]Define!K:K,MATCH(P229,[2]Define!J:J))</f>
        <v>自身</v>
      </c>
      <c r="R229">
        <v>4</v>
      </c>
      <c r="S229" t="str">
        <f>INDEX([2]Define!N:N,MATCH(R229,[2]Define!M:M))</f>
        <v>自身</v>
      </c>
      <c r="T229">
        <v>1</v>
      </c>
      <c r="U229">
        <v>1</v>
      </c>
      <c r="V229">
        <v>1</v>
      </c>
      <c r="W229">
        <v>0</v>
      </c>
    </row>
    <row r="230" spans="1:23">
      <c r="A230">
        <v>413080</v>
      </c>
      <c r="B230">
        <v>413080</v>
      </c>
      <c r="C230" t="str">
        <f>INDEX(TextData!B:B,MATCH(B230,TextData!A:A))</f>
        <v>ライフスティール+</v>
      </c>
      <c r="D230">
        <v>6</v>
      </c>
      <c r="E230" t="str">
        <f>INDEX([2]Define!X:X,MATCH(D230,[2]Define!W:W))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120</v>
      </c>
      <c r="L230">
        <v>3</v>
      </c>
      <c r="M230" t="str">
        <f>INDEX([2]Define!E:E,MATCH(L230,[2]Define!D:D))</f>
        <v>氷</v>
      </c>
      <c r="N230">
        <v>6</v>
      </c>
      <c r="O230" t="str">
        <f>INDEX([2]Define!H:H,MATCH(N230,[2]Define!G:G))</f>
        <v>強化</v>
      </c>
      <c r="P230">
        <v>4</v>
      </c>
      <c r="Q230" t="str">
        <f>INDEX([2]Define!K:K,MATCH(P230,[2]Define!J:J))</f>
        <v>自身</v>
      </c>
      <c r="R230">
        <v>4</v>
      </c>
      <c r="S230" t="str">
        <f>INDEX([2]Define!N:N,MATCH(R230,[2]Define!M:M))</f>
        <v>自身</v>
      </c>
      <c r="T230">
        <v>1</v>
      </c>
      <c r="U230">
        <v>1</v>
      </c>
      <c r="V230">
        <v>1</v>
      </c>
      <c r="W230">
        <v>0</v>
      </c>
    </row>
    <row r="231" spans="1:23">
      <c r="A231">
        <v>413090</v>
      </c>
      <c r="B231">
        <v>413090</v>
      </c>
      <c r="C231" t="str">
        <f>INDEX(TextData!B:B,MATCH(B231,TextData!A:A))</f>
        <v>アイスセイバー+</v>
      </c>
      <c r="D231">
        <v>6</v>
      </c>
      <c r="E231" t="str">
        <f>INDEX([2]Define!X:X,MATCH(D231,[2]Define!W:W))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120</v>
      </c>
      <c r="L231">
        <v>3</v>
      </c>
      <c r="M231" t="str">
        <f>INDEX([2]Define!E:E,MATCH(L231,[2]Define!D:D))</f>
        <v>氷</v>
      </c>
      <c r="N231">
        <v>6</v>
      </c>
      <c r="O231" t="str">
        <f>INDEX([2]Define!H:H,MATCH(N231,[2]Define!G:G))</f>
        <v>強化</v>
      </c>
      <c r="P231">
        <v>4</v>
      </c>
      <c r="Q231" t="str">
        <f>INDEX([2]Define!K:K,MATCH(P231,[2]Define!J:J))</f>
        <v>自身</v>
      </c>
      <c r="R231">
        <v>4</v>
      </c>
      <c r="S231" t="str">
        <f>INDEX([2]Define!N:N,MATCH(R231,[2]Define!M:M))</f>
        <v>自身</v>
      </c>
      <c r="T231">
        <v>1</v>
      </c>
      <c r="U231">
        <v>1</v>
      </c>
      <c r="V231">
        <v>1</v>
      </c>
      <c r="W231">
        <v>0</v>
      </c>
    </row>
    <row r="232" ht="12" customHeight="1" spans="1:23">
      <c r="A232">
        <v>414010</v>
      </c>
      <c r="B232">
        <v>414010</v>
      </c>
      <c r="C232" t="str">
        <f>INDEX(TextData!B:B,MATCH(B232,TextData!A:A))</f>
        <v>ディバインシールド+</v>
      </c>
      <c r="D232">
        <v>6</v>
      </c>
      <c r="E232" t="str">
        <f>INDEX([2]Define!X:X,MATCH(D232,[2]Define!W:W))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110</v>
      </c>
      <c r="L232">
        <v>4</v>
      </c>
      <c r="M232" t="str">
        <f>INDEX([2]Define!E:E,MATCH(L232,[2]Define!D:D))</f>
        <v>光</v>
      </c>
      <c r="N232">
        <v>6</v>
      </c>
      <c r="O232" t="str">
        <f>INDEX([2]Define!H:H,MATCH(N232,[2]Define!G:G))</f>
        <v>強化</v>
      </c>
      <c r="P232">
        <v>4</v>
      </c>
      <c r="Q232" t="str">
        <f>INDEX([2]Define!K:K,MATCH(P232,[2]Define!J:J))</f>
        <v>自身</v>
      </c>
      <c r="R232">
        <v>4</v>
      </c>
      <c r="S232" t="str">
        <f>INDEX([2]Define!N:N,MATCH(R232,[2]Define!M:M))</f>
        <v>自身</v>
      </c>
      <c r="T232">
        <v>1</v>
      </c>
      <c r="U232">
        <v>1</v>
      </c>
      <c r="V232">
        <v>1</v>
      </c>
      <c r="W232">
        <v>0</v>
      </c>
    </row>
    <row r="233" ht="12" customHeight="1" spans="1:23">
      <c r="A233">
        <v>414020</v>
      </c>
      <c r="B233">
        <v>414020</v>
      </c>
      <c r="C233" t="str">
        <f>INDEX(TextData!B:B,MATCH(B233,TextData!A:A))</f>
        <v>ライフディバイド+</v>
      </c>
      <c r="D233">
        <v>6</v>
      </c>
      <c r="E233" t="str">
        <f>INDEX([2]Define!X:X,MATCH(D233,[2]Define!W:W))</f>
        <v>自己強化</v>
      </c>
      <c r="H233">
        <v>1</v>
      </c>
      <c r="I233" t="str">
        <f>INDEX([2]Define!B:B,MATCH(H233,[2]Define!A:A))</f>
        <v>単体</v>
      </c>
      <c r="J233">
        <v>0</v>
      </c>
      <c r="K233">
        <v>110</v>
      </c>
      <c r="L233">
        <v>4</v>
      </c>
      <c r="M233" t="str">
        <f>INDEX([2]Define!E:E,MATCH(L233,[2]Define!D:D))</f>
        <v>光</v>
      </c>
      <c r="N233">
        <v>6</v>
      </c>
      <c r="O233" t="str">
        <f>INDEX([2]Define!H:H,MATCH(N233,[2]Define!G:G))</f>
        <v>強化</v>
      </c>
      <c r="P233">
        <v>4</v>
      </c>
      <c r="Q233" t="str">
        <f>INDEX([2]Define!K:K,MATCH(P233,[2]Define!J:J))</f>
        <v>自身</v>
      </c>
      <c r="R233">
        <v>4</v>
      </c>
      <c r="S233" t="str">
        <f>INDEX([2]Define!N:N,MATCH(R233,[2]Define!M:M))</f>
        <v>自身</v>
      </c>
      <c r="T233">
        <v>1</v>
      </c>
      <c r="U233">
        <v>1</v>
      </c>
      <c r="V233">
        <v>1</v>
      </c>
      <c r="W233">
        <v>0</v>
      </c>
    </row>
    <row r="234" ht="12" customHeight="1" spans="1:23">
      <c r="A234">
        <v>414030</v>
      </c>
      <c r="B234">
        <v>414030</v>
      </c>
      <c r="C234" t="str">
        <f>INDEX(TextData!B:B,MATCH(B234,TextData!A:A))</f>
        <v>エイミングスコープ+</v>
      </c>
      <c r="D234">
        <v>6</v>
      </c>
      <c r="E234" t="str">
        <f>INDEX([2]Define!X:X,MATCH(D234,[2]Define!W:W))</f>
        <v>自己強化</v>
      </c>
      <c r="H234">
        <v>1</v>
      </c>
      <c r="I234" t="str">
        <f>INDEX([2]Define!B:B,MATCH(H234,[2]Define!A:A))</f>
        <v>単体</v>
      </c>
      <c r="J234">
        <v>0</v>
      </c>
      <c r="K234">
        <v>110</v>
      </c>
      <c r="L234">
        <v>4</v>
      </c>
      <c r="M234" t="str">
        <f>INDEX([2]Define!E:E,MATCH(L234,[2]Define!D:D))</f>
        <v>光</v>
      </c>
      <c r="N234">
        <v>6</v>
      </c>
      <c r="O234" t="str">
        <f>INDEX([2]Define!H:H,MATCH(N234,[2]Define!G:G))</f>
        <v>強化</v>
      </c>
      <c r="P234">
        <v>4</v>
      </c>
      <c r="Q234" t="str">
        <f>INDEX([2]Define!K:K,MATCH(P234,[2]Define!J:J))</f>
        <v>自身</v>
      </c>
      <c r="R234">
        <v>4</v>
      </c>
      <c r="S234" t="str">
        <f>INDEX([2]Define!N:N,MATCH(R234,[2]Define!M:M))</f>
        <v>自身</v>
      </c>
      <c r="T234">
        <v>1</v>
      </c>
      <c r="U234">
        <v>1</v>
      </c>
      <c r="V234">
        <v>1</v>
      </c>
      <c r="W234">
        <v>0</v>
      </c>
    </row>
    <row r="235" ht="12" customHeight="1" spans="1:23">
      <c r="A235">
        <v>414040</v>
      </c>
      <c r="B235">
        <v>414040</v>
      </c>
      <c r="C235" t="str">
        <f>INDEX(TextData!B:B,MATCH(B235,TextData!A:A))</f>
        <v>リジェネレーション+</v>
      </c>
      <c r="D235">
        <v>6</v>
      </c>
      <c r="E235" t="str">
        <f>INDEX([2]Define!X:X,MATCH(D235,[2]Define!W:W))</f>
        <v>自己強化</v>
      </c>
      <c r="H235">
        <v>1</v>
      </c>
      <c r="I235" t="str">
        <f>INDEX([2]Define!B:B,MATCH(H235,[2]Define!A:A))</f>
        <v>単体</v>
      </c>
      <c r="J235">
        <v>0</v>
      </c>
      <c r="K235">
        <v>110</v>
      </c>
      <c r="L235">
        <v>4</v>
      </c>
      <c r="M235" t="str">
        <f>INDEX([2]Define!E:E,MATCH(L235,[2]Define!D:D))</f>
        <v>光</v>
      </c>
      <c r="N235">
        <v>6</v>
      </c>
      <c r="O235" t="str">
        <f>INDEX([2]Define!H:H,MATCH(N235,[2]Define!G:G))</f>
        <v>強化</v>
      </c>
      <c r="P235">
        <v>4</v>
      </c>
      <c r="Q235" t="str">
        <f>INDEX([2]Define!K:K,MATCH(P235,[2]Define!J:J))</f>
        <v>自身</v>
      </c>
      <c r="R235">
        <v>4</v>
      </c>
      <c r="S235" t="str">
        <f>INDEX([2]Define!N:N,MATCH(R235,[2]Define!M:M))</f>
        <v>自身</v>
      </c>
      <c r="T235">
        <v>1</v>
      </c>
      <c r="U235">
        <v>1</v>
      </c>
      <c r="V235">
        <v>1</v>
      </c>
      <c r="W235">
        <v>0</v>
      </c>
    </row>
    <row r="236" ht="12" customHeight="1" spans="1:23">
      <c r="A236">
        <v>414050</v>
      </c>
      <c r="B236">
        <v>414050</v>
      </c>
      <c r="C236" t="str">
        <f>INDEX(TextData!B:B,MATCH(B236,TextData!A:A))</f>
        <v>ホープフルアイリス+</v>
      </c>
      <c r="D236">
        <v>6</v>
      </c>
      <c r="E236" t="str">
        <f>INDEX([2]Define!X:X,MATCH(D236,[2]Define!W:W))</f>
        <v>自己強化</v>
      </c>
      <c r="H236">
        <v>1</v>
      </c>
      <c r="I236" t="str">
        <f>INDEX([2]Define!B:B,MATCH(H236,[2]Define!A:A))</f>
        <v>単体</v>
      </c>
      <c r="J236">
        <v>0</v>
      </c>
      <c r="K236">
        <v>110</v>
      </c>
      <c r="L236">
        <v>4</v>
      </c>
      <c r="M236" t="str">
        <f>INDEX([2]Define!E:E,MATCH(L236,[2]Define!D:D))</f>
        <v>光</v>
      </c>
      <c r="N236">
        <v>6</v>
      </c>
      <c r="O236" t="str">
        <f>INDEX([2]Define!H:H,MATCH(N236,[2]Define!G:G))</f>
        <v>強化</v>
      </c>
      <c r="P236">
        <v>4</v>
      </c>
      <c r="Q236" t="str">
        <f>INDEX([2]Define!K:K,MATCH(P236,[2]Define!J:J))</f>
        <v>自身</v>
      </c>
      <c r="R236">
        <v>4</v>
      </c>
      <c r="S236" t="str">
        <f>INDEX([2]Define!N:N,MATCH(R236,[2]Define!M:M))</f>
        <v>自身</v>
      </c>
      <c r="T236">
        <v>1</v>
      </c>
      <c r="U236">
        <v>1</v>
      </c>
      <c r="V236">
        <v>1</v>
      </c>
      <c r="W236">
        <v>0</v>
      </c>
    </row>
    <row r="237" ht="12" customHeight="1" spans="1:23">
      <c r="A237">
        <v>414060</v>
      </c>
      <c r="B237">
        <v>414060</v>
      </c>
      <c r="C237" t="str">
        <f>INDEX(TextData!B:B,MATCH(B237,TextData!A:A))</f>
        <v>パッシブサプライ+</v>
      </c>
      <c r="D237">
        <v>6</v>
      </c>
      <c r="E237" t="str">
        <f>INDEX([2]Define!X:X,MATCH(D237,[2]Define!W:W))</f>
        <v>自己強化</v>
      </c>
      <c r="H237">
        <v>1</v>
      </c>
      <c r="I237" t="str">
        <f>INDEX([2]Define!B:B,MATCH(H237,[2]Define!A:A))</f>
        <v>単体</v>
      </c>
      <c r="J237">
        <v>0</v>
      </c>
      <c r="K237">
        <v>120</v>
      </c>
      <c r="L237">
        <v>4</v>
      </c>
      <c r="M237" t="str">
        <f>INDEX([2]Define!E:E,MATCH(L237,[2]Define!D:D))</f>
        <v>光</v>
      </c>
      <c r="N237">
        <v>6</v>
      </c>
      <c r="O237" t="str">
        <f>INDEX([2]Define!H:H,MATCH(N237,[2]Define!G:G))</f>
        <v>強化</v>
      </c>
      <c r="P237">
        <v>4</v>
      </c>
      <c r="Q237" t="str">
        <f>INDEX([2]Define!K:K,MATCH(P237,[2]Define!J:J))</f>
        <v>自身</v>
      </c>
      <c r="R237">
        <v>4</v>
      </c>
      <c r="S237" t="str">
        <f>INDEX([2]Define!N:N,MATCH(R237,[2]Define!M:M))</f>
        <v>自身</v>
      </c>
      <c r="T237">
        <v>1</v>
      </c>
      <c r="U237">
        <v>1</v>
      </c>
      <c r="V237">
        <v>1</v>
      </c>
      <c r="W237">
        <v>0</v>
      </c>
    </row>
    <row r="238" ht="12" customHeight="1" spans="1:23">
      <c r="A238">
        <v>414070</v>
      </c>
      <c r="B238">
        <v>414070</v>
      </c>
      <c r="C238" t="str">
        <f>INDEX(TextData!B:B,MATCH(B238,TextData!A:A))</f>
        <v>ホーミングクルセイド+</v>
      </c>
      <c r="D238">
        <v>6</v>
      </c>
      <c r="E238" t="str">
        <f>INDEX([2]Define!X:X,MATCH(D238,[2]Define!W:W))</f>
        <v>自己強化</v>
      </c>
      <c r="H238">
        <v>1</v>
      </c>
      <c r="I238" t="str">
        <f>INDEX([2]Define!B:B,MATCH(H238,[2]Define!A:A))</f>
        <v>単体</v>
      </c>
      <c r="J238">
        <v>0</v>
      </c>
      <c r="K238">
        <v>120</v>
      </c>
      <c r="L238">
        <v>4</v>
      </c>
      <c r="M238" t="str">
        <f>INDEX([2]Define!E:E,MATCH(L238,[2]Define!D:D))</f>
        <v>光</v>
      </c>
      <c r="N238">
        <v>6</v>
      </c>
      <c r="O238" t="str">
        <f>INDEX([2]Define!H:H,MATCH(N238,[2]Define!G:G))</f>
        <v>強化</v>
      </c>
      <c r="P238">
        <v>4</v>
      </c>
      <c r="Q238" t="str">
        <f>INDEX([2]Define!K:K,MATCH(P238,[2]Define!J:J))</f>
        <v>自身</v>
      </c>
      <c r="R238">
        <v>4</v>
      </c>
      <c r="S238" t="str">
        <f>INDEX([2]Define!N:N,MATCH(R238,[2]Define!M:M))</f>
        <v>自身</v>
      </c>
      <c r="T238">
        <v>1</v>
      </c>
      <c r="U238">
        <v>1</v>
      </c>
      <c r="V238">
        <v>1</v>
      </c>
      <c r="W238">
        <v>0</v>
      </c>
    </row>
    <row r="239" ht="12" customHeight="1" spans="1:23">
      <c r="A239">
        <v>414080</v>
      </c>
      <c r="B239">
        <v>414080</v>
      </c>
      <c r="C239" t="str">
        <f>INDEX(TextData!B:B,MATCH(B239,TextData!A:A))</f>
        <v>クイックヒール+</v>
      </c>
      <c r="D239">
        <v>6</v>
      </c>
      <c r="E239" t="str">
        <f>INDEX([2]Define!X:X,MATCH(D239,[2]Define!W:W))</f>
        <v>自己強化</v>
      </c>
      <c r="H239">
        <v>1</v>
      </c>
      <c r="I239" t="str">
        <f>INDEX([2]Define!B:B,MATCH(H239,[2]Define!A:A))</f>
        <v>単体</v>
      </c>
      <c r="J239">
        <v>0</v>
      </c>
      <c r="K239">
        <v>120</v>
      </c>
      <c r="L239">
        <v>4</v>
      </c>
      <c r="M239" t="str">
        <f>INDEX([2]Define!E:E,MATCH(L239,[2]Define!D:D))</f>
        <v>光</v>
      </c>
      <c r="N239">
        <v>6</v>
      </c>
      <c r="O239" t="str">
        <f>INDEX([2]Define!H:H,MATCH(N239,[2]Define!G:G))</f>
        <v>強化</v>
      </c>
      <c r="P239">
        <v>4</v>
      </c>
      <c r="Q239" t="str">
        <f>INDEX([2]Define!K:K,MATCH(P239,[2]Define!J:J))</f>
        <v>自身</v>
      </c>
      <c r="R239">
        <v>4</v>
      </c>
      <c r="S239" t="str">
        <f>INDEX([2]Define!N:N,MATCH(R239,[2]Define!M:M))</f>
        <v>自身</v>
      </c>
      <c r="T239">
        <v>1</v>
      </c>
      <c r="U239">
        <v>1</v>
      </c>
      <c r="V239">
        <v>1</v>
      </c>
      <c r="W239">
        <v>0</v>
      </c>
    </row>
    <row r="240" ht="12" customHeight="1" spans="1:23">
      <c r="A240">
        <v>414090</v>
      </c>
      <c r="B240">
        <v>414090</v>
      </c>
      <c r="C240" t="str">
        <f>INDEX(TextData!B:B,MATCH(B240,TextData!A:A))</f>
        <v>リレイズ+</v>
      </c>
      <c r="D240">
        <v>6</v>
      </c>
      <c r="E240" t="str">
        <f>INDEX([2]Define!X:X,MATCH(D240,[2]Define!W:W))</f>
        <v>自己強化</v>
      </c>
      <c r="H240">
        <v>1</v>
      </c>
      <c r="I240" t="str">
        <f>INDEX([2]Define!B:B,MATCH(H240,[2]Define!A:A))</f>
        <v>単体</v>
      </c>
      <c r="J240">
        <v>0</v>
      </c>
      <c r="K240">
        <v>120</v>
      </c>
      <c r="L240">
        <v>4</v>
      </c>
      <c r="M240" t="str">
        <f>INDEX([2]Define!E:E,MATCH(L240,[2]Define!D:D))</f>
        <v>光</v>
      </c>
      <c r="N240">
        <v>6</v>
      </c>
      <c r="O240" t="str">
        <f>INDEX([2]Define!H:H,MATCH(N240,[2]Define!G:G))</f>
        <v>強化</v>
      </c>
      <c r="P240">
        <v>4</v>
      </c>
      <c r="Q240" t="str">
        <f>INDEX([2]Define!K:K,MATCH(P240,[2]Define!J:J))</f>
        <v>自身</v>
      </c>
      <c r="R240">
        <v>4</v>
      </c>
      <c r="S240" t="str">
        <f>INDEX([2]Define!N:N,MATCH(R240,[2]Define!M:M))</f>
        <v>自身</v>
      </c>
      <c r="T240">
        <v>1</v>
      </c>
      <c r="U240">
        <v>1</v>
      </c>
      <c r="V240">
        <v>1</v>
      </c>
      <c r="W240">
        <v>0</v>
      </c>
    </row>
    <row r="241" ht="12" customHeight="1" spans="1:23">
      <c r="A241">
        <v>415010</v>
      </c>
      <c r="B241">
        <v>415010</v>
      </c>
      <c r="C241" t="str">
        <f>INDEX(TextData!B:B,MATCH(B241,TextData!A:A))</f>
        <v>イーグルアイ+</v>
      </c>
      <c r="D241">
        <v>6</v>
      </c>
      <c r="E241" t="str">
        <f>INDEX([2]Define!X:X,MATCH(D241,[2]Define!W:W))</f>
        <v>自己強化</v>
      </c>
      <c r="H241">
        <v>1</v>
      </c>
      <c r="I241" t="str">
        <f>INDEX([2]Define!B:B,MATCH(H241,[2]Define!A:A))</f>
        <v>単体</v>
      </c>
      <c r="J241">
        <v>0</v>
      </c>
      <c r="K241">
        <v>110</v>
      </c>
      <c r="L241">
        <v>5</v>
      </c>
      <c r="M241" t="str">
        <f>INDEX([2]Define!E:E,MATCH(L241,[2]Define!D:D))</f>
        <v>闇</v>
      </c>
      <c r="N241">
        <v>6</v>
      </c>
      <c r="O241" t="str">
        <f>INDEX([2]Define!H:H,MATCH(N241,[2]Define!G:G))</f>
        <v>強化</v>
      </c>
      <c r="P241">
        <v>4</v>
      </c>
      <c r="Q241" t="str">
        <f>INDEX([2]Define!K:K,MATCH(P241,[2]Define!J:J))</f>
        <v>自身</v>
      </c>
      <c r="R241">
        <v>4</v>
      </c>
      <c r="S241" t="str">
        <f>INDEX([2]Define!N:N,MATCH(R241,[2]Define!M:M))</f>
        <v>自身</v>
      </c>
      <c r="T241">
        <v>1</v>
      </c>
      <c r="U241">
        <v>1</v>
      </c>
      <c r="V241">
        <v>1</v>
      </c>
      <c r="W241">
        <v>0</v>
      </c>
    </row>
    <row r="242" ht="12" customHeight="1" spans="1:23">
      <c r="A242">
        <v>415020</v>
      </c>
      <c r="B242">
        <v>415020</v>
      </c>
      <c r="C242" t="str">
        <f>INDEX(TextData!B:B,MATCH(B242,TextData!A:A))</f>
        <v>ネヴァーエンド+</v>
      </c>
      <c r="D242">
        <v>6</v>
      </c>
      <c r="E242" t="str">
        <f>INDEX([2]Define!X:X,MATCH(D242,[2]Define!W:W))</f>
        <v>自己強化</v>
      </c>
      <c r="H242">
        <v>1</v>
      </c>
      <c r="I242" t="str">
        <f>INDEX([2]Define!B:B,MATCH(H242,[2]Define!A:A))</f>
        <v>単体</v>
      </c>
      <c r="J242">
        <v>0</v>
      </c>
      <c r="K242">
        <v>110</v>
      </c>
      <c r="L242">
        <v>5</v>
      </c>
      <c r="M242" t="str">
        <f>INDEX([2]Define!E:E,MATCH(L242,[2]Define!D:D))</f>
        <v>闇</v>
      </c>
      <c r="N242">
        <v>6</v>
      </c>
      <c r="O242" t="str">
        <f>INDEX([2]Define!H:H,MATCH(N242,[2]Define!G:G))</f>
        <v>強化</v>
      </c>
      <c r="P242">
        <v>4</v>
      </c>
      <c r="Q242" t="str">
        <f>INDEX([2]Define!K:K,MATCH(P242,[2]Define!J:J))</f>
        <v>自身</v>
      </c>
      <c r="R242">
        <v>4</v>
      </c>
      <c r="S242" t="str">
        <f>INDEX([2]Define!N:N,MATCH(R242,[2]Define!M:M))</f>
        <v>自身</v>
      </c>
      <c r="T242">
        <v>1</v>
      </c>
      <c r="U242">
        <v>1</v>
      </c>
      <c r="V242">
        <v>1</v>
      </c>
      <c r="W242">
        <v>0</v>
      </c>
    </row>
    <row r="243" ht="12" customHeight="1" spans="1:23">
      <c r="A243">
        <v>415030</v>
      </c>
      <c r="B243">
        <v>415030</v>
      </c>
      <c r="C243" t="str">
        <f>INDEX(TextData!B:B,MATCH(B243,TextData!A:A))</f>
        <v>グレイブアクト+</v>
      </c>
      <c r="D243">
        <v>6</v>
      </c>
      <c r="E243" t="str">
        <f>INDEX([2]Define!X:X,MATCH(D243,[2]Define!W:W))</f>
        <v>自己強化</v>
      </c>
      <c r="H243">
        <v>1</v>
      </c>
      <c r="I243" t="str">
        <f>INDEX([2]Define!B:B,MATCH(H243,[2]Define!A:A))</f>
        <v>単体</v>
      </c>
      <c r="J243">
        <v>0</v>
      </c>
      <c r="K243">
        <v>110</v>
      </c>
      <c r="L243">
        <v>5</v>
      </c>
      <c r="M243" t="str">
        <f>INDEX([2]Define!E:E,MATCH(L243,[2]Define!D:D))</f>
        <v>闇</v>
      </c>
      <c r="N243">
        <v>6</v>
      </c>
      <c r="O243" t="str">
        <f>INDEX([2]Define!H:H,MATCH(N243,[2]Define!G:G))</f>
        <v>強化</v>
      </c>
      <c r="P243">
        <v>4</v>
      </c>
      <c r="Q243" t="str">
        <f>INDEX([2]Define!K:K,MATCH(P243,[2]Define!J:J))</f>
        <v>自身</v>
      </c>
      <c r="R243">
        <v>4</v>
      </c>
      <c r="S243" t="str">
        <f>INDEX([2]Define!N:N,MATCH(R243,[2]Define!M:M))</f>
        <v>自身</v>
      </c>
      <c r="T243">
        <v>1</v>
      </c>
      <c r="U243">
        <v>1</v>
      </c>
      <c r="V243">
        <v>1</v>
      </c>
      <c r="W243">
        <v>0</v>
      </c>
    </row>
    <row r="244" ht="12" customHeight="1" spans="1:23">
      <c r="A244">
        <v>415040</v>
      </c>
      <c r="B244">
        <v>415040</v>
      </c>
      <c r="C244" t="str">
        <f>INDEX(TextData!B:B,MATCH(B244,TextData!A:A))</f>
        <v>スカルグラッジ+</v>
      </c>
      <c r="D244">
        <v>6</v>
      </c>
      <c r="E244" t="str">
        <f>INDEX([2]Define!X:X,MATCH(D244,[2]Define!W:W))</f>
        <v>自己強化</v>
      </c>
      <c r="H244">
        <v>1</v>
      </c>
      <c r="I244" t="str">
        <f>INDEX([2]Define!B:B,MATCH(H244,[2]Define!A:A))</f>
        <v>単体</v>
      </c>
      <c r="J244">
        <v>0</v>
      </c>
      <c r="K244">
        <v>110</v>
      </c>
      <c r="L244">
        <v>5</v>
      </c>
      <c r="M244" t="str">
        <f>INDEX([2]Define!E:E,MATCH(L244,[2]Define!D:D))</f>
        <v>闇</v>
      </c>
      <c r="N244">
        <v>6</v>
      </c>
      <c r="O244" t="str">
        <f>INDEX([2]Define!H:H,MATCH(N244,[2]Define!G:G))</f>
        <v>強化</v>
      </c>
      <c r="P244">
        <v>4</v>
      </c>
      <c r="Q244" t="str">
        <f>INDEX([2]Define!K:K,MATCH(P244,[2]Define!J:J))</f>
        <v>自身</v>
      </c>
      <c r="R244">
        <v>4</v>
      </c>
      <c r="S244" t="str">
        <f>INDEX([2]Define!N:N,MATCH(R244,[2]Define!M:M))</f>
        <v>自身</v>
      </c>
      <c r="T244">
        <v>1</v>
      </c>
      <c r="U244">
        <v>1</v>
      </c>
      <c r="V244">
        <v>1</v>
      </c>
      <c r="W244">
        <v>0</v>
      </c>
    </row>
    <row r="245" ht="12" customHeight="1" spans="1:23">
      <c r="A245">
        <v>415050</v>
      </c>
      <c r="B245">
        <v>415050</v>
      </c>
      <c r="C245" t="str">
        <f>INDEX(TextData!B:B,MATCH(B245,TextData!A:A))</f>
        <v>ネガティブドレイン+</v>
      </c>
      <c r="D245">
        <v>6</v>
      </c>
      <c r="E245" t="str">
        <f>INDEX([2]Define!X:X,MATCH(D245,[2]Define!W:W))</f>
        <v>自己強化</v>
      </c>
      <c r="H245">
        <v>1</v>
      </c>
      <c r="I245" t="str">
        <f>INDEX([2]Define!B:B,MATCH(H245,[2]Define!A:A))</f>
        <v>単体</v>
      </c>
      <c r="J245">
        <v>0</v>
      </c>
      <c r="K245">
        <v>110</v>
      </c>
      <c r="L245">
        <v>5</v>
      </c>
      <c r="M245" t="str">
        <f>INDEX([2]Define!E:E,MATCH(L245,[2]Define!D:D))</f>
        <v>闇</v>
      </c>
      <c r="N245">
        <v>6</v>
      </c>
      <c r="O245" t="str">
        <f>INDEX([2]Define!H:H,MATCH(N245,[2]Define!G:G))</f>
        <v>強化</v>
      </c>
      <c r="P245">
        <v>4</v>
      </c>
      <c r="Q245" t="str">
        <f>INDEX([2]Define!K:K,MATCH(P245,[2]Define!J:J))</f>
        <v>自身</v>
      </c>
      <c r="R245">
        <v>4</v>
      </c>
      <c r="S245" t="str">
        <f>INDEX([2]Define!N:N,MATCH(R245,[2]Define!M:M))</f>
        <v>自身</v>
      </c>
      <c r="T245">
        <v>1</v>
      </c>
      <c r="U245">
        <v>1</v>
      </c>
      <c r="V245">
        <v>1</v>
      </c>
      <c r="W245">
        <v>0</v>
      </c>
    </row>
    <row r="246" ht="12" customHeight="1" spans="1:23">
      <c r="A246">
        <v>415060</v>
      </c>
      <c r="B246">
        <v>415060</v>
      </c>
      <c r="C246" t="str">
        <f>INDEX(TextData!B:B,MATCH(B246,TextData!A:A))</f>
        <v>アンデッドペイン+</v>
      </c>
      <c r="D246">
        <v>6</v>
      </c>
      <c r="E246" t="str">
        <f>INDEX([2]Define!X:X,MATCH(D246,[2]Define!W:W))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120</v>
      </c>
      <c r="L246">
        <v>5</v>
      </c>
      <c r="M246" t="str">
        <f>INDEX([2]Define!E:E,MATCH(L246,[2]Define!D:D))</f>
        <v>闇</v>
      </c>
      <c r="N246">
        <v>6</v>
      </c>
      <c r="O246" t="str">
        <f>INDEX([2]Define!H:H,MATCH(N246,[2]Define!G:G))</f>
        <v>強化</v>
      </c>
      <c r="P246">
        <v>4</v>
      </c>
      <c r="Q246" t="str">
        <f>INDEX([2]Define!K:K,MATCH(P246,[2]Define!J:J))</f>
        <v>自身</v>
      </c>
      <c r="R246">
        <v>4</v>
      </c>
      <c r="S246" t="str">
        <f>INDEX([2]Define!N:N,MATCH(R246,[2]Define!M:M))</f>
        <v>自身</v>
      </c>
      <c r="T246">
        <v>1</v>
      </c>
      <c r="U246">
        <v>1</v>
      </c>
      <c r="V246">
        <v>1</v>
      </c>
      <c r="W246">
        <v>0</v>
      </c>
    </row>
    <row r="247" ht="12" customHeight="1" spans="1:23">
      <c r="A247">
        <v>415070</v>
      </c>
      <c r="B247">
        <v>415070</v>
      </c>
      <c r="C247" t="str">
        <f>INDEX(TextData!B:B,MATCH(B247,TextData!A:A))</f>
        <v>ジャックポッド+</v>
      </c>
      <c r="D247">
        <v>6</v>
      </c>
      <c r="E247" t="str">
        <f>INDEX([2]Define!X:X,MATCH(D247,[2]Define!W:W))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120</v>
      </c>
      <c r="L247">
        <v>5</v>
      </c>
      <c r="M247" t="str">
        <f>INDEX([2]Define!E:E,MATCH(L247,[2]Define!D:D))</f>
        <v>闇</v>
      </c>
      <c r="N247">
        <v>6</v>
      </c>
      <c r="O247" t="str">
        <f>INDEX([2]Define!H:H,MATCH(N247,[2]Define!G:G))</f>
        <v>強化</v>
      </c>
      <c r="P247">
        <v>4</v>
      </c>
      <c r="Q247" t="str">
        <f>INDEX([2]Define!K:K,MATCH(P247,[2]Define!J:J))</f>
        <v>自身</v>
      </c>
      <c r="R247">
        <v>4</v>
      </c>
      <c r="S247" t="str">
        <f>INDEX([2]Define!N:N,MATCH(R247,[2]Define!M:M))</f>
        <v>自身</v>
      </c>
      <c r="T247">
        <v>1</v>
      </c>
      <c r="U247">
        <v>1</v>
      </c>
      <c r="V247">
        <v>1</v>
      </c>
      <c r="W247">
        <v>0</v>
      </c>
    </row>
    <row r="248" ht="12" customHeight="1" spans="1:23">
      <c r="A248">
        <v>415080</v>
      </c>
      <c r="B248">
        <v>415080</v>
      </c>
      <c r="C248" t="str">
        <f>INDEX(TextData!B:B,MATCH(B248,TextData!A:A))</f>
        <v>ヒールハント+</v>
      </c>
      <c r="D248">
        <v>6</v>
      </c>
      <c r="E248" t="str">
        <f>INDEX([2]Define!X:X,MATCH(D248,[2]Define!W:W))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120</v>
      </c>
      <c r="L248">
        <v>5</v>
      </c>
      <c r="M248" t="str">
        <f>INDEX([2]Define!E:E,MATCH(L248,[2]Define!D:D))</f>
        <v>闇</v>
      </c>
      <c r="N248">
        <v>6</v>
      </c>
      <c r="O248" t="str">
        <f>INDEX([2]Define!H:H,MATCH(N248,[2]Define!G:G))</f>
        <v>強化</v>
      </c>
      <c r="P248">
        <v>4</v>
      </c>
      <c r="Q248" t="str">
        <f>INDEX([2]Define!K:K,MATCH(P248,[2]Define!J:J))</f>
        <v>自身</v>
      </c>
      <c r="R248">
        <v>4</v>
      </c>
      <c r="S248" t="str">
        <f>INDEX([2]Define!N:N,MATCH(R248,[2]Define!M:M))</f>
        <v>自身</v>
      </c>
      <c r="T248">
        <v>1</v>
      </c>
      <c r="U248">
        <v>1</v>
      </c>
      <c r="V248">
        <v>1</v>
      </c>
      <c r="W248">
        <v>0</v>
      </c>
    </row>
    <row r="249" ht="12" customHeight="1" spans="1:23">
      <c r="A249">
        <v>415090</v>
      </c>
      <c r="B249">
        <v>415090</v>
      </c>
      <c r="C249" t="str">
        <f>INDEX(TextData!B:B,MATCH(B249,TextData!A:A))</f>
        <v>クイックカース+</v>
      </c>
      <c r="D249">
        <v>6</v>
      </c>
      <c r="E249" t="str">
        <f>INDEX([2]Define!X:X,MATCH(D249,[2]Define!W:W))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120</v>
      </c>
      <c r="L249">
        <v>5</v>
      </c>
      <c r="M249" t="str">
        <f>INDEX([2]Define!E:E,MATCH(L249,[2]Define!D:D))</f>
        <v>闇</v>
      </c>
      <c r="N249">
        <v>6</v>
      </c>
      <c r="O249" t="str">
        <f>INDEX([2]Define!H:H,MATCH(N249,[2]Define!G:G))</f>
        <v>強化</v>
      </c>
      <c r="P249">
        <v>4</v>
      </c>
      <c r="Q249" t="str">
        <f>INDEX([2]Define!K:K,MATCH(P249,[2]Define!J:J))</f>
        <v>自身</v>
      </c>
      <c r="R249">
        <v>4</v>
      </c>
      <c r="S249" t="str">
        <f>INDEX([2]Define!N:N,MATCH(R249,[2]Define!M:M))</f>
        <v>自身</v>
      </c>
      <c r="T249">
        <v>1</v>
      </c>
      <c r="U249">
        <v>1</v>
      </c>
      <c r="V249">
        <v>1</v>
      </c>
      <c r="W249">
        <v>0</v>
      </c>
    </row>
  </sheetData>
  <autoFilter ref="F1:F20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opLeftCell="A290" workbookViewId="0">
      <selection activeCell="C319" sqref="C31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17</v>
      </c>
      <c r="B1" t="s">
        <v>4</v>
      </c>
      <c r="C1" t="s">
        <v>18</v>
      </c>
      <c r="D1" t="s">
        <v>4</v>
      </c>
      <c r="E1" t="s">
        <v>19</v>
      </c>
      <c r="F1" t="s">
        <v>20</v>
      </c>
      <c r="G1" t="s">
        <v>21</v>
      </c>
      <c r="H1" t="s">
        <v>22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INDEX([2]Define!Q:Q,MATCH(C72,[2]Define!P:P))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INDEX([4]TextData!B:B,MATCH(E72,[4]TextData!A:A))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INDEX([2]Define!Q:Q,MATCH(C73,[2]Define!P:P))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INDEX([4]TextData!B:B,MATCH(E73,[4]TextData!A:A))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INDEX([2]Define!Q:Q,MATCH(C74,[2]Define!P:P))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INDEX([4]TextData!B:B,MATCH(E74,[4]TextData!A:A))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INDEX([2]Define!Q:Q,MATCH(C75,[2]Define!P:P))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INDEX([4]TextData!B:B,MATCH(E75,[4]TextData!A:A))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INDEX([2]Define!Q:Q,MATCH(C76,[2]Define!P:P))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INDEX([4]TextData!B:B,MATCH(E76,[4]TextData!A:A))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INDEX([2]Define!Q:Q,MATCH(C77,[2]Define!P:P))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INDEX([4]TextData!B:B,MATCH(E77,[4]TextData!A:A))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INDEX([2]Define!Q:Q,MATCH(C78,[2]Define!P:P))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INDEX([4]TextData!B:B,MATCH(E79,[4]TextData!A:A))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INDEX([4]TextData!B:B,MATCH(E81,[4]TextData!A:A))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INDEX([2]Define!Q:Q,MATCH(C82,[2]Define!P:P))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INDEX([2]Define!Q:Q,MATCH(C83,[2]Define!P:P))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INDEX([2]Define!Q:Q,MATCH(C84,[2]Define!P:P))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INDEX([2]Define!Q:Q,MATCH(C85,[2]Define!P:P))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INDEX([4]TextData!B:B,MATCH(E85,[4]TextData!A:A))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INDEX([2]Define!Q:Q,MATCH(C86,[2]Define!P:P))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INDEX([4]TextData!B:B,MATCH(E86,[4]TextData!A:A))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INDEX([2]Define!Q:Q,MATCH(C87,[2]Define!P:P))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INDEX([4]TextData!B:B,MATCH(E87,[4]TextData!A:A))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INDEX([2]Define!Q:Q,MATCH(C88,[2]Define!P:P))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INDEX([4]TextData!B:B,MATCH(E88,[4]TextData!A:A))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INDEX([2]Define!Q:Q,MATCH(C89,[2]Define!P:P))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INDEX([4]TextData!B:B,MATCH(E89,[4]TextData!A:A))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INDEX([2]Define!Q:Q,MATCH(C90,[2]Define!P:P))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INDEX([4]TextData!B:B,MATCH(E90,[4]TextData!A:A))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INDEX([2]Define!Q:Q,MATCH(C91,[2]Define!P:P))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INDEX([4]TextData!B:B,MATCH(E91,[4]TextData!A:A))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INDEX([2]Define!Q:Q,MATCH(C92,[2]Define!P:P))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INDEX([2]Define!Q:Q,MATCH(C93,[2]Define!P:P))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INDEX([2]Define!Q:Q,MATCH(C94,[2]Define!P:P))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INDEX([4]TextData!B:B,MATCH(E94,[4]TextData!A:A))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INDEX([2]Define!Q:Q,MATCH(C95,[2]Define!P:P))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INDEX([2]Define!Q:Q,MATCH(C96,[2]Define!P:P))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INDEX([4]TextData!B:B,MATCH(E96,[4]TextData!A:A))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INDEX([2]Define!Q:Q,MATCH(C97,[2]Define!P:P))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INDEX([2]Define!Q:Q,MATCH(C98,[2]Define!P:P))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INDEX([2]Define!Q:Q,MATCH(C99,[2]Define!P:P))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INDEX([4]TextData!B:B,MATCH(E99,[4]TextData!A:A))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INDEX([2]Define!Q:Q,MATCH(C100,[2]Define!P:P))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INDEX([4]TextData!B:B,MATCH(E100,[4]TextData!A:A))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INDEX([2]Define!Q:Q,MATCH(C101,[2]Define!P:P))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INDEX([2]Define!Q:Q,MATCH(C102,[2]Define!P:P))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INDEX([2]Define!Q:Q,MATCH(C103,[2]Define!P:P))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INDEX([4]TextData!B:B,MATCH(E103,[4]TextData!A:A))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INDEX([2]Define!Q:Q,MATCH(C104,[2]Define!P:P))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INDEX([4]TextData!B:B,MATCH(E104,[4]TextData!A:A))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INDEX([2]Define!Q:Q,MATCH(C105,[2]Define!P:P))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INDEX([2]Define!Q:Q,MATCH(C106,[2]Define!P:P))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INDEX([4]TextData!B:B,MATCH(E106,[4]TextData!A:A))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INDEX([2]Define!Q:Q,MATCH(C107,[2]Define!P:P))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INDEX([4]TextData!B:B,MATCH(E107,[4]TextData!A:A))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INDEX([2]Define!Q:Q,MATCH(C108,[2]Define!P:P))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INDEX([4]TextData!B:B,MATCH(E108,[4]TextData!A:A))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INDEX([2]Define!Q:Q,MATCH(C109,[2]Define!P:P))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INDEX([2]Define!Q:Q,MATCH(C110,[2]Define!P:P))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INDEX([4]TextData!B:B,MATCH(E110,[4]TextData!A:A))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INDEX([2]Define!Q:Q,MATCH(C111,[2]Define!P:P))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INDEX([4]TextData!B:B,MATCH(E111,[4]TextData!A:A))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INDEX([2]Define!Q:Q,MATCH(C112,[2]Define!P:P))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INDEX([4]TextData!B:B,MATCH(E112,[4]TextData!A:A))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INDEX([2]Define!Q:Q,MATCH(C113,[2]Define!P:P))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INDEX([2]Define!Q:Q,MATCH(C114,[2]Define!P:P))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INDEX([4]TextData!B:B,MATCH(E114,[4]TextData!A:A))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INDEX([2]Define!Q:Q,MATCH(C115,[2]Define!P:P))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INDEX([2]Define!Q:Q,MATCH(C116,[2]Define!P:P))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INDEX([4]TextData!B:B,MATCH(E116,[4]TextData!A:A))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INDEX([2]Define!Q:Q,MATCH(C117,[2]Define!P:P))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INDEX([4]TextData!B:B,MATCH(E117,[4]TextData!A:A))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INDEX([4]TextData!B:B,MATCH(E118,[4]TextData!A:A))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INDEX([2]Define!Q:Q,MATCH(C119,[2]Define!P:P))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INDEX([2]Define!Q:Q,MATCH(C120,[2]Define!P:P))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INDEX([4]TextData!B:B,MATCH(E120,[4]TextData!A:A))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INDEX([2]Define!Q:Q,MATCH(C121,[2]Define!P:P))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INDEX([4]TextData!B:B,MATCH(E121,[4]TextData!A:A))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INDEX([2]Define!Q:Q,MATCH(C122,[2]Define!P:P))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INDEX([4]TextData!B:B,MATCH(E122,[4]TextData!A:A))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INDEX([2]Define!Q:Q,MATCH(C123,[2]Define!P:P))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INDEX([4]TextData!B:B,MATCH(E123,[4]TextData!A:A))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INDEX([4]TextData!B:B,MATCH(E124,[4]TextData!A:A))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INDEX([2]Define!Q:Q,MATCH(C125,[2]Define!P:P))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INDEX([2]Define!Q:Q,MATCH(C126,[2]Define!P:P))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INDEX([4]TextData!B:B,MATCH(E126,[4]TextData!A:A))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INDEX([2]Define!Q:Q,MATCH(C127,[2]Define!P:P))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INDEX([4]TextData!B:B,MATCH(E127,[4]TextData!A:A))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INDEX([2]Define!Q:Q,MATCH(C128,[2]Define!P:P))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INDEX([2]Define!Q:Q,MATCH(C129,[2]Define!P:P))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INDEX([2]Define!Q:Q,MATCH(C130,[2]Define!P:P))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INDEX([2]Define!Q:Q,MATCH(C131,[2]Define!P:P))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INDEX([4]TextData!B:B,MATCH(E131,[4]TextData!A:A))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INDEX([2]Define!Q:Q,MATCH(C132,[2]Define!P:P))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INDEX([2]Define!Q:Q,MATCH(C133,[2]Define!P:P))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INDEX([2]Define!Q:Q,MATCH(C134,[2]Define!P:P))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INDEX([2]Define!Q:Q,MATCH(C135,[2]Define!P:P))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INDEX([4]TextData!B:B,MATCH(E135,[4]TextData!A:A))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INDEX([2]Define!Q:Q,MATCH(C136,[2]Define!P:P))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INDEX([2]Define!Q:Q,MATCH(C137,[2]Define!P:P))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INDEX([2]Define!Q:Q,MATCH(C138,[2]Define!P:P))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INDEX([2]Define!Q:Q,MATCH(C139,[2]Define!P:P))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INDEX([4]TextData!B:B,MATCH(E139,[4]TextData!A:A))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INDEX([2]Define!Q:Q,MATCH(C140,[2]Define!P:P))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INDEX([2]Define!Q:Q,MATCH(C141,[2]Define!P:P))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INDEX([2]Define!Q:Q,MATCH(C142,[2]Define!P:P))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INDEX([4]TextData!B:B,MATCH(E142,[4]TextData!A:A))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INDEX([2]Define!Q:Q,MATCH(C143,[2]Define!P:P))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INDEX([2]Define!Q:Q,MATCH(C144,[2]Define!P:P))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INDEX([4]TextData!B:B,MATCH(E144,[4]TextData!A:A))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INDEX([2]Define!Q:Q,MATCH(C145,[2]Define!P:P))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INDEX([2]Define!Q:Q,MATCH(C146,[2]Define!P:P))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INDEX([4]TextData!B:B,MATCH(E146,[4]TextData!A:A))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INDEX([2]Define!Q:Q,MATCH(C147,[2]Define!P:P))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INDEX([2]Define!Q:Q,MATCH(C148,[2]Define!P:P))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INDEX([2]Define!Q:Q,MATCH(C149,[2]Define!P:P))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INDEX([2]Define!Q:Q,MATCH(C150,[2]Define!P:P))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INDEX([2]Define!Q:Q,MATCH(C151,[2]Define!P:P))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INDEX([2]Define!Q:Q,MATCH(C152,[2]Define!P:P))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INDEX([2]Define!Q:Q,MATCH(C153,[2]Define!P:P))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INDEX([4]TextData!B:B,MATCH(E153,[4]TextData!A:A))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INDEX([2]Define!Q:Q,MATCH(C154,[2]Define!P:P))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INDEX([2]Define!Q:Q,MATCH(C155,[2]Define!P:P))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INDEX([4]TextData!B:B,MATCH(E155,[4]TextData!A:A))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INDEX([4]TextData!B:B,MATCH(E156,[4]TextData!A:A))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INDEX([2]Define!Q:Q,MATCH(C157,[2]Define!P:P))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INDEX([2]Define!Q:Q,MATCH(C158,[2]Define!P:P))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INDEX([4]TextData!B:B,MATCH(E158,[4]TextData!A:A))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INDEX([4]TextData!B:B,MATCH(E159,[4]TextData!A:A))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INDEX([2]Define!Q:Q,MATCH(C160,[2]Define!P:P))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INDEX([2]Define!Q:Q,MATCH(C161,[2]Define!P:P))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INDEX([2]Define!Q:Q,MATCH(C162,[2]Define!P:P))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INDEX([2]Define!Q:Q,MATCH(C163,[2]Define!P:P))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INDEX([2]Define!Q:Q,MATCH(C164,[2]Define!P:P))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INDEX([2]Define!Q:Q,MATCH(C166,[2]Define!P:P))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INDEX([2]Define!Q:Q,MATCH(C167,[2]Define!P:P))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INDEX([2]Define!Q:Q,MATCH(C168,[2]Define!P:P))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INDEX([4]TextData!B:B,MATCH(E168,[4]TextData!A:A))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INDEX([2]Define!Q:Q,MATCH(C169,[2]Define!P:P))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INDEX([2]Define!Q:Q,MATCH(C170,[2]Define!P:P))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INDEX([2]Define!Q:Q,MATCH(C171,[2]Define!P:P))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INDEX([2]Define!Q:Q,MATCH(C172,[2]Define!P:P))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INDEX([2]Define!Q:Q,MATCH(C173,[2]Define!P:P))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INDEX([2]Define!Q:Q,MATCH(C174,[2]Define!P:P))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INDEX([2]Define!Q:Q,MATCH(C175,[2]Define!P:P))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INDEX([4]TextData!B:B,MATCH(E175,[4]TextData!A:A))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INDEX([2]Define!Q:Q,MATCH(C176,[2]Define!P:P))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INDEX([2]Define!Q:Q,MATCH(C177,[2]Define!P:P))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INDEX([2]Define!Q:Q,MATCH(C178,[2]Define!P:P))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INDEX([2]Define!Q:Q,MATCH(C179,[2]Define!P:P))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INDEX([4]TextData!B:B,MATCH(E179,[4]TextData!A:A))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INDEX([2]Define!Q:Q,MATCH(C180,[2]Define!P:P))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INDEX([2]Define!Q:Q,MATCH(C181,[2]Define!P:P))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INDEX([2]Define!Q:Q,MATCH(C182,[2]Define!P:P))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INDEX([2]Define!Q:Q,MATCH(C183,[2]Define!P:P))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INDEX([4]TextData!B:B,MATCH(E183,[4]TextData!A:A))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INDEX([2]Define!Q:Q,MATCH(C184,[2]Define!P:P))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INDEX([4]TextData!B:B,MATCH(E184,[4]TextData!A:A))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INDEX([2]Define!Q:Q,MATCH(C185,[2]Define!P:P))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INDEX([2]Define!Q:Q,MATCH(C186,[2]Define!P:P))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INDEX([4]TextData!B:B,MATCH(E186,[4]TextData!A:A))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INDEX([2]Define!Q:Q,MATCH(C187,[2]Define!P:P))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INDEX([2]Define!Q:Q,MATCH(C188,[2]Define!P:P))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INDEX([4]TextData!B:B,MATCH(E188,[4]TextData!A:A))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INDEX([4]TextData!B:B,MATCH(E189,[4]TextData!A:A))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INDEX([2]Define!Q:Q,MATCH(C190,[2]Define!P:P))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INDEX([2]Define!Q:Q,MATCH(C191,[2]Define!P:P))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INDEX([2]Define!Q:Q,MATCH(C192,[2]Define!P:P))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INDEX([4]TextData!B:B,MATCH(E192,[4]TextData!A:A))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INDEX([2]Define!Q:Q,MATCH(C193,[2]Define!P:P))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INDEX([2]Define!Q:Q,MATCH(C194,[2]Define!P:P))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INDEX([2]Define!Q:Q,MATCH(C195,[2]Define!P:P))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INDEX([2]Define!Q:Q,MATCH(C196,[2]Define!P:P))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INDEX([2]Define!Q:Q,MATCH(C197,[2]Define!P:P))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INDEX([4]TextData!B:B,MATCH(E197,[4]TextData!A:A))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INDEX([2]Define!Q:Q,MATCH(C198,[2]Define!P:P))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INDEX([2]Define!Q:Q,MATCH(C199,[2]Define!P:P))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INDEX([4]TextData!B:B,MATCH(E199,[4]TextData!A:A))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INDEX([2]Define!Q:Q,MATCH(C200,[2]Define!P:P))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INDEX([2]Define!Q:Q,MATCH(C201,[2]Define!P:P))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INDEX([2]Define!Q:Q,MATCH(C202,[2]Define!P:P))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INDEX([4]TextData!B:B,MATCH(E202,[4]TextData!A:A))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INDEX([2]Define!Q:Q,MATCH(C203,[2]Define!P:P))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INDEX([4]TextData!B:B,MATCH(E203,[4]TextData!A:A))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INDEX([2]Define!Q:Q,MATCH(C204,[2]Define!P:P))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INDEX([2]Define!Q:Q,MATCH(C205,[2]Define!P:P))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INDEX([2]Define!Q:Q,MATCH(C206,[2]Define!P:P))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INDEX([2]Define!Q:Q,MATCH(C207,[2]Define!P:P))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INDEX([2]Define!Q:Q,MATCH(C208,[2]Define!P:P))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INDEX([4]TextData!B:B,MATCH(E208,[4]TextData!A:A))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INDEX([2]Define!Q:Q,MATCH(C209,[2]Define!P:P))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INDEX([4]TextData!B:B,MATCH(E209,[4]TextData!A:A))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INDEX([2]Define!Q:Q,MATCH(C210,[2]Define!P:P))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INDEX([2]Define!Q:Q,MATCH(C211,[2]Define!P:P))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INDEX([4]TextData!B:B,MATCH(E211,[4]TextData!A:A))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INDEX([2]Define!Q:Q,MATCH(C212,[2]Define!P:P))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INDEX([4]TextData!B:B,MATCH(E212,[4]TextData!A:A))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INDEX([2]Define!Q:Q,MATCH(C213,[2]Define!P:P))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INDEX([4]TextData!B:B,MATCH(E213,[4]TextData!A:A))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INDEX([2]Define!Q:Q,MATCH(C214,[2]Define!P:P))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INDEX([4]TextData!B:B,MATCH(E214,[4]TextData!A:A))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INDEX([2]Define!Q:Q,MATCH(C215,[2]Define!P:P))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INDEX([4]TextData!B:B,MATCH(E215,[4]TextData!A:A))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INDEX([2]Define!Q:Q,MATCH(C216,[2]Define!P:P))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INDEX([2]Define!Q:Q,MATCH(C217,[2]Define!P:P))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INDEX([4]TextData!B:B,MATCH(E217,[4]TextData!A:A))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INDEX([2]Define!Q:Q,MATCH(C218,[2]Define!P:P))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INDEX([4]TextData!B:B,MATCH(E218,[4]TextData!A:A))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INDEX([2]Define!Q:Q,MATCH(C219,[2]Define!P:P))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INDEX([2]Define!Q:Q,MATCH(C220,[2]Define!P:P))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INDEX([4]TextData!B:B,MATCH(E220,[4]TextData!A:A))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INDEX([2]Define!Q:Q,MATCH(C221,[2]Define!P:P))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INDEX([4]TextData!B:B,MATCH(E221,[4]TextData!A:A))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INDEX([2]Define!Q:Q,MATCH(C222,[2]Define!P:P))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INDEX([4]TextData!B:B,MATCH(E222,[4]TextData!A:A))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INDEX([2]Define!Q:Q,MATCH(C223,[2]Define!P:P))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INDEX([4]TextData!B:B,MATCH(E223,[4]TextData!A:A))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INDEX([2]Define!Q:Q,MATCH(C224,[2]Define!P:P))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INDEX([4]TextData!B:B,MATCH(E224,[4]TextData!A:A))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INDEX([2]Define!Q:Q,MATCH(C225,[2]Define!P:P))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INDEX([2]Define!Q:Q,MATCH(C226,[2]Define!P:P))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INDEX([2]Define!Q:Q,MATCH(C227,[2]Define!P:P))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INDEX([4]TextData!B:B,MATCH(E227,[4]TextData!A:A))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INDEX([2]Define!Q:Q,MATCH(C228,[2]Define!P:P))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INDEX([2]Define!Q:Q,MATCH(C229,[2]Define!P:P))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INDEX([4]TextData!B:B,MATCH(E229,[4]TextData!A:A))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INDEX([2]Define!Q:Q,MATCH(C230,[2]Define!P:P))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INDEX([2]Define!Q:Q,MATCH(C231,[2]Define!P:P))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INDEX([2]Define!Q:Q,MATCH(C232,[2]Define!P:P))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INDEX([2]Define!Q:Q,MATCH(C233,[2]Define!P:P))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INDEX([2]Define!Q:Q,MATCH(C234,[2]Define!P:P))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INDEX([2]Define!Q:Q,MATCH(C235,[2]Define!P:P))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INDEX([2]Define!Q:Q,MATCH(C236,[2]Define!P:P))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INDEX([2]Define!Q:Q,MATCH(C237,[2]Define!P:P))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INDEX([2]Define!Q:Q,MATCH(C238,[2]Define!P:P))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INDEX([2]Define!Q:Q,MATCH(C239,[2]Define!P:P))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INDEX([2]Define!Q:Q,MATCH(C240,[2]Define!P:P))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INDEX([2]Define!Q:Q,MATCH(C241,[2]Define!P:P))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INDEX([2]Define!Q:Q,MATCH(C242,[2]Define!P:P))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INDEX([2]Define!Q:Q,MATCH(C243,[2]Define!P:P))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INDEX([2]Define!Q:Q,MATCH(C244,[2]Define!P:P))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INDEX([2]Define!Q:Q,MATCH(C245,[2]Define!P:P))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INDEX([2]Define!Q:Q,MATCH(C246,[2]Define!P:P))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INDEX([2]Define!Q:Q,MATCH(C247,[2]Define!P:P))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INDEX([2]Define!Q:Q,MATCH(C248,[2]Define!P:P))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INDEX([2]Define!Q:Q,MATCH(C249,[2]Define!P:P))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INDEX([2]Define!Q:Q,MATCH(C250,[2]Define!P:P))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INDEX([2]Define!Q:Q,MATCH(C251,[2]Define!P:P))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INDEX([2]Define!Q:Q,MATCH(C252,[2]Define!P:P))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INDEX([2]Define!Q:Q,MATCH(C253,[2]Define!P:P))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INDEX([2]Define!Q:Q,MATCH(C254,[2]Define!P:P))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INDEX([2]Define!Q:Q,MATCH(C255,[2]Define!P:P))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INDEX([2]Define!Q:Q,MATCH(C256,[2]Define!P:P))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INDEX([2]Define!Q:Q,MATCH(C257,[2]Define!P:P))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INDEX([2]Define!Q:Q,MATCH(C258,[2]Define!P:P))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INDEX([2]Define!Q:Q,MATCH(C259,[2]Define!P:P))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INDEX([2]Define!Q:Q,MATCH(C260,[2]Define!P:P))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INDEX([2]Define!Q:Q,MATCH(C261,[2]Define!P:P))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INDEX([2]Define!Q:Q,MATCH(C262,[2]Define!P:P))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INDEX([2]Define!Q:Q,MATCH(C263,[2]Define!P:P))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INDEX([2]Define!Q:Q,MATCH(C264,[2]Define!P:P))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INDEX([2]Define!Q:Q,MATCH(C265,[2]Define!P:P))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INDEX([2]Define!Q:Q,MATCH(C266,[2]Define!P:P))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INDEX([2]Define!Q:Q,MATCH(C267,[2]Define!P:P))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INDEX([2]Define!Q:Q,MATCH(C268,[2]Define!P:P))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INDEX([2]Define!Q:Q,MATCH(C269,[2]Define!P:P))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INDEX([2]Define!Q:Q,MATCH(C270,[2]Define!P:P))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INDEX([2]Define!Q:Q,MATCH(C271,[2]Define!P:P))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INDEX([2]Define!Q:Q,MATCH(C272,[2]Define!P:P))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INDEX([2]Define!Q:Q,MATCH(C273,[2]Define!P:P))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6080</v>
      </c>
      <c r="D275" t="str">
        <f>INDEX([2]Define!Q:Q,MATCH(C275,[2]Define!P:P))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INDEX([2]Define!Q:Q,MATCH(C276,[2]Define!P:P))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INDEX([2]Define!Q:Q,MATCH(C277,[2]Define!P:P))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INDEX([2]Define!Q:Q,MATCH(C278,[2]Define!P:P))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INDEX([2]Define!Q:Q,MATCH(C279,[2]Define!P:P))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INDEX([2]Define!Q:Q,MATCH(C280,[2]Define!P:P))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INDEX([2]Define!Q:Q,MATCH(C281,[2]Define!P:P))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INDEX([2]Define!Q:Q,MATCH(C282,[2]Define!P:P))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INDEX([2]Define!Q:Q,MATCH(C283,[2]Define!P:P))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INDEX([2]Define!Q:Q,MATCH(C284,[2]Define!P:P))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INDEX([2]Define!Q:Q,MATCH(C285,[2]Define!P:P))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INDEX([2]Define!Q:Q,MATCH(C286,[2]Define!P:P))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INDEX([2]Define!Q:Q,MATCH(C287,[2]Define!P:P))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INDEX([2]Define!Q:Q,MATCH(C288,[2]Define!P:P))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INDEX([2]Define!Q:Q,MATCH(C289,[2]Define!P:P))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INDEX([2]Define!Q:Q,MATCH(C290,[2]Define!P:P))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INDEX([2]Define!Q:Q,MATCH(C291,[2]Define!P:P))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INDEX([2]Define!Q:Q,MATCH(C292,[2]Define!P:P))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INDEX([2]Define!Q:Q,MATCH(C293,[2]Define!P:P))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INDEX([2]Define!Q:Q,MATCH(C294,[2]Define!P:P))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INDEX([2]Define!Q:Q,MATCH(C296,[2]Define!P:P))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INDEX([2]Define!Q:Q,MATCH(C297,[2]Define!P:P))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INDEX([2]Define!Q:Q,MATCH(C298,[2]Define!P:P))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INDEX([2]Define!Q:Q,MATCH(C299,[2]Define!P:P))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INDEX([2]Define!Q:Q,MATCH(C300,[2]Define!P:P))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INDEX([2]Define!Q:Q,MATCH(C301,[2]Define!P:P))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INDEX([2]Define!Q:Q,MATCH(C302,[2]Define!P:P))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INDEX([2]Define!Q:Q,MATCH(C303,[2]Define!P:P))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INDEX([2]Define!Q:Q,MATCH(C304,[2]Define!P:P))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INDEX([2]Define!Q:Q,MATCH(C305,[2]Define!P:P))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INDEX([2]Define!Q:Q,MATCH(C306,[2]Define!P:P))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INDEX([2]Define!Q:Q,MATCH(C307,[2]Define!P:P))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INDEX([2]Define!Q:Q,MATCH(C308,[2]Define!P:P))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INDEX([2]Define!Q:Q,MATCH(C309,[2]Define!P:P))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INDEX([2]Define!Q:Q,MATCH(C310,[2]Define!P:P))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INDEX([2]Define!Q:Q,MATCH(C311,[2]Define!P:P))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INDEX([2]Define!Q:Q,MATCH(C312,[2]Define!P:P))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INDEX([2]Define!Q:Q,MATCH(C313,[2]Define!P:P))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INDEX([2]Define!Q:Q,MATCH(C314,[2]Define!P:P))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INDEX([2]Define!Q:Q,MATCH(C315,[2]Define!P:P))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INDEX([2]Define!Q:Q,MATCH(C316,[2]Define!P:P))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94" workbookViewId="0">
      <selection activeCell="B102" sqref="B102:B10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17</v>
      </c>
      <c r="B1" t="s">
        <v>4</v>
      </c>
      <c r="C1" t="s">
        <v>23</v>
      </c>
      <c r="D1" t="s">
        <v>4</v>
      </c>
      <c r="E1" t="s">
        <v>24</v>
      </c>
      <c r="F1" t="s">
        <v>19</v>
      </c>
      <c r="G1" t="s">
        <v>20</v>
      </c>
      <c r="H1" t="s">
        <v>21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17</v>
      </c>
      <c r="B1" t="s">
        <v>4</v>
      </c>
      <c r="C1" t="s">
        <v>23</v>
      </c>
      <c r="D1" t="s">
        <v>4</v>
      </c>
      <c r="E1" t="s">
        <v>24</v>
      </c>
      <c r="F1" t="s">
        <v>19</v>
      </c>
      <c r="G1" t="s">
        <v>20</v>
      </c>
      <c r="H1" t="s">
        <v>21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6"/>
  <sheetViews>
    <sheetView topLeftCell="A40" workbookViewId="0">
      <selection activeCell="A49" sqref="A4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25</v>
      </c>
      <c r="C1" t="s">
        <v>26</v>
      </c>
    </row>
    <row r="2" spans="1:3">
      <c r="A2">
        <v>0</v>
      </c>
      <c r="B2" t="s">
        <v>27</v>
      </c>
      <c r="C2" t="s">
        <v>28</v>
      </c>
    </row>
    <row r="3" spans="1:3">
      <c r="A3">
        <v>1</v>
      </c>
      <c r="B3" t="s">
        <v>29</v>
      </c>
      <c r="C3" t="s">
        <v>28</v>
      </c>
    </row>
    <row r="4" ht="26" spans="1:3">
      <c r="A4">
        <v>11</v>
      </c>
      <c r="B4" t="s">
        <v>30</v>
      </c>
      <c r="C4" s="3" t="s">
        <v>31</v>
      </c>
    </row>
    <row r="5" spans="1:3">
      <c r="A5">
        <v>21</v>
      </c>
      <c r="B5" t="s">
        <v>32</v>
      </c>
      <c r="C5" t="s">
        <v>33</v>
      </c>
    </row>
    <row r="6" spans="1:3">
      <c r="A6">
        <v>31</v>
      </c>
      <c r="B6" t="s">
        <v>34</v>
      </c>
      <c r="C6" s="3" t="s">
        <v>35</v>
      </c>
    </row>
    <row r="7" spans="1:3">
      <c r="A7">
        <v>32</v>
      </c>
      <c r="B7" t="s">
        <v>36</v>
      </c>
      <c r="C7" t="s">
        <v>28</v>
      </c>
    </row>
    <row r="8" spans="1:3">
      <c r="A8">
        <v>33</v>
      </c>
      <c r="B8" t="s">
        <v>37</v>
      </c>
      <c r="C8" s="3" t="s">
        <v>35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spans="1:3">
      <c r="A15">
        <v>1070</v>
      </c>
      <c r="B15" t="s">
        <v>48</v>
      </c>
      <c r="C15" t="s">
        <v>49</v>
      </c>
    </row>
    <row r="16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ht="26" spans="1:3">
      <c r="A21">
        <v>2050</v>
      </c>
      <c r="B21" t="s">
        <v>59</v>
      </c>
      <c r="C21" s="3" t="s">
        <v>60</v>
      </c>
    </row>
    <row r="22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ht="39" spans="1:3">
      <c r="A48">
        <v>5080</v>
      </c>
      <c r="B48" t="s">
        <v>112</v>
      </c>
      <c r="C48" s="3" t="s">
        <v>113</v>
      </c>
    </row>
    <row r="49" spans="1:3">
      <c r="A49">
        <v>6010</v>
      </c>
      <c r="B49" t="s">
        <v>114</v>
      </c>
      <c r="C49" s="3" t="s">
        <v>114</v>
      </c>
    </row>
    <row r="50" ht="39" spans="1:3">
      <c r="A50">
        <v>10010</v>
      </c>
      <c r="B50" t="s">
        <v>115</v>
      </c>
      <c r="C50" s="3" t="s">
        <v>116</v>
      </c>
    </row>
    <row r="51" ht="39" spans="1:3">
      <c r="A51">
        <v>10020</v>
      </c>
      <c r="B51" t="s">
        <v>117</v>
      </c>
      <c r="C51" s="4" t="s">
        <v>118</v>
      </c>
    </row>
    <row r="52" ht="26" spans="1:3">
      <c r="A52">
        <v>10030</v>
      </c>
      <c r="B52" t="s">
        <v>119</v>
      </c>
      <c r="C52" s="4" t="s">
        <v>120</v>
      </c>
    </row>
    <row r="53" ht="26" spans="1:3">
      <c r="A53">
        <v>10040</v>
      </c>
      <c r="B53" t="s">
        <v>121</v>
      </c>
      <c r="C53" s="4" t="s">
        <v>122</v>
      </c>
    </row>
    <row r="54" ht="26" spans="1:3">
      <c r="A54">
        <v>10050</v>
      </c>
      <c r="B54" t="s">
        <v>123</v>
      </c>
      <c r="C54" s="4" t="s">
        <v>124</v>
      </c>
    </row>
    <row r="55" ht="26" spans="1:3">
      <c r="A55">
        <v>10060</v>
      </c>
      <c r="B55" t="s">
        <v>125</v>
      </c>
      <c r="C55" s="4" t="s">
        <v>126</v>
      </c>
    </row>
    <row r="56" spans="1:3">
      <c r="A56">
        <v>11010</v>
      </c>
      <c r="B56" t="s">
        <v>127</v>
      </c>
      <c r="C56" s="4" t="s">
        <v>128</v>
      </c>
    </row>
    <row r="57" ht="26" spans="1:3">
      <c r="A57">
        <v>11020</v>
      </c>
      <c r="B57" t="s">
        <v>129</v>
      </c>
      <c r="C57" s="4" t="s">
        <v>130</v>
      </c>
    </row>
    <row r="58" ht="26" spans="1:3">
      <c r="A58">
        <v>11030</v>
      </c>
      <c r="B58" t="s">
        <v>131</v>
      </c>
      <c r="C58" s="4" t="s">
        <v>132</v>
      </c>
    </row>
    <row r="59" ht="26" spans="1:4">
      <c r="A59">
        <v>11040</v>
      </c>
      <c r="B59" t="s">
        <v>133</v>
      </c>
      <c r="C59" s="3" t="s">
        <v>134</v>
      </c>
      <c r="D59" t="s">
        <v>133</v>
      </c>
    </row>
    <row r="60" ht="39" spans="1:3">
      <c r="A60">
        <v>11050</v>
      </c>
      <c r="B60" t="s">
        <v>135</v>
      </c>
      <c r="C60" s="3" t="s">
        <v>136</v>
      </c>
    </row>
    <row r="61" ht="26" spans="1:3">
      <c r="A61">
        <v>11060</v>
      </c>
      <c r="B61" t="s">
        <v>137</v>
      </c>
      <c r="C61" s="3" t="s">
        <v>138</v>
      </c>
    </row>
    <row r="62" ht="39" spans="1:3">
      <c r="A62">
        <v>11070</v>
      </c>
      <c r="B62" t="s">
        <v>139</v>
      </c>
      <c r="C62" s="3" t="s">
        <v>140</v>
      </c>
    </row>
    <row r="63" ht="26" spans="1:3">
      <c r="A63">
        <v>11080</v>
      </c>
      <c r="B63" t="s">
        <v>141</v>
      </c>
      <c r="C63" s="3" t="s">
        <v>142</v>
      </c>
    </row>
    <row r="64" ht="39" spans="1:3">
      <c r="A64">
        <v>11090</v>
      </c>
      <c r="B64" t="s">
        <v>143</v>
      </c>
      <c r="C64" s="3" t="s">
        <v>144</v>
      </c>
    </row>
    <row r="65" ht="26" spans="1:3">
      <c r="A65">
        <v>12010</v>
      </c>
      <c r="B65" t="s">
        <v>145</v>
      </c>
      <c r="C65" s="3" t="s">
        <v>146</v>
      </c>
    </row>
    <row r="66" spans="1:3">
      <c r="A66">
        <v>12020</v>
      </c>
      <c r="B66" t="s">
        <v>147</v>
      </c>
      <c r="C66" s="3" t="s">
        <v>148</v>
      </c>
    </row>
    <row r="67" spans="1:3">
      <c r="A67">
        <v>12030</v>
      </c>
      <c r="B67" t="s">
        <v>149</v>
      </c>
      <c r="C67" s="3" t="s">
        <v>150</v>
      </c>
    </row>
    <row r="68" ht="39" spans="1:3">
      <c r="A68">
        <v>12040</v>
      </c>
      <c r="B68" t="s">
        <v>151</v>
      </c>
      <c r="C68" s="3" t="s">
        <v>152</v>
      </c>
    </row>
    <row r="69" ht="26" spans="1:3">
      <c r="A69">
        <v>12050</v>
      </c>
      <c r="B69" t="s">
        <v>153</v>
      </c>
      <c r="C69" s="3" t="s">
        <v>154</v>
      </c>
    </row>
    <row r="70" ht="26" spans="1:3">
      <c r="A70">
        <v>12060</v>
      </c>
      <c r="B70" t="s">
        <v>155</v>
      </c>
      <c r="C70" s="3" t="s">
        <v>156</v>
      </c>
    </row>
    <row r="71" ht="39" spans="1:3">
      <c r="A71">
        <v>12070</v>
      </c>
      <c r="B71" t="s">
        <v>157</v>
      </c>
      <c r="C71" s="3" t="s">
        <v>158</v>
      </c>
    </row>
    <row r="72" ht="26" spans="1:3">
      <c r="A72">
        <v>12080</v>
      </c>
      <c r="B72" t="s">
        <v>159</v>
      </c>
      <c r="C72" s="3" t="s">
        <v>160</v>
      </c>
    </row>
    <row r="73" ht="26" spans="1:3">
      <c r="A73">
        <v>12090</v>
      </c>
      <c r="B73" t="s">
        <v>161</v>
      </c>
      <c r="C73" s="3" t="s">
        <v>162</v>
      </c>
    </row>
    <row r="74" spans="1:3">
      <c r="A74">
        <v>13010</v>
      </c>
      <c r="B74" t="s">
        <v>163</v>
      </c>
      <c r="C74" s="3" t="s">
        <v>164</v>
      </c>
    </row>
    <row r="75" ht="26" spans="1:3">
      <c r="A75">
        <v>13020</v>
      </c>
      <c r="B75" t="s">
        <v>165</v>
      </c>
      <c r="C75" s="3" t="s">
        <v>166</v>
      </c>
    </row>
    <row r="76" ht="26" spans="1:3">
      <c r="A76">
        <v>13030</v>
      </c>
      <c r="B76" t="s">
        <v>167</v>
      </c>
      <c r="C76" s="3" t="s">
        <v>168</v>
      </c>
    </row>
    <row r="77" ht="26" spans="1:3">
      <c r="A77">
        <v>13040</v>
      </c>
      <c r="B77" t="s">
        <v>169</v>
      </c>
      <c r="C77" s="3" t="s">
        <v>170</v>
      </c>
    </row>
    <row r="78" ht="39" spans="1:3">
      <c r="A78">
        <v>13050</v>
      </c>
      <c r="B78" t="s">
        <v>171</v>
      </c>
      <c r="C78" s="3" t="s">
        <v>172</v>
      </c>
    </row>
    <row r="79" ht="26" spans="1:3">
      <c r="A79">
        <v>13060</v>
      </c>
      <c r="B79" t="s">
        <v>173</v>
      </c>
      <c r="C79" s="3" t="s">
        <v>174</v>
      </c>
    </row>
    <row r="80" ht="26" spans="1:3">
      <c r="A80">
        <v>13070</v>
      </c>
      <c r="B80" t="s">
        <v>175</v>
      </c>
      <c r="C80" s="3" t="s">
        <v>176</v>
      </c>
    </row>
    <row r="81" ht="26" spans="1:3">
      <c r="A81">
        <v>13080</v>
      </c>
      <c r="B81" t="s">
        <v>177</v>
      </c>
      <c r="C81" s="3" t="s">
        <v>178</v>
      </c>
    </row>
    <row r="82" ht="39" spans="1:3">
      <c r="A82">
        <v>13090</v>
      </c>
      <c r="B82" t="s">
        <v>179</v>
      </c>
      <c r="C82" s="3" t="s">
        <v>180</v>
      </c>
    </row>
    <row r="83" ht="39" spans="1:3">
      <c r="A83">
        <v>14010</v>
      </c>
      <c r="B83" t="s">
        <v>181</v>
      </c>
      <c r="C83" s="3" t="s">
        <v>182</v>
      </c>
    </row>
    <row r="84" ht="39" spans="1:3">
      <c r="A84">
        <v>14020</v>
      </c>
      <c r="B84" t="s">
        <v>183</v>
      </c>
      <c r="C84" s="3" t="s">
        <v>184</v>
      </c>
    </row>
    <row r="85" ht="26" spans="1:3">
      <c r="A85">
        <v>14030</v>
      </c>
      <c r="B85" t="s">
        <v>185</v>
      </c>
      <c r="C85" s="3" t="s">
        <v>186</v>
      </c>
    </row>
    <row r="86" spans="1:3">
      <c r="A86">
        <v>14040</v>
      </c>
      <c r="B86" t="s">
        <v>187</v>
      </c>
      <c r="C86" t="s">
        <v>188</v>
      </c>
    </row>
    <row r="87" spans="1:3">
      <c r="A87">
        <v>14050</v>
      </c>
      <c r="B87" t="s">
        <v>189</v>
      </c>
      <c r="C87" s="3" t="s">
        <v>190</v>
      </c>
    </row>
    <row r="88" ht="39" spans="1:3">
      <c r="A88">
        <v>14060</v>
      </c>
      <c r="B88" t="s">
        <v>191</v>
      </c>
      <c r="C88" s="3" t="s">
        <v>192</v>
      </c>
    </row>
    <row r="89" ht="39" spans="1:3">
      <c r="A89">
        <v>14070</v>
      </c>
      <c r="B89" t="s">
        <v>193</v>
      </c>
      <c r="C89" s="3" t="s">
        <v>194</v>
      </c>
    </row>
    <row r="90" ht="26" spans="1:3">
      <c r="A90">
        <v>14080</v>
      </c>
      <c r="B90" t="s">
        <v>195</v>
      </c>
      <c r="C90" s="3" t="s">
        <v>196</v>
      </c>
    </row>
    <row r="91" ht="52" spans="1:4">
      <c r="A91">
        <v>14090</v>
      </c>
      <c r="B91" t="s">
        <v>197</v>
      </c>
      <c r="C91" s="3" t="s">
        <v>198</v>
      </c>
      <c r="D91" t="s">
        <v>199</v>
      </c>
    </row>
    <row r="92" spans="1:3">
      <c r="A92">
        <v>15010</v>
      </c>
      <c r="B92" t="s">
        <v>200</v>
      </c>
      <c r="C92" s="3" t="s">
        <v>201</v>
      </c>
    </row>
    <row r="93" ht="26" spans="1:3">
      <c r="A93">
        <v>15020</v>
      </c>
      <c r="B93" t="s">
        <v>202</v>
      </c>
      <c r="C93" s="3" t="s">
        <v>203</v>
      </c>
    </row>
    <row r="94" ht="26" spans="1:3">
      <c r="A94">
        <v>15030</v>
      </c>
      <c r="B94" t="s">
        <v>204</v>
      </c>
      <c r="C94" s="3" t="s">
        <v>205</v>
      </c>
    </row>
    <row r="95" ht="39" spans="1:3">
      <c r="A95">
        <v>15040</v>
      </c>
      <c r="B95" t="s">
        <v>206</v>
      </c>
      <c r="C95" s="3" t="s">
        <v>207</v>
      </c>
    </row>
    <row r="96" ht="26" spans="1:3">
      <c r="A96">
        <v>15050</v>
      </c>
      <c r="B96" t="s">
        <v>208</v>
      </c>
      <c r="C96" s="3" t="s">
        <v>209</v>
      </c>
    </row>
    <row r="97" ht="26" spans="1:3">
      <c r="A97">
        <v>15060</v>
      </c>
      <c r="B97" t="s">
        <v>210</v>
      </c>
      <c r="C97" s="3" t="s">
        <v>211</v>
      </c>
    </row>
    <row r="98" ht="26" spans="1:4">
      <c r="A98">
        <v>15070</v>
      </c>
      <c r="B98" t="s">
        <v>212</v>
      </c>
      <c r="C98" s="3" t="s">
        <v>213</v>
      </c>
      <c r="D98" t="s">
        <v>214</v>
      </c>
    </row>
    <row r="99" ht="26" spans="1:3">
      <c r="A99">
        <v>15080</v>
      </c>
      <c r="B99" t="s">
        <v>215</v>
      </c>
      <c r="C99" s="3" t="s">
        <v>216</v>
      </c>
    </row>
    <row r="100" ht="26" spans="1:3">
      <c r="A100">
        <v>15090</v>
      </c>
      <c r="B100" t="s">
        <v>217</v>
      </c>
      <c r="C100" s="3" t="s">
        <v>218</v>
      </c>
    </row>
    <row r="101" spans="1:3">
      <c r="A101">
        <v>20010</v>
      </c>
      <c r="B101" t="s">
        <v>219</v>
      </c>
      <c r="C101" s="4" t="s">
        <v>220</v>
      </c>
    </row>
    <row r="102" ht="52" spans="1:3">
      <c r="A102">
        <v>100110</v>
      </c>
      <c r="B102" t="s">
        <v>221</v>
      </c>
      <c r="C102" s="3" t="s">
        <v>222</v>
      </c>
    </row>
    <row r="103" ht="26" spans="1:3">
      <c r="A103">
        <v>100120</v>
      </c>
      <c r="B103" t="s">
        <v>223</v>
      </c>
      <c r="C103" s="3" t="s">
        <v>224</v>
      </c>
    </row>
    <row r="104" ht="39" spans="1:3">
      <c r="A104">
        <v>100210</v>
      </c>
      <c r="B104" t="s">
        <v>225</v>
      </c>
      <c r="C104" s="3" t="s">
        <v>226</v>
      </c>
    </row>
    <row r="105" ht="28" customHeight="1" spans="1:3">
      <c r="A105">
        <v>100220</v>
      </c>
      <c r="B105" t="s">
        <v>227</v>
      </c>
      <c r="C105" s="3" t="s">
        <v>228</v>
      </c>
    </row>
    <row r="106" ht="52" spans="1:3">
      <c r="A106">
        <v>100310</v>
      </c>
      <c r="B106" t="s">
        <v>229</v>
      </c>
      <c r="C106" s="3" t="s">
        <v>230</v>
      </c>
    </row>
    <row r="107" ht="26" spans="1:3">
      <c r="A107">
        <v>100320</v>
      </c>
      <c r="B107" t="s">
        <v>231</v>
      </c>
      <c r="C107" s="3" t="s">
        <v>232</v>
      </c>
    </row>
    <row r="108" ht="39" spans="1:3">
      <c r="A108">
        <v>100410</v>
      </c>
      <c r="B108" t="s">
        <v>233</v>
      </c>
      <c r="C108" s="3" t="s">
        <v>234</v>
      </c>
    </row>
    <row r="109" ht="52" spans="1:3">
      <c r="A109">
        <v>100420</v>
      </c>
      <c r="B109" t="s">
        <v>235</v>
      </c>
      <c r="C109" s="3" t="s">
        <v>236</v>
      </c>
    </row>
    <row r="110" ht="52" spans="1:3">
      <c r="A110">
        <v>100510</v>
      </c>
      <c r="B110" t="s">
        <v>237</v>
      </c>
      <c r="C110" s="3" t="s">
        <v>238</v>
      </c>
    </row>
    <row r="111" ht="52" spans="1:3">
      <c r="A111">
        <v>100520</v>
      </c>
      <c r="B111" t="s">
        <v>239</v>
      </c>
      <c r="C111" s="3" t="s">
        <v>240</v>
      </c>
    </row>
    <row r="112" ht="39" spans="1:3">
      <c r="A112">
        <v>100610</v>
      </c>
      <c r="B112" t="s">
        <v>241</v>
      </c>
      <c r="C112" s="3" t="s">
        <v>242</v>
      </c>
    </row>
    <row r="113" ht="39" spans="1:3">
      <c r="A113">
        <v>100620</v>
      </c>
      <c r="B113" t="s">
        <v>243</v>
      </c>
      <c r="C113" s="3" t="s">
        <v>244</v>
      </c>
    </row>
    <row r="114" ht="52" spans="1:3">
      <c r="A114">
        <v>100710</v>
      </c>
      <c r="B114" t="s">
        <v>245</v>
      </c>
      <c r="C114" s="3" t="s">
        <v>246</v>
      </c>
    </row>
    <row r="115" ht="26" spans="1:3">
      <c r="A115">
        <v>100720</v>
      </c>
      <c r="B115" t="s">
        <v>247</v>
      </c>
      <c r="C115" s="3" t="s">
        <v>248</v>
      </c>
    </row>
    <row r="116" ht="39" spans="1:3">
      <c r="A116">
        <v>100810</v>
      </c>
      <c r="B116" t="s">
        <v>249</v>
      </c>
      <c r="C116" s="3" t="s">
        <v>250</v>
      </c>
    </row>
    <row r="117" ht="26" spans="1:3">
      <c r="A117">
        <v>100820</v>
      </c>
      <c r="B117" t="s">
        <v>251</v>
      </c>
      <c r="C117" s="3" t="s">
        <v>224</v>
      </c>
    </row>
    <row r="118" ht="39" spans="1:3">
      <c r="A118">
        <v>100910</v>
      </c>
      <c r="B118" t="s">
        <v>252</v>
      </c>
      <c r="C118" s="3" t="s">
        <v>253</v>
      </c>
    </row>
    <row r="119" ht="39" spans="1:3">
      <c r="A119">
        <v>100911</v>
      </c>
      <c r="B119" t="s">
        <v>252</v>
      </c>
      <c r="C119" s="3" t="s">
        <v>253</v>
      </c>
    </row>
    <row r="120" ht="39" spans="1:3">
      <c r="A120">
        <v>100920</v>
      </c>
      <c r="B120" t="s">
        <v>254</v>
      </c>
      <c r="C120" s="3" t="s">
        <v>255</v>
      </c>
    </row>
    <row r="121" ht="39" spans="1:3">
      <c r="A121">
        <v>100921</v>
      </c>
      <c r="B121" t="s">
        <v>254</v>
      </c>
      <c r="C121" s="3" t="s">
        <v>255</v>
      </c>
    </row>
    <row r="122" ht="39" spans="1:4">
      <c r="A122">
        <v>101010</v>
      </c>
      <c r="B122" t="s">
        <v>256</v>
      </c>
      <c r="C122" s="3" t="s">
        <v>257</v>
      </c>
      <c r="D122" s="3"/>
    </row>
    <row r="123" ht="26" spans="1:3">
      <c r="A123">
        <v>101020</v>
      </c>
      <c r="B123" t="s">
        <v>258</v>
      </c>
      <c r="C123" s="3" t="s">
        <v>224</v>
      </c>
    </row>
    <row r="124" ht="39" spans="1:3">
      <c r="A124">
        <v>101110</v>
      </c>
      <c r="B124" t="s">
        <v>259</v>
      </c>
      <c r="C124" s="3" t="s">
        <v>260</v>
      </c>
    </row>
    <row r="125" ht="39" spans="1:3">
      <c r="A125">
        <v>101120</v>
      </c>
      <c r="B125" t="s">
        <v>261</v>
      </c>
      <c r="C125" s="3" t="s">
        <v>262</v>
      </c>
    </row>
    <row r="126" ht="26" spans="1:3">
      <c r="A126">
        <v>200210</v>
      </c>
      <c r="B126" t="s">
        <v>263</v>
      </c>
      <c r="C126" s="3" t="s">
        <v>264</v>
      </c>
    </row>
    <row r="127" ht="26" spans="1:3">
      <c r="A127">
        <v>200220</v>
      </c>
      <c r="B127" t="s">
        <v>265</v>
      </c>
      <c r="C127" s="3" t="s">
        <v>224</v>
      </c>
    </row>
    <row r="128" ht="26" spans="1:3">
      <c r="A128">
        <v>200230</v>
      </c>
      <c r="B128" t="s">
        <v>266</v>
      </c>
      <c r="C128" s="4" t="s">
        <v>267</v>
      </c>
    </row>
    <row r="129" ht="52" spans="1:3">
      <c r="A129">
        <v>200310</v>
      </c>
      <c r="B129" t="s">
        <v>268</v>
      </c>
      <c r="C129" s="3" t="s">
        <v>269</v>
      </c>
    </row>
    <row r="130" ht="52" spans="1:3">
      <c r="A130">
        <v>200320</v>
      </c>
      <c r="B130" t="s">
        <v>270</v>
      </c>
      <c r="C130" s="3" t="s">
        <v>271</v>
      </c>
    </row>
    <row r="131" ht="26" spans="1:3">
      <c r="A131">
        <v>200330</v>
      </c>
      <c r="B131" t="s">
        <v>272</v>
      </c>
      <c r="C131" s="4" t="s">
        <v>273</v>
      </c>
    </row>
    <row r="132" ht="52" spans="1:3">
      <c r="A132">
        <v>200410</v>
      </c>
      <c r="B132" t="s">
        <v>274</v>
      </c>
      <c r="C132" s="3" t="s">
        <v>275</v>
      </c>
    </row>
    <row r="133" ht="52" spans="1:3">
      <c r="A133">
        <v>200411</v>
      </c>
      <c r="B133" t="s">
        <v>274</v>
      </c>
      <c r="C133" s="3" t="s">
        <v>276</v>
      </c>
    </row>
    <row r="134" ht="39" spans="1:3">
      <c r="A134">
        <v>200420</v>
      </c>
      <c r="B134" t="s">
        <v>277</v>
      </c>
      <c r="C134" s="3" t="s">
        <v>278</v>
      </c>
    </row>
    <row r="135" spans="1:3">
      <c r="A135">
        <v>200430</v>
      </c>
      <c r="B135" t="s">
        <v>279</v>
      </c>
      <c r="C135" s="3" t="s">
        <v>280</v>
      </c>
    </row>
    <row r="136" ht="52" spans="1:3">
      <c r="A136">
        <v>200510</v>
      </c>
      <c r="B136" t="s">
        <v>281</v>
      </c>
      <c r="C136" s="3" t="s">
        <v>282</v>
      </c>
    </row>
    <row r="137" ht="39" spans="1:3">
      <c r="A137">
        <v>200520</v>
      </c>
      <c r="B137" t="s">
        <v>283</v>
      </c>
      <c r="C137" s="3" t="s">
        <v>284</v>
      </c>
    </row>
    <row r="138" ht="39" spans="1:3">
      <c r="A138">
        <v>200530</v>
      </c>
      <c r="B138" t="s">
        <v>285</v>
      </c>
      <c r="C138" s="4" t="s">
        <v>286</v>
      </c>
    </row>
    <row r="139" ht="52" spans="1:3">
      <c r="A139">
        <v>201010</v>
      </c>
      <c r="B139" t="s">
        <v>287</v>
      </c>
      <c r="C139" s="3" t="s">
        <v>288</v>
      </c>
    </row>
    <row r="140" ht="39" spans="1:3">
      <c r="A140">
        <v>201020</v>
      </c>
      <c r="B140" t="s">
        <v>289</v>
      </c>
      <c r="C140" s="3" t="s">
        <v>290</v>
      </c>
    </row>
    <row r="141" ht="39" spans="1:3">
      <c r="A141">
        <v>201030</v>
      </c>
      <c r="B141" t="s">
        <v>291</v>
      </c>
      <c r="C141" s="4" t="s">
        <v>292</v>
      </c>
    </row>
    <row r="142" ht="26" spans="1:3">
      <c r="A142">
        <v>300010</v>
      </c>
      <c r="B142" t="s">
        <v>293</v>
      </c>
      <c r="C142" s="3" t="s">
        <v>294</v>
      </c>
    </row>
    <row r="143" ht="26" spans="1:3">
      <c r="A143">
        <v>300020</v>
      </c>
      <c r="B143" t="s">
        <v>295</v>
      </c>
      <c r="C143" s="3" t="s">
        <v>296</v>
      </c>
    </row>
    <row r="144" ht="26" spans="1:3">
      <c r="A144">
        <v>300030</v>
      </c>
      <c r="B144" t="s">
        <v>297</v>
      </c>
      <c r="C144" s="3" t="s">
        <v>298</v>
      </c>
    </row>
    <row r="145" ht="26" spans="1:3">
      <c r="A145">
        <v>300040</v>
      </c>
      <c r="B145" t="s">
        <v>299</v>
      </c>
      <c r="C145" s="3" t="s">
        <v>300</v>
      </c>
    </row>
    <row r="146" ht="26" spans="1:3">
      <c r="A146">
        <v>300050</v>
      </c>
      <c r="B146" t="s">
        <v>301</v>
      </c>
      <c r="C146" s="3" t="s">
        <v>302</v>
      </c>
    </row>
    <row r="147" ht="26" spans="1:3">
      <c r="A147">
        <v>300130</v>
      </c>
      <c r="B147" t="s">
        <v>303</v>
      </c>
      <c r="C147" s="3" t="s">
        <v>304</v>
      </c>
    </row>
    <row r="148" ht="26" spans="1:3">
      <c r="A148">
        <v>300140</v>
      </c>
      <c r="B148" t="s">
        <v>305</v>
      </c>
      <c r="C148" s="3" t="s">
        <v>306</v>
      </c>
    </row>
    <row r="149" ht="26" spans="1:3">
      <c r="A149">
        <v>300210</v>
      </c>
      <c r="B149" t="s">
        <v>307</v>
      </c>
      <c r="C149" s="3" t="s">
        <v>308</v>
      </c>
    </row>
    <row r="150" ht="26" spans="1:3">
      <c r="A150">
        <v>300220</v>
      </c>
      <c r="B150" t="s">
        <v>309</v>
      </c>
      <c r="C150" s="3" t="s">
        <v>310</v>
      </c>
    </row>
    <row r="151" ht="39" spans="1:3">
      <c r="A151">
        <v>300230</v>
      </c>
      <c r="B151" t="s">
        <v>311</v>
      </c>
      <c r="C151" s="3" t="s">
        <v>312</v>
      </c>
    </row>
    <row r="152" ht="26" spans="1:3">
      <c r="A152">
        <v>301010</v>
      </c>
      <c r="B152" t="s">
        <v>313</v>
      </c>
      <c r="C152" s="3" t="s">
        <v>314</v>
      </c>
    </row>
    <row r="153" ht="26" spans="1:3">
      <c r="A153">
        <v>301020</v>
      </c>
      <c r="B153" t="s">
        <v>315</v>
      </c>
      <c r="C153" s="3" t="s">
        <v>316</v>
      </c>
    </row>
    <row r="154" ht="26" spans="1:3">
      <c r="A154">
        <v>301030</v>
      </c>
      <c r="B154" t="s">
        <v>317</v>
      </c>
      <c r="C154" s="3" t="s">
        <v>318</v>
      </c>
    </row>
    <row r="155" ht="52" spans="1:3">
      <c r="A155">
        <v>301040</v>
      </c>
      <c r="B155" t="s">
        <v>319</v>
      </c>
      <c r="C155" s="3" t="s">
        <v>320</v>
      </c>
    </row>
    <row r="156" ht="26" spans="1:3">
      <c r="A156">
        <v>301050</v>
      </c>
      <c r="B156" t="s">
        <v>321</v>
      </c>
      <c r="C156" s="3" t="s">
        <v>322</v>
      </c>
    </row>
    <row r="157" ht="39" spans="1:3">
      <c r="A157">
        <v>301060</v>
      </c>
      <c r="B157" t="s">
        <v>323</v>
      </c>
      <c r="C157" s="3" t="s">
        <v>324</v>
      </c>
    </row>
    <row r="158" ht="26" spans="1:3">
      <c r="A158">
        <v>301070</v>
      </c>
      <c r="B158" t="s">
        <v>325</v>
      </c>
      <c r="C158" s="3" t="s">
        <v>294</v>
      </c>
    </row>
    <row r="159" ht="39" spans="1:3">
      <c r="A159">
        <v>301080</v>
      </c>
      <c r="B159" t="s">
        <v>326</v>
      </c>
      <c r="C159" s="3" t="s">
        <v>327</v>
      </c>
    </row>
    <row r="160" ht="39" spans="1:3">
      <c r="A160">
        <v>301090</v>
      </c>
      <c r="B160" t="s">
        <v>328</v>
      </c>
      <c r="C160" s="3" t="s">
        <v>329</v>
      </c>
    </row>
    <row r="161" ht="26" spans="1:3">
      <c r="A161">
        <v>301100</v>
      </c>
      <c r="B161" t="s">
        <v>330</v>
      </c>
      <c r="C161" s="3" t="s">
        <v>154</v>
      </c>
    </row>
    <row r="162" spans="1:3">
      <c r="A162">
        <v>401010</v>
      </c>
      <c r="B162" t="s">
        <v>331</v>
      </c>
      <c r="C162" s="3" t="s">
        <v>332</v>
      </c>
    </row>
    <row r="163" spans="1:3">
      <c r="A163">
        <v>401020</v>
      </c>
      <c r="B163" t="s">
        <v>333</v>
      </c>
      <c r="C163" s="3" t="s">
        <v>332</v>
      </c>
    </row>
    <row r="164" spans="1:3">
      <c r="A164">
        <v>401030</v>
      </c>
      <c r="B164" t="s">
        <v>334</v>
      </c>
      <c r="C164" s="3" t="s">
        <v>335</v>
      </c>
    </row>
    <row r="165" spans="1:3">
      <c r="A165">
        <v>401040</v>
      </c>
      <c r="B165" t="s">
        <v>336</v>
      </c>
      <c r="C165" t="s">
        <v>337</v>
      </c>
    </row>
    <row r="166" spans="1:3">
      <c r="A166">
        <v>401050</v>
      </c>
      <c r="B166" t="s">
        <v>338</v>
      </c>
      <c r="C166" s="3" t="s">
        <v>332</v>
      </c>
    </row>
    <row r="167" spans="1:3">
      <c r="A167">
        <v>401060</v>
      </c>
      <c r="B167" t="s">
        <v>339</v>
      </c>
      <c r="C167" s="3" t="s">
        <v>332</v>
      </c>
    </row>
    <row r="168" spans="1:3">
      <c r="A168">
        <v>401070</v>
      </c>
      <c r="B168" t="s">
        <v>340</v>
      </c>
      <c r="C168" s="3" t="s">
        <v>341</v>
      </c>
    </row>
    <row r="169" spans="1:3">
      <c r="A169">
        <v>401080</v>
      </c>
      <c r="B169" t="s">
        <v>342</v>
      </c>
      <c r="C169" s="3" t="s">
        <v>343</v>
      </c>
    </row>
    <row r="170" spans="1:3">
      <c r="A170">
        <v>402010</v>
      </c>
      <c r="B170" t="s">
        <v>344</v>
      </c>
      <c r="C170" s="3" t="s">
        <v>332</v>
      </c>
    </row>
    <row r="171" spans="1:3">
      <c r="A171">
        <v>402020</v>
      </c>
      <c r="B171" t="s">
        <v>345</v>
      </c>
      <c r="C171" t="s">
        <v>346</v>
      </c>
    </row>
    <row r="172" spans="1:3">
      <c r="A172">
        <v>402030</v>
      </c>
      <c r="B172" t="s">
        <v>347</v>
      </c>
      <c r="C172" s="3" t="s">
        <v>341</v>
      </c>
    </row>
    <row r="173" spans="1:3">
      <c r="A173">
        <v>402040</v>
      </c>
      <c r="B173" t="s">
        <v>348</v>
      </c>
      <c r="C173" s="4" t="s">
        <v>349</v>
      </c>
    </row>
    <row r="174" spans="1:3">
      <c r="A174">
        <v>402050</v>
      </c>
      <c r="B174" t="s">
        <v>350</v>
      </c>
      <c r="C174" s="3" t="s">
        <v>341</v>
      </c>
    </row>
    <row r="175" spans="1:3">
      <c r="A175">
        <v>402060</v>
      </c>
      <c r="B175" t="s">
        <v>351</v>
      </c>
      <c r="C175" s="3" t="s">
        <v>332</v>
      </c>
    </row>
    <row r="176" spans="1:3">
      <c r="A176">
        <v>402070</v>
      </c>
      <c r="B176" t="s">
        <v>352</v>
      </c>
      <c r="C176" s="3" t="s">
        <v>353</v>
      </c>
    </row>
    <row r="177" spans="1:3">
      <c r="A177">
        <v>402080</v>
      </c>
      <c r="B177" t="s">
        <v>354</v>
      </c>
      <c r="C177" s="3" t="s">
        <v>355</v>
      </c>
    </row>
    <row r="178" spans="1:3">
      <c r="A178">
        <v>403010</v>
      </c>
      <c r="B178" t="s">
        <v>356</v>
      </c>
      <c r="C178" s="3" t="s">
        <v>332</v>
      </c>
    </row>
    <row r="179" spans="1:3">
      <c r="A179">
        <v>403020</v>
      </c>
      <c r="B179" t="s">
        <v>357</v>
      </c>
      <c r="C179" s="3" t="s">
        <v>358</v>
      </c>
    </row>
    <row r="180" spans="1:3">
      <c r="A180">
        <v>403030</v>
      </c>
      <c r="B180" t="s">
        <v>359</v>
      </c>
      <c r="C180" s="4" t="s">
        <v>360</v>
      </c>
    </row>
    <row r="181" spans="1:3">
      <c r="A181">
        <v>403040</v>
      </c>
      <c r="B181" t="s">
        <v>361</v>
      </c>
      <c r="C181" s="3" t="s">
        <v>362</v>
      </c>
    </row>
    <row r="182" spans="1:3">
      <c r="A182">
        <v>403050</v>
      </c>
      <c r="B182" t="s">
        <v>363</v>
      </c>
      <c r="C182" s="3" t="s">
        <v>364</v>
      </c>
    </row>
    <row r="183" spans="1:3">
      <c r="A183">
        <v>403060</v>
      </c>
      <c r="B183" t="s">
        <v>365</v>
      </c>
      <c r="C183" s="4" t="s">
        <v>366</v>
      </c>
    </row>
    <row r="184" spans="1:3">
      <c r="A184">
        <v>403070</v>
      </c>
      <c r="B184" t="s">
        <v>367</v>
      </c>
      <c r="C184" s="4" t="s">
        <v>368</v>
      </c>
    </row>
    <row r="185" spans="1:3">
      <c r="A185">
        <v>403080</v>
      </c>
      <c r="B185" t="s">
        <v>369</v>
      </c>
      <c r="C185" s="3" t="s">
        <v>370</v>
      </c>
    </row>
    <row r="186" spans="1:3">
      <c r="A186">
        <v>404010</v>
      </c>
      <c r="B186" t="s">
        <v>371</v>
      </c>
      <c r="C186" s="3" t="s">
        <v>332</v>
      </c>
    </row>
    <row r="187" spans="1:3">
      <c r="A187">
        <v>404020</v>
      </c>
      <c r="B187" t="s">
        <v>372</v>
      </c>
      <c r="C187" s="3" t="s">
        <v>332</v>
      </c>
    </row>
    <row r="188" spans="1:3">
      <c r="A188">
        <v>404030</v>
      </c>
      <c r="B188" t="s">
        <v>373</v>
      </c>
      <c r="C188" s="3" t="s">
        <v>374</v>
      </c>
    </row>
    <row r="189" spans="1:3">
      <c r="A189">
        <v>404040</v>
      </c>
      <c r="B189" t="s">
        <v>375</v>
      </c>
      <c r="C189" s="3" t="s">
        <v>376</v>
      </c>
    </row>
    <row r="190" spans="1:3">
      <c r="A190">
        <v>404050</v>
      </c>
      <c r="B190" t="s">
        <v>377</v>
      </c>
      <c r="C190" s="4" t="s">
        <v>378</v>
      </c>
    </row>
    <row r="191" spans="1:3">
      <c r="A191">
        <v>404060</v>
      </c>
      <c r="B191" t="s">
        <v>379</v>
      </c>
      <c r="C191" s="3" t="s">
        <v>341</v>
      </c>
    </row>
    <row r="192" spans="1:3">
      <c r="A192">
        <v>404070</v>
      </c>
      <c r="B192" t="s">
        <v>380</v>
      </c>
      <c r="C192" s="3" t="s">
        <v>381</v>
      </c>
    </row>
    <row r="193" spans="1:3">
      <c r="A193">
        <v>404080</v>
      </c>
      <c r="B193" t="s">
        <v>382</v>
      </c>
      <c r="C193" s="3" t="s">
        <v>341</v>
      </c>
    </row>
    <row r="194" spans="1:3">
      <c r="A194">
        <v>405010</v>
      </c>
      <c r="B194" t="s">
        <v>383</v>
      </c>
      <c r="C194" s="3" t="s">
        <v>332</v>
      </c>
    </row>
    <row r="195" spans="1:3">
      <c r="A195">
        <v>405020</v>
      </c>
      <c r="B195" t="s">
        <v>384</v>
      </c>
      <c r="C195" s="3" t="s">
        <v>332</v>
      </c>
    </row>
    <row r="196" spans="1:3">
      <c r="A196">
        <v>405030</v>
      </c>
      <c r="B196" t="s">
        <v>385</v>
      </c>
      <c r="C196" s="3" t="s">
        <v>376</v>
      </c>
    </row>
    <row r="197" spans="1:3">
      <c r="A197">
        <v>405040</v>
      </c>
      <c r="B197" t="s">
        <v>386</v>
      </c>
      <c r="C197" s="3" t="s">
        <v>387</v>
      </c>
    </row>
    <row r="198" spans="1:3">
      <c r="A198">
        <v>405050</v>
      </c>
      <c r="B198" t="s">
        <v>388</v>
      </c>
      <c r="C198" s="3" t="s">
        <v>355</v>
      </c>
    </row>
    <row r="199" spans="1:3">
      <c r="A199">
        <v>405060</v>
      </c>
      <c r="B199" t="s">
        <v>389</v>
      </c>
      <c r="C199" s="3" t="s">
        <v>390</v>
      </c>
    </row>
    <row r="200" spans="1:3">
      <c r="A200">
        <v>405070</v>
      </c>
      <c r="B200" t="s">
        <v>391</v>
      </c>
      <c r="C200" s="4" t="s">
        <v>392</v>
      </c>
    </row>
    <row r="201" spans="1:3">
      <c r="A201">
        <v>405080</v>
      </c>
      <c r="B201" t="s">
        <v>393</v>
      </c>
      <c r="C201" s="3" t="s">
        <v>394</v>
      </c>
    </row>
    <row r="202" spans="1:3">
      <c r="A202">
        <v>411010</v>
      </c>
      <c r="B202" t="s">
        <v>395</v>
      </c>
      <c r="C202" s="4" t="s">
        <v>396</v>
      </c>
    </row>
    <row r="203" spans="1:3">
      <c r="A203">
        <v>411020</v>
      </c>
      <c r="B203" t="s">
        <v>397</v>
      </c>
      <c r="C203" s="4" t="s">
        <v>396</v>
      </c>
    </row>
    <row r="204" spans="1:3">
      <c r="A204">
        <v>411030</v>
      </c>
      <c r="B204" t="s">
        <v>398</v>
      </c>
      <c r="C204" s="4" t="s">
        <v>399</v>
      </c>
    </row>
    <row r="205" spans="1:3">
      <c r="A205">
        <v>411040</v>
      </c>
      <c r="B205" t="s">
        <v>400</v>
      </c>
      <c r="C205" s="4" t="s">
        <v>341</v>
      </c>
    </row>
    <row r="206" spans="1:3">
      <c r="A206">
        <v>411050</v>
      </c>
      <c r="B206" t="s">
        <v>401</v>
      </c>
      <c r="C206" s="4" t="s">
        <v>378</v>
      </c>
    </row>
    <row r="207" spans="1:3">
      <c r="A207">
        <v>411060</v>
      </c>
      <c r="B207" t="s">
        <v>402</v>
      </c>
      <c r="C207" s="4" t="s">
        <v>378</v>
      </c>
    </row>
    <row r="208" spans="1:3">
      <c r="A208">
        <v>411070</v>
      </c>
      <c r="B208" t="s">
        <v>403</v>
      </c>
      <c r="C208" s="4" t="s">
        <v>396</v>
      </c>
    </row>
    <row r="209" spans="1:3">
      <c r="A209">
        <v>411080</v>
      </c>
      <c r="B209" t="s">
        <v>404</v>
      </c>
      <c r="C209" s="4" t="s">
        <v>396</v>
      </c>
    </row>
    <row r="210" spans="1:3">
      <c r="A210">
        <v>411090</v>
      </c>
      <c r="B210" t="s">
        <v>405</v>
      </c>
      <c r="C210" s="4" t="s">
        <v>406</v>
      </c>
    </row>
    <row r="211" spans="1:3">
      <c r="A211">
        <v>412010</v>
      </c>
      <c r="B211" t="s">
        <v>407</v>
      </c>
      <c r="C211" t="s">
        <v>408</v>
      </c>
    </row>
    <row r="212" spans="1:3">
      <c r="A212">
        <v>412020</v>
      </c>
      <c r="B212" t="s">
        <v>409</v>
      </c>
      <c r="C212" s="4" t="s">
        <v>346</v>
      </c>
    </row>
    <row r="213" spans="1:3">
      <c r="A213">
        <v>412030</v>
      </c>
      <c r="B213" t="s">
        <v>410</v>
      </c>
      <c r="C213" s="4" t="s">
        <v>411</v>
      </c>
    </row>
    <row r="214" spans="1:3">
      <c r="A214">
        <v>412040</v>
      </c>
      <c r="B214" t="s">
        <v>412</v>
      </c>
      <c r="C214" s="4" t="s">
        <v>413</v>
      </c>
    </row>
    <row r="215" spans="1:3">
      <c r="A215">
        <v>412050</v>
      </c>
      <c r="B215" t="s">
        <v>414</v>
      </c>
      <c r="C215" s="4" t="s">
        <v>349</v>
      </c>
    </row>
    <row r="216" spans="1:3">
      <c r="A216">
        <v>412060</v>
      </c>
      <c r="B216" t="s">
        <v>415</v>
      </c>
      <c r="C216" s="3" t="s">
        <v>332</v>
      </c>
    </row>
    <row r="217" spans="1:3">
      <c r="A217">
        <v>412070</v>
      </c>
      <c r="B217" t="s">
        <v>416</v>
      </c>
      <c r="C217" s="4" t="s">
        <v>396</v>
      </c>
    </row>
    <row r="218" spans="1:3">
      <c r="A218">
        <v>412080</v>
      </c>
      <c r="B218" t="s">
        <v>417</v>
      </c>
      <c r="C218" s="3" t="s">
        <v>332</v>
      </c>
    </row>
    <row r="219" spans="1:3">
      <c r="A219">
        <v>412090</v>
      </c>
      <c r="B219" t="s">
        <v>418</v>
      </c>
      <c r="C219" s="4" t="s">
        <v>419</v>
      </c>
    </row>
    <row r="220" spans="1:3">
      <c r="A220">
        <v>413010</v>
      </c>
      <c r="B220" t="s">
        <v>420</v>
      </c>
      <c r="C220" s="4" t="s">
        <v>360</v>
      </c>
    </row>
    <row r="221" spans="1:3">
      <c r="A221">
        <v>413020</v>
      </c>
      <c r="B221" t="s">
        <v>421</v>
      </c>
      <c r="C221" s="3" t="s">
        <v>362</v>
      </c>
    </row>
    <row r="222" spans="1:3">
      <c r="A222">
        <v>413030</v>
      </c>
      <c r="B222" t="s">
        <v>422</v>
      </c>
      <c r="C222" s="3" t="s">
        <v>341</v>
      </c>
    </row>
    <row r="223" spans="1:3">
      <c r="A223">
        <v>413040</v>
      </c>
      <c r="B223" t="s">
        <v>423</v>
      </c>
      <c r="C223" s="3" t="s">
        <v>362</v>
      </c>
    </row>
    <row r="224" spans="1:3">
      <c r="A224">
        <v>413050</v>
      </c>
      <c r="B224" t="s">
        <v>424</v>
      </c>
      <c r="C224" s="3" t="s">
        <v>341</v>
      </c>
    </row>
    <row r="225" spans="1:3">
      <c r="A225">
        <v>413060</v>
      </c>
      <c r="B225" t="s">
        <v>425</v>
      </c>
      <c r="C225" s="3" t="s">
        <v>341</v>
      </c>
    </row>
    <row r="226" spans="1:3">
      <c r="A226">
        <v>413070</v>
      </c>
      <c r="B226" t="s">
        <v>426</v>
      </c>
      <c r="C226" s="4" t="s">
        <v>427</v>
      </c>
    </row>
    <row r="227" spans="1:3">
      <c r="A227">
        <v>413080</v>
      </c>
      <c r="B227" t="s">
        <v>428</v>
      </c>
      <c r="C227" s="3" t="s">
        <v>376</v>
      </c>
    </row>
    <row r="228" spans="1:3">
      <c r="A228">
        <v>413090</v>
      </c>
      <c r="B228" t="s">
        <v>429</v>
      </c>
      <c r="C228" s="3" t="s">
        <v>430</v>
      </c>
    </row>
    <row r="229" spans="1:3">
      <c r="A229">
        <v>414010</v>
      </c>
      <c r="B229" t="s">
        <v>431</v>
      </c>
      <c r="C229" s="3" t="s">
        <v>432</v>
      </c>
    </row>
    <row r="230" spans="1:3">
      <c r="A230">
        <v>414020</v>
      </c>
      <c r="B230" t="s">
        <v>433</v>
      </c>
      <c r="C230" s="3" t="s">
        <v>434</v>
      </c>
    </row>
    <row r="231" spans="1:3">
      <c r="A231">
        <v>414030</v>
      </c>
      <c r="B231" t="s">
        <v>435</v>
      </c>
      <c r="C231" s="3" t="s">
        <v>353</v>
      </c>
    </row>
    <row r="232" spans="1:3">
      <c r="A232">
        <v>414040</v>
      </c>
      <c r="B232" t="s">
        <v>436</v>
      </c>
      <c r="C232" s="3" t="s">
        <v>381</v>
      </c>
    </row>
    <row r="233" spans="1:3">
      <c r="A233">
        <v>414050</v>
      </c>
      <c r="B233" t="s">
        <v>437</v>
      </c>
      <c r="C233" s="3" t="s">
        <v>438</v>
      </c>
    </row>
    <row r="234" spans="1:3">
      <c r="A234">
        <v>414060</v>
      </c>
      <c r="B234" t="s">
        <v>439</v>
      </c>
      <c r="C234" s="4" t="s">
        <v>378</v>
      </c>
    </row>
    <row r="235" spans="1:3">
      <c r="A235">
        <v>414070</v>
      </c>
      <c r="B235" t="s">
        <v>440</v>
      </c>
      <c r="C235" s="4" t="s">
        <v>441</v>
      </c>
    </row>
    <row r="236" spans="1:3">
      <c r="A236">
        <v>414080</v>
      </c>
      <c r="B236" t="s">
        <v>442</v>
      </c>
      <c r="C236" s="3" t="s">
        <v>381</v>
      </c>
    </row>
    <row r="237" spans="1:3">
      <c r="A237">
        <v>414090</v>
      </c>
      <c r="B237" t="s">
        <v>443</v>
      </c>
      <c r="C237" s="3" t="s">
        <v>341</v>
      </c>
    </row>
    <row r="238" spans="1:3">
      <c r="A238">
        <v>415010</v>
      </c>
      <c r="B238" t="s">
        <v>444</v>
      </c>
      <c r="C238" s="3" t="s">
        <v>445</v>
      </c>
    </row>
    <row r="239" spans="1:3">
      <c r="A239">
        <v>415020</v>
      </c>
      <c r="B239" t="s">
        <v>446</v>
      </c>
      <c r="C239" s="3" t="s">
        <v>445</v>
      </c>
    </row>
    <row r="240" spans="1:3">
      <c r="A240">
        <v>415030</v>
      </c>
      <c r="B240" t="s">
        <v>447</v>
      </c>
      <c r="C240" s="4" t="s">
        <v>378</v>
      </c>
    </row>
    <row r="241" spans="1:3">
      <c r="A241">
        <v>415040</v>
      </c>
      <c r="B241" t="s">
        <v>448</v>
      </c>
      <c r="C241" s="4" t="s">
        <v>449</v>
      </c>
    </row>
    <row r="242" spans="1:3">
      <c r="A242">
        <v>415050</v>
      </c>
      <c r="B242" t="s">
        <v>450</v>
      </c>
      <c r="C242" s="3" t="s">
        <v>376</v>
      </c>
    </row>
    <row r="243" spans="1:3">
      <c r="A243">
        <v>415060</v>
      </c>
      <c r="B243" t="s">
        <v>451</v>
      </c>
      <c r="C243" s="3" t="s">
        <v>376</v>
      </c>
    </row>
    <row r="244" spans="1:3">
      <c r="A244">
        <v>415070</v>
      </c>
      <c r="B244" t="s">
        <v>452</v>
      </c>
      <c r="C244" s="3" t="s">
        <v>445</v>
      </c>
    </row>
    <row r="245" spans="1:3">
      <c r="A245">
        <v>415080</v>
      </c>
      <c r="B245" t="s">
        <v>453</v>
      </c>
      <c r="C245" s="3" t="s">
        <v>454</v>
      </c>
    </row>
    <row r="246" spans="1:3">
      <c r="A246">
        <v>415090</v>
      </c>
      <c r="B246" t="s">
        <v>455</v>
      </c>
      <c r="C246" s="3" t="s">
        <v>456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2"/>
  <sheetViews>
    <sheetView topLeftCell="G52" workbookViewId="0">
      <selection activeCell="U67" sqref="U6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457</v>
      </c>
      <c r="P1" t="s">
        <v>458</v>
      </c>
      <c r="S1" t="s">
        <v>459</v>
      </c>
      <c r="U1" t="s">
        <v>460</v>
      </c>
      <c r="W1" t="s">
        <v>461</v>
      </c>
      <c r="Y1" t="s">
        <v>24</v>
      </c>
    </row>
    <row r="2" spans="1:29">
      <c r="A2">
        <v>0</v>
      </c>
      <c r="B2" t="s">
        <v>462</v>
      </c>
      <c r="D2">
        <v>0</v>
      </c>
      <c r="E2" t="s">
        <v>462</v>
      </c>
      <c r="G2">
        <v>0</v>
      </c>
      <c r="H2" t="s">
        <v>462</v>
      </c>
      <c r="J2">
        <v>0</v>
      </c>
      <c r="K2" t="s">
        <v>462</v>
      </c>
      <c r="M2">
        <v>0</v>
      </c>
      <c r="N2" t="s">
        <v>462</v>
      </c>
      <c r="P2">
        <v>0</v>
      </c>
      <c r="Q2" t="s">
        <v>463</v>
      </c>
      <c r="U2">
        <v>0</v>
      </c>
      <c r="V2" t="s">
        <v>462</v>
      </c>
      <c r="W2">
        <v>0</v>
      </c>
      <c r="X2" t="s">
        <v>462</v>
      </c>
      <c r="Y2">
        <v>0</v>
      </c>
      <c r="Z2" t="s">
        <v>462</v>
      </c>
      <c r="AB2">
        <v>301</v>
      </c>
      <c r="AC2" t="s">
        <v>464</v>
      </c>
    </row>
    <row r="3" spans="1:29">
      <c r="A3">
        <v>1</v>
      </c>
      <c r="B3" t="s">
        <v>465</v>
      </c>
      <c r="D3">
        <v>1</v>
      </c>
      <c r="E3" t="s">
        <v>466</v>
      </c>
      <c r="G3">
        <v>1</v>
      </c>
      <c r="H3" t="s">
        <v>467</v>
      </c>
      <c r="J3">
        <v>1</v>
      </c>
      <c r="K3" t="s">
        <v>468</v>
      </c>
      <c r="M3">
        <v>1</v>
      </c>
      <c r="N3" t="s">
        <v>465</v>
      </c>
      <c r="P3">
        <v>1010</v>
      </c>
      <c r="Q3" t="s">
        <v>469</v>
      </c>
      <c r="U3">
        <v>1010</v>
      </c>
      <c r="V3" t="s">
        <v>470</v>
      </c>
      <c r="W3">
        <v>1</v>
      </c>
      <c r="X3" t="s">
        <v>471</v>
      </c>
      <c r="Y3">
        <v>1</v>
      </c>
      <c r="Z3" t="s">
        <v>472</v>
      </c>
      <c r="AB3">
        <v>302</v>
      </c>
      <c r="AC3" t="s">
        <v>473</v>
      </c>
    </row>
    <row r="4" spans="1:29">
      <c r="A4">
        <v>2</v>
      </c>
      <c r="B4" t="s">
        <v>474</v>
      </c>
      <c r="D4">
        <v>2</v>
      </c>
      <c r="E4" t="s">
        <v>475</v>
      </c>
      <c r="G4">
        <v>2</v>
      </c>
      <c r="H4" t="s">
        <v>476</v>
      </c>
      <c r="J4">
        <v>2</v>
      </c>
      <c r="K4" t="s">
        <v>477</v>
      </c>
      <c r="M4">
        <v>2</v>
      </c>
      <c r="N4" t="s">
        <v>474</v>
      </c>
      <c r="P4">
        <v>1020</v>
      </c>
      <c r="Q4" t="s">
        <v>478</v>
      </c>
      <c r="U4">
        <v>1020</v>
      </c>
      <c r="V4" t="s">
        <v>479</v>
      </c>
      <c r="W4">
        <v>2</v>
      </c>
      <c r="X4" t="s">
        <v>480</v>
      </c>
      <c r="Y4">
        <v>2</v>
      </c>
      <c r="Z4" t="s">
        <v>481</v>
      </c>
      <c r="AB4" s="2">
        <v>303</v>
      </c>
      <c r="AC4" s="2" t="s">
        <v>482</v>
      </c>
    </row>
    <row r="5" spans="1:29">
      <c r="A5">
        <v>3</v>
      </c>
      <c r="B5" t="s">
        <v>483</v>
      </c>
      <c r="D5">
        <v>3</v>
      </c>
      <c r="E5" t="s">
        <v>484</v>
      </c>
      <c r="G5">
        <v>3</v>
      </c>
      <c r="H5" t="s">
        <v>485</v>
      </c>
      <c r="J5">
        <v>3</v>
      </c>
      <c r="K5" t="s">
        <v>486</v>
      </c>
      <c r="M5">
        <v>3</v>
      </c>
      <c r="N5" t="s">
        <v>483</v>
      </c>
      <c r="P5">
        <v>1030</v>
      </c>
      <c r="Q5" t="s">
        <v>487</v>
      </c>
      <c r="U5">
        <v>1030</v>
      </c>
      <c r="V5" t="s">
        <v>488</v>
      </c>
      <c r="W5">
        <v>3</v>
      </c>
      <c r="X5" t="s">
        <v>489</v>
      </c>
      <c r="Y5">
        <v>3</v>
      </c>
      <c r="Z5" t="s">
        <v>490</v>
      </c>
      <c r="AB5">
        <v>304</v>
      </c>
      <c r="AC5" t="s">
        <v>491</v>
      </c>
    </row>
    <row r="6" spans="4:29">
      <c r="D6">
        <v>4</v>
      </c>
      <c r="E6" t="s">
        <v>480</v>
      </c>
      <c r="G6">
        <v>4</v>
      </c>
      <c r="H6" t="s">
        <v>30</v>
      </c>
      <c r="J6">
        <v>4</v>
      </c>
      <c r="K6" t="s">
        <v>492</v>
      </c>
      <c r="M6">
        <v>4</v>
      </c>
      <c r="N6" t="s">
        <v>492</v>
      </c>
      <c r="P6">
        <v>1040</v>
      </c>
      <c r="Q6" t="s">
        <v>493</v>
      </c>
      <c r="U6">
        <v>1040</v>
      </c>
      <c r="V6" t="s">
        <v>494</v>
      </c>
      <c r="W6">
        <v>4</v>
      </c>
      <c r="X6" t="s">
        <v>495</v>
      </c>
      <c r="Y6">
        <v>4</v>
      </c>
      <c r="Z6" t="s">
        <v>496</v>
      </c>
      <c r="AB6">
        <v>305</v>
      </c>
      <c r="AC6" t="s">
        <v>497</v>
      </c>
    </row>
    <row r="7" spans="4:29">
      <c r="D7">
        <v>5</v>
      </c>
      <c r="E7" t="s">
        <v>498</v>
      </c>
      <c r="G7">
        <v>5</v>
      </c>
      <c r="H7" t="s">
        <v>499</v>
      </c>
      <c r="J7">
        <v>6</v>
      </c>
      <c r="K7" t="s">
        <v>500</v>
      </c>
      <c r="M7">
        <v>5</v>
      </c>
      <c r="N7" t="s">
        <v>501</v>
      </c>
      <c r="P7">
        <v>1050</v>
      </c>
      <c r="Q7" t="s">
        <v>502</v>
      </c>
      <c r="U7">
        <v>1050</v>
      </c>
      <c r="V7" t="s">
        <v>503</v>
      </c>
      <c r="W7">
        <v>5</v>
      </c>
      <c r="X7" t="s">
        <v>504</v>
      </c>
      <c r="Y7">
        <v>5</v>
      </c>
      <c r="Z7" t="s">
        <v>505</v>
      </c>
      <c r="AB7">
        <v>306</v>
      </c>
      <c r="AC7" t="s">
        <v>506</v>
      </c>
    </row>
    <row r="8" spans="4:29">
      <c r="D8">
        <v>6</v>
      </c>
      <c r="E8" t="s">
        <v>507</v>
      </c>
      <c r="G8">
        <v>6</v>
      </c>
      <c r="H8" t="s">
        <v>508</v>
      </c>
      <c r="J8">
        <v>7</v>
      </c>
      <c r="K8" t="s">
        <v>509</v>
      </c>
      <c r="M8">
        <v>11</v>
      </c>
      <c r="N8" t="s">
        <v>510</v>
      </c>
      <c r="P8">
        <v>1060</v>
      </c>
      <c r="Q8" t="s">
        <v>511</v>
      </c>
      <c r="U8">
        <v>1060</v>
      </c>
      <c r="V8" t="s">
        <v>512</v>
      </c>
      <c r="W8">
        <v>6</v>
      </c>
      <c r="X8" t="s">
        <v>513</v>
      </c>
      <c r="Y8">
        <v>11</v>
      </c>
      <c r="Z8" t="s">
        <v>514</v>
      </c>
      <c r="AB8">
        <v>307</v>
      </c>
      <c r="AC8" t="s">
        <v>515</v>
      </c>
    </row>
    <row r="9" spans="7:29">
      <c r="G9">
        <v>11</v>
      </c>
      <c r="H9" t="s">
        <v>516</v>
      </c>
      <c r="J9">
        <v>11</v>
      </c>
      <c r="K9" t="s">
        <v>517</v>
      </c>
      <c r="M9">
        <v>12</v>
      </c>
      <c r="N9" s="1" t="s">
        <v>518</v>
      </c>
      <c r="P9">
        <v>1070</v>
      </c>
      <c r="Q9" t="s">
        <v>519</v>
      </c>
      <c r="U9">
        <v>1130</v>
      </c>
      <c r="V9" t="s">
        <v>520</v>
      </c>
      <c r="W9">
        <v>7</v>
      </c>
      <c r="X9" t="s">
        <v>521</v>
      </c>
      <c r="Y9">
        <v>20</v>
      </c>
      <c r="Z9" t="s">
        <v>522</v>
      </c>
      <c r="AB9">
        <v>308</v>
      </c>
      <c r="AC9" t="s">
        <v>523</v>
      </c>
    </row>
    <row r="10" spans="7:29">
      <c r="G10">
        <v>12</v>
      </c>
      <c r="H10" t="s">
        <v>524</v>
      </c>
      <c r="J10">
        <v>101</v>
      </c>
      <c r="K10" t="s">
        <v>525</v>
      </c>
      <c r="M10">
        <v>13</v>
      </c>
      <c r="N10" s="1" t="s">
        <v>526</v>
      </c>
      <c r="P10">
        <v>1080</v>
      </c>
      <c r="Q10" t="s">
        <v>527</v>
      </c>
      <c r="U10">
        <v>1140</v>
      </c>
      <c r="V10" t="s">
        <v>528</v>
      </c>
      <c r="W10">
        <v>10</v>
      </c>
      <c r="X10" t="s">
        <v>529</v>
      </c>
      <c r="Y10">
        <v>24</v>
      </c>
      <c r="Z10" t="s">
        <v>530</v>
      </c>
      <c r="AB10">
        <v>309</v>
      </c>
      <c r="AC10" t="s">
        <v>531</v>
      </c>
    </row>
    <row r="11" spans="13:29">
      <c r="M11">
        <v>21</v>
      </c>
      <c r="N11" t="s">
        <v>532</v>
      </c>
      <c r="P11">
        <v>1090</v>
      </c>
      <c r="Q11" t="s">
        <v>533</v>
      </c>
      <c r="U11">
        <v>1150</v>
      </c>
      <c r="V11" t="s">
        <v>534</v>
      </c>
      <c r="W11">
        <v>11</v>
      </c>
      <c r="X11" t="s">
        <v>30</v>
      </c>
      <c r="Y11">
        <v>31</v>
      </c>
      <c r="Z11" t="s">
        <v>535</v>
      </c>
      <c r="AB11">
        <v>310</v>
      </c>
      <c r="AC11" t="s">
        <v>536</v>
      </c>
    </row>
    <row r="12" spans="13:29">
      <c r="M12">
        <v>31</v>
      </c>
      <c r="N12" t="s">
        <v>537</v>
      </c>
      <c r="P12">
        <v>1100</v>
      </c>
      <c r="Q12" t="s">
        <v>538</v>
      </c>
      <c r="U12">
        <v>1160</v>
      </c>
      <c r="V12" t="s">
        <v>539</v>
      </c>
      <c r="W12">
        <v>99</v>
      </c>
      <c r="X12" t="s">
        <v>540</v>
      </c>
      <c r="Y12">
        <v>32</v>
      </c>
      <c r="Z12" t="s">
        <v>541</v>
      </c>
      <c r="AB12">
        <v>311</v>
      </c>
      <c r="AC12" t="s">
        <v>542</v>
      </c>
    </row>
    <row r="13" spans="13:29">
      <c r="M13">
        <v>32</v>
      </c>
      <c r="N13" t="s">
        <v>543</v>
      </c>
      <c r="P13">
        <v>1110</v>
      </c>
      <c r="Q13" t="s">
        <v>544</v>
      </c>
      <c r="U13">
        <v>2010</v>
      </c>
      <c r="V13" t="s">
        <v>545</v>
      </c>
      <c r="W13" t="s">
        <v>546</v>
      </c>
      <c r="Y13">
        <v>33</v>
      </c>
      <c r="Z13" t="s">
        <v>547</v>
      </c>
      <c r="AB13">
        <v>401</v>
      </c>
      <c r="AC13" t="s">
        <v>548</v>
      </c>
    </row>
    <row r="14" spans="16:29">
      <c r="P14">
        <v>2010</v>
      </c>
      <c r="Q14" t="s">
        <v>549</v>
      </c>
      <c r="U14">
        <v>3010</v>
      </c>
      <c r="V14" t="s">
        <v>550</v>
      </c>
      <c r="Y14">
        <v>41</v>
      </c>
      <c r="Z14" t="s">
        <v>551</v>
      </c>
      <c r="AB14">
        <v>402</v>
      </c>
      <c r="AC14" t="s">
        <v>552</v>
      </c>
    </row>
    <row r="15" spans="16:29">
      <c r="P15">
        <v>2020</v>
      </c>
      <c r="Q15" t="s">
        <v>553</v>
      </c>
      <c r="U15">
        <v>3020</v>
      </c>
      <c r="V15" t="s">
        <v>554</v>
      </c>
      <c r="Y15">
        <v>51</v>
      </c>
      <c r="Z15" t="s">
        <v>555</v>
      </c>
      <c r="AB15">
        <v>403</v>
      </c>
      <c r="AC15" t="s">
        <v>556</v>
      </c>
    </row>
    <row r="16" spans="16:29">
      <c r="P16">
        <v>2030</v>
      </c>
      <c r="Q16" t="s">
        <v>557</v>
      </c>
      <c r="U16">
        <v>3030</v>
      </c>
      <c r="V16" t="s">
        <v>558</v>
      </c>
      <c r="Y16">
        <v>52</v>
      </c>
      <c r="Z16" t="s">
        <v>559</v>
      </c>
      <c r="AB16">
        <v>404</v>
      </c>
      <c r="AC16" t="s">
        <v>560</v>
      </c>
    </row>
    <row r="17" spans="16:29">
      <c r="P17">
        <v>2040</v>
      </c>
      <c r="Q17" t="s">
        <v>561</v>
      </c>
      <c r="U17">
        <v>3040</v>
      </c>
      <c r="V17" t="s">
        <v>562</v>
      </c>
      <c r="AB17">
        <v>501</v>
      </c>
      <c r="AC17" t="s">
        <v>563</v>
      </c>
    </row>
    <row r="18" spans="16:29">
      <c r="P18">
        <v>2110</v>
      </c>
      <c r="Q18" t="s">
        <v>564</v>
      </c>
      <c r="U18">
        <v>3050</v>
      </c>
      <c r="V18" t="s">
        <v>565</v>
      </c>
      <c r="AB18">
        <v>502</v>
      </c>
      <c r="AC18" t="s">
        <v>566</v>
      </c>
    </row>
    <row r="19" spans="16:29">
      <c r="P19">
        <v>2120</v>
      </c>
      <c r="Q19" t="s">
        <v>567</v>
      </c>
      <c r="U19">
        <v>3060</v>
      </c>
      <c r="V19" t="s">
        <v>568</v>
      </c>
      <c r="AB19">
        <v>503</v>
      </c>
      <c r="AC19" t="s">
        <v>569</v>
      </c>
    </row>
    <row r="20" spans="16:29">
      <c r="P20">
        <v>2130</v>
      </c>
      <c r="Q20" t="s">
        <v>570</v>
      </c>
      <c r="U20">
        <v>4010</v>
      </c>
      <c r="V20" t="s">
        <v>571</v>
      </c>
      <c r="AB20">
        <v>504</v>
      </c>
      <c r="AC20" t="s">
        <v>572</v>
      </c>
    </row>
    <row r="21" spans="16:29">
      <c r="P21">
        <v>3010</v>
      </c>
      <c r="Q21" t="s">
        <v>573</v>
      </c>
      <c r="U21">
        <v>4020</v>
      </c>
      <c r="V21" t="s">
        <v>574</v>
      </c>
      <c r="AB21">
        <v>505</v>
      </c>
      <c r="AC21" t="s">
        <v>575</v>
      </c>
    </row>
    <row r="22" spans="16:29">
      <c r="P22">
        <v>3020</v>
      </c>
      <c r="Q22" t="s">
        <v>576</v>
      </c>
      <c r="U22">
        <v>5010</v>
      </c>
      <c r="V22" t="s">
        <v>577</v>
      </c>
      <c r="AB22">
        <v>506</v>
      </c>
      <c r="AC22" t="s">
        <v>578</v>
      </c>
    </row>
    <row r="23" spans="16:29">
      <c r="P23">
        <v>3030</v>
      </c>
      <c r="Q23" t="s">
        <v>579</v>
      </c>
      <c r="U23">
        <v>5020</v>
      </c>
      <c r="V23" t="s">
        <v>580</v>
      </c>
      <c r="AB23">
        <v>507</v>
      </c>
      <c r="AC23" t="s">
        <v>581</v>
      </c>
    </row>
    <row r="24" spans="16:29">
      <c r="P24">
        <v>3040</v>
      </c>
      <c r="Q24" t="s">
        <v>582</v>
      </c>
      <c r="U24">
        <v>5030</v>
      </c>
      <c r="V24" t="s">
        <v>583</v>
      </c>
      <c r="AB24">
        <v>508</v>
      </c>
      <c r="AC24" t="s">
        <v>548</v>
      </c>
    </row>
    <row r="25" spans="16:29">
      <c r="P25">
        <v>3050</v>
      </c>
      <c r="Q25" t="s">
        <v>584</v>
      </c>
      <c r="U25">
        <v>5040</v>
      </c>
      <c r="V25" t="s">
        <v>585</v>
      </c>
      <c r="AB25">
        <v>509</v>
      </c>
      <c r="AC25" t="s">
        <v>556</v>
      </c>
    </row>
    <row r="26" spans="16:22">
      <c r="P26">
        <v>3060</v>
      </c>
      <c r="Q26" t="s">
        <v>586</v>
      </c>
      <c r="U26">
        <v>5050</v>
      </c>
      <c r="V26" t="s">
        <v>587</v>
      </c>
    </row>
    <row r="27" spans="16:22">
      <c r="P27">
        <v>3070</v>
      </c>
      <c r="Q27" t="s">
        <v>588</v>
      </c>
      <c r="U27">
        <v>5060</v>
      </c>
      <c r="V27" t="s">
        <v>589</v>
      </c>
    </row>
    <row r="28" spans="16:22">
      <c r="P28">
        <v>4010</v>
      </c>
      <c r="Q28" t="s">
        <v>590</v>
      </c>
      <c r="U28">
        <v>5070</v>
      </c>
      <c r="V28" t="s">
        <v>591</v>
      </c>
    </row>
    <row r="29" spans="16:22">
      <c r="P29">
        <v>4020</v>
      </c>
      <c r="Q29" t="s">
        <v>592</v>
      </c>
      <c r="U29">
        <v>5080</v>
      </c>
      <c r="V29" t="s">
        <v>593</v>
      </c>
    </row>
    <row r="30" spans="16:22">
      <c r="P30">
        <v>4030</v>
      </c>
      <c r="Q30" t="s">
        <v>594</v>
      </c>
      <c r="U30">
        <v>5090</v>
      </c>
      <c r="V30" t="s">
        <v>595</v>
      </c>
    </row>
    <row r="31" spans="16:22">
      <c r="P31">
        <v>4040</v>
      </c>
      <c r="Q31" t="s">
        <v>596</v>
      </c>
      <c r="U31">
        <v>5100</v>
      </c>
      <c r="V31" t="s">
        <v>597</v>
      </c>
    </row>
    <row r="32" spans="16:22">
      <c r="P32">
        <v>5010</v>
      </c>
      <c r="Q32" t="s">
        <v>598</v>
      </c>
      <c r="U32">
        <v>5110</v>
      </c>
      <c r="V32" t="s">
        <v>599</v>
      </c>
    </row>
    <row r="33" spans="16:22">
      <c r="P33">
        <v>5011</v>
      </c>
      <c r="Q33" t="s">
        <v>600</v>
      </c>
      <c r="U33">
        <v>5120</v>
      </c>
      <c r="V33" t="s">
        <v>601</v>
      </c>
    </row>
    <row r="34" spans="16:22">
      <c r="P34">
        <v>5012</v>
      </c>
      <c r="Q34" t="s">
        <v>602</v>
      </c>
      <c r="U34">
        <v>5130</v>
      </c>
      <c r="V34" t="s">
        <v>603</v>
      </c>
    </row>
    <row r="35" spans="16:22">
      <c r="P35">
        <v>5020</v>
      </c>
      <c r="Q35" t="s">
        <v>604</v>
      </c>
      <c r="U35">
        <v>5140</v>
      </c>
      <c r="V35" t="s">
        <v>605</v>
      </c>
    </row>
    <row r="36" spans="16:22">
      <c r="P36">
        <v>5030</v>
      </c>
      <c r="Q36" t="s">
        <v>606</v>
      </c>
      <c r="U36">
        <v>5150</v>
      </c>
      <c r="V36" t="s">
        <v>607</v>
      </c>
    </row>
    <row r="37" spans="16:22">
      <c r="P37">
        <v>5040</v>
      </c>
      <c r="Q37" t="s">
        <v>608</v>
      </c>
      <c r="U37">
        <v>6010</v>
      </c>
      <c r="V37" t="s">
        <v>609</v>
      </c>
    </row>
    <row r="38" spans="16:22">
      <c r="P38">
        <v>5050</v>
      </c>
      <c r="Q38" t="s">
        <v>610</v>
      </c>
      <c r="U38">
        <v>6020</v>
      </c>
      <c r="V38" t="s">
        <v>611</v>
      </c>
    </row>
    <row r="39" spans="16:22">
      <c r="P39">
        <v>6010</v>
      </c>
      <c r="Q39" t="s">
        <v>612</v>
      </c>
      <c r="U39">
        <v>6030</v>
      </c>
      <c r="V39" t="s">
        <v>613</v>
      </c>
    </row>
    <row r="40" spans="16:22">
      <c r="P40">
        <v>6020</v>
      </c>
      <c r="Q40" t="s">
        <v>614</v>
      </c>
      <c r="U40">
        <v>6040</v>
      </c>
      <c r="V40" t="s">
        <v>615</v>
      </c>
    </row>
    <row r="41" spans="16:22">
      <c r="P41">
        <v>6030</v>
      </c>
      <c r="Q41" t="s">
        <v>616</v>
      </c>
      <c r="U41">
        <v>6050</v>
      </c>
      <c r="V41" t="s">
        <v>617</v>
      </c>
    </row>
    <row r="42" spans="16:22">
      <c r="P42">
        <v>6040</v>
      </c>
      <c r="Q42" t="s">
        <v>618</v>
      </c>
      <c r="U42">
        <v>6060</v>
      </c>
      <c r="V42" t="s">
        <v>619</v>
      </c>
    </row>
    <row r="43" spans="16:22">
      <c r="P43">
        <v>6050</v>
      </c>
      <c r="Q43" t="s">
        <v>620</v>
      </c>
      <c r="U43">
        <v>6110</v>
      </c>
      <c r="V43" t="s">
        <v>621</v>
      </c>
    </row>
    <row r="44" spans="16:22">
      <c r="P44">
        <v>6060</v>
      </c>
      <c r="Q44" t="s">
        <v>622</v>
      </c>
      <c r="U44">
        <v>6120</v>
      </c>
      <c r="V44" t="s">
        <v>623</v>
      </c>
    </row>
    <row r="45" spans="16:22">
      <c r="P45">
        <v>6070</v>
      </c>
      <c r="Q45" t="s">
        <v>624</v>
      </c>
      <c r="U45">
        <v>6130</v>
      </c>
      <c r="V45" t="s">
        <v>625</v>
      </c>
    </row>
    <row r="46" spans="16:22">
      <c r="P46">
        <v>6080</v>
      </c>
      <c r="Q46" t="s">
        <v>626</v>
      </c>
      <c r="U46">
        <v>6140</v>
      </c>
      <c r="V46" t="s">
        <v>627</v>
      </c>
    </row>
    <row r="47" spans="16:22">
      <c r="P47">
        <v>6100</v>
      </c>
      <c r="Q47" t="s">
        <v>628</v>
      </c>
      <c r="U47">
        <v>6150</v>
      </c>
      <c r="V47" t="s">
        <v>629</v>
      </c>
    </row>
    <row r="48" spans="16:22">
      <c r="P48">
        <v>6210</v>
      </c>
      <c r="Q48" t="s">
        <v>630</v>
      </c>
      <c r="U48">
        <v>6210</v>
      </c>
      <c r="V48" t="s">
        <v>631</v>
      </c>
    </row>
    <row r="49" spans="16:22">
      <c r="P49">
        <v>6310</v>
      </c>
      <c r="Q49" t="s">
        <v>632</v>
      </c>
      <c r="U49">
        <v>6220</v>
      </c>
      <c r="V49" t="s">
        <v>633</v>
      </c>
    </row>
    <row r="50" spans="16:22">
      <c r="P50">
        <v>7010</v>
      </c>
      <c r="Q50" t="s">
        <v>634</v>
      </c>
      <c r="U50">
        <v>6230</v>
      </c>
      <c r="V50" t="s">
        <v>635</v>
      </c>
    </row>
    <row r="51" spans="16:22">
      <c r="P51">
        <v>7020</v>
      </c>
      <c r="Q51" t="s">
        <v>636</v>
      </c>
      <c r="U51">
        <v>6240</v>
      </c>
      <c r="V51" t="s">
        <v>637</v>
      </c>
    </row>
    <row r="52" spans="16:22">
      <c r="P52">
        <v>7030</v>
      </c>
      <c r="Q52" t="s">
        <v>638</v>
      </c>
      <c r="U52">
        <v>6250</v>
      </c>
      <c r="V52" t="s">
        <v>639</v>
      </c>
    </row>
    <row r="53" spans="16:22">
      <c r="P53">
        <v>8010</v>
      </c>
      <c r="Q53" t="s">
        <v>640</v>
      </c>
      <c r="U53">
        <v>6310</v>
      </c>
      <c r="V53" t="s">
        <v>641</v>
      </c>
    </row>
    <row r="54" spans="16:22">
      <c r="P54">
        <v>8020</v>
      </c>
      <c r="Q54" t="s">
        <v>642</v>
      </c>
      <c r="U54">
        <v>6320</v>
      </c>
      <c r="V54" t="s">
        <v>643</v>
      </c>
    </row>
    <row r="55" spans="16:22">
      <c r="P55">
        <v>9010</v>
      </c>
      <c r="Q55" t="s">
        <v>644</v>
      </c>
      <c r="U55">
        <v>6330</v>
      </c>
      <c r="V55" t="s">
        <v>645</v>
      </c>
    </row>
    <row r="56" spans="16:22">
      <c r="P56">
        <v>10010</v>
      </c>
      <c r="Q56" t="s">
        <v>646</v>
      </c>
      <c r="U56">
        <v>6340</v>
      </c>
      <c r="V56" t="s">
        <v>647</v>
      </c>
    </row>
    <row r="57" spans="16:22">
      <c r="P57">
        <v>11010</v>
      </c>
      <c r="Q57" t="s">
        <v>648</v>
      </c>
      <c r="U57">
        <v>6350</v>
      </c>
      <c r="V57" t="s">
        <v>649</v>
      </c>
    </row>
    <row r="58" spans="16:22">
      <c r="P58">
        <v>12010</v>
      </c>
      <c r="Q58" t="s">
        <v>650</v>
      </c>
      <c r="U58">
        <v>7010</v>
      </c>
      <c r="V58" t="s">
        <v>651</v>
      </c>
    </row>
    <row r="59" spans="16:22">
      <c r="P59">
        <v>13010</v>
      </c>
      <c r="Q59" t="s">
        <v>652</v>
      </c>
      <c r="U59">
        <v>7020</v>
      </c>
      <c r="V59" t="s">
        <v>653</v>
      </c>
    </row>
    <row r="60" spans="21:22">
      <c r="U60">
        <v>7030</v>
      </c>
      <c r="V60" t="s">
        <v>654</v>
      </c>
    </row>
    <row r="61" spans="21:22">
      <c r="U61">
        <v>7040</v>
      </c>
      <c r="V61" t="s">
        <v>655</v>
      </c>
    </row>
    <row r="62" spans="21:22">
      <c r="U62">
        <v>7050</v>
      </c>
      <c r="V62" t="s">
        <v>656</v>
      </c>
    </row>
    <row r="63" spans="21:22">
      <c r="U63">
        <v>7060</v>
      </c>
      <c r="V63" t="s">
        <v>657</v>
      </c>
    </row>
    <row r="64" spans="21:22">
      <c r="U64">
        <v>7070</v>
      </c>
      <c r="V64" t="s">
        <v>658</v>
      </c>
    </row>
    <row r="65" spans="21:22">
      <c r="U65">
        <v>8010</v>
      </c>
      <c r="V65" t="s">
        <v>659</v>
      </c>
    </row>
    <row r="66" spans="21:22">
      <c r="U66">
        <v>8020</v>
      </c>
      <c r="V66" t="s">
        <v>660</v>
      </c>
    </row>
    <row r="67" spans="21:22">
      <c r="U67">
        <v>8030</v>
      </c>
      <c r="V67" t="s">
        <v>661</v>
      </c>
    </row>
    <row r="68" spans="21:22">
      <c r="U68">
        <v>8040</v>
      </c>
      <c r="V68" t="s">
        <v>662</v>
      </c>
    </row>
    <row r="69" spans="21:22">
      <c r="U69">
        <v>8050</v>
      </c>
      <c r="V69" t="s">
        <v>663</v>
      </c>
    </row>
    <row r="70" spans="21:22">
      <c r="U70">
        <v>8060</v>
      </c>
      <c r="V70" t="s">
        <v>664</v>
      </c>
    </row>
    <row r="71" spans="21:22">
      <c r="U71">
        <v>9010</v>
      </c>
      <c r="V71" t="s">
        <v>665</v>
      </c>
    </row>
    <row r="72" spans="21:22">
      <c r="U72">
        <v>9020</v>
      </c>
      <c r="V72" t="s">
        <v>666</v>
      </c>
    </row>
    <row r="73" spans="21:22">
      <c r="U73">
        <v>9030</v>
      </c>
      <c r="V73" t="s">
        <v>667</v>
      </c>
    </row>
    <row r="74" spans="21:22">
      <c r="U74">
        <v>9031</v>
      </c>
      <c r="V74" t="s">
        <v>668</v>
      </c>
    </row>
    <row r="75" spans="21:22">
      <c r="U75">
        <v>9040</v>
      </c>
      <c r="V75" t="s">
        <v>669</v>
      </c>
    </row>
    <row r="76" spans="21:22">
      <c r="U76">
        <v>9110</v>
      </c>
      <c r="V76" t="s">
        <v>670</v>
      </c>
    </row>
    <row r="77" spans="21:22">
      <c r="U77">
        <v>9120</v>
      </c>
      <c r="V77" t="s">
        <v>671</v>
      </c>
    </row>
    <row r="78" spans="21:22">
      <c r="U78">
        <v>10010</v>
      </c>
      <c r="V78" t="s">
        <v>672</v>
      </c>
    </row>
    <row r="79" spans="21:22">
      <c r="U79">
        <v>10020</v>
      </c>
      <c r="V79" t="s">
        <v>673</v>
      </c>
    </row>
    <row r="80" spans="21:22">
      <c r="U80">
        <v>10110</v>
      </c>
      <c r="V80" t="s">
        <v>674</v>
      </c>
    </row>
    <row r="81" spans="21:22">
      <c r="U81">
        <v>11010</v>
      </c>
      <c r="V81" t="s">
        <v>675</v>
      </c>
    </row>
    <row r="82" spans="21:22">
      <c r="U82">
        <v>11020</v>
      </c>
      <c r="V82" t="s">
        <v>676</v>
      </c>
    </row>
    <row r="83" spans="21:22">
      <c r="U83">
        <v>12030</v>
      </c>
      <c r="V83" t="s">
        <v>677</v>
      </c>
    </row>
    <row r="84" spans="21:22">
      <c r="U84">
        <v>12040</v>
      </c>
      <c r="V84" t="s">
        <v>678</v>
      </c>
    </row>
    <row r="85" spans="21:22">
      <c r="U85">
        <v>12041</v>
      </c>
      <c r="V85" t="s">
        <v>679</v>
      </c>
    </row>
    <row r="86" spans="21:22">
      <c r="U86">
        <v>12042</v>
      </c>
      <c r="V86" t="s">
        <v>680</v>
      </c>
    </row>
    <row r="87" spans="21:22">
      <c r="U87">
        <v>12043</v>
      </c>
      <c r="V87" t="s">
        <v>681</v>
      </c>
    </row>
    <row r="88" spans="21:22">
      <c r="U88">
        <v>12050</v>
      </c>
      <c r="V88" t="s">
        <v>682</v>
      </c>
    </row>
    <row r="89" spans="21:22">
      <c r="U89">
        <v>12060</v>
      </c>
      <c r="V89" t="s">
        <v>683</v>
      </c>
    </row>
    <row r="90" spans="21:22">
      <c r="U90">
        <v>12063</v>
      </c>
      <c r="V90" t="s">
        <v>684</v>
      </c>
    </row>
    <row r="91" spans="21:22">
      <c r="U91">
        <v>12064</v>
      </c>
      <c r="V91" t="s">
        <v>685</v>
      </c>
    </row>
    <row r="92" spans="21:22">
      <c r="U92">
        <v>12066</v>
      </c>
      <c r="V92" t="s">
        <v>686</v>
      </c>
    </row>
    <row r="93" spans="21:22">
      <c r="U93">
        <v>12070</v>
      </c>
      <c r="V93" t="s">
        <v>687</v>
      </c>
    </row>
    <row r="94" spans="21:22">
      <c r="U94">
        <v>12071</v>
      </c>
      <c r="V94" t="s">
        <v>688</v>
      </c>
    </row>
    <row r="95" spans="21:22">
      <c r="U95">
        <v>12082</v>
      </c>
      <c r="V95" t="s">
        <v>689</v>
      </c>
    </row>
    <row r="96" spans="21:22">
      <c r="U96">
        <v>12092</v>
      </c>
      <c r="V96" t="s">
        <v>690</v>
      </c>
    </row>
    <row r="97" spans="21:22">
      <c r="U97">
        <v>13010</v>
      </c>
      <c r="V97" t="s">
        <v>691</v>
      </c>
    </row>
    <row r="98" spans="21:22">
      <c r="U98">
        <v>13020</v>
      </c>
      <c r="V98" t="s">
        <v>692</v>
      </c>
    </row>
    <row r="99" spans="21:22">
      <c r="U99">
        <v>14010</v>
      </c>
      <c r="V99" t="s">
        <v>693</v>
      </c>
    </row>
    <row r="100" spans="21:22">
      <c r="U100">
        <v>14110</v>
      </c>
      <c r="V100" t="s">
        <v>694</v>
      </c>
    </row>
    <row r="101" spans="21:22">
      <c r="U101">
        <v>14210</v>
      </c>
      <c r="V101" t="s">
        <v>695</v>
      </c>
    </row>
    <row r="102" spans="21:22">
      <c r="U102">
        <v>14310</v>
      </c>
      <c r="V102" t="s">
        <v>696</v>
      </c>
    </row>
    <row r="103" spans="21:22">
      <c r="U103">
        <v>14410</v>
      </c>
      <c r="V103" t="s">
        <v>697</v>
      </c>
    </row>
    <row r="104" spans="21:22">
      <c r="U104">
        <v>15010</v>
      </c>
      <c r="V104" t="s">
        <v>698</v>
      </c>
    </row>
    <row r="105" spans="21:22">
      <c r="U105">
        <v>15011</v>
      </c>
      <c r="V105" t="s">
        <v>699</v>
      </c>
    </row>
    <row r="106" spans="21:22">
      <c r="U106">
        <v>15022</v>
      </c>
      <c r="V106" t="s">
        <v>700</v>
      </c>
    </row>
    <row r="107" spans="21:22">
      <c r="U107">
        <v>16010</v>
      </c>
      <c r="V107" t="s">
        <v>701</v>
      </c>
    </row>
    <row r="108" spans="21:22">
      <c r="U108">
        <v>17010</v>
      </c>
      <c r="V108" t="s">
        <v>702</v>
      </c>
    </row>
    <row r="109" spans="21:22">
      <c r="U109">
        <v>17020</v>
      </c>
      <c r="V109" t="s">
        <v>703</v>
      </c>
    </row>
    <row r="110" spans="21:22">
      <c r="U110">
        <v>17030</v>
      </c>
      <c r="V110" t="s">
        <v>704</v>
      </c>
    </row>
    <row r="111" spans="21:22">
      <c r="U111">
        <v>17040</v>
      </c>
      <c r="V111" t="s">
        <v>705</v>
      </c>
    </row>
    <row r="112" spans="21:22">
      <c r="U112">
        <v>17050</v>
      </c>
      <c r="V112" t="s">
        <v>706</v>
      </c>
    </row>
    <row r="113" spans="21:22">
      <c r="U113">
        <v>17060</v>
      </c>
      <c r="V113" t="s">
        <v>707</v>
      </c>
    </row>
    <row r="114" spans="21:22">
      <c r="U114">
        <v>18010</v>
      </c>
      <c r="V114" t="s">
        <v>708</v>
      </c>
    </row>
    <row r="115" spans="21:22">
      <c r="U115">
        <v>18020</v>
      </c>
      <c r="V115" t="s">
        <v>709</v>
      </c>
    </row>
    <row r="116" spans="21:22">
      <c r="U116">
        <v>19010</v>
      </c>
      <c r="V116" t="s">
        <v>710</v>
      </c>
    </row>
    <row r="117" spans="21:22">
      <c r="U117">
        <v>19020</v>
      </c>
      <c r="V117" t="s">
        <v>711</v>
      </c>
    </row>
    <row r="118" spans="21:22">
      <c r="U118">
        <v>19030</v>
      </c>
      <c r="V118" t="s">
        <v>712</v>
      </c>
    </row>
    <row r="119" spans="21:22">
      <c r="U119">
        <v>20030</v>
      </c>
      <c r="V119" t="s">
        <v>713</v>
      </c>
    </row>
    <row r="120" spans="21:22">
      <c r="U120">
        <v>20040</v>
      </c>
      <c r="V120" t="s">
        <v>714</v>
      </c>
    </row>
    <row r="121" spans="21:22">
      <c r="U121">
        <v>20050</v>
      </c>
      <c r="V121" t="s">
        <v>715</v>
      </c>
    </row>
    <row r="122" spans="21:22">
      <c r="U122">
        <v>20070</v>
      </c>
      <c r="V122" t="s">
        <v>716</v>
      </c>
    </row>
    <row r="123" spans="21:22">
      <c r="U123">
        <v>20071</v>
      </c>
      <c r="V123" t="s">
        <v>717</v>
      </c>
    </row>
    <row r="124" spans="21:22">
      <c r="U124">
        <v>20110</v>
      </c>
      <c r="V124" t="s">
        <v>718</v>
      </c>
    </row>
    <row r="125" spans="21:22">
      <c r="U125">
        <v>20120</v>
      </c>
      <c r="V125" t="s">
        <v>719</v>
      </c>
    </row>
    <row r="126" spans="21:22">
      <c r="U126">
        <v>20130</v>
      </c>
      <c r="V126" t="s">
        <v>720</v>
      </c>
    </row>
    <row r="127" spans="21:22">
      <c r="U127">
        <v>20140</v>
      </c>
      <c r="V127" t="s">
        <v>721</v>
      </c>
    </row>
    <row r="128" spans="21:22">
      <c r="U128">
        <v>20150</v>
      </c>
      <c r="V128" t="s">
        <v>722</v>
      </c>
    </row>
    <row r="129" spans="21:22">
      <c r="U129">
        <v>20160</v>
      </c>
      <c r="V129" t="s">
        <v>723</v>
      </c>
    </row>
    <row r="130" spans="21:22">
      <c r="U130">
        <v>23010</v>
      </c>
      <c r="V130" t="s">
        <v>724</v>
      </c>
    </row>
    <row r="131" spans="21:22">
      <c r="U131">
        <v>30010</v>
      </c>
      <c r="V131" t="s">
        <v>725</v>
      </c>
    </row>
    <row r="132" spans="21:22">
      <c r="U132">
        <v>30020</v>
      </c>
      <c r="V132" t="s">
        <v>726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2025-04-29T14:19:47Z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