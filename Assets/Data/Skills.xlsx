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27DE017C-3F39-4C84-95F5-2A8A7BA36B65}" xr6:coauthVersionLast="47" xr6:coauthVersionMax="47" xr10:uidLastSave="{00000000-0000-0000-0000-000000000000}"/>
  <bookViews>
    <workbookView xWindow="-110" yWindow="490" windowWidth="19420" windowHeight="11620" activeTab="2" xr2:uid="{00000000-000D-0000-FFFF-FFFF00000000}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9" i="4" l="1"/>
  <c r="B119" i="4"/>
  <c r="D118" i="4"/>
  <c r="B118" i="4"/>
  <c r="D117" i="4"/>
  <c r="B117" i="4"/>
  <c r="D116" i="4"/>
  <c r="B116" i="4"/>
  <c r="D115" i="4"/>
  <c r="B115" i="4"/>
  <c r="D114" i="4"/>
  <c r="B114" i="4"/>
  <c r="D113" i="4"/>
  <c r="B113" i="4"/>
  <c r="D112" i="4"/>
  <c r="B112" i="4"/>
  <c r="D111" i="4"/>
  <c r="B111" i="4"/>
  <c r="D110" i="4"/>
  <c r="B110" i="4"/>
  <c r="D109" i="4"/>
  <c r="B109" i="4"/>
  <c r="D108" i="4"/>
  <c r="B108" i="4"/>
  <c r="D107" i="4"/>
  <c r="B107" i="4"/>
  <c r="D106" i="4"/>
  <c r="B106" i="4"/>
  <c r="D105" i="4"/>
  <c r="B105" i="4"/>
  <c r="D104" i="4"/>
  <c r="B104" i="4"/>
  <c r="D103" i="4"/>
  <c r="B103" i="4"/>
  <c r="D102" i="4"/>
  <c r="B102" i="4"/>
  <c r="D101" i="4"/>
  <c r="B101" i="4"/>
  <c r="D100" i="4"/>
  <c r="B100" i="4"/>
  <c r="D99" i="4"/>
  <c r="B99" i="4"/>
  <c r="D98" i="4"/>
  <c r="B98" i="4"/>
  <c r="D97" i="4"/>
  <c r="B97" i="4"/>
  <c r="D96" i="4"/>
  <c r="B96" i="4"/>
  <c r="D95" i="4"/>
  <c r="B95" i="4"/>
  <c r="D94" i="4"/>
  <c r="B94" i="4"/>
  <c r="D93" i="4"/>
  <c r="B93" i="4"/>
  <c r="D92" i="4"/>
  <c r="B92" i="4"/>
  <c r="D91" i="4"/>
  <c r="B91" i="4"/>
  <c r="D90" i="4"/>
  <c r="B90" i="4"/>
  <c r="D89" i="4"/>
  <c r="B89" i="4"/>
  <c r="D88" i="4"/>
  <c r="B88" i="4"/>
  <c r="D87" i="4"/>
  <c r="B87" i="4"/>
  <c r="D86" i="4"/>
  <c r="B86" i="4"/>
  <c r="D85" i="4"/>
  <c r="B85" i="4"/>
  <c r="D84" i="4"/>
  <c r="B84" i="4"/>
  <c r="D83" i="4"/>
  <c r="B83" i="4"/>
  <c r="D82" i="4"/>
  <c r="B82" i="4"/>
  <c r="D81" i="4"/>
  <c r="B81" i="4"/>
  <c r="D80" i="4"/>
  <c r="B80" i="4"/>
  <c r="D79" i="4"/>
  <c r="B79" i="4"/>
  <c r="D78" i="4"/>
  <c r="B78" i="4"/>
  <c r="D77" i="4"/>
  <c r="B77" i="4"/>
  <c r="D76" i="4"/>
  <c r="B76" i="4"/>
  <c r="D75" i="4"/>
  <c r="B75" i="4"/>
  <c r="D74" i="4"/>
  <c r="B74" i="4"/>
  <c r="D73" i="4"/>
  <c r="B73" i="4"/>
  <c r="D72" i="4"/>
  <c r="B72" i="4"/>
  <c r="D71" i="4"/>
  <c r="B71" i="4"/>
  <c r="D70" i="4"/>
  <c r="B70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D49" i="4"/>
  <c r="B49" i="4"/>
  <c r="D48" i="4"/>
  <c r="B48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D40" i="4"/>
  <c r="B40" i="4"/>
  <c r="D39" i="4"/>
  <c r="B39" i="4"/>
  <c r="D38" i="4"/>
  <c r="B38" i="4"/>
  <c r="D37" i="4"/>
  <c r="B37" i="4"/>
  <c r="D36" i="4"/>
  <c r="B36" i="4"/>
  <c r="D35" i="4"/>
  <c r="B35" i="4"/>
  <c r="D34" i="4"/>
  <c r="B34" i="4"/>
  <c r="D33" i="4"/>
  <c r="B33" i="4"/>
  <c r="D32" i="4"/>
  <c r="B32" i="4"/>
  <c r="D31" i="4"/>
  <c r="B31" i="4"/>
  <c r="D30" i="4"/>
  <c r="B30" i="4"/>
  <c r="D29" i="4"/>
  <c r="B29" i="4"/>
  <c r="D28" i="4"/>
  <c r="B28" i="4"/>
  <c r="D27" i="4"/>
  <c r="B27" i="4"/>
  <c r="D26" i="4"/>
  <c r="B26" i="4"/>
  <c r="D25" i="4"/>
  <c r="B25" i="4"/>
  <c r="D24" i="4"/>
  <c r="B24" i="4"/>
  <c r="D23" i="4"/>
  <c r="B23" i="4"/>
  <c r="D22" i="4"/>
  <c r="B22" i="4"/>
  <c r="D21" i="4"/>
  <c r="B21" i="4"/>
  <c r="D20" i="4"/>
  <c r="B20" i="4"/>
  <c r="D19" i="4"/>
  <c r="B19" i="4"/>
  <c r="D18" i="4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D316" i="3"/>
  <c r="B316" i="3"/>
  <c r="D315" i="3"/>
  <c r="B315" i="3"/>
  <c r="D314" i="3"/>
  <c r="B314" i="3"/>
  <c r="D313" i="3"/>
  <c r="B313" i="3"/>
  <c r="D312" i="3"/>
  <c r="B312" i="3"/>
  <c r="D311" i="3"/>
  <c r="B311" i="3"/>
  <c r="D310" i="3"/>
  <c r="B310" i="3"/>
  <c r="D309" i="3"/>
  <c r="B309" i="3"/>
  <c r="D308" i="3"/>
  <c r="B308" i="3"/>
  <c r="D307" i="3"/>
  <c r="B307" i="3"/>
  <c r="D306" i="3"/>
  <c r="B306" i="3"/>
  <c r="D305" i="3"/>
  <c r="B305" i="3"/>
  <c r="D304" i="3"/>
  <c r="B304" i="3"/>
  <c r="D303" i="3"/>
  <c r="B303" i="3"/>
  <c r="D302" i="3"/>
  <c r="B302" i="3"/>
  <c r="D301" i="3"/>
  <c r="B301" i="3"/>
  <c r="D300" i="3"/>
  <c r="B300" i="3"/>
  <c r="D299" i="3"/>
  <c r="B299" i="3"/>
  <c r="D298" i="3"/>
  <c r="B298" i="3"/>
  <c r="D297" i="3"/>
  <c r="B297" i="3"/>
  <c r="D296" i="3"/>
  <c r="B296" i="3"/>
  <c r="D295" i="3"/>
  <c r="B295" i="3"/>
  <c r="D294" i="3"/>
  <c r="B294" i="3"/>
  <c r="D293" i="3"/>
  <c r="B293" i="3"/>
  <c r="D292" i="3"/>
  <c r="B292" i="3"/>
  <c r="D291" i="3"/>
  <c r="B291" i="3"/>
  <c r="D290" i="3"/>
  <c r="B290" i="3"/>
  <c r="D289" i="3"/>
  <c r="B289" i="3"/>
  <c r="D288" i="3"/>
  <c r="B288" i="3"/>
  <c r="D287" i="3"/>
  <c r="B287" i="3"/>
  <c r="D286" i="3"/>
  <c r="B286" i="3"/>
  <c r="D285" i="3"/>
  <c r="B285" i="3"/>
  <c r="D284" i="3"/>
  <c r="B284" i="3"/>
  <c r="D283" i="3"/>
  <c r="B283" i="3"/>
  <c r="D282" i="3"/>
  <c r="B282" i="3"/>
  <c r="D281" i="3"/>
  <c r="B281" i="3"/>
  <c r="D280" i="3"/>
  <c r="B280" i="3"/>
  <c r="D279" i="3"/>
  <c r="B279" i="3"/>
  <c r="D278" i="3"/>
  <c r="B278" i="3"/>
  <c r="D277" i="3"/>
  <c r="B277" i="3"/>
  <c r="D276" i="3"/>
  <c r="B276" i="3"/>
  <c r="D275" i="3"/>
  <c r="B275" i="3"/>
  <c r="D274" i="3"/>
  <c r="B274" i="3"/>
  <c r="D273" i="3"/>
  <c r="B273" i="3"/>
  <c r="D272" i="3"/>
  <c r="B272" i="3"/>
  <c r="D271" i="3"/>
  <c r="B271" i="3"/>
  <c r="D270" i="3"/>
  <c r="B270" i="3"/>
  <c r="D269" i="3"/>
  <c r="B269" i="3"/>
  <c r="D268" i="3"/>
  <c r="B268" i="3"/>
  <c r="D267" i="3"/>
  <c r="B267" i="3"/>
  <c r="D266" i="3"/>
  <c r="B266" i="3"/>
  <c r="D265" i="3"/>
  <c r="B265" i="3"/>
  <c r="D264" i="3"/>
  <c r="B264" i="3"/>
  <c r="D263" i="3"/>
  <c r="B263" i="3"/>
  <c r="D262" i="3"/>
  <c r="B262" i="3"/>
  <c r="D261" i="3"/>
  <c r="B261" i="3"/>
  <c r="D260" i="3"/>
  <c r="B260" i="3"/>
  <c r="D259" i="3"/>
  <c r="B259" i="3"/>
  <c r="D258" i="3"/>
  <c r="B258" i="3"/>
  <c r="D257" i="3"/>
  <c r="B257" i="3"/>
  <c r="D256" i="3"/>
  <c r="B256" i="3"/>
  <c r="D255" i="3"/>
  <c r="B255" i="3"/>
  <c r="D254" i="3"/>
  <c r="B254" i="3"/>
  <c r="D253" i="3"/>
  <c r="B253" i="3"/>
  <c r="D252" i="3"/>
  <c r="B252" i="3"/>
  <c r="D251" i="3"/>
  <c r="B251" i="3"/>
  <c r="D250" i="3"/>
  <c r="B250" i="3"/>
  <c r="D249" i="3"/>
  <c r="B249" i="3"/>
  <c r="D248" i="3"/>
  <c r="B248" i="3"/>
  <c r="D247" i="3"/>
  <c r="B247" i="3"/>
  <c r="D246" i="3"/>
  <c r="B246" i="3"/>
  <c r="D245" i="3"/>
  <c r="B245" i="3"/>
  <c r="D244" i="3"/>
  <c r="B244" i="3"/>
  <c r="D243" i="3"/>
  <c r="B243" i="3"/>
  <c r="D242" i="3"/>
  <c r="B242" i="3"/>
  <c r="D241" i="3"/>
  <c r="B241" i="3"/>
  <c r="D240" i="3"/>
  <c r="B240" i="3"/>
  <c r="D239" i="3"/>
  <c r="B239" i="3"/>
  <c r="D238" i="3"/>
  <c r="B238" i="3"/>
  <c r="D237" i="3"/>
  <c r="B237" i="3"/>
  <c r="D236" i="3"/>
  <c r="B236" i="3"/>
  <c r="D235" i="3"/>
  <c r="B235" i="3"/>
  <c r="D234" i="3"/>
  <c r="B234" i="3"/>
  <c r="D233" i="3"/>
  <c r="B233" i="3"/>
  <c r="D232" i="3"/>
  <c r="B232" i="3"/>
  <c r="D231" i="3"/>
  <c r="B231" i="3"/>
  <c r="D230" i="3"/>
  <c r="B230" i="3"/>
  <c r="I229" i="3"/>
  <c r="D229" i="3"/>
  <c r="B229" i="3"/>
  <c r="D228" i="3"/>
  <c r="B228" i="3"/>
  <c r="I227" i="3"/>
  <c r="D227" i="3"/>
  <c r="B227" i="3"/>
  <c r="D226" i="3"/>
  <c r="B226" i="3"/>
  <c r="D225" i="3"/>
  <c r="B225" i="3"/>
  <c r="I224" i="3"/>
  <c r="D224" i="3"/>
  <c r="B224" i="3"/>
  <c r="I223" i="3"/>
  <c r="D223" i="3"/>
  <c r="B223" i="3"/>
  <c r="I222" i="3"/>
  <c r="D222" i="3"/>
  <c r="B222" i="3"/>
  <c r="I221" i="3"/>
  <c r="D221" i="3"/>
  <c r="B221" i="3"/>
  <c r="I220" i="3"/>
  <c r="D220" i="3"/>
  <c r="B220" i="3"/>
  <c r="D219" i="3"/>
  <c r="B219" i="3"/>
  <c r="I218" i="3"/>
  <c r="D218" i="3"/>
  <c r="B218" i="3"/>
  <c r="I217" i="3"/>
  <c r="D217" i="3"/>
  <c r="B217" i="3"/>
  <c r="D216" i="3"/>
  <c r="B216" i="3"/>
  <c r="I215" i="3"/>
  <c r="D215" i="3"/>
  <c r="B215" i="3"/>
  <c r="I214" i="3"/>
  <c r="D214" i="3"/>
  <c r="B214" i="3"/>
  <c r="I213" i="3"/>
  <c r="D213" i="3"/>
  <c r="B213" i="3"/>
  <c r="I212" i="3"/>
  <c r="D212" i="3"/>
  <c r="B212" i="3"/>
  <c r="I211" i="3"/>
  <c r="D211" i="3"/>
  <c r="B211" i="3"/>
  <c r="D210" i="3"/>
  <c r="B210" i="3"/>
  <c r="I209" i="3"/>
  <c r="D209" i="3"/>
  <c r="B209" i="3"/>
  <c r="I208" i="3"/>
  <c r="D208" i="3"/>
  <c r="B208" i="3"/>
  <c r="D207" i="3"/>
  <c r="B207" i="3"/>
  <c r="D206" i="3"/>
  <c r="B206" i="3"/>
  <c r="D205" i="3"/>
  <c r="B205" i="3"/>
  <c r="D204" i="3"/>
  <c r="B204" i="3"/>
  <c r="I203" i="3"/>
  <c r="D203" i="3"/>
  <c r="B203" i="3"/>
  <c r="I202" i="3"/>
  <c r="D202" i="3"/>
  <c r="B202" i="3"/>
  <c r="D201" i="3"/>
  <c r="B201" i="3"/>
  <c r="D200" i="3"/>
  <c r="B200" i="3"/>
  <c r="I199" i="3"/>
  <c r="D199" i="3"/>
  <c r="B199" i="3"/>
  <c r="D198" i="3"/>
  <c r="B198" i="3"/>
  <c r="I197" i="3"/>
  <c r="D197" i="3"/>
  <c r="B197" i="3"/>
  <c r="D196" i="3"/>
  <c r="B196" i="3"/>
  <c r="D195" i="3"/>
  <c r="B195" i="3"/>
  <c r="D194" i="3"/>
  <c r="B194" i="3"/>
  <c r="D193" i="3"/>
  <c r="B193" i="3"/>
  <c r="I192" i="3"/>
  <c r="D192" i="3"/>
  <c r="B192" i="3"/>
  <c r="D191" i="3"/>
  <c r="B191" i="3"/>
  <c r="D190" i="3"/>
  <c r="B190" i="3"/>
  <c r="I189" i="3"/>
  <c r="D189" i="3"/>
  <c r="B189" i="3"/>
  <c r="I188" i="3"/>
  <c r="D188" i="3"/>
  <c r="B188" i="3"/>
  <c r="D187" i="3"/>
  <c r="B187" i="3"/>
  <c r="I186" i="3"/>
  <c r="D186" i="3"/>
  <c r="B186" i="3"/>
  <c r="D185" i="3"/>
  <c r="B185" i="3"/>
  <c r="I184" i="3"/>
  <c r="D184" i="3"/>
  <c r="B184" i="3"/>
  <c r="I183" i="3"/>
  <c r="D183" i="3"/>
  <c r="B183" i="3"/>
  <c r="D182" i="3"/>
  <c r="B182" i="3"/>
  <c r="D181" i="3"/>
  <c r="B181" i="3"/>
  <c r="D180" i="3"/>
  <c r="B180" i="3"/>
  <c r="I179" i="3"/>
  <c r="D179" i="3"/>
  <c r="B179" i="3"/>
  <c r="D178" i="3"/>
  <c r="B178" i="3"/>
  <c r="D177" i="3"/>
  <c r="B177" i="3"/>
  <c r="D176" i="3"/>
  <c r="B176" i="3"/>
  <c r="I175" i="3"/>
  <c r="D175" i="3"/>
  <c r="B175" i="3"/>
  <c r="D174" i="3"/>
  <c r="B174" i="3"/>
  <c r="D173" i="3"/>
  <c r="B173" i="3"/>
  <c r="D172" i="3"/>
  <c r="B172" i="3"/>
  <c r="D171" i="3"/>
  <c r="B171" i="3"/>
  <c r="D170" i="3"/>
  <c r="B170" i="3"/>
  <c r="D169" i="3"/>
  <c r="B169" i="3"/>
  <c r="I168" i="3"/>
  <c r="D168" i="3"/>
  <c r="B168" i="3"/>
  <c r="D167" i="3"/>
  <c r="B167" i="3"/>
  <c r="D166" i="3"/>
  <c r="B166" i="3"/>
  <c r="D165" i="3"/>
  <c r="B165" i="3"/>
  <c r="D164" i="3"/>
  <c r="B164" i="3"/>
  <c r="D163" i="3"/>
  <c r="B163" i="3"/>
  <c r="D162" i="3"/>
  <c r="B162" i="3"/>
  <c r="D161" i="3"/>
  <c r="B161" i="3"/>
  <c r="D160" i="3"/>
  <c r="B160" i="3"/>
  <c r="I159" i="3"/>
  <c r="D159" i="3"/>
  <c r="B159" i="3"/>
  <c r="I158" i="3"/>
  <c r="D158" i="3"/>
  <c r="B158" i="3"/>
  <c r="D157" i="3"/>
  <c r="B157" i="3"/>
  <c r="I156" i="3"/>
  <c r="D156" i="3"/>
  <c r="B156" i="3"/>
  <c r="I155" i="3"/>
  <c r="D155" i="3"/>
  <c r="B155" i="3"/>
  <c r="D154" i="3"/>
  <c r="B154" i="3"/>
  <c r="I153" i="3"/>
  <c r="D153" i="3"/>
  <c r="B153" i="3"/>
  <c r="D152" i="3"/>
  <c r="B152" i="3"/>
  <c r="D151" i="3"/>
  <c r="B151" i="3"/>
  <c r="D150" i="3"/>
  <c r="B150" i="3"/>
  <c r="D149" i="3"/>
  <c r="B149" i="3"/>
  <c r="D148" i="3"/>
  <c r="B148" i="3"/>
  <c r="D147" i="3"/>
  <c r="B147" i="3"/>
  <c r="I146" i="3"/>
  <c r="D146" i="3"/>
  <c r="B146" i="3"/>
  <c r="D145" i="3"/>
  <c r="B145" i="3"/>
  <c r="I144" i="3"/>
  <c r="D144" i="3"/>
  <c r="B144" i="3"/>
  <c r="D143" i="3"/>
  <c r="B143" i="3"/>
  <c r="I142" i="3"/>
  <c r="D142" i="3"/>
  <c r="B142" i="3"/>
  <c r="D141" i="3"/>
  <c r="B141" i="3"/>
  <c r="D140" i="3"/>
  <c r="B140" i="3"/>
  <c r="I139" i="3"/>
  <c r="D139" i="3"/>
  <c r="B139" i="3"/>
  <c r="D138" i="3"/>
  <c r="B138" i="3"/>
  <c r="D137" i="3"/>
  <c r="B137" i="3"/>
  <c r="D136" i="3"/>
  <c r="B136" i="3"/>
  <c r="I135" i="3"/>
  <c r="D135" i="3"/>
  <c r="B135" i="3"/>
  <c r="D134" i="3"/>
  <c r="B134" i="3"/>
  <c r="D133" i="3"/>
  <c r="B133" i="3"/>
  <c r="D132" i="3"/>
  <c r="B132" i="3"/>
  <c r="I131" i="3"/>
  <c r="D131" i="3"/>
  <c r="B131" i="3"/>
  <c r="D130" i="3"/>
  <c r="B130" i="3"/>
  <c r="D129" i="3"/>
  <c r="B129" i="3"/>
  <c r="D128" i="3"/>
  <c r="B128" i="3"/>
  <c r="I127" i="3"/>
  <c r="D127" i="3"/>
  <c r="B127" i="3"/>
  <c r="I126" i="3"/>
  <c r="D126" i="3"/>
  <c r="B126" i="3"/>
  <c r="D125" i="3"/>
  <c r="B125" i="3"/>
  <c r="I124" i="3"/>
  <c r="D124" i="3"/>
  <c r="B124" i="3"/>
  <c r="I123" i="3"/>
  <c r="D123" i="3"/>
  <c r="B123" i="3"/>
  <c r="I122" i="3"/>
  <c r="D122" i="3"/>
  <c r="B122" i="3"/>
  <c r="I121" i="3"/>
  <c r="D121" i="3"/>
  <c r="B121" i="3"/>
  <c r="I120" i="3"/>
  <c r="D120" i="3"/>
  <c r="B120" i="3"/>
  <c r="D119" i="3"/>
  <c r="B119" i="3"/>
  <c r="I118" i="3"/>
  <c r="D118" i="3"/>
  <c r="B118" i="3"/>
  <c r="I117" i="3"/>
  <c r="D117" i="3"/>
  <c r="B117" i="3"/>
  <c r="I116" i="3"/>
  <c r="D116" i="3"/>
  <c r="B116" i="3"/>
  <c r="D115" i="3"/>
  <c r="B115" i="3"/>
  <c r="I114" i="3"/>
  <c r="D114" i="3"/>
  <c r="B114" i="3"/>
  <c r="D113" i="3"/>
  <c r="B113" i="3"/>
  <c r="I112" i="3"/>
  <c r="D112" i="3"/>
  <c r="B112" i="3"/>
  <c r="I111" i="3"/>
  <c r="D111" i="3"/>
  <c r="B111" i="3"/>
  <c r="I110" i="3"/>
  <c r="D110" i="3"/>
  <c r="B110" i="3"/>
  <c r="D109" i="3"/>
  <c r="B109" i="3"/>
  <c r="I108" i="3"/>
  <c r="D108" i="3"/>
  <c r="B108" i="3"/>
  <c r="I107" i="3"/>
  <c r="D107" i="3"/>
  <c r="B107" i="3"/>
  <c r="I106" i="3"/>
  <c r="D106" i="3"/>
  <c r="B106" i="3"/>
  <c r="D105" i="3"/>
  <c r="B105" i="3"/>
  <c r="I104" i="3"/>
  <c r="D104" i="3"/>
  <c r="B104" i="3"/>
  <c r="I103" i="3"/>
  <c r="D103" i="3"/>
  <c r="B103" i="3"/>
  <c r="I102" i="3"/>
  <c r="D102" i="3"/>
  <c r="B102" i="3"/>
  <c r="D101" i="3"/>
  <c r="B101" i="3"/>
  <c r="I100" i="3"/>
  <c r="D100" i="3"/>
  <c r="B100" i="3"/>
  <c r="I99" i="3"/>
  <c r="D99" i="3"/>
  <c r="B99" i="3"/>
  <c r="D98" i="3"/>
  <c r="B98" i="3"/>
  <c r="D97" i="3"/>
  <c r="B97" i="3"/>
  <c r="I96" i="3"/>
  <c r="D96" i="3"/>
  <c r="B96" i="3"/>
  <c r="D95" i="3"/>
  <c r="B95" i="3"/>
  <c r="I94" i="3"/>
  <c r="D94" i="3"/>
  <c r="B94" i="3"/>
  <c r="D93" i="3"/>
  <c r="B93" i="3"/>
  <c r="D92" i="3"/>
  <c r="B92" i="3"/>
  <c r="I91" i="3"/>
  <c r="D91" i="3"/>
  <c r="B91" i="3"/>
  <c r="I90" i="3"/>
  <c r="D90" i="3"/>
  <c r="B90" i="3"/>
  <c r="I89" i="3"/>
  <c r="D89" i="3"/>
  <c r="B89" i="3"/>
  <c r="I88" i="3"/>
  <c r="D88" i="3"/>
  <c r="B88" i="3"/>
  <c r="I87" i="3"/>
  <c r="D87" i="3"/>
  <c r="B87" i="3"/>
  <c r="I86" i="3"/>
  <c r="D86" i="3"/>
  <c r="B86" i="3"/>
  <c r="I85" i="3"/>
  <c r="D85" i="3"/>
  <c r="B85" i="3"/>
  <c r="D84" i="3"/>
  <c r="B84" i="3"/>
  <c r="D83" i="3"/>
  <c r="B83" i="3"/>
  <c r="D82" i="3"/>
  <c r="B82" i="3"/>
  <c r="I81" i="3"/>
  <c r="D81" i="3"/>
  <c r="B81" i="3"/>
  <c r="I80" i="3"/>
  <c r="D80" i="3"/>
  <c r="B80" i="3"/>
  <c r="I79" i="3"/>
  <c r="D79" i="3"/>
  <c r="B79" i="3"/>
  <c r="I78" i="3"/>
  <c r="D78" i="3"/>
  <c r="B78" i="3"/>
  <c r="I77" i="3"/>
  <c r="D77" i="3"/>
  <c r="B77" i="3"/>
  <c r="I76" i="3"/>
  <c r="D76" i="3"/>
  <c r="B76" i="3"/>
  <c r="I75" i="3"/>
  <c r="D75" i="3"/>
  <c r="B75" i="3"/>
  <c r="I74" i="3"/>
  <c r="D74" i="3"/>
  <c r="B74" i="3"/>
  <c r="I73" i="3"/>
  <c r="D73" i="3"/>
  <c r="B73" i="3"/>
  <c r="I72" i="3"/>
  <c r="D72" i="3"/>
  <c r="B72" i="3"/>
  <c r="I71" i="3"/>
  <c r="D71" i="3"/>
  <c r="B71" i="3"/>
  <c r="D70" i="3"/>
  <c r="B70" i="3"/>
  <c r="I69" i="3"/>
  <c r="D69" i="3"/>
  <c r="B69" i="3"/>
  <c r="I68" i="3"/>
  <c r="D68" i="3"/>
  <c r="B68" i="3"/>
  <c r="D67" i="3"/>
  <c r="B67" i="3"/>
  <c r="D66" i="3"/>
  <c r="B66" i="3"/>
  <c r="I65" i="3"/>
  <c r="D65" i="3"/>
  <c r="B65" i="3"/>
  <c r="D64" i="3"/>
  <c r="B64" i="3"/>
  <c r="D63" i="3"/>
  <c r="B63" i="3"/>
  <c r="D62" i="3"/>
  <c r="B62" i="3"/>
  <c r="D61" i="3"/>
  <c r="B61" i="3"/>
  <c r="I60" i="3"/>
  <c r="D60" i="3"/>
  <c r="B60" i="3"/>
  <c r="D59" i="3"/>
  <c r="B59" i="3"/>
  <c r="D58" i="3"/>
  <c r="B58" i="3"/>
  <c r="D57" i="3"/>
  <c r="B57" i="3"/>
  <c r="I56" i="3"/>
  <c r="D56" i="3"/>
  <c r="B56" i="3"/>
  <c r="D55" i="3"/>
  <c r="B55" i="3"/>
  <c r="D54" i="3"/>
  <c r="B54" i="3"/>
  <c r="D53" i="3"/>
  <c r="B53" i="3"/>
  <c r="D52" i="3"/>
  <c r="B52" i="3"/>
  <c r="D51" i="3"/>
  <c r="B51" i="3"/>
  <c r="D50" i="3"/>
  <c r="B50" i="3"/>
  <c r="D49" i="3"/>
  <c r="B49" i="3"/>
  <c r="D48" i="3"/>
  <c r="B48" i="3"/>
  <c r="D47" i="3"/>
  <c r="B47" i="3"/>
  <c r="D46" i="3"/>
  <c r="B46" i="3"/>
  <c r="I45" i="3"/>
  <c r="D45" i="3"/>
  <c r="B45" i="3"/>
  <c r="I44" i="3"/>
  <c r="D44" i="3"/>
  <c r="B44" i="3"/>
  <c r="I43" i="3"/>
  <c r="D43" i="3"/>
  <c r="B43" i="3"/>
  <c r="D42" i="3"/>
  <c r="B42" i="3"/>
  <c r="I41" i="3"/>
  <c r="D41" i="3"/>
  <c r="B41" i="3"/>
  <c r="I40" i="3"/>
  <c r="D40" i="3"/>
  <c r="B40" i="3"/>
  <c r="I39" i="3"/>
  <c r="D39" i="3"/>
  <c r="B39" i="3"/>
  <c r="I38" i="3"/>
  <c r="D38" i="3"/>
  <c r="B38" i="3"/>
  <c r="D37" i="3"/>
  <c r="B37" i="3"/>
  <c r="D36" i="3"/>
  <c r="B36" i="3"/>
  <c r="D35" i="3"/>
  <c r="B35" i="3"/>
  <c r="D34" i="3"/>
  <c r="B34" i="3"/>
  <c r="I33" i="3"/>
  <c r="D33" i="3"/>
  <c r="B33" i="3"/>
  <c r="I32" i="3"/>
  <c r="D32" i="3"/>
  <c r="B32" i="3"/>
  <c r="D31" i="3"/>
  <c r="B31" i="3"/>
  <c r="D30" i="3"/>
  <c r="B30" i="3"/>
  <c r="D29" i="3"/>
  <c r="B29" i="3"/>
  <c r="D28" i="3"/>
  <c r="B28" i="3"/>
  <c r="D27" i="3"/>
  <c r="B27" i="3"/>
  <c r="I26" i="3"/>
  <c r="D26" i="3"/>
  <c r="B26" i="3"/>
  <c r="D25" i="3"/>
  <c r="B25" i="3"/>
  <c r="D24" i="3"/>
  <c r="B24" i="3"/>
  <c r="I23" i="3"/>
  <c r="D23" i="3"/>
  <c r="B23" i="3"/>
  <c r="D22" i="3"/>
  <c r="B22" i="3"/>
  <c r="I21" i="3"/>
  <c r="D21" i="3"/>
  <c r="B21" i="3"/>
  <c r="D20" i="3"/>
  <c r="B20" i="3"/>
  <c r="D19" i="3"/>
  <c r="B19" i="3"/>
  <c r="I18" i="3"/>
  <c r="D18" i="3"/>
  <c r="B18" i="3"/>
  <c r="D17" i="3"/>
  <c r="B17" i="3"/>
  <c r="D16" i="3"/>
  <c r="B16" i="3"/>
  <c r="D15" i="3"/>
  <c r="B15" i="3"/>
  <c r="I14" i="3"/>
  <c r="D14" i="3"/>
  <c r="B14" i="3"/>
  <c r="D13" i="3"/>
  <c r="B13" i="3"/>
  <c r="D12" i="3"/>
  <c r="B12" i="3"/>
  <c r="D11" i="3"/>
  <c r="B11" i="3"/>
  <c r="R248" i="1"/>
  <c r="P248" i="1"/>
  <c r="N248" i="1"/>
  <c r="L248" i="1"/>
  <c r="H248" i="1"/>
  <c r="E248" i="1"/>
  <c r="C248" i="1"/>
  <c r="R247" i="1"/>
  <c r="P247" i="1"/>
  <c r="N247" i="1"/>
  <c r="L247" i="1"/>
  <c r="H247" i="1"/>
  <c r="E247" i="1"/>
  <c r="C247" i="1"/>
  <c r="R246" i="1"/>
  <c r="P246" i="1"/>
  <c r="N246" i="1"/>
  <c r="L246" i="1"/>
  <c r="H246" i="1"/>
  <c r="E246" i="1"/>
  <c r="C246" i="1"/>
  <c r="R245" i="1"/>
  <c r="P245" i="1"/>
  <c r="N245" i="1"/>
  <c r="L245" i="1"/>
  <c r="H245" i="1"/>
  <c r="E245" i="1"/>
  <c r="C245" i="1"/>
  <c r="R244" i="1"/>
  <c r="P244" i="1"/>
  <c r="N244" i="1"/>
  <c r="L244" i="1"/>
  <c r="H244" i="1"/>
  <c r="E244" i="1"/>
  <c r="C244" i="1"/>
  <c r="R243" i="1"/>
  <c r="P243" i="1"/>
  <c r="N243" i="1"/>
  <c r="L243" i="1"/>
  <c r="H243" i="1"/>
  <c r="E243" i="1"/>
  <c r="C243" i="1"/>
  <c r="R242" i="1"/>
  <c r="P242" i="1"/>
  <c r="N242" i="1"/>
  <c r="L242" i="1"/>
  <c r="H242" i="1"/>
  <c r="E242" i="1"/>
  <c r="C242" i="1"/>
  <c r="R241" i="1"/>
  <c r="P241" i="1"/>
  <c r="N241" i="1"/>
  <c r="L241" i="1"/>
  <c r="H241" i="1"/>
  <c r="E241" i="1"/>
  <c r="C241" i="1"/>
  <c r="R240" i="1"/>
  <c r="P240" i="1"/>
  <c r="N240" i="1"/>
  <c r="L240" i="1"/>
  <c r="H240" i="1"/>
  <c r="E240" i="1"/>
  <c r="C240" i="1"/>
  <c r="R239" i="1"/>
  <c r="P239" i="1"/>
  <c r="N239" i="1"/>
  <c r="L239" i="1"/>
  <c r="H239" i="1"/>
  <c r="E239" i="1"/>
  <c r="C239" i="1"/>
  <c r="R238" i="1"/>
  <c r="P238" i="1"/>
  <c r="N238" i="1"/>
  <c r="L238" i="1"/>
  <c r="H238" i="1"/>
  <c r="E238" i="1"/>
  <c r="C238" i="1"/>
  <c r="R237" i="1"/>
  <c r="P237" i="1"/>
  <c r="N237" i="1"/>
  <c r="L237" i="1"/>
  <c r="H237" i="1"/>
  <c r="E237" i="1"/>
  <c r="C237" i="1"/>
  <c r="R236" i="1"/>
  <c r="P236" i="1"/>
  <c r="N236" i="1"/>
  <c r="L236" i="1"/>
  <c r="H236" i="1"/>
  <c r="E236" i="1"/>
  <c r="C236" i="1"/>
  <c r="R235" i="1"/>
  <c r="P235" i="1"/>
  <c r="N235" i="1"/>
  <c r="L235" i="1"/>
  <c r="H235" i="1"/>
  <c r="E235" i="1"/>
  <c r="C235" i="1"/>
  <c r="R234" i="1"/>
  <c r="P234" i="1"/>
  <c r="N234" i="1"/>
  <c r="L234" i="1"/>
  <c r="H234" i="1"/>
  <c r="E234" i="1"/>
  <c r="C234" i="1"/>
  <c r="R233" i="1"/>
  <c r="P233" i="1"/>
  <c r="N233" i="1"/>
  <c r="L233" i="1"/>
  <c r="H233" i="1"/>
  <c r="E233" i="1"/>
  <c r="C233" i="1"/>
  <c r="R232" i="1"/>
  <c r="P232" i="1"/>
  <c r="N232" i="1"/>
  <c r="L232" i="1"/>
  <c r="H232" i="1"/>
  <c r="E232" i="1"/>
  <c r="C232" i="1"/>
  <c r="R231" i="1"/>
  <c r="P231" i="1"/>
  <c r="N231" i="1"/>
  <c r="L231" i="1"/>
  <c r="H231" i="1"/>
  <c r="E231" i="1"/>
  <c r="C231" i="1"/>
  <c r="R230" i="1"/>
  <c r="P230" i="1"/>
  <c r="N230" i="1"/>
  <c r="L230" i="1"/>
  <c r="H230" i="1"/>
  <c r="E230" i="1"/>
  <c r="C230" i="1"/>
  <c r="R229" i="1"/>
  <c r="P229" i="1"/>
  <c r="N229" i="1"/>
  <c r="L229" i="1"/>
  <c r="H229" i="1"/>
  <c r="E229" i="1"/>
  <c r="C229" i="1"/>
  <c r="R228" i="1"/>
  <c r="P228" i="1"/>
  <c r="N228" i="1"/>
  <c r="L228" i="1"/>
  <c r="H228" i="1"/>
  <c r="E228" i="1"/>
  <c r="C228" i="1"/>
  <c r="R227" i="1"/>
  <c r="P227" i="1"/>
  <c r="N227" i="1"/>
  <c r="L227" i="1"/>
  <c r="H227" i="1"/>
  <c r="E227" i="1"/>
  <c r="C227" i="1"/>
  <c r="R226" i="1"/>
  <c r="P226" i="1"/>
  <c r="N226" i="1"/>
  <c r="L226" i="1"/>
  <c r="H226" i="1"/>
  <c r="E226" i="1"/>
  <c r="C226" i="1"/>
  <c r="R225" i="1"/>
  <c r="P225" i="1"/>
  <c r="N225" i="1"/>
  <c r="L225" i="1"/>
  <c r="H225" i="1"/>
  <c r="E225" i="1"/>
  <c r="C225" i="1"/>
  <c r="R224" i="1"/>
  <c r="P224" i="1"/>
  <c r="N224" i="1"/>
  <c r="L224" i="1"/>
  <c r="H224" i="1"/>
  <c r="E224" i="1"/>
  <c r="C224" i="1"/>
  <c r="R223" i="1"/>
  <c r="P223" i="1"/>
  <c r="N223" i="1"/>
  <c r="L223" i="1"/>
  <c r="H223" i="1"/>
  <c r="E223" i="1"/>
  <c r="C223" i="1"/>
  <c r="R222" i="1"/>
  <c r="P222" i="1"/>
  <c r="N222" i="1"/>
  <c r="L222" i="1"/>
  <c r="H222" i="1"/>
  <c r="E222" i="1"/>
  <c r="C222" i="1"/>
  <c r="R221" i="1"/>
  <c r="P221" i="1"/>
  <c r="N221" i="1"/>
  <c r="L221" i="1"/>
  <c r="H221" i="1"/>
  <c r="E221" i="1"/>
  <c r="C221" i="1"/>
  <c r="R220" i="1"/>
  <c r="P220" i="1"/>
  <c r="N220" i="1"/>
  <c r="L220" i="1"/>
  <c r="H220" i="1"/>
  <c r="E220" i="1"/>
  <c r="C220" i="1"/>
  <c r="R219" i="1"/>
  <c r="P219" i="1"/>
  <c r="N219" i="1"/>
  <c r="L219" i="1"/>
  <c r="H219" i="1"/>
  <c r="E219" i="1"/>
  <c r="C219" i="1"/>
  <c r="R218" i="1"/>
  <c r="P218" i="1"/>
  <c r="N218" i="1"/>
  <c r="L218" i="1"/>
  <c r="H218" i="1"/>
  <c r="E218" i="1"/>
  <c r="C218" i="1"/>
  <c r="R217" i="1"/>
  <c r="P217" i="1"/>
  <c r="N217" i="1"/>
  <c r="L217" i="1"/>
  <c r="H217" i="1"/>
  <c r="E217" i="1"/>
  <c r="C217" i="1"/>
  <c r="R216" i="1"/>
  <c r="P216" i="1"/>
  <c r="N216" i="1"/>
  <c r="L216" i="1"/>
  <c r="H216" i="1"/>
  <c r="E216" i="1"/>
  <c r="C216" i="1"/>
  <c r="R215" i="1"/>
  <c r="P215" i="1"/>
  <c r="N215" i="1"/>
  <c r="L215" i="1"/>
  <c r="H215" i="1"/>
  <c r="E215" i="1"/>
  <c r="C215" i="1"/>
  <c r="R214" i="1"/>
  <c r="P214" i="1"/>
  <c r="N214" i="1"/>
  <c r="L214" i="1"/>
  <c r="H214" i="1"/>
  <c r="E214" i="1"/>
  <c r="C214" i="1"/>
  <c r="R213" i="1"/>
  <c r="P213" i="1"/>
  <c r="N213" i="1"/>
  <c r="L213" i="1"/>
  <c r="H213" i="1"/>
  <c r="E213" i="1"/>
  <c r="C213" i="1"/>
  <c r="R212" i="1"/>
  <c r="P212" i="1"/>
  <c r="N212" i="1"/>
  <c r="L212" i="1"/>
  <c r="H212" i="1"/>
  <c r="E212" i="1"/>
  <c r="C212" i="1"/>
  <c r="R211" i="1"/>
  <c r="P211" i="1"/>
  <c r="N211" i="1"/>
  <c r="L211" i="1"/>
  <c r="H211" i="1"/>
  <c r="E211" i="1"/>
  <c r="C211" i="1"/>
  <c r="R210" i="1"/>
  <c r="P210" i="1"/>
  <c r="N210" i="1"/>
  <c r="L210" i="1"/>
  <c r="H210" i="1"/>
  <c r="E210" i="1"/>
  <c r="C210" i="1"/>
  <c r="R209" i="1"/>
  <c r="P209" i="1"/>
  <c r="N209" i="1"/>
  <c r="L209" i="1"/>
  <c r="H209" i="1"/>
  <c r="E209" i="1"/>
  <c r="C209" i="1"/>
  <c r="R208" i="1"/>
  <c r="P208" i="1"/>
  <c r="N208" i="1"/>
  <c r="L208" i="1"/>
  <c r="H208" i="1"/>
  <c r="E208" i="1"/>
  <c r="C208" i="1"/>
  <c r="R207" i="1"/>
  <c r="P207" i="1"/>
  <c r="N207" i="1"/>
  <c r="L207" i="1"/>
  <c r="H207" i="1"/>
  <c r="E207" i="1"/>
  <c r="C207" i="1"/>
  <c r="R206" i="1"/>
  <c r="P206" i="1"/>
  <c r="N206" i="1"/>
  <c r="L206" i="1"/>
  <c r="H206" i="1"/>
  <c r="E206" i="1"/>
  <c r="C206" i="1"/>
  <c r="R205" i="1"/>
  <c r="P205" i="1"/>
  <c r="N205" i="1"/>
  <c r="L205" i="1"/>
  <c r="H205" i="1"/>
  <c r="E205" i="1"/>
  <c r="C205" i="1"/>
  <c r="R204" i="1"/>
  <c r="P204" i="1"/>
  <c r="N204" i="1"/>
  <c r="L204" i="1"/>
  <c r="H204" i="1"/>
  <c r="E204" i="1"/>
  <c r="C204" i="1"/>
  <c r="R203" i="1"/>
  <c r="P203" i="1"/>
  <c r="N203" i="1"/>
  <c r="L203" i="1"/>
  <c r="H203" i="1"/>
  <c r="E203" i="1"/>
  <c r="C203" i="1"/>
  <c r="R202" i="1"/>
  <c r="P202" i="1"/>
  <c r="N202" i="1"/>
  <c r="L202" i="1"/>
  <c r="H202" i="1"/>
  <c r="E202" i="1"/>
  <c r="C202" i="1"/>
  <c r="R201" i="1"/>
  <c r="P201" i="1"/>
  <c r="N201" i="1"/>
  <c r="L201" i="1"/>
  <c r="H201" i="1"/>
  <c r="E201" i="1"/>
  <c r="C201" i="1"/>
  <c r="R200" i="1"/>
  <c r="P200" i="1"/>
  <c r="N200" i="1"/>
  <c r="L200" i="1"/>
  <c r="H200" i="1"/>
  <c r="E200" i="1"/>
  <c r="C200" i="1"/>
  <c r="R199" i="1"/>
  <c r="P199" i="1"/>
  <c r="N199" i="1"/>
  <c r="L199" i="1"/>
  <c r="H199" i="1"/>
  <c r="E199" i="1"/>
  <c r="C199" i="1"/>
  <c r="R198" i="1"/>
  <c r="P198" i="1"/>
  <c r="N198" i="1"/>
  <c r="L198" i="1"/>
  <c r="H198" i="1"/>
  <c r="E198" i="1"/>
  <c r="C198" i="1"/>
  <c r="R197" i="1"/>
  <c r="P197" i="1"/>
  <c r="N197" i="1"/>
  <c r="L197" i="1"/>
  <c r="H197" i="1"/>
  <c r="E197" i="1"/>
  <c r="C197" i="1"/>
  <c r="R196" i="1"/>
  <c r="P196" i="1"/>
  <c r="N196" i="1"/>
  <c r="L196" i="1"/>
  <c r="H196" i="1"/>
  <c r="E196" i="1"/>
  <c r="C196" i="1"/>
  <c r="R195" i="1"/>
  <c r="P195" i="1"/>
  <c r="N195" i="1"/>
  <c r="L195" i="1"/>
  <c r="H195" i="1"/>
  <c r="E195" i="1"/>
  <c r="C195" i="1"/>
  <c r="R194" i="1"/>
  <c r="P194" i="1"/>
  <c r="N194" i="1"/>
  <c r="L194" i="1"/>
  <c r="H194" i="1"/>
  <c r="E194" i="1"/>
  <c r="C194" i="1"/>
  <c r="R193" i="1"/>
  <c r="P193" i="1"/>
  <c r="N193" i="1"/>
  <c r="L193" i="1"/>
  <c r="H193" i="1"/>
  <c r="E193" i="1"/>
  <c r="C193" i="1"/>
  <c r="R192" i="1"/>
  <c r="P192" i="1"/>
  <c r="N192" i="1"/>
  <c r="L192" i="1"/>
  <c r="H192" i="1"/>
  <c r="E192" i="1"/>
  <c r="C192" i="1"/>
  <c r="R191" i="1"/>
  <c r="P191" i="1"/>
  <c r="N191" i="1"/>
  <c r="L191" i="1"/>
  <c r="H191" i="1"/>
  <c r="E191" i="1"/>
  <c r="C191" i="1"/>
  <c r="R190" i="1"/>
  <c r="P190" i="1"/>
  <c r="N190" i="1"/>
  <c r="L190" i="1"/>
  <c r="H190" i="1"/>
  <c r="E190" i="1"/>
  <c r="C190" i="1"/>
  <c r="R189" i="1"/>
  <c r="P189" i="1"/>
  <c r="N189" i="1"/>
  <c r="L189" i="1"/>
  <c r="H189" i="1"/>
  <c r="E189" i="1"/>
  <c r="C189" i="1"/>
  <c r="R188" i="1"/>
  <c r="P188" i="1"/>
  <c r="N188" i="1"/>
  <c r="L188" i="1"/>
  <c r="H188" i="1"/>
  <c r="E188" i="1"/>
  <c r="C188" i="1"/>
  <c r="R187" i="1"/>
  <c r="P187" i="1"/>
  <c r="N187" i="1"/>
  <c r="L187" i="1"/>
  <c r="H187" i="1"/>
  <c r="E187" i="1"/>
  <c r="C187" i="1"/>
  <c r="R186" i="1"/>
  <c r="P186" i="1"/>
  <c r="N186" i="1"/>
  <c r="L186" i="1"/>
  <c r="H186" i="1"/>
  <c r="E186" i="1"/>
  <c r="C186" i="1"/>
  <c r="R185" i="1"/>
  <c r="P185" i="1"/>
  <c r="N185" i="1"/>
  <c r="L185" i="1"/>
  <c r="H185" i="1"/>
  <c r="E185" i="1"/>
  <c r="C185" i="1"/>
  <c r="R184" i="1"/>
  <c r="P184" i="1"/>
  <c r="N184" i="1"/>
  <c r="L184" i="1"/>
  <c r="H184" i="1"/>
  <c r="E184" i="1"/>
  <c r="C184" i="1"/>
  <c r="R183" i="1"/>
  <c r="P183" i="1"/>
  <c r="N183" i="1"/>
  <c r="L183" i="1"/>
  <c r="H183" i="1"/>
  <c r="E183" i="1"/>
  <c r="C183" i="1"/>
  <c r="R182" i="1"/>
  <c r="P182" i="1"/>
  <c r="N182" i="1"/>
  <c r="L182" i="1"/>
  <c r="H182" i="1"/>
  <c r="E182" i="1"/>
  <c r="C182" i="1"/>
  <c r="R181" i="1"/>
  <c r="P181" i="1"/>
  <c r="N181" i="1"/>
  <c r="L181" i="1"/>
  <c r="H181" i="1"/>
  <c r="E181" i="1"/>
  <c r="C181" i="1"/>
  <c r="R180" i="1"/>
  <c r="P180" i="1"/>
  <c r="N180" i="1"/>
  <c r="L180" i="1"/>
  <c r="H180" i="1"/>
  <c r="E180" i="1"/>
  <c r="C180" i="1"/>
  <c r="R179" i="1"/>
  <c r="P179" i="1"/>
  <c r="N179" i="1"/>
  <c r="L179" i="1"/>
  <c r="H179" i="1"/>
  <c r="E179" i="1"/>
  <c r="C179" i="1"/>
  <c r="R178" i="1"/>
  <c r="P178" i="1"/>
  <c r="N178" i="1"/>
  <c r="L178" i="1"/>
  <c r="H178" i="1"/>
  <c r="E178" i="1"/>
  <c r="C178" i="1"/>
  <c r="R177" i="1"/>
  <c r="P177" i="1"/>
  <c r="N177" i="1"/>
  <c r="L177" i="1"/>
  <c r="H177" i="1"/>
  <c r="E177" i="1"/>
  <c r="C177" i="1"/>
  <c r="R176" i="1"/>
  <c r="P176" i="1"/>
  <c r="N176" i="1"/>
  <c r="L176" i="1"/>
  <c r="H176" i="1"/>
  <c r="E176" i="1"/>
  <c r="C176" i="1"/>
  <c r="R175" i="1"/>
  <c r="P175" i="1"/>
  <c r="N175" i="1"/>
  <c r="L175" i="1"/>
  <c r="H175" i="1"/>
  <c r="E175" i="1"/>
  <c r="C175" i="1"/>
  <c r="R174" i="1"/>
  <c r="P174" i="1"/>
  <c r="N174" i="1"/>
  <c r="L174" i="1"/>
  <c r="H174" i="1"/>
  <c r="E174" i="1"/>
  <c r="C174" i="1"/>
  <c r="R173" i="1"/>
  <c r="P173" i="1"/>
  <c r="N173" i="1"/>
  <c r="L173" i="1"/>
  <c r="H173" i="1"/>
  <c r="E173" i="1"/>
  <c r="C173" i="1"/>
  <c r="R172" i="1"/>
  <c r="P172" i="1"/>
  <c r="N172" i="1"/>
  <c r="L172" i="1"/>
  <c r="H172" i="1"/>
  <c r="E172" i="1"/>
  <c r="C172" i="1"/>
  <c r="R171" i="1"/>
  <c r="P171" i="1"/>
  <c r="N171" i="1"/>
  <c r="L171" i="1"/>
  <c r="H171" i="1"/>
  <c r="E171" i="1"/>
  <c r="C171" i="1"/>
  <c r="R170" i="1"/>
  <c r="P170" i="1"/>
  <c r="N170" i="1"/>
  <c r="L170" i="1"/>
  <c r="H170" i="1"/>
  <c r="E170" i="1"/>
  <c r="C170" i="1"/>
  <c r="R169" i="1"/>
  <c r="P169" i="1"/>
  <c r="N169" i="1"/>
  <c r="L169" i="1"/>
  <c r="H169" i="1"/>
  <c r="E169" i="1"/>
  <c r="C169" i="1"/>
  <c r="R168" i="1"/>
  <c r="P168" i="1"/>
  <c r="N168" i="1"/>
  <c r="L168" i="1"/>
  <c r="H168" i="1"/>
  <c r="E168" i="1"/>
  <c r="C168" i="1"/>
  <c r="R167" i="1"/>
  <c r="P167" i="1"/>
  <c r="N167" i="1"/>
  <c r="L167" i="1"/>
  <c r="H167" i="1"/>
  <c r="E167" i="1"/>
  <c r="C167" i="1"/>
  <c r="R166" i="1"/>
  <c r="P166" i="1"/>
  <c r="N166" i="1"/>
  <c r="L166" i="1"/>
  <c r="H166" i="1"/>
  <c r="E166" i="1"/>
  <c r="C166" i="1"/>
  <c r="R165" i="1"/>
  <c r="P165" i="1"/>
  <c r="N165" i="1"/>
  <c r="L165" i="1"/>
  <c r="H165" i="1"/>
  <c r="E165" i="1"/>
  <c r="C165" i="1"/>
  <c r="R164" i="1"/>
  <c r="P164" i="1"/>
  <c r="N164" i="1"/>
  <c r="L164" i="1"/>
  <c r="H164" i="1"/>
  <c r="E164" i="1"/>
  <c r="C164" i="1"/>
  <c r="R163" i="1"/>
  <c r="P163" i="1"/>
  <c r="N163" i="1"/>
  <c r="L163" i="1"/>
  <c r="H163" i="1"/>
  <c r="E163" i="1"/>
  <c r="C163" i="1"/>
  <c r="R162" i="1"/>
  <c r="P162" i="1"/>
  <c r="N162" i="1"/>
  <c r="L162" i="1"/>
  <c r="H162" i="1"/>
  <c r="E162" i="1"/>
  <c r="C162" i="1"/>
  <c r="R161" i="1"/>
  <c r="P161" i="1"/>
  <c r="N161" i="1"/>
  <c r="L161" i="1"/>
  <c r="H161" i="1"/>
  <c r="E161" i="1"/>
  <c r="C161" i="1"/>
  <c r="R160" i="1"/>
  <c r="P160" i="1"/>
  <c r="N160" i="1"/>
  <c r="L160" i="1"/>
  <c r="H160" i="1"/>
  <c r="E160" i="1"/>
  <c r="C160" i="1"/>
  <c r="R159" i="1"/>
  <c r="P159" i="1"/>
  <c r="N159" i="1"/>
  <c r="L159" i="1"/>
  <c r="H159" i="1"/>
  <c r="E159" i="1"/>
  <c r="C159" i="1"/>
  <c r="R158" i="1"/>
  <c r="P158" i="1"/>
  <c r="N158" i="1"/>
  <c r="L158" i="1"/>
  <c r="H158" i="1"/>
  <c r="E158" i="1"/>
  <c r="C158" i="1"/>
  <c r="R157" i="1"/>
  <c r="P157" i="1"/>
  <c r="N157" i="1"/>
  <c r="L157" i="1"/>
  <c r="H157" i="1"/>
  <c r="E157" i="1"/>
  <c r="C157" i="1"/>
  <c r="R156" i="1"/>
  <c r="P156" i="1"/>
  <c r="N156" i="1"/>
  <c r="L156" i="1"/>
  <c r="H156" i="1"/>
  <c r="E156" i="1"/>
  <c r="C156" i="1"/>
  <c r="R155" i="1"/>
  <c r="P155" i="1"/>
  <c r="N155" i="1"/>
  <c r="L155" i="1"/>
  <c r="H155" i="1"/>
  <c r="E155" i="1"/>
  <c r="C155" i="1"/>
  <c r="R154" i="1"/>
  <c r="P154" i="1"/>
  <c r="N154" i="1"/>
  <c r="L154" i="1"/>
  <c r="H154" i="1"/>
  <c r="E154" i="1"/>
  <c r="C154" i="1"/>
  <c r="R153" i="1"/>
  <c r="P153" i="1"/>
  <c r="N153" i="1"/>
  <c r="L153" i="1"/>
  <c r="H153" i="1"/>
  <c r="E153" i="1"/>
  <c r="C153" i="1"/>
  <c r="R152" i="1"/>
  <c r="P152" i="1"/>
  <c r="N152" i="1"/>
  <c r="L152" i="1"/>
  <c r="H152" i="1"/>
  <c r="E152" i="1"/>
  <c r="C152" i="1"/>
  <c r="R151" i="1"/>
  <c r="P151" i="1"/>
  <c r="N151" i="1"/>
  <c r="L151" i="1"/>
  <c r="H151" i="1"/>
  <c r="E151" i="1"/>
  <c r="C151" i="1"/>
  <c r="R150" i="1"/>
  <c r="P150" i="1"/>
  <c r="N150" i="1"/>
  <c r="L150" i="1"/>
  <c r="H150" i="1"/>
  <c r="E150" i="1"/>
  <c r="C150" i="1"/>
  <c r="R149" i="1"/>
  <c r="P149" i="1"/>
  <c r="N149" i="1"/>
  <c r="L149" i="1"/>
  <c r="H149" i="1"/>
  <c r="E149" i="1"/>
  <c r="C149" i="1"/>
  <c r="R148" i="1"/>
  <c r="P148" i="1"/>
  <c r="N148" i="1"/>
  <c r="L148" i="1"/>
  <c r="H148" i="1"/>
  <c r="E148" i="1"/>
  <c r="C148" i="1"/>
  <c r="R147" i="1"/>
  <c r="P147" i="1"/>
  <c r="N147" i="1"/>
  <c r="L147" i="1"/>
  <c r="H147" i="1"/>
  <c r="E147" i="1"/>
  <c r="C147" i="1"/>
  <c r="R146" i="1"/>
  <c r="P146" i="1"/>
  <c r="N146" i="1"/>
  <c r="L146" i="1"/>
  <c r="H146" i="1"/>
  <c r="E146" i="1"/>
  <c r="C146" i="1"/>
  <c r="R145" i="1"/>
  <c r="P145" i="1"/>
  <c r="N145" i="1"/>
  <c r="L145" i="1"/>
  <c r="H145" i="1"/>
  <c r="E145" i="1"/>
  <c r="C145" i="1"/>
  <c r="R144" i="1"/>
  <c r="P144" i="1"/>
  <c r="N144" i="1"/>
  <c r="L144" i="1"/>
  <c r="H144" i="1"/>
  <c r="E144" i="1"/>
  <c r="C144" i="1"/>
  <c r="R143" i="1"/>
  <c r="P143" i="1"/>
  <c r="N143" i="1"/>
  <c r="L143" i="1"/>
  <c r="H143" i="1"/>
  <c r="E143" i="1"/>
  <c r="C143" i="1"/>
  <c r="R142" i="1"/>
  <c r="P142" i="1"/>
  <c r="N142" i="1"/>
  <c r="L142" i="1"/>
  <c r="H142" i="1"/>
  <c r="E142" i="1"/>
  <c r="C142" i="1"/>
  <c r="R141" i="1"/>
  <c r="P141" i="1"/>
  <c r="N141" i="1"/>
  <c r="L141" i="1"/>
  <c r="H141" i="1"/>
  <c r="E141" i="1"/>
  <c r="C141" i="1"/>
  <c r="R140" i="1"/>
  <c r="P140" i="1"/>
  <c r="N140" i="1"/>
  <c r="L140" i="1"/>
  <c r="H140" i="1"/>
  <c r="E140" i="1"/>
  <c r="C140" i="1"/>
  <c r="R139" i="1"/>
  <c r="P139" i="1"/>
  <c r="N139" i="1"/>
  <c r="L139" i="1"/>
  <c r="H139" i="1"/>
  <c r="E139" i="1"/>
  <c r="C139" i="1"/>
  <c r="R138" i="1"/>
  <c r="P138" i="1"/>
  <c r="N138" i="1"/>
  <c r="L138" i="1"/>
  <c r="H138" i="1"/>
  <c r="E138" i="1"/>
  <c r="C138" i="1"/>
  <c r="R137" i="1"/>
  <c r="P137" i="1"/>
  <c r="N137" i="1"/>
  <c r="L137" i="1"/>
  <c r="H137" i="1"/>
  <c r="E137" i="1"/>
  <c r="C137" i="1"/>
  <c r="R136" i="1"/>
  <c r="P136" i="1"/>
  <c r="N136" i="1"/>
  <c r="L136" i="1"/>
  <c r="H136" i="1"/>
  <c r="E136" i="1"/>
  <c r="C136" i="1"/>
  <c r="R135" i="1"/>
  <c r="P135" i="1"/>
  <c r="N135" i="1"/>
  <c r="L135" i="1"/>
  <c r="H135" i="1"/>
  <c r="E135" i="1"/>
  <c r="C135" i="1"/>
  <c r="R134" i="1"/>
  <c r="P134" i="1"/>
  <c r="N134" i="1"/>
  <c r="L134" i="1"/>
  <c r="H134" i="1"/>
  <c r="E134" i="1"/>
  <c r="C134" i="1"/>
  <c r="R133" i="1"/>
  <c r="P133" i="1"/>
  <c r="N133" i="1"/>
  <c r="L133" i="1"/>
  <c r="H133" i="1"/>
  <c r="E133" i="1"/>
  <c r="C133" i="1"/>
  <c r="R132" i="1"/>
  <c r="P132" i="1"/>
  <c r="N132" i="1"/>
  <c r="L132" i="1"/>
  <c r="H132" i="1"/>
  <c r="E132" i="1"/>
  <c r="C132" i="1"/>
  <c r="R131" i="1"/>
  <c r="P131" i="1"/>
  <c r="N131" i="1"/>
  <c r="L131" i="1"/>
  <c r="H131" i="1"/>
  <c r="E131" i="1"/>
  <c r="C131" i="1"/>
  <c r="R130" i="1"/>
  <c r="P130" i="1"/>
  <c r="N130" i="1"/>
  <c r="L130" i="1"/>
  <c r="H130" i="1"/>
  <c r="E130" i="1"/>
  <c r="C130" i="1"/>
  <c r="R129" i="1"/>
  <c r="P129" i="1"/>
  <c r="N129" i="1"/>
  <c r="L129" i="1"/>
  <c r="H129" i="1"/>
  <c r="E129" i="1"/>
  <c r="C129" i="1"/>
  <c r="R128" i="1"/>
  <c r="P128" i="1"/>
  <c r="N128" i="1"/>
  <c r="L128" i="1"/>
  <c r="H128" i="1"/>
  <c r="E128" i="1"/>
  <c r="C128" i="1"/>
  <c r="R127" i="1"/>
  <c r="P127" i="1"/>
  <c r="N127" i="1"/>
  <c r="L127" i="1"/>
  <c r="H127" i="1"/>
  <c r="E127" i="1"/>
  <c r="C127" i="1"/>
  <c r="R126" i="1"/>
  <c r="P126" i="1"/>
  <c r="N126" i="1"/>
  <c r="L126" i="1"/>
  <c r="H126" i="1"/>
  <c r="E126" i="1"/>
  <c r="C126" i="1"/>
  <c r="R125" i="1"/>
  <c r="P125" i="1"/>
  <c r="N125" i="1"/>
  <c r="L125" i="1"/>
  <c r="H125" i="1"/>
  <c r="E125" i="1"/>
  <c r="C125" i="1"/>
  <c r="R124" i="1"/>
  <c r="P124" i="1"/>
  <c r="N124" i="1"/>
  <c r="L124" i="1"/>
  <c r="H124" i="1"/>
  <c r="E124" i="1"/>
  <c r="C124" i="1"/>
  <c r="R123" i="1"/>
  <c r="P123" i="1"/>
  <c r="N123" i="1"/>
  <c r="L123" i="1"/>
  <c r="H123" i="1"/>
  <c r="E123" i="1"/>
  <c r="C123" i="1"/>
  <c r="R122" i="1"/>
  <c r="P122" i="1"/>
  <c r="N122" i="1"/>
  <c r="L122" i="1"/>
  <c r="H122" i="1"/>
  <c r="E122" i="1"/>
  <c r="C122" i="1"/>
  <c r="R121" i="1"/>
  <c r="P121" i="1"/>
  <c r="N121" i="1"/>
  <c r="L121" i="1"/>
  <c r="H121" i="1"/>
  <c r="E121" i="1"/>
  <c r="C121" i="1"/>
  <c r="R120" i="1"/>
  <c r="P120" i="1"/>
  <c r="N120" i="1"/>
  <c r="L120" i="1"/>
  <c r="H120" i="1"/>
  <c r="E120" i="1"/>
  <c r="C120" i="1"/>
  <c r="R119" i="1"/>
  <c r="P119" i="1"/>
  <c r="N119" i="1"/>
  <c r="L119" i="1"/>
  <c r="H119" i="1"/>
  <c r="E119" i="1"/>
  <c r="C119" i="1"/>
  <c r="R118" i="1"/>
  <c r="P118" i="1"/>
  <c r="N118" i="1"/>
  <c r="L118" i="1"/>
  <c r="H118" i="1"/>
  <c r="E118" i="1"/>
  <c r="C118" i="1"/>
  <c r="R117" i="1"/>
  <c r="P117" i="1"/>
  <c r="N117" i="1"/>
  <c r="L117" i="1"/>
  <c r="H117" i="1"/>
  <c r="E117" i="1"/>
  <c r="C117" i="1"/>
  <c r="R116" i="1"/>
  <c r="P116" i="1"/>
  <c r="N116" i="1"/>
  <c r="L116" i="1"/>
  <c r="H116" i="1"/>
  <c r="E116" i="1"/>
  <c r="C116" i="1"/>
  <c r="R115" i="1"/>
  <c r="P115" i="1"/>
  <c r="N115" i="1"/>
  <c r="L115" i="1"/>
  <c r="H115" i="1"/>
  <c r="E115" i="1"/>
  <c r="C115" i="1"/>
  <c r="R114" i="1"/>
  <c r="P114" i="1"/>
  <c r="N114" i="1"/>
  <c r="L114" i="1"/>
  <c r="H114" i="1"/>
  <c r="E114" i="1"/>
  <c r="C114" i="1"/>
  <c r="R113" i="1"/>
  <c r="P113" i="1"/>
  <c r="N113" i="1"/>
  <c r="L113" i="1"/>
  <c r="H113" i="1"/>
  <c r="E113" i="1"/>
  <c r="C113" i="1"/>
  <c r="R112" i="1"/>
  <c r="P112" i="1"/>
  <c r="N112" i="1"/>
  <c r="L112" i="1"/>
  <c r="H112" i="1"/>
  <c r="E112" i="1"/>
  <c r="C112" i="1"/>
  <c r="R111" i="1"/>
  <c r="P111" i="1"/>
  <c r="N111" i="1"/>
  <c r="L111" i="1"/>
  <c r="H111" i="1"/>
  <c r="E111" i="1"/>
  <c r="C111" i="1"/>
  <c r="R110" i="1"/>
  <c r="P110" i="1"/>
  <c r="N110" i="1"/>
  <c r="L110" i="1"/>
  <c r="H110" i="1"/>
  <c r="E110" i="1"/>
  <c r="C110" i="1"/>
  <c r="R109" i="1"/>
  <c r="P109" i="1"/>
  <c r="N109" i="1"/>
  <c r="L109" i="1"/>
  <c r="H109" i="1"/>
  <c r="E109" i="1"/>
  <c r="C109" i="1"/>
  <c r="R108" i="1"/>
  <c r="P108" i="1"/>
  <c r="N108" i="1"/>
  <c r="L108" i="1"/>
  <c r="H108" i="1"/>
  <c r="E108" i="1"/>
  <c r="C108" i="1"/>
  <c r="R107" i="1"/>
  <c r="P107" i="1"/>
  <c r="N107" i="1"/>
  <c r="L107" i="1"/>
  <c r="H107" i="1"/>
  <c r="E107" i="1"/>
  <c r="C107" i="1"/>
  <c r="R106" i="1"/>
  <c r="P106" i="1"/>
  <c r="N106" i="1"/>
  <c r="L106" i="1"/>
  <c r="H106" i="1"/>
  <c r="E106" i="1"/>
  <c r="C106" i="1"/>
  <c r="R105" i="1"/>
  <c r="P105" i="1"/>
  <c r="N105" i="1"/>
  <c r="L105" i="1"/>
  <c r="H105" i="1"/>
  <c r="E105" i="1"/>
  <c r="C105" i="1"/>
  <c r="R104" i="1"/>
  <c r="P104" i="1"/>
  <c r="N104" i="1"/>
  <c r="L104" i="1"/>
  <c r="H104" i="1"/>
  <c r="E104" i="1"/>
  <c r="C104" i="1"/>
  <c r="R103" i="1"/>
  <c r="P103" i="1"/>
  <c r="N103" i="1"/>
  <c r="L103" i="1"/>
  <c r="H103" i="1"/>
  <c r="E103" i="1"/>
  <c r="C103" i="1"/>
  <c r="R102" i="1"/>
  <c r="P102" i="1"/>
  <c r="N102" i="1"/>
  <c r="L102" i="1"/>
  <c r="H102" i="1"/>
  <c r="E102" i="1"/>
  <c r="C102" i="1"/>
  <c r="R101" i="1"/>
  <c r="P101" i="1"/>
  <c r="N101" i="1"/>
  <c r="L101" i="1"/>
  <c r="H101" i="1"/>
  <c r="E101" i="1"/>
  <c r="C101" i="1"/>
  <c r="R100" i="1"/>
  <c r="P100" i="1"/>
  <c r="N100" i="1"/>
  <c r="L100" i="1"/>
  <c r="H100" i="1"/>
  <c r="E100" i="1"/>
  <c r="C100" i="1"/>
  <c r="R99" i="1"/>
  <c r="P99" i="1"/>
  <c r="N99" i="1"/>
  <c r="L99" i="1"/>
  <c r="H99" i="1"/>
  <c r="E99" i="1"/>
  <c r="C99" i="1"/>
  <c r="R98" i="1"/>
  <c r="P98" i="1"/>
  <c r="N98" i="1"/>
  <c r="L98" i="1"/>
  <c r="H98" i="1"/>
  <c r="E98" i="1"/>
  <c r="C98" i="1"/>
  <c r="R97" i="1"/>
  <c r="P97" i="1"/>
  <c r="N97" i="1"/>
  <c r="L97" i="1"/>
  <c r="H97" i="1"/>
  <c r="E97" i="1"/>
  <c r="C97" i="1"/>
  <c r="R96" i="1"/>
  <c r="P96" i="1"/>
  <c r="N96" i="1"/>
  <c r="L96" i="1"/>
  <c r="H96" i="1"/>
  <c r="E96" i="1"/>
  <c r="C96" i="1"/>
  <c r="R95" i="1"/>
  <c r="P95" i="1"/>
  <c r="N95" i="1"/>
  <c r="L95" i="1"/>
  <c r="H95" i="1"/>
  <c r="E95" i="1"/>
  <c r="C95" i="1"/>
  <c r="R94" i="1"/>
  <c r="P94" i="1"/>
  <c r="N94" i="1"/>
  <c r="L94" i="1"/>
  <c r="H94" i="1"/>
  <c r="E94" i="1"/>
  <c r="C94" i="1"/>
  <c r="R93" i="1"/>
  <c r="P93" i="1"/>
  <c r="N93" i="1"/>
  <c r="L93" i="1"/>
  <c r="H93" i="1"/>
  <c r="E93" i="1"/>
  <c r="C93" i="1"/>
  <c r="R92" i="1"/>
  <c r="P92" i="1"/>
  <c r="N92" i="1"/>
  <c r="L92" i="1"/>
  <c r="H92" i="1"/>
  <c r="E92" i="1"/>
  <c r="C92" i="1"/>
  <c r="R91" i="1"/>
  <c r="P91" i="1"/>
  <c r="N91" i="1"/>
  <c r="L91" i="1"/>
  <c r="H91" i="1"/>
  <c r="E91" i="1"/>
  <c r="C91" i="1"/>
  <c r="R90" i="1"/>
  <c r="P90" i="1"/>
  <c r="N90" i="1"/>
  <c r="L90" i="1"/>
  <c r="H90" i="1"/>
  <c r="E90" i="1"/>
  <c r="C90" i="1"/>
  <c r="R89" i="1"/>
  <c r="P89" i="1"/>
  <c r="N89" i="1"/>
  <c r="L89" i="1"/>
  <c r="H89" i="1"/>
  <c r="E89" i="1"/>
  <c r="C89" i="1"/>
  <c r="R88" i="1"/>
  <c r="P88" i="1"/>
  <c r="N88" i="1"/>
  <c r="L88" i="1"/>
  <c r="H88" i="1"/>
  <c r="E88" i="1"/>
  <c r="C88" i="1"/>
  <c r="R87" i="1"/>
  <c r="P87" i="1"/>
  <c r="N87" i="1"/>
  <c r="L87" i="1"/>
  <c r="H87" i="1"/>
  <c r="E87" i="1"/>
  <c r="C87" i="1"/>
  <c r="R86" i="1"/>
  <c r="P86" i="1"/>
  <c r="N86" i="1"/>
  <c r="L86" i="1"/>
  <c r="H86" i="1"/>
  <c r="E86" i="1"/>
  <c r="C86" i="1"/>
  <c r="R85" i="1"/>
  <c r="P85" i="1"/>
  <c r="N85" i="1"/>
  <c r="L85" i="1"/>
  <c r="H85" i="1"/>
  <c r="E85" i="1"/>
  <c r="C85" i="1"/>
  <c r="R84" i="1"/>
  <c r="P84" i="1"/>
  <c r="N84" i="1"/>
  <c r="L84" i="1"/>
  <c r="H84" i="1"/>
  <c r="E84" i="1"/>
  <c r="C84" i="1"/>
  <c r="R83" i="1"/>
  <c r="P83" i="1"/>
  <c r="N83" i="1"/>
  <c r="L83" i="1"/>
  <c r="H83" i="1"/>
  <c r="E83" i="1"/>
  <c r="C83" i="1"/>
  <c r="R82" i="1"/>
  <c r="P82" i="1"/>
  <c r="N82" i="1"/>
  <c r="L82" i="1"/>
  <c r="H82" i="1"/>
  <c r="E82" i="1"/>
  <c r="C82" i="1"/>
  <c r="R81" i="1"/>
  <c r="P81" i="1"/>
  <c r="N81" i="1"/>
  <c r="L81" i="1"/>
  <c r="H81" i="1"/>
  <c r="E81" i="1"/>
  <c r="C81" i="1"/>
  <c r="R80" i="1"/>
  <c r="P80" i="1"/>
  <c r="N80" i="1"/>
  <c r="L80" i="1"/>
  <c r="H80" i="1"/>
  <c r="E80" i="1"/>
  <c r="C80" i="1"/>
  <c r="R79" i="1"/>
  <c r="P79" i="1"/>
  <c r="N79" i="1"/>
  <c r="L79" i="1"/>
  <c r="H79" i="1"/>
  <c r="E79" i="1"/>
  <c r="C79" i="1"/>
  <c r="R78" i="1"/>
  <c r="P78" i="1"/>
  <c r="N78" i="1"/>
  <c r="L78" i="1"/>
  <c r="H78" i="1"/>
  <c r="E78" i="1"/>
  <c r="C78" i="1"/>
  <c r="R77" i="1"/>
  <c r="P77" i="1"/>
  <c r="N77" i="1"/>
  <c r="L77" i="1"/>
  <c r="H77" i="1"/>
  <c r="E77" i="1"/>
  <c r="C77" i="1"/>
  <c r="R76" i="1"/>
  <c r="P76" i="1"/>
  <c r="N76" i="1"/>
  <c r="L76" i="1"/>
  <c r="H76" i="1"/>
  <c r="E76" i="1"/>
  <c r="C76" i="1"/>
  <c r="R75" i="1"/>
  <c r="P75" i="1"/>
  <c r="N75" i="1"/>
  <c r="L75" i="1"/>
  <c r="H75" i="1"/>
  <c r="E75" i="1"/>
  <c r="C75" i="1"/>
  <c r="R74" i="1"/>
  <c r="P74" i="1"/>
  <c r="N74" i="1"/>
  <c r="L74" i="1"/>
  <c r="H74" i="1"/>
  <c r="E74" i="1"/>
  <c r="C74" i="1"/>
  <c r="R73" i="1"/>
  <c r="P73" i="1"/>
  <c r="N73" i="1"/>
  <c r="L73" i="1"/>
  <c r="H73" i="1"/>
  <c r="E73" i="1"/>
  <c r="C73" i="1"/>
  <c r="R72" i="1"/>
  <c r="P72" i="1"/>
  <c r="N72" i="1"/>
  <c r="L72" i="1"/>
  <c r="H72" i="1"/>
  <c r="E72" i="1"/>
  <c r="C72" i="1"/>
  <c r="R71" i="1"/>
  <c r="P71" i="1"/>
  <c r="N71" i="1"/>
  <c r="L71" i="1"/>
  <c r="H71" i="1"/>
  <c r="E71" i="1"/>
  <c r="C71" i="1"/>
  <c r="R70" i="1"/>
  <c r="P70" i="1"/>
  <c r="N70" i="1"/>
  <c r="L70" i="1"/>
  <c r="H70" i="1"/>
  <c r="E70" i="1"/>
  <c r="C70" i="1"/>
  <c r="R69" i="1"/>
  <c r="P69" i="1"/>
  <c r="N69" i="1"/>
  <c r="L69" i="1"/>
  <c r="H69" i="1"/>
  <c r="E69" i="1"/>
  <c r="C69" i="1"/>
  <c r="R68" i="1"/>
  <c r="P68" i="1"/>
  <c r="N68" i="1"/>
  <c r="L68" i="1"/>
  <c r="H68" i="1"/>
  <c r="E68" i="1"/>
  <c r="C68" i="1"/>
  <c r="R67" i="1"/>
  <c r="P67" i="1"/>
  <c r="N67" i="1"/>
  <c r="L67" i="1"/>
  <c r="H67" i="1"/>
  <c r="E67" i="1"/>
  <c r="C67" i="1"/>
  <c r="R66" i="1"/>
  <c r="P66" i="1"/>
  <c r="N66" i="1"/>
  <c r="L66" i="1"/>
  <c r="H66" i="1"/>
  <c r="E66" i="1"/>
  <c r="C66" i="1"/>
  <c r="R65" i="1"/>
  <c r="P65" i="1"/>
  <c r="N65" i="1"/>
  <c r="L65" i="1"/>
  <c r="H65" i="1"/>
  <c r="E65" i="1"/>
  <c r="C65" i="1"/>
  <c r="R64" i="1"/>
  <c r="P64" i="1"/>
  <c r="N64" i="1"/>
  <c r="L64" i="1"/>
  <c r="H64" i="1"/>
  <c r="E64" i="1"/>
  <c r="C64" i="1"/>
  <c r="R63" i="1"/>
  <c r="P63" i="1"/>
  <c r="N63" i="1"/>
  <c r="L63" i="1"/>
  <c r="H63" i="1"/>
  <c r="E63" i="1"/>
  <c r="C63" i="1"/>
  <c r="R62" i="1"/>
  <c r="P62" i="1"/>
  <c r="N62" i="1"/>
  <c r="L62" i="1"/>
  <c r="H62" i="1"/>
  <c r="E62" i="1"/>
  <c r="C62" i="1"/>
  <c r="R61" i="1"/>
  <c r="P61" i="1"/>
  <c r="N61" i="1"/>
  <c r="L61" i="1"/>
  <c r="H61" i="1"/>
  <c r="E61" i="1"/>
  <c r="C61" i="1"/>
  <c r="R60" i="1"/>
  <c r="P60" i="1"/>
  <c r="N60" i="1"/>
  <c r="L60" i="1"/>
  <c r="H60" i="1"/>
  <c r="E60" i="1"/>
  <c r="C60" i="1"/>
  <c r="R59" i="1"/>
  <c r="P59" i="1"/>
  <c r="N59" i="1"/>
  <c r="L59" i="1"/>
  <c r="H59" i="1"/>
  <c r="E59" i="1"/>
  <c r="C59" i="1"/>
  <c r="R58" i="1"/>
  <c r="P58" i="1"/>
  <c r="N58" i="1"/>
  <c r="L58" i="1"/>
  <c r="H58" i="1"/>
  <c r="E58" i="1"/>
  <c r="C58" i="1"/>
  <c r="R57" i="1"/>
  <c r="P57" i="1"/>
  <c r="N57" i="1"/>
  <c r="L57" i="1"/>
  <c r="H57" i="1"/>
  <c r="E57" i="1"/>
  <c r="C57" i="1"/>
  <c r="R56" i="1"/>
  <c r="P56" i="1"/>
  <c r="N56" i="1"/>
  <c r="L56" i="1"/>
  <c r="H56" i="1"/>
  <c r="E56" i="1"/>
  <c r="C56" i="1"/>
  <c r="R55" i="1"/>
  <c r="P55" i="1"/>
  <c r="N55" i="1"/>
  <c r="L55" i="1"/>
  <c r="H55" i="1"/>
  <c r="E55" i="1"/>
  <c r="C55" i="1"/>
  <c r="R54" i="1"/>
  <c r="P54" i="1"/>
  <c r="N54" i="1"/>
  <c r="L54" i="1"/>
  <c r="H54" i="1"/>
  <c r="E54" i="1"/>
  <c r="C54" i="1"/>
  <c r="R53" i="1"/>
  <c r="P53" i="1"/>
  <c r="N53" i="1"/>
  <c r="L53" i="1"/>
  <c r="H53" i="1"/>
  <c r="E53" i="1"/>
  <c r="C53" i="1"/>
  <c r="R52" i="1"/>
  <c r="P52" i="1"/>
  <c r="N52" i="1"/>
  <c r="L52" i="1"/>
  <c r="H52" i="1"/>
  <c r="E52" i="1"/>
  <c r="C52" i="1"/>
  <c r="R51" i="1"/>
  <c r="P51" i="1"/>
  <c r="N51" i="1"/>
  <c r="L51" i="1"/>
  <c r="H51" i="1"/>
  <c r="E51" i="1"/>
  <c r="C51" i="1"/>
  <c r="R50" i="1"/>
  <c r="P50" i="1"/>
  <c r="N50" i="1"/>
  <c r="L50" i="1"/>
  <c r="H50" i="1"/>
  <c r="E50" i="1"/>
  <c r="C50" i="1"/>
  <c r="R49" i="1"/>
  <c r="P49" i="1"/>
  <c r="N49" i="1"/>
  <c r="L49" i="1"/>
  <c r="H49" i="1"/>
  <c r="E49" i="1"/>
  <c r="C49" i="1"/>
  <c r="R48" i="1"/>
  <c r="P48" i="1"/>
  <c r="N48" i="1"/>
  <c r="L48" i="1"/>
  <c r="H48" i="1"/>
  <c r="E48" i="1"/>
  <c r="C48" i="1"/>
  <c r="R47" i="1"/>
  <c r="P47" i="1"/>
  <c r="N47" i="1"/>
  <c r="L47" i="1"/>
  <c r="H47" i="1"/>
  <c r="E47" i="1"/>
  <c r="C47" i="1"/>
  <c r="R46" i="1"/>
  <c r="P46" i="1"/>
  <c r="N46" i="1"/>
  <c r="L46" i="1"/>
  <c r="H46" i="1"/>
  <c r="E46" i="1"/>
  <c r="C46" i="1"/>
  <c r="R45" i="1"/>
  <c r="P45" i="1"/>
  <c r="N45" i="1"/>
  <c r="L45" i="1"/>
  <c r="H45" i="1"/>
  <c r="E45" i="1"/>
  <c r="C45" i="1"/>
  <c r="R44" i="1"/>
  <c r="P44" i="1"/>
  <c r="N44" i="1"/>
  <c r="L44" i="1"/>
  <c r="H44" i="1"/>
  <c r="E44" i="1"/>
  <c r="C44" i="1"/>
  <c r="R43" i="1"/>
  <c r="P43" i="1"/>
  <c r="N43" i="1"/>
  <c r="L43" i="1"/>
  <c r="H43" i="1"/>
  <c r="E43" i="1"/>
  <c r="C43" i="1"/>
  <c r="R42" i="1"/>
  <c r="P42" i="1"/>
  <c r="N42" i="1"/>
  <c r="L42" i="1"/>
  <c r="H42" i="1"/>
  <c r="E42" i="1"/>
  <c r="C42" i="1"/>
  <c r="R41" i="1"/>
  <c r="P41" i="1"/>
  <c r="N41" i="1"/>
  <c r="L41" i="1"/>
  <c r="H41" i="1"/>
  <c r="E41" i="1"/>
  <c r="C41" i="1"/>
  <c r="R40" i="1"/>
  <c r="P40" i="1"/>
  <c r="N40" i="1"/>
  <c r="L40" i="1"/>
  <c r="H40" i="1"/>
  <c r="E40" i="1"/>
  <c r="C40" i="1"/>
  <c r="R39" i="1"/>
  <c r="P39" i="1"/>
  <c r="N39" i="1"/>
  <c r="L39" i="1"/>
  <c r="H39" i="1"/>
  <c r="E39" i="1"/>
  <c r="C39" i="1"/>
  <c r="R38" i="1"/>
  <c r="P38" i="1"/>
  <c r="N38" i="1"/>
  <c r="L38" i="1"/>
  <c r="H38" i="1"/>
  <c r="E38" i="1"/>
  <c r="C38" i="1"/>
  <c r="R37" i="1"/>
  <c r="P37" i="1"/>
  <c r="N37" i="1"/>
  <c r="L37" i="1"/>
  <c r="H37" i="1"/>
  <c r="E37" i="1"/>
  <c r="C37" i="1"/>
  <c r="R36" i="1"/>
  <c r="P36" i="1"/>
  <c r="N36" i="1"/>
  <c r="L36" i="1"/>
  <c r="H36" i="1"/>
  <c r="E36" i="1"/>
  <c r="C36" i="1"/>
  <c r="R35" i="1"/>
  <c r="P35" i="1"/>
  <c r="N35" i="1"/>
  <c r="L35" i="1"/>
  <c r="H35" i="1"/>
  <c r="E35" i="1"/>
  <c r="C35" i="1"/>
  <c r="R34" i="1"/>
  <c r="P34" i="1"/>
  <c r="N34" i="1"/>
  <c r="L34" i="1"/>
  <c r="H34" i="1"/>
  <c r="E34" i="1"/>
  <c r="C34" i="1"/>
  <c r="R33" i="1"/>
  <c r="P33" i="1"/>
  <c r="N33" i="1"/>
  <c r="L33" i="1"/>
  <c r="H33" i="1"/>
  <c r="E33" i="1"/>
  <c r="C33" i="1"/>
  <c r="R32" i="1"/>
  <c r="P32" i="1"/>
  <c r="N32" i="1"/>
  <c r="L32" i="1"/>
  <c r="H32" i="1"/>
  <c r="E32" i="1"/>
  <c r="C32" i="1"/>
  <c r="R31" i="1"/>
  <c r="P31" i="1"/>
  <c r="N31" i="1"/>
  <c r="L31" i="1"/>
  <c r="H31" i="1"/>
  <c r="E31" i="1"/>
  <c r="C31" i="1"/>
  <c r="R30" i="1"/>
  <c r="P30" i="1"/>
  <c r="N30" i="1"/>
  <c r="L30" i="1"/>
  <c r="H30" i="1"/>
  <c r="E30" i="1"/>
  <c r="C30" i="1"/>
  <c r="R29" i="1"/>
  <c r="P29" i="1"/>
  <c r="N29" i="1"/>
  <c r="L29" i="1"/>
  <c r="H29" i="1"/>
  <c r="E29" i="1"/>
  <c r="C29" i="1"/>
  <c r="R28" i="1"/>
  <c r="P28" i="1"/>
  <c r="N28" i="1"/>
  <c r="L28" i="1"/>
  <c r="H28" i="1"/>
  <c r="E28" i="1"/>
  <c r="C28" i="1"/>
  <c r="R27" i="1"/>
  <c r="P27" i="1"/>
  <c r="N27" i="1"/>
  <c r="L27" i="1"/>
  <c r="H27" i="1"/>
  <c r="E27" i="1"/>
  <c r="C27" i="1"/>
  <c r="R26" i="1"/>
  <c r="P26" i="1"/>
  <c r="N26" i="1"/>
  <c r="L26" i="1"/>
  <c r="H26" i="1"/>
  <c r="E26" i="1"/>
  <c r="C26" i="1"/>
  <c r="R25" i="1"/>
  <c r="P25" i="1"/>
  <c r="N25" i="1"/>
  <c r="L25" i="1"/>
  <c r="H25" i="1"/>
  <c r="E25" i="1"/>
  <c r="C25" i="1"/>
  <c r="R24" i="1"/>
  <c r="P24" i="1"/>
  <c r="N24" i="1"/>
  <c r="L24" i="1"/>
  <c r="H24" i="1"/>
  <c r="E24" i="1"/>
  <c r="C24" i="1"/>
  <c r="R23" i="1"/>
  <c r="P23" i="1"/>
  <c r="N23" i="1"/>
  <c r="L23" i="1"/>
  <c r="H23" i="1"/>
  <c r="E23" i="1"/>
  <c r="C23" i="1"/>
  <c r="R22" i="1"/>
  <c r="P22" i="1"/>
  <c r="N22" i="1"/>
  <c r="L22" i="1"/>
  <c r="H22" i="1"/>
  <c r="E22" i="1"/>
  <c r="C22" i="1"/>
  <c r="R21" i="1"/>
  <c r="P21" i="1"/>
  <c r="N21" i="1"/>
  <c r="L21" i="1"/>
  <c r="H21" i="1"/>
  <c r="E21" i="1"/>
  <c r="C21" i="1"/>
  <c r="R20" i="1"/>
  <c r="P20" i="1"/>
  <c r="N20" i="1"/>
  <c r="L20" i="1"/>
  <c r="H20" i="1"/>
  <c r="E20" i="1"/>
  <c r="C20" i="1"/>
  <c r="R19" i="1"/>
  <c r="P19" i="1"/>
  <c r="N19" i="1"/>
  <c r="L19" i="1"/>
  <c r="H19" i="1"/>
  <c r="E19" i="1"/>
  <c r="C19" i="1"/>
  <c r="R18" i="1"/>
  <c r="P18" i="1"/>
  <c r="N18" i="1"/>
  <c r="L18" i="1"/>
  <c r="H18" i="1"/>
  <c r="E18" i="1"/>
  <c r="C18" i="1"/>
  <c r="R17" i="1"/>
  <c r="P17" i="1"/>
  <c r="N17" i="1"/>
  <c r="L17" i="1"/>
  <c r="H17" i="1"/>
  <c r="E17" i="1"/>
  <c r="C17" i="1"/>
  <c r="R16" i="1"/>
  <c r="P16" i="1"/>
  <c r="N16" i="1"/>
  <c r="L16" i="1"/>
  <c r="H16" i="1"/>
  <c r="E16" i="1"/>
  <c r="C16" i="1"/>
  <c r="R15" i="1"/>
  <c r="P15" i="1"/>
  <c r="N15" i="1"/>
  <c r="L15" i="1"/>
  <c r="H15" i="1"/>
  <c r="E15" i="1"/>
  <c r="C15" i="1"/>
  <c r="R14" i="1"/>
  <c r="P14" i="1"/>
  <c r="N14" i="1"/>
  <c r="L14" i="1"/>
  <c r="H14" i="1"/>
  <c r="E14" i="1"/>
  <c r="C14" i="1"/>
  <c r="R13" i="1"/>
  <c r="P13" i="1"/>
  <c r="N13" i="1"/>
  <c r="L13" i="1"/>
  <c r="H13" i="1"/>
  <c r="E13" i="1"/>
  <c r="C13" i="1"/>
  <c r="R12" i="1"/>
  <c r="P12" i="1"/>
  <c r="N12" i="1"/>
  <c r="L12" i="1"/>
  <c r="H12" i="1"/>
  <c r="E12" i="1"/>
  <c r="C12" i="1"/>
  <c r="R11" i="1"/>
  <c r="P11" i="1"/>
  <c r="N11" i="1"/>
  <c r="L11" i="1"/>
  <c r="H11" i="1"/>
  <c r="E11" i="1"/>
  <c r="C11" i="1"/>
  <c r="R10" i="1"/>
  <c r="P10" i="1"/>
  <c r="N10" i="1"/>
  <c r="L10" i="1"/>
  <c r="H10" i="1"/>
  <c r="E10" i="1"/>
  <c r="C10" i="1"/>
  <c r="D14" i="6"/>
  <c r="C9" i="1"/>
  <c r="B14" i="6"/>
  <c r="D13" i="6"/>
  <c r="B13" i="6"/>
  <c r="D12" i="6"/>
  <c r="B12" i="6"/>
  <c r="D11" i="6"/>
  <c r="B11" i="6"/>
  <c r="D10" i="6"/>
  <c r="B10" i="6"/>
  <c r="D9" i="6"/>
  <c r="B9" i="6"/>
  <c r="D8" i="6"/>
  <c r="B8" i="6"/>
  <c r="D7" i="6"/>
  <c r="B7" i="6"/>
  <c r="D6" i="6"/>
  <c r="B6" i="6"/>
  <c r="D5" i="6"/>
  <c r="B5" i="6"/>
  <c r="D4" i="6"/>
  <c r="B4" i="6"/>
  <c r="D3" i="6"/>
  <c r="B3" i="6"/>
  <c r="D2" i="6"/>
  <c r="B2" i="6"/>
  <c r="D10" i="3"/>
  <c r="B10" i="3"/>
  <c r="D9" i="3"/>
  <c r="B9" i="3"/>
  <c r="I8" i="3"/>
  <c r="D8" i="3"/>
  <c r="B8" i="3"/>
  <c r="I7" i="3"/>
  <c r="D7" i="3"/>
  <c r="B7" i="3"/>
  <c r="D6" i="3"/>
  <c r="B6" i="3"/>
  <c r="I5" i="3"/>
  <c r="D5" i="3"/>
  <c r="B5" i="3"/>
  <c r="I4" i="3"/>
  <c r="D4" i="3"/>
  <c r="B4" i="3"/>
  <c r="D3" i="3"/>
  <c r="B3" i="3"/>
  <c r="D2" i="3"/>
  <c r="B2" i="3"/>
  <c r="S9" i="1"/>
  <c r="Q9" i="1"/>
  <c r="O9" i="1"/>
  <c r="M9" i="1"/>
  <c r="I9" i="1"/>
  <c r="E9" i="1"/>
  <c r="S8" i="1"/>
  <c r="Q8" i="1"/>
  <c r="O8" i="1"/>
  <c r="M8" i="1"/>
  <c r="I8" i="1"/>
  <c r="E8" i="1"/>
  <c r="S7" i="1"/>
  <c r="Q7" i="1"/>
  <c r="O7" i="1"/>
  <c r="M7" i="1"/>
  <c r="I7" i="1"/>
  <c r="E7" i="1"/>
  <c r="C7" i="1"/>
  <c r="S6" i="1"/>
  <c r="Q6" i="1"/>
  <c r="O6" i="1"/>
  <c r="M6" i="1"/>
  <c r="I6" i="1"/>
  <c r="E6" i="1"/>
  <c r="C6" i="1"/>
  <c r="S5" i="1"/>
  <c r="Q5" i="1"/>
  <c r="O5" i="1"/>
  <c r="M5" i="1"/>
  <c r="I5" i="1"/>
  <c r="G5" i="1"/>
  <c r="E5" i="1"/>
  <c r="C5" i="1"/>
  <c r="S4" i="1"/>
  <c r="Q4" i="1"/>
  <c r="O4" i="1"/>
  <c r="M4" i="1"/>
  <c r="I4" i="1"/>
  <c r="E4" i="1"/>
  <c r="C4" i="1"/>
  <c r="S3" i="1"/>
  <c r="Q3" i="1"/>
  <c r="O3" i="1"/>
  <c r="M3" i="1"/>
  <c r="I3" i="1"/>
  <c r="E3" i="1"/>
  <c r="C3" i="1"/>
  <c r="S2" i="1"/>
  <c r="Q2" i="1"/>
  <c r="O2" i="1"/>
  <c r="M2" i="1"/>
  <c r="I2" i="1"/>
  <c r="E2" i="1"/>
  <c r="C2" i="1"/>
</calcChain>
</file>

<file path=xl/sharedStrings.xml><?xml version="1.0" encoding="utf-8"?>
<sst xmlns="http://schemas.openxmlformats.org/spreadsheetml/2006/main" count="835" uniqueCount="726">
  <si>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</si>
  <si>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</si>
  <si>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</si>
  <si>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</si>
  <si>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</si>
  <si>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</si>
  <si>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</si>
  <si>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</si>
  <si>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</si>
  <si>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</si>
  <si>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</si>
  <si>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</si>
  <si>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</si>
  <si>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</si>
  <si>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</si>
  <si>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</si>
  <si>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</si>
  <si>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</si>
  <si>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</si>
  <si>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</si>
  <si>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</si>
  <si>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</si>
  <si>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</si>
  <si>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</si>
  <si>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</si>
  <si>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</si>
  <si>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</si>
  <si>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</si>
  <si>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</si>
  <si>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</si>
  <si>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</si>
  <si>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</si>
  <si>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</si>
  <si>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</si>
  <si>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</si>
  <si>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</si>
  <si>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</si>
  <si>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</si>
  <si>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</si>
  <si>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</si>
  <si>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</si>
  <si>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</si>
  <si>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</si>
  <si>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</si>
  <si>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</si>
  <si>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</si>
  <si>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</si>
  <si>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</si>
  <si>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</si>
  <si>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</si>
  <si>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</si>
  <si>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</si>
  <si>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</si>
  <si>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</si>
  <si>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</si>
  <si>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</si>
  <si>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</si>
  <si>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</si>
  <si>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</si>
  <si>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</si>
  <si>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</si>
  <si>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</si>
  <si>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</si>
  <si>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</si>
  <si>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</si>
  <si>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</si>
  <si>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</si>
  <si>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</si>
  <si>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</si>
  <si>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</si>
  <si>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</si>
  <si>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</si>
  <si>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</si>
  <si>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</si>
  <si>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</si>
  <si>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</si>
  <si>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</si>
  <si>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</si>
  <si>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</si>
  <si>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</si>
  <si>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</si>
  <si>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</si>
  <si>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</si>
  <si>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</si>
  <si>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</si>
  <si>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</si>
  <si>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</si>
  <si>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</si>
  <si>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</si>
  <si>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</si>
  <si>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</si>
  <si>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</si>
  <si>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</si>
  <si>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</si>
  <si>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</si>
  <si>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</si>
  <si>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</si>
  <si>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</si>
  <si>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</si>
  <si>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</si>
  <si>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</si>
  <si>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</si>
  <si>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</si>
  <si>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</si>
  <si>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</si>
  <si>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</si>
  <si>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</si>
  <si>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</si>
  <si>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</si>
  <si>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</si>
  <si>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</si>
  <si>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</si>
  <si>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</si>
  <si>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</si>
  <si>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</si>
  <si>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</si>
  <si>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</si>
  <si>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</si>
  <si>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</si>
  <si>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</si>
  <si>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</si>
  <si>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</si>
  <si>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</si>
  <si>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</si>
  <si>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</si>
  <si>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</si>
  <si>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</si>
  <si>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</si>
  <si>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</si>
  <si>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</si>
  <si>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</si>
  <si>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</si>
  <si>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</si>
  <si>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</si>
  <si>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</si>
  <si>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</si>
  <si>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</si>
  <si>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</si>
  <si>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</si>
  <si>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</si>
  <si>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</si>
  <si>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</si>
  <si>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</si>
  <si>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</si>
  <si>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</si>
  <si>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</si>
  <si>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</si>
  <si>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</si>
  <si>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</si>
  <si>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</si>
  <si>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</si>
  <si>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</si>
  <si>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</si>
  <si>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</si>
  <si>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</si>
  <si>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</si>
  <si>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</si>
  <si>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</si>
  <si>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</si>
  <si>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</si>
  <si>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</si>
  <si>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</si>
  <si>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</si>
  <si>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</si>
  <si>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</si>
  <si>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</si>
  <si>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</si>
  <si>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</si>
  <si>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</si>
  <si>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</si>
  <si>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</si>
  <si>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</si>
  <si>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</si>
  <si>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</si>
  <si>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</si>
  <si>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</si>
  <si>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</si>
  <si>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</si>
  <si>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</si>
  <si>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</si>
  <si>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</si>
  <si>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</si>
  <si>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</si>
  <si>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</si>
  <si>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</si>
  <si>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</si>
  <si>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</si>
  <si>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</si>
  <si>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</si>
  <si>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</si>
  <si>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</si>
  <si>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</si>
  <si>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</si>
  <si>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</si>
  <si>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</si>
  <si>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</si>
  <si>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</si>
  <si>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</si>
  <si>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</si>
  <si>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</si>
  <si>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</si>
  <si>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</si>
  <si>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</si>
  <si>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</si>
  <si>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</si>
  <si>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</si>
  <si>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</si>
  <si>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</si>
  <si>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</si>
  <si>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</si>
  <si>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</si>
  <si>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</si>
  <si>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</si>
  <si>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</si>
  <si>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</si>
  <si>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</si>
  <si>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</si>
  <si>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</si>
  <si>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</si>
  <si>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</si>
  <si>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</si>
  <si>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</si>
  <si>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</si>
  <si>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</si>
  <si>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</si>
  <si>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</si>
  <si>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</si>
  <si>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</si>
  <si>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</si>
  <si>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</si>
  <si>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</si>
  <si>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</si>
  <si>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</si>
  <si>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</si>
  <si>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</si>
  <si>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</si>
  <si>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</si>
  <si>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</si>
  <si>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</si>
  <si>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</si>
  <si>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</si>
  <si>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</si>
  <si>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</si>
  <si>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</si>
  <si>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</si>
  <si>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</si>
  <si>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</si>
  <si>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</si>
  <si>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</si>
  <si>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</si>
  <si>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</si>
  <si>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</si>
  <si>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</si>
  <si>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</si>
  <si>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</si>
  <si>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</si>
  <si>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</si>
  <si>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</si>
  <si>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</si>
  <si>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</si>
  <si>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</si>
  <si>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/nのATKアップ値が/f[f,0,3]になる</t>
  </si>
  <si>
    <t>/nのHp回復値が/f[f,0,3]になる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</si>
  <si>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</si>
  <si>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</si>
  <si>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</si>
  <si>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</si>
  <si>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</si>
  <si>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</si>
  <si>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</si>
  <si>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</si>
  <si>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</si>
  <si>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</si>
  <si>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</si>
  <si>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</si>
  <si>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</si>
  <si>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</si>
  <si>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</si>
  <si>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</si>
  <si>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</si>
  <si>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</si>
  <si>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</si>
  <si>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</si>
  <si>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</si>
  <si>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</si>
  <si>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</si>
  <si>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</si>
  <si>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</si>
  <si>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</si>
  <si>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</si>
  <si>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</si>
  <si>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</si>
  <si>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</si>
  <si>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</si>
  <si>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</si>
  <si>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</si>
  <si>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</si>
  <si>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</si>
  <si>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</si>
  <si>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</si>
  <si>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</si>
  <si>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</si>
  <si>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</si>
  <si>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</si>
  <si>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</si>
  <si>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</si>
  <si>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</si>
  <si>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</si>
  <si>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</si>
  <si>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</si>
  <si>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</si>
  <si>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</si>
  <si>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</si>
  <si>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</si>
  <si>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</si>
  <si>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</si>
  <si>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</si>
  <si>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</si>
  <si>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</si>
  <si>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</si>
  <si>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</si>
  <si>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</si>
  <si>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</si>
  <si>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</si>
  <si>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</si>
  <si>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</si>
  <si>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</si>
  <si>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</si>
  <si>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</si>
  <si>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</si>
  <si>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</si>
  <si>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</si>
  <si>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</si>
  <si>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</si>
  <si>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</si>
  <si>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</si>
  <si>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</si>
  <si>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</si>
  <si>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</si>
  <si>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</si>
  <si>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</si>
  <si>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</si>
  <si>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</si>
  <si>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</si>
  <si>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</si>
  <si>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</si>
  <si>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</si>
  <si>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</si>
  <si>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</si>
  <si>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</si>
  <si>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</si>
  <si>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</si>
  <si>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</si>
  <si>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</si>
  <si>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</si>
  <si>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</si>
  <si>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</si>
  <si>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</si>
  <si>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</si>
  <si>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</si>
  <si>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</si>
  <si>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</si>
  <si>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</si>
  <si>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</si>
  <si>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</si>
  <si>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</si>
  <si>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</si>
  <si>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</si>
  <si>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</si>
  <si>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</si>
  <si>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</si>
  <si>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</si>
  <si>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</si>
  <si>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</si>
  <si>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</si>
  <si>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</si>
  <si>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</si>
  <si>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</si>
  <si>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</si>
  <si>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</si>
  <si>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</si>
  <si>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</si>
  <si>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</si>
  <si>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</si>
  <si>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</si>
  <si>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</si>
  <si>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</si>
  <si>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</si>
  <si>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</si>
  <si>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</si>
  <si>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</si>
  <si>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</si>
  <si>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</si>
  <si>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</si>
  <si>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</si>
  <si>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</si>
  <si>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</si>
  <si>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</si>
  <si>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</si>
  <si>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</si>
  <si>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</si>
  <si>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</si>
  <si>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</si>
  <si>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</si>
  <si>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</si>
  <si>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</si>
  <si>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</si>
  <si>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</si>
  <si>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</si>
  <si>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</si>
  <si>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</si>
  <si>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</si>
  <si>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</si>
  <si>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</si>
  <si>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</si>
  <si>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</si>
  <si>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</si>
  <si>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</si>
  <si>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</si>
  <si>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</si>
  <si>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</si>
  <si>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</si>
  <si>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</si>
  <si>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</si>
  <si>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</si>
  <si>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</si>
  <si>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</si>
  <si>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</si>
  <si>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</si>
  <si>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</si>
  <si>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</si>
  <si>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</si>
  <si>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</si>
  <si>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</si>
  <si>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</si>
  <si>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</si>
  <si>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</si>
  <si>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</si>
  <si>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</si>
  <si>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</si>
  <si>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</si>
  <si>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</si>
  <si>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</si>
  <si>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</si>
  <si>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</si>
  <si>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</si>
  <si>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</si>
  <si>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</si>
  <si>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</si>
  <si>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</si>
  <si>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</si>
  <si>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</si>
  <si>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</si>
  <si>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</si>
  <si>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</si>
  <si>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</si>
  <si>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</si>
  <si>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</si>
  <si>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</si>
  <si>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</si>
  <si>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</si>
  <si>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</si>
  <si>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</si>
  <si>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</si>
  <si>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</si>
  <si>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</si>
  <si>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</si>
  <si>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</si>
  <si>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</si>
  <si>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</si>
  <si>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</si>
  <si>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</si>
  <si>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</si>
  <si>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</si>
  <si>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</si>
  <si>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</si>
  <si>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</si>
  <si>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</si>
  <si>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</si>
  <si>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</si>
  <si>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</si>
  <si>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</si>
  <si>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</si>
  <si>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</si>
  <si>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</si>
  <si>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</si>
  <si>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</si>
  <si>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</si>
  <si>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</si>
  <si>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</si>
  <si>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</si>
  <si>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</si>
  <si>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</si>
  <si>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</si>
  <si>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</si>
  <si>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</si>
  <si>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</si>
  <si>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</si>
  <si>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</si>
  <si>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</si>
  <si>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</si>
  <si>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</si>
  <si>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</si>
  <si>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</si>
  <si>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</si>
  <si>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</si>
  <si>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</si>
  <si>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</si>
  <si>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</si>
  <si>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</si>
  <si>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</si>
  <si>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</si>
  <si>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</si>
  <si>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</si>
  <si>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</si>
  <si>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</si>
  <si>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</si>
  <si>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</si>
  <si>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</si>
  <si>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</si>
  <si>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</si>
  <si>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</si>
  <si>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</si>
  <si>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</si>
  <si>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</si>
  <si>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</si>
  <si>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</si>
  <si>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</si>
  <si>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</si>
  <si>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</si>
  <si>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</si>
  <si>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</si>
  <si>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</si>
  <si>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</si>
  <si>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</si>
  <si>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</si>
  <si>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</si>
  <si>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</si>
  <si>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</si>
  <si>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</si>
  <si>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</si>
  <si>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</si>
  <si>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</si>
  <si>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</si>
  <si>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</si>
  <si>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</si>
  <si>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</si>
  <si>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</si>
  <si>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</si>
  <si>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</si>
  <si>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</si>
  <si>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</si>
  <si>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</si>
  <si>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</si>
  <si>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</si>
  <si>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</si>
  <si>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</si>
  <si>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</si>
  <si>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</si>
  <si>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</si>
  <si>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</si>
  <si>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</si>
  <si>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</si>
  <si>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</si>
  <si>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</si>
  <si>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</si>
  <si>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</si>
  <si>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</si>
  <si>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</si>
  <si>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</si>
  <si>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</si>
  <si>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</si>
  <si>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</si>
  <si>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</si>
  <si>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</si>
  <si>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</si>
  <si>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</si>
  <si>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</si>
  <si>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</si>
  <si>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</si>
  <si>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</si>
  <si>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</si>
  <si>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</si>
  <si>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</si>
  <si>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</si>
  <si>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</si>
  <si>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</si>
  <si>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</si>
  <si>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</si>
  <si>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</si>
  <si>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</si>
  <si>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</si>
  <si>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</si>
  <si>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</si>
  <si>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</si>
  <si>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</si>
  <si>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</si>
  <si>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</si>
  <si>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</si>
  <si>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</si>
  <si>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</si>
  <si>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</si>
  <si>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</si>
  <si>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</si>
  <si>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</si>
  <si>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</si>
  <si>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</si>
  <si>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</si>
  <si>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</si>
  <si>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</si>
  <si>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</si>
  <si>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</si>
  <si>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</si>
  <si>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</si>
  <si>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</si>
  <si>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</si>
  <si>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</si>
  <si>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</si>
  <si>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</si>
  <si>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</si>
  <si>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</si>
  <si>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</si>
  <si>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</si>
  <si>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</si>
  <si>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</si>
  <si>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</si>
  <si>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</si>
  <si>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</si>
  <si>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</si>
  <si>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</si>
  <si>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</si>
  <si>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</si>
  <si>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</si>
  <si>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</si>
  <si>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</si>
  <si>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</si>
  <si>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</si>
  <si>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</si>
  <si>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</si>
  <si>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</si>
  <si>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</si>
  <si>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</si>
  <si>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</si>
  <si>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</si>
  <si>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</si>
  <si>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</si>
  <si>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</si>
  <si>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</si>
  <si>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</si>
  <si>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</si>
  <si>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</si>
  <si>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</si>
  <si>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</si>
  <si>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</si>
  <si>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</si>
  <si>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</si>
  <si>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</si>
  <si>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</si>
  <si>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</si>
  <si>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</si>
  <si>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</si>
  <si>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</si>
  <si>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</si>
  <si>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</si>
  <si>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</si>
  <si>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</si>
  <si>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</si>
  <si>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</si>
  <si>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</si>
  <si>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</si>
  <si>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</si>
  <si>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</si>
  <si>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</si>
  <si>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</si>
  <si>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</si>
  <si>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</si>
  <si>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</si>
  <si>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</si>
  <si>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</si>
  <si>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</si>
  <si>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</si>
  <si>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</si>
  <si>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</si>
  <si>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</si>
  <si>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</si>
  <si>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</si>
  <si>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</si>
  <si>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</si>
  <si>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</si>
  <si>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</si>
  <si>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</si>
  <si>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</si>
  <si>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</si>
  <si>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</si>
  <si>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</si>
  <si>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</si>
  <si>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</si>
  <si>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</si>
  <si>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</si>
  <si>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</si>
  <si>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</si>
  <si>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</si>
  <si>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</si>
  <si>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</si>
  <si>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</si>
  <si>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</si>
  <si>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</si>
  <si>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</si>
  <si>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</si>
  <si>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</si>
  <si>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</si>
  <si>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</si>
  <si>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</si>
  <si>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</si>
  <si>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</si>
  <si>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</si>
  <si>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</si>
  <si>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</si>
  <si>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</si>
  <si>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</si>
  <si>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\sに/f[f,0,2]ターン命中率/f[f,0,3]%ダウンを付与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</si>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</sst>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Data\_Skills.xlsx" TargetMode="External"/><Relationship Id="rId1" Type="http://schemas.openxmlformats.org/officeDocument/2006/relationships/externalLinkPath" Target="/Users/User/Desktop/Data/_Skill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tat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>
        <row r="1">
          <cell r="A1" t="str">
            <v>Id</v>
          </cell>
          <cell r="C1" t="str">
            <v>Name</v>
          </cell>
        </row>
        <row r="2">
          <cell r="A2">
            <v>0</v>
          </cell>
          <cell r="C2" t="str">
            <v>-</v>
          </cell>
        </row>
        <row r="3">
          <cell r="A3">
            <v>1</v>
          </cell>
          <cell r="C3" t="str">
            <v>攻撃</v>
          </cell>
        </row>
        <row r="4">
          <cell r="A4">
            <v>2</v>
          </cell>
          <cell r="C4" t="str">
            <v>攻撃</v>
          </cell>
        </row>
        <row r="5">
          <cell r="A5">
            <v>11</v>
          </cell>
          <cell r="C5" t="str">
            <v>覚醒</v>
          </cell>
        </row>
        <row r="6">
          <cell r="A6">
            <v>21</v>
          </cell>
          <cell r="C6" t="str">
            <v>覚醒解除</v>
          </cell>
        </row>
        <row r="7">
          <cell r="A7">
            <v>31</v>
          </cell>
          <cell r="C7" t="str">
            <v>拘束制御</v>
          </cell>
        </row>
        <row r="8">
          <cell r="A8">
            <v>32</v>
          </cell>
          <cell r="C8" t="str">
            <v>拘束ダメージ解除</v>
          </cell>
        </row>
        <row r="9">
          <cell r="A9">
            <v>33</v>
          </cell>
          <cell r="C9" t="str">
            <v>居合</v>
          </cell>
        </row>
        <row r="10">
          <cell r="A10">
            <v>1010</v>
          </cell>
          <cell r="C10" t="str">
            <v>ファイアボール</v>
          </cell>
        </row>
        <row r="11">
          <cell r="A11">
            <v>1020</v>
          </cell>
          <cell r="C11" t="str">
            <v>バーンストーム</v>
          </cell>
        </row>
        <row r="12">
          <cell r="A12">
            <v>1030</v>
          </cell>
          <cell r="C12" t="str">
            <v>ヒートスタンプ</v>
          </cell>
        </row>
        <row r="13">
          <cell r="A13">
            <v>1040</v>
          </cell>
          <cell r="C13" t="str">
            <v>ソードアダプト</v>
          </cell>
        </row>
        <row r="14">
          <cell r="A14">
            <v>1050</v>
          </cell>
          <cell r="C14" t="str">
            <v>フレイムレイン</v>
          </cell>
        </row>
        <row r="15">
          <cell r="A15">
            <v>1060</v>
          </cell>
          <cell r="C15" t="str">
            <v>イクスティンクション</v>
          </cell>
        </row>
        <row r="16">
          <cell r="A16">
            <v>1070</v>
          </cell>
          <cell r="C16" t="str">
            <v>バーニングソウル</v>
          </cell>
        </row>
        <row r="17">
          <cell r="A17">
            <v>1080</v>
          </cell>
          <cell r="C17" t="str">
            <v>レイジングバウンサー</v>
          </cell>
        </row>
        <row r="18">
          <cell r="A18">
            <v>2010</v>
          </cell>
          <cell r="C18" t="str">
            <v>ディスチャージ</v>
          </cell>
        </row>
        <row r="19">
          <cell r="A19">
            <v>2020</v>
          </cell>
          <cell r="C19" t="str">
            <v>イベイドコード</v>
          </cell>
        </row>
        <row r="20">
          <cell r="A20">
            <v>2030</v>
          </cell>
          <cell r="C20" t="str">
            <v>ショックインパルス</v>
          </cell>
        </row>
        <row r="21">
          <cell r="A21">
            <v>2040</v>
          </cell>
          <cell r="C21" t="str">
            <v>トラストチェイン</v>
          </cell>
        </row>
        <row r="22">
          <cell r="A22">
            <v>2050</v>
          </cell>
          <cell r="C22" t="str">
            <v>スペルバニシング</v>
          </cell>
        </row>
        <row r="23">
          <cell r="A23">
            <v>2060</v>
          </cell>
          <cell r="C23" t="str">
            <v>アーテニーストライク</v>
          </cell>
        </row>
        <row r="24">
          <cell r="A24">
            <v>2061</v>
          </cell>
          <cell r="C24" t="str">
            <v>アーテニーストライク</v>
          </cell>
        </row>
        <row r="25">
          <cell r="A25">
            <v>2070</v>
          </cell>
          <cell r="C25" t="str">
            <v>コンセントレイト</v>
          </cell>
        </row>
        <row r="26">
          <cell r="A26">
            <v>2080</v>
          </cell>
          <cell r="C26" t="str">
            <v>ディレイマジック</v>
          </cell>
        </row>
        <row r="27">
          <cell r="A27">
            <v>3010</v>
          </cell>
          <cell r="C27" t="str">
            <v>アイスブレイド</v>
          </cell>
        </row>
        <row r="28">
          <cell r="A28">
            <v>3020</v>
          </cell>
          <cell r="C28" t="str">
            <v>カウンターオーラ</v>
          </cell>
        </row>
        <row r="29">
          <cell r="A29">
            <v>3030</v>
          </cell>
          <cell r="C29" t="str">
            <v>ラインプロテクト</v>
          </cell>
        </row>
        <row r="30">
          <cell r="A30">
            <v>3040</v>
          </cell>
          <cell r="C30" t="str">
            <v>エスコートソール</v>
          </cell>
        </row>
        <row r="31">
          <cell r="A31">
            <v>3050</v>
          </cell>
          <cell r="C31" t="str">
            <v>ディープフリーズ</v>
          </cell>
        </row>
        <row r="32">
          <cell r="A32">
            <v>3060</v>
          </cell>
          <cell r="C32" t="str">
            <v>バブルブロウ</v>
          </cell>
        </row>
        <row r="33">
          <cell r="A33">
            <v>3070</v>
          </cell>
          <cell r="C33" t="str">
            <v>アクアミラージュ</v>
          </cell>
        </row>
        <row r="34">
          <cell r="A34">
            <v>3080</v>
          </cell>
          <cell r="C34" t="str">
            <v>フロストシールド</v>
          </cell>
        </row>
        <row r="35">
          <cell r="A35">
            <v>4010</v>
          </cell>
          <cell r="C35" t="str">
            <v>セイントレーザー</v>
          </cell>
        </row>
        <row r="36">
          <cell r="A36">
            <v>4020</v>
          </cell>
          <cell r="C36" t="str">
            <v>ペネトレイト</v>
          </cell>
        </row>
        <row r="37">
          <cell r="A37">
            <v>4030</v>
          </cell>
          <cell r="C37" t="str">
            <v>ヒーリング</v>
          </cell>
        </row>
        <row r="38">
          <cell r="A38">
            <v>4040</v>
          </cell>
          <cell r="C38" t="str">
            <v>リザイアフォトン</v>
          </cell>
        </row>
        <row r="39">
          <cell r="A39">
            <v>4050</v>
          </cell>
          <cell r="C39" t="str">
            <v>べネディクション</v>
          </cell>
        </row>
        <row r="40">
          <cell r="A40">
            <v>4060</v>
          </cell>
          <cell r="C40" t="str">
            <v>ホーリーグレイス</v>
          </cell>
        </row>
        <row r="41">
          <cell r="A41">
            <v>4070</v>
          </cell>
          <cell r="C41" t="str">
            <v>キュアエール</v>
          </cell>
        </row>
        <row r="42">
          <cell r="A42">
            <v>4080</v>
          </cell>
          <cell r="C42" t="str">
            <v>ラインバリア</v>
          </cell>
        </row>
        <row r="43">
          <cell r="A43">
            <v>5010</v>
          </cell>
          <cell r="C43" t="str">
            <v>ダークプリズン</v>
          </cell>
        </row>
        <row r="44">
          <cell r="A44">
            <v>5020</v>
          </cell>
          <cell r="C44" t="str">
            <v>ユーサネイジア</v>
          </cell>
        </row>
        <row r="45">
          <cell r="A45">
            <v>5030</v>
          </cell>
          <cell r="C45" t="str">
            <v>ドレインヒール</v>
          </cell>
        </row>
        <row r="46">
          <cell r="A46">
            <v>5040</v>
          </cell>
          <cell r="C46" t="str">
            <v>アビサルデスペア</v>
          </cell>
        </row>
        <row r="47">
          <cell r="A47">
            <v>5050</v>
          </cell>
          <cell r="C47" t="str">
            <v>ディプラヴィティ</v>
          </cell>
        </row>
        <row r="48">
          <cell r="A48">
            <v>5060</v>
          </cell>
          <cell r="C48" t="str">
            <v>ダークネス</v>
          </cell>
        </row>
        <row r="49">
          <cell r="A49">
            <v>5070</v>
          </cell>
          <cell r="C49" t="str">
            <v>シェイディークラウド</v>
          </cell>
        </row>
        <row r="50">
          <cell r="A50">
            <v>5080</v>
          </cell>
          <cell r="C50" t="str">
            <v>ポイズンブロウ</v>
          </cell>
        </row>
        <row r="51">
          <cell r="A51">
            <v>10010</v>
          </cell>
          <cell r="C51" t="str">
            <v>アンデッド</v>
          </cell>
        </row>
        <row r="52">
          <cell r="A52">
            <v>10020</v>
          </cell>
          <cell r="C52" t="str">
            <v>エアリアル</v>
          </cell>
        </row>
        <row r="53">
          <cell r="A53">
            <v>10030</v>
          </cell>
          <cell r="C53" t="str">
            <v>悪魔</v>
          </cell>
        </row>
        <row r="54">
          <cell r="A54">
            <v>10040</v>
          </cell>
          <cell r="C54" t="str">
            <v>クリーチャー</v>
          </cell>
        </row>
        <row r="55">
          <cell r="A55">
            <v>10050</v>
          </cell>
          <cell r="C55" t="str">
            <v>野生の記憶</v>
          </cell>
        </row>
        <row r="56">
          <cell r="A56">
            <v>10060</v>
          </cell>
          <cell r="C56" t="str">
            <v>変異生物</v>
          </cell>
        </row>
        <row r="57">
          <cell r="A57">
            <v>11010</v>
          </cell>
          <cell r="C57" t="str">
            <v>ウルフソウル</v>
          </cell>
        </row>
        <row r="58">
          <cell r="A58">
            <v>11020</v>
          </cell>
          <cell r="C58" t="str">
            <v>プリディカメント</v>
          </cell>
        </row>
        <row r="59">
          <cell r="A59">
            <v>11030</v>
          </cell>
          <cell r="C59" t="str">
            <v>アサルトシフト</v>
          </cell>
        </row>
        <row r="60">
          <cell r="A60">
            <v>11040</v>
          </cell>
          <cell r="C60" t="str">
            <v>アクティブギフト</v>
          </cell>
        </row>
        <row r="61">
          <cell r="A61">
            <v>11050</v>
          </cell>
          <cell r="C61" t="str">
            <v>イグナイテッド</v>
          </cell>
        </row>
        <row r="62">
          <cell r="A62">
            <v>11060</v>
          </cell>
          <cell r="C62" t="str">
            <v>ライジングファイア</v>
          </cell>
        </row>
        <row r="63">
          <cell r="A63">
            <v>11070</v>
          </cell>
          <cell r="C63" t="str">
            <v>ルージュバック</v>
          </cell>
        </row>
        <row r="64">
          <cell r="A64">
            <v>11080</v>
          </cell>
          <cell r="C64" t="str">
            <v>パワーエール</v>
          </cell>
        </row>
        <row r="65">
          <cell r="A65">
            <v>11090</v>
          </cell>
          <cell r="C65" t="str">
            <v>スレイプニル</v>
          </cell>
        </row>
        <row r="66">
          <cell r="A66">
            <v>12010</v>
          </cell>
          <cell r="C66" t="str">
            <v>エクステンション</v>
          </cell>
        </row>
        <row r="67">
          <cell r="A67">
            <v>12020</v>
          </cell>
          <cell r="C67" t="str">
            <v>ヘブンリーラック</v>
          </cell>
        </row>
        <row r="68">
          <cell r="A68">
            <v>12030</v>
          </cell>
          <cell r="C68" t="str">
            <v>スウィフトカレント</v>
          </cell>
        </row>
        <row r="69">
          <cell r="A69">
            <v>12040</v>
          </cell>
          <cell r="C69" t="str">
            <v>イヴェイドオール</v>
          </cell>
        </row>
        <row r="70">
          <cell r="A70">
            <v>12050</v>
          </cell>
          <cell r="C70" t="str">
            <v>クイックムーブ</v>
          </cell>
        </row>
        <row r="71">
          <cell r="A71">
            <v>12060</v>
          </cell>
          <cell r="C71" t="str">
            <v>チェイスマジック</v>
          </cell>
        </row>
        <row r="72">
          <cell r="A72">
            <v>12070</v>
          </cell>
          <cell r="C72" t="str">
            <v>ソーサリーコネクト</v>
          </cell>
        </row>
        <row r="73">
          <cell r="A73">
            <v>12071</v>
          </cell>
          <cell r="C73" t="str">
            <v>ソーサリーコネクト</v>
          </cell>
        </row>
        <row r="74">
          <cell r="A74">
            <v>12080</v>
          </cell>
          <cell r="C74" t="str">
            <v>ウィンドライズ</v>
          </cell>
        </row>
        <row r="75">
          <cell r="A75">
            <v>12090</v>
          </cell>
          <cell r="C75" t="str">
            <v>アウトオブオーダー</v>
          </cell>
        </row>
        <row r="76">
          <cell r="A76">
            <v>13010</v>
          </cell>
          <cell r="C76" t="str">
            <v>アーマーコード</v>
          </cell>
        </row>
        <row r="77">
          <cell r="A77">
            <v>13020</v>
          </cell>
          <cell r="C77" t="str">
            <v>クイックバリア</v>
          </cell>
        </row>
        <row r="78">
          <cell r="A78">
            <v>13030</v>
          </cell>
          <cell r="C78" t="str">
            <v>クイックキュア</v>
          </cell>
        </row>
        <row r="79">
          <cell r="A79">
            <v>13040</v>
          </cell>
          <cell r="C79" t="str">
            <v>セルフシールド</v>
          </cell>
        </row>
        <row r="80">
          <cell r="A80">
            <v>13050</v>
          </cell>
          <cell r="C80" t="str">
            <v>パッシブジャミング</v>
          </cell>
        </row>
        <row r="81">
          <cell r="A81">
            <v>13060</v>
          </cell>
          <cell r="C81" t="str">
            <v>サプライカバー</v>
          </cell>
        </row>
        <row r="82">
          <cell r="A82">
            <v>13070</v>
          </cell>
          <cell r="C82" t="str">
            <v>アシッドラッシュ</v>
          </cell>
        </row>
        <row r="83">
          <cell r="A83">
            <v>13080</v>
          </cell>
          <cell r="C83" t="str">
            <v>ライフスティール</v>
          </cell>
        </row>
        <row r="84">
          <cell r="A84">
            <v>13090</v>
          </cell>
          <cell r="C84" t="str">
            <v>アイスセイバー</v>
          </cell>
        </row>
        <row r="85">
          <cell r="A85">
            <v>14010</v>
          </cell>
          <cell r="C85" t="str">
            <v>ディバインシールド</v>
          </cell>
        </row>
        <row r="86">
          <cell r="A86">
            <v>14020</v>
          </cell>
          <cell r="C86" t="str">
            <v>ライフディバイド</v>
          </cell>
        </row>
        <row r="87">
          <cell r="A87">
            <v>14030</v>
          </cell>
          <cell r="C87" t="str">
            <v>エイミングスコープ</v>
          </cell>
        </row>
        <row r="88">
          <cell r="A88">
            <v>14040</v>
          </cell>
          <cell r="C88" t="str">
            <v>リジェネレーション</v>
          </cell>
        </row>
        <row r="89">
          <cell r="A89">
            <v>14050</v>
          </cell>
          <cell r="C89" t="str">
            <v>ホープフルアイリス</v>
          </cell>
        </row>
        <row r="90">
          <cell r="A90">
            <v>14060</v>
          </cell>
          <cell r="C90" t="str">
            <v>パッシブサプライ</v>
          </cell>
        </row>
        <row r="91">
          <cell r="A91">
            <v>14070</v>
          </cell>
          <cell r="C91" t="str">
            <v>ホーミングクルセイド</v>
          </cell>
        </row>
        <row r="92">
          <cell r="A92">
            <v>14080</v>
          </cell>
          <cell r="C92" t="str">
            <v>クイックヒール</v>
          </cell>
        </row>
        <row r="93">
          <cell r="A93">
            <v>14090</v>
          </cell>
          <cell r="C93" t="str">
            <v>リレイズ</v>
          </cell>
        </row>
        <row r="94">
          <cell r="A94">
            <v>15010</v>
          </cell>
          <cell r="C94" t="str">
            <v>イーグルアイ</v>
          </cell>
        </row>
        <row r="95">
          <cell r="A95">
            <v>15020</v>
          </cell>
          <cell r="C95" t="str">
            <v>ネヴァーエンド</v>
          </cell>
        </row>
        <row r="96">
          <cell r="A96">
            <v>15030</v>
          </cell>
          <cell r="C96" t="str">
            <v>グレイブアクト</v>
          </cell>
        </row>
        <row r="97">
          <cell r="A97">
            <v>15040</v>
          </cell>
          <cell r="C97" t="str">
            <v>スカルグラッジ</v>
          </cell>
        </row>
        <row r="98">
          <cell r="A98">
            <v>15050</v>
          </cell>
          <cell r="C98" t="str">
            <v>ネガティブドレイン</v>
          </cell>
        </row>
        <row r="99">
          <cell r="A99">
            <v>15060</v>
          </cell>
          <cell r="C99" t="str">
            <v>アンデッドペイン</v>
          </cell>
        </row>
        <row r="100">
          <cell r="A100">
            <v>15070</v>
          </cell>
          <cell r="C100" t="str">
            <v>ジャックポッド</v>
          </cell>
        </row>
        <row r="101">
          <cell r="A101">
            <v>15080</v>
          </cell>
          <cell r="C101" t="str">
            <v>ヒールハント</v>
          </cell>
        </row>
        <row r="102">
          <cell r="A102">
            <v>15090</v>
          </cell>
          <cell r="C102" t="str">
            <v>クイックカース</v>
          </cell>
        </row>
        <row r="103">
          <cell r="A103">
            <v>20010</v>
          </cell>
          <cell r="C103" t="str">
            <v>ウェイトユニゾン</v>
          </cell>
        </row>
        <row r="104">
          <cell r="A104">
            <v>100110</v>
          </cell>
          <cell r="C104" t="str">
            <v>ソーイングアームド</v>
          </cell>
        </row>
        <row r="105">
          <cell r="A105">
            <v>100120</v>
          </cell>
          <cell r="C105" t="str">
            <v>エターナルロンド</v>
          </cell>
        </row>
        <row r="106">
          <cell r="A106">
            <v>100210</v>
          </cell>
          <cell r="C106" t="str">
            <v>アブソリュートパリィ</v>
          </cell>
        </row>
        <row r="107">
          <cell r="A107">
            <v>100220</v>
          </cell>
          <cell r="C107" t="str">
            <v>レヴェリー</v>
          </cell>
        </row>
        <row r="108">
          <cell r="A108">
            <v>100310</v>
          </cell>
          <cell r="C108" t="str">
            <v>セイクリッドバリア</v>
          </cell>
        </row>
        <row r="109">
          <cell r="A109">
            <v>100320</v>
          </cell>
          <cell r="C109" t="str">
            <v>リベンジニードル</v>
          </cell>
        </row>
        <row r="110">
          <cell r="A110">
            <v>100410</v>
          </cell>
          <cell r="C110" t="str">
            <v>アバンデンス</v>
          </cell>
        </row>
        <row r="111">
          <cell r="A111">
            <v>100420</v>
          </cell>
          <cell r="C111" t="str">
            <v>ハーヴェスト</v>
          </cell>
        </row>
        <row r="112">
          <cell r="A112">
            <v>100510</v>
          </cell>
          <cell r="C112" t="str">
            <v>カースドブレイク</v>
          </cell>
        </row>
        <row r="113">
          <cell r="A113">
            <v>100520</v>
          </cell>
          <cell r="C113" t="str">
            <v>ムーンライトレイ</v>
          </cell>
        </row>
        <row r="114">
          <cell r="A114">
            <v>100610</v>
          </cell>
          <cell r="C114" t="str">
            <v>サンフレイム</v>
          </cell>
        </row>
        <row r="115">
          <cell r="A115">
            <v>100620</v>
          </cell>
          <cell r="C115" t="str">
            <v>フレイムタン</v>
          </cell>
        </row>
        <row r="116">
          <cell r="A116">
            <v>100710</v>
          </cell>
          <cell r="C116" t="str">
            <v>ライズザフラッグ</v>
          </cell>
        </row>
        <row r="117">
          <cell r="A117">
            <v>100720</v>
          </cell>
          <cell r="C117" t="str">
            <v>オーバーリミット</v>
          </cell>
        </row>
        <row r="118">
          <cell r="A118">
            <v>100810</v>
          </cell>
          <cell r="C118" t="str">
            <v>テンパランス</v>
          </cell>
        </row>
        <row r="119">
          <cell r="A119">
            <v>100820</v>
          </cell>
          <cell r="C119" t="str">
            <v>シエルクルセイダー</v>
          </cell>
        </row>
        <row r="120">
          <cell r="A120">
            <v>100910</v>
          </cell>
          <cell r="C120" t="str">
            <v>バーニングカウンター</v>
          </cell>
        </row>
        <row r="121">
          <cell r="A121">
            <v>100911</v>
          </cell>
          <cell r="C121" t="str">
            <v>バーニングカウンター</v>
          </cell>
        </row>
        <row r="122">
          <cell r="A122">
            <v>100920</v>
          </cell>
          <cell r="C122" t="str">
            <v>プロミネンス</v>
          </cell>
        </row>
        <row r="123">
          <cell r="A123">
            <v>100921</v>
          </cell>
          <cell r="C123" t="str">
            <v>プロミネンス</v>
          </cell>
        </row>
        <row r="124">
          <cell r="A124">
            <v>101010</v>
          </cell>
          <cell r="C124" t="str">
            <v>エウロス</v>
          </cell>
        </row>
        <row r="125">
          <cell r="A125">
            <v>101020</v>
          </cell>
          <cell r="C125" t="str">
            <v>ボレアス</v>
          </cell>
        </row>
        <row r="126">
          <cell r="A126">
            <v>101110</v>
          </cell>
          <cell r="C126" t="str">
            <v>アバランシュ</v>
          </cell>
        </row>
        <row r="127">
          <cell r="A127">
            <v>101120</v>
          </cell>
          <cell r="C127" t="str">
            <v>ブリザードコフィン</v>
          </cell>
        </row>
        <row r="128">
          <cell r="A128">
            <v>200210</v>
          </cell>
          <cell r="C128" t="str">
            <v>マイトレインフォース</v>
          </cell>
        </row>
        <row r="129">
          <cell r="A129">
            <v>200220</v>
          </cell>
          <cell r="C129" t="str">
            <v>カタストロフィ</v>
          </cell>
        </row>
        <row r="130">
          <cell r="A130">
            <v>200230</v>
          </cell>
          <cell r="C130" t="str">
            <v>悪魔(ベリト)</v>
          </cell>
        </row>
        <row r="131">
          <cell r="A131">
            <v>200310</v>
          </cell>
          <cell r="C131" t="str">
            <v>プルガシオン</v>
          </cell>
        </row>
        <row r="132">
          <cell r="A132">
            <v>200320</v>
          </cell>
          <cell r="C132" t="str">
            <v>プリエステス</v>
          </cell>
        </row>
        <row r="133">
          <cell r="A133">
            <v>200330</v>
          </cell>
          <cell r="C133" t="str">
            <v>悪魔(パイモン)</v>
          </cell>
        </row>
        <row r="134">
          <cell r="A134">
            <v>200410</v>
          </cell>
          <cell r="C134" t="str">
            <v>コウソクテンショウ</v>
          </cell>
        </row>
        <row r="135">
          <cell r="A135">
            <v>200411</v>
          </cell>
          <cell r="C135" t="str">
            <v>コウソクテンショウ</v>
          </cell>
        </row>
        <row r="136">
          <cell r="A136">
            <v>200420</v>
          </cell>
          <cell r="C136" t="str">
            <v>アンチバフ</v>
          </cell>
        </row>
        <row r="137">
          <cell r="A137">
            <v>200430</v>
          </cell>
          <cell r="C137" t="str">
            <v>悪魔(アンドラス)</v>
          </cell>
        </row>
        <row r="138">
          <cell r="A138">
            <v>200510</v>
          </cell>
          <cell r="C138" t="str">
            <v>カウントダウン</v>
          </cell>
        </row>
        <row r="139">
          <cell r="A139">
            <v>200520</v>
          </cell>
          <cell r="C139" t="str">
            <v>グラウンドゼロ</v>
          </cell>
        </row>
        <row r="140">
          <cell r="A140">
            <v>200530</v>
          </cell>
          <cell r="C140" t="str">
            <v>悪魔(ビフロンス)</v>
          </cell>
        </row>
        <row r="141">
          <cell r="A141">
            <v>201010</v>
          </cell>
          <cell r="C141" t="str">
            <v>カオスペイン</v>
          </cell>
        </row>
        <row r="142">
          <cell r="A142">
            <v>201020</v>
          </cell>
          <cell r="C142" t="str">
            <v>フォールンワン</v>
          </cell>
        </row>
        <row r="143">
          <cell r="A143">
            <v>201030</v>
          </cell>
          <cell r="C143" t="str">
            <v>アンリマユ</v>
          </cell>
        </row>
        <row r="144">
          <cell r="A144">
            <v>300010</v>
          </cell>
          <cell r="C144" t="str">
            <v>ライフブースト</v>
          </cell>
        </row>
        <row r="145">
          <cell r="A145">
            <v>300020</v>
          </cell>
          <cell r="C145" t="str">
            <v>スピリットチャージ</v>
          </cell>
        </row>
        <row r="146">
          <cell r="A146">
            <v>300030</v>
          </cell>
          <cell r="C146" t="str">
            <v>フォースライズ</v>
          </cell>
        </row>
        <row r="147">
          <cell r="A147">
            <v>300040</v>
          </cell>
          <cell r="C147" t="str">
            <v>ディフェンスオーラ</v>
          </cell>
        </row>
        <row r="148">
          <cell r="A148">
            <v>300050</v>
          </cell>
          <cell r="C148" t="str">
            <v>ラピッドムーブ</v>
          </cell>
        </row>
        <row r="149">
          <cell r="A149">
            <v>300130</v>
          </cell>
          <cell r="C149" t="str">
            <v>アタックブレイク</v>
          </cell>
        </row>
        <row r="150">
          <cell r="A150">
            <v>300140</v>
          </cell>
          <cell r="C150" t="str">
            <v>シールドバニッシュ</v>
          </cell>
        </row>
        <row r="151">
          <cell r="A151">
            <v>300210</v>
          </cell>
          <cell r="C151" t="str">
            <v>エーテルリチャージ</v>
          </cell>
        </row>
        <row r="152">
          <cell r="A152">
            <v>300220</v>
          </cell>
          <cell r="C152" t="str">
            <v>リカバリーエンハンス</v>
          </cell>
        </row>
        <row r="153">
          <cell r="A153">
            <v>300230</v>
          </cell>
          <cell r="C153" t="str">
            <v>ヴェンジェンス</v>
          </cell>
        </row>
        <row r="154">
          <cell r="A154">
            <v>301010</v>
          </cell>
          <cell r="C154" t="str">
            <v>ディケイドリセット</v>
          </cell>
        </row>
        <row r="155">
          <cell r="A155">
            <v>301020</v>
          </cell>
          <cell r="C155" t="str">
            <v>ウォーリアーブラッド</v>
          </cell>
        </row>
        <row r="156">
          <cell r="A156">
            <v>301030</v>
          </cell>
          <cell r="C156" t="str">
            <v>トライアングルガード</v>
          </cell>
        </row>
        <row r="157">
          <cell r="A157">
            <v>301040</v>
          </cell>
          <cell r="C157" t="str">
            <v>セーフティバリア</v>
          </cell>
        </row>
        <row r="158">
          <cell r="A158">
            <v>301050</v>
          </cell>
          <cell r="C158" t="str">
            <v>ヒロインズハイ</v>
          </cell>
        </row>
        <row r="159">
          <cell r="A159">
            <v>301060</v>
          </cell>
          <cell r="C159" t="str">
            <v>セカンドステージ</v>
          </cell>
        </row>
        <row r="160">
          <cell r="A160">
            <v>301070</v>
          </cell>
          <cell r="C160" t="str">
            <v>ハイヒットポイント</v>
          </cell>
        </row>
        <row r="161">
          <cell r="A161">
            <v>301080</v>
          </cell>
          <cell r="C161" t="str">
            <v>セプタブラスト</v>
          </cell>
        </row>
        <row r="162">
          <cell r="A162">
            <v>301090</v>
          </cell>
          <cell r="C162" t="str">
            <v>イニシャルブロッカー</v>
          </cell>
        </row>
        <row r="163">
          <cell r="A163">
            <v>301100</v>
          </cell>
          <cell r="C163" t="str">
            <v>ファーストテイク</v>
          </cell>
        </row>
        <row r="164">
          <cell r="A164">
            <v>401010</v>
          </cell>
          <cell r="C164" t="str">
            <v>ファイアボール+</v>
          </cell>
        </row>
        <row r="165">
          <cell r="A165">
            <v>401020</v>
          </cell>
          <cell r="C165" t="str">
            <v>バーンストーム+</v>
          </cell>
        </row>
        <row r="166">
          <cell r="A166">
            <v>401030</v>
          </cell>
          <cell r="C166" t="str">
            <v>ヒートスタンプ+</v>
          </cell>
        </row>
        <row r="167">
          <cell r="A167">
            <v>401040</v>
          </cell>
          <cell r="C167" t="str">
            <v>ソードアダプト+</v>
          </cell>
        </row>
        <row r="168">
          <cell r="A168">
            <v>401050</v>
          </cell>
          <cell r="C168" t="str">
            <v>フレイムレイン+</v>
          </cell>
        </row>
        <row r="169">
          <cell r="A169">
            <v>401060</v>
          </cell>
          <cell r="C169" t="str">
            <v>イクスティンクション+</v>
          </cell>
        </row>
        <row r="170">
          <cell r="A170">
            <v>401070</v>
          </cell>
          <cell r="C170" t="str">
            <v>バーニングソウル+</v>
          </cell>
        </row>
        <row r="171">
          <cell r="A171">
            <v>401080</v>
          </cell>
          <cell r="C171" t="str">
            <v>レイジングバウンサー+</v>
          </cell>
        </row>
        <row r="172">
          <cell r="A172">
            <v>402010</v>
          </cell>
          <cell r="C172" t="str">
            <v>ディスチャージ+</v>
          </cell>
        </row>
        <row r="173">
          <cell r="A173">
            <v>402020</v>
          </cell>
          <cell r="C173" t="str">
            <v>イベイドコード+</v>
          </cell>
        </row>
        <row r="174">
          <cell r="A174">
            <v>402030</v>
          </cell>
          <cell r="C174" t="str">
            <v>ショックインパルス+</v>
          </cell>
        </row>
        <row r="175">
          <cell r="A175">
            <v>402040</v>
          </cell>
          <cell r="C175" t="str">
            <v>トラストチェイン+</v>
          </cell>
        </row>
        <row r="176">
          <cell r="A176">
            <v>402050</v>
          </cell>
          <cell r="C176" t="str">
            <v>スペルバニシング+</v>
          </cell>
        </row>
        <row r="177">
          <cell r="A177">
            <v>402060</v>
          </cell>
          <cell r="C177" t="str">
            <v>アーテニーストライク+</v>
          </cell>
        </row>
        <row r="178">
          <cell r="A178">
            <v>402070</v>
          </cell>
          <cell r="C178" t="str">
            <v>コンセントレイト+</v>
          </cell>
        </row>
        <row r="179">
          <cell r="A179">
            <v>402080</v>
          </cell>
          <cell r="C179" t="str">
            <v>ディレイマジック+</v>
          </cell>
        </row>
        <row r="180">
          <cell r="A180">
            <v>403010</v>
          </cell>
          <cell r="C180" t="str">
            <v>アイスブレイド+</v>
          </cell>
        </row>
        <row r="181">
          <cell r="A181">
            <v>403020</v>
          </cell>
          <cell r="C181" t="str">
            <v>カウンターオーラ+</v>
          </cell>
        </row>
        <row r="182">
          <cell r="A182">
            <v>403030</v>
          </cell>
          <cell r="C182" t="str">
            <v>ラインプロテクト+</v>
          </cell>
        </row>
        <row r="183">
          <cell r="A183">
            <v>403040</v>
          </cell>
          <cell r="C183" t="str">
            <v>エスコートソール+</v>
          </cell>
        </row>
        <row r="184">
          <cell r="A184">
            <v>403050</v>
          </cell>
          <cell r="C184" t="str">
            <v>ディープフリーズ+</v>
          </cell>
        </row>
        <row r="185">
          <cell r="A185">
            <v>403060</v>
          </cell>
          <cell r="C185" t="str">
            <v>バブルブロウ+</v>
          </cell>
        </row>
        <row r="186">
          <cell r="A186">
            <v>403070</v>
          </cell>
          <cell r="C186" t="str">
            <v>アクアミラージュ+</v>
          </cell>
        </row>
        <row r="187">
          <cell r="A187">
            <v>403080</v>
          </cell>
          <cell r="C187" t="str">
            <v>フロストシールド+</v>
          </cell>
        </row>
        <row r="188">
          <cell r="A188">
            <v>404010</v>
          </cell>
          <cell r="C188" t="str">
            <v>セイントレーザー+</v>
          </cell>
        </row>
        <row r="189">
          <cell r="A189">
            <v>404020</v>
          </cell>
          <cell r="C189" t="str">
            <v>ペネトレイト+</v>
          </cell>
        </row>
        <row r="190">
          <cell r="A190">
            <v>404030</v>
          </cell>
          <cell r="C190" t="str">
            <v>ヒーリング+</v>
          </cell>
        </row>
        <row r="191">
          <cell r="A191">
            <v>404040</v>
          </cell>
          <cell r="C191" t="str">
            <v>リザイアフォトン+</v>
          </cell>
        </row>
        <row r="192">
          <cell r="A192">
            <v>404050</v>
          </cell>
          <cell r="C192" t="str">
            <v>べネディクション+</v>
          </cell>
        </row>
        <row r="193">
          <cell r="A193">
            <v>404060</v>
          </cell>
          <cell r="C193" t="str">
            <v>ホーリーグレイス+</v>
          </cell>
        </row>
        <row r="194">
          <cell r="A194">
            <v>404070</v>
          </cell>
          <cell r="C194" t="str">
            <v>キュアエール+</v>
          </cell>
        </row>
        <row r="195">
          <cell r="A195">
            <v>404080</v>
          </cell>
          <cell r="C195" t="str">
            <v>ラインバリア+</v>
          </cell>
        </row>
        <row r="196">
          <cell r="A196">
            <v>405010</v>
          </cell>
          <cell r="C196" t="str">
            <v>ダークプリズン+</v>
          </cell>
        </row>
        <row r="197">
          <cell r="A197">
            <v>405020</v>
          </cell>
          <cell r="C197" t="str">
            <v>ユーサネイジア+</v>
          </cell>
        </row>
        <row r="198">
          <cell r="A198">
            <v>405030</v>
          </cell>
          <cell r="C198" t="str">
            <v>ドレインヒール+</v>
          </cell>
        </row>
        <row r="199">
          <cell r="A199">
            <v>405040</v>
          </cell>
          <cell r="C199" t="str">
            <v>アビサルデスペア+</v>
          </cell>
        </row>
        <row r="200">
          <cell r="A200">
            <v>405050</v>
          </cell>
          <cell r="C200" t="str">
            <v>ディプラヴィティ+</v>
          </cell>
        </row>
        <row r="201">
          <cell r="A201">
            <v>405060</v>
          </cell>
          <cell r="C201" t="str">
            <v>ダークネス+</v>
          </cell>
        </row>
        <row r="202">
          <cell r="A202">
            <v>405070</v>
          </cell>
          <cell r="C202" t="str">
            <v>シェイディークラウド+</v>
          </cell>
        </row>
        <row r="203">
          <cell r="A203">
            <v>405080</v>
          </cell>
          <cell r="C203" t="str">
            <v>ポイズンブロウ+</v>
          </cell>
        </row>
        <row r="204">
          <cell r="A204">
            <v>411010</v>
          </cell>
          <cell r="C204" t="str">
            <v>ウルフソウル+</v>
          </cell>
        </row>
        <row r="205">
          <cell r="A205">
            <v>411020</v>
          </cell>
          <cell r="C205" t="str">
            <v>プリディカメント+</v>
          </cell>
        </row>
        <row r="206">
          <cell r="A206">
            <v>411030</v>
          </cell>
          <cell r="C206" t="str">
            <v>アサルトシフト+</v>
          </cell>
        </row>
        <row r="207">
          <cell r="A207">
            <v>411040</v>
          </cell>
          <cell r="C207" t="str">
            <v>アクティブギフト+</v>
          </cell>
        </row>
        <row r="208">
          <cell r="A208">
            <v>411050</v>
          </cell>
          <cell r="C208" t="str">
            <v>イグナイテッド+</v>
          </cell>
        </row>
        <row r="209">
          <cell r="A209">
            <v>411060</v>
          </cell>
          <cell r="C209" t="str">
            <v>ライジングファイア+</v>
          </cell>
        </row>
        <row r="210">
          <cell r="A210">
            <v>411070</v>
          </cell>
          <cell r="C210" t="str">
            <v>ルージュバック+</v>
          </cell>
        </row>
        <row r="211">
          <cell r="A211">
            <v>411080</v>
          </cell>
          <cell r="C211" t="str">
            <v>パワーエール+</v>
          </cell>
        </row>
        <row r="212">
          <cell r="A212">
            <v>411090</v>
          </cell>
          <cell r="C212" t="str">
            <v>スレイプニル+</v>
          </cell>
        </row>
        <row r="213">
          <cell r="A213">
            <v>412010</v>
          </cell>
          <cell r="C213" t="str">
            <v>エクステンション+</v>
          </cell>
        </row>
        <row r="214">
          <cell r="A214">
            <v>412020</v>
          </cell>
          <cell r="C214" t="str">
            <v>ヘブンリーラック+</v>
          </cell>
        </row>
        <row r="215">
          <cell r="A215">
            <v>412030</v>
          </cell>
          <cell r="C215" t="str">
            <v>スウィフトカレント+</v>
          </cell>
        </row>
        <row r="216">
          <cell r="A216">
            <v>412040</v>
          </cell>
          <cell r="C216" t="str">
            <v>イヴェイドオール+</v>
          </cell>
        </row>
        <row r="217">
          <cell r="A217">
            <v>412050</v>
          </cell>
          <cell r="C217" t="str">
            <v>クイックムーブ+</v>
          </cell>
        </row>
        <row r="218">
          <cell r="A218">
            <v>412060</v>
          </cell>
          <cell r="C218" t="str">
            <v>チェイスマジック+</v>
          </cell>
        </row>
        <row r="219">
          <cell r="A219">
            <v>412070</v>
          </cell>
          <cell r="C219" t="str">
            <v>ソーサリーコネクト+</v>
          </cell>
        </row>
        <row r="220">
          <cell r="A220">
            <v>412080</v>
          </cell>
          <cell r="C220" t="str">
            <v>ウィンドライズ+</v>
          </cell>
        </row>
        <row r="221">
          <cell r="A221">
            <v>412090</v>
          </cell>
          <cell r="C221" t="str">
            <v>アウトオブオーダー+</v>
          </cell>
        </row>
        <row r="222">
          <cell r="A222">
            <v>413010</v>
          </cell>
          <cell r="C222" t="str">
            <v>アーマーコード+</v>
          </cell>
        </row>
        <row r="223">
          <cell r="A223">
            <v>413020</v>
          </cell>
          <cell r="C223" t="str">
            <v>クイックバリア+</v>
          </cell>
        </row>
        <row r="224">
          <cell r="A224">
            <v>413030</v>
          </cell>
          <cell r="C224" t="str">
            <v>クイックキュア+</v>
          </cell>
        </row>
        <row r="225">
          <cell r="A225">
            <v>413040</v>
          </cell>
          <cell r="C225" t="str">
            <v>セルフシールド+</v>
          </cell>
        </row>
        <row r="226">
          <cell r="A226">
            <v>413050</v>
          </cell>
          <cell r="C226" t="str">
            <v>パッシブジャミング+</v>
          </cell>
        </row>
        <row r="227">
          <cell r="A227">
            <v>413060</v>
          </cell>
          <cell r="C227" t="str">
            <v>サプライカバー+</v>
          </cell>
        </row>
        <row r="228">
          <cell r="A228">
            <v>413070</v>
          </cell>
          <cell r="C228" t="str">
            <v>アシッドラッシュ+</v>
          </cell>
        </row>
        <row r="229">
          <cell r="A229">
            <v>413080</v>
          </cell>
          <cell r="C229" t="str">
            <v>ライフスティール+</v>
          </cell>
        </row>
        <row r="230">
          <cell r="A230">
            <v>413090</v>
          </cell>
          <cell r="C230" t="str">
            <v>アイスセイバー+</v>
          </cell>
        </row>
        <row r="231">
          <cell r="A231">
            <v>414010</v>
          </cell>
          <cell r="C231" t="str">
            <v>ディバインシールド+</v>
          </cell>
        </row>
        <row r="232">
          <cell r="A232">
            <v>414020</v>
          </cell>
          <cell r="C232" t="str">
            <v>ライフディバイド+</v>
          </cell>
        </row>
        <row r="233">
          <cell r="A233">
            <v>414030</v>
          </cell>
          <cell r="C233" t="str">
            <v>エイミングスコープ+</v>
          </cell>
        </row>
        <row r="234">
          <cell r="A234">
            <v>414040</v>
          </cell>
          <cell r="C234" t="str">
            <v>リジェネレーション+</v>
          </cell>
        </row>
        <row r="235">
          <cell r="A235">
            <v>414050</v>
          </cell>
          <cell r="C235" t="str">
            <v>ホープフルアイリス+</v>
          </cell>
        </row>
        <row r="236">
          <cell r="A236">
            <v>414060</v>
          </cell>
          <cell r="C236" t="str">
            <v>パッシブサプライ+</v>
          </cell>
        </row>
        <row r="237">
          <cell r="A237">
            <v>414070</v>
          </cell>
          <cell r="C237" t="str">
            <v>ホーミングクルセイド+</v>
          </cell>
        </row>
        <row r="238">
          <cell r="A238">
            <v>414080</v>
          </cell>
          <cell r="C238" t="str">
            <v>クイックヒール+</v>
          </cell>
        </row>
        <row r="239">
          <cell r="A239">
            <v>414090</v>
          </cell>
          <cell r="C239" t="str">
            <v>リレイズ+</v>
          </cell>
        </row>
        <row r="240">
          <cell r="A240">
            <v>415010</v>
          </cell>
          <cell r="C240" t="str">
            <v>イーグルアイ+</v>
          </cell>
        </row>
        <row r="241">
          <cell r="A241">
            <v>415020</v>
          </cell>
          <cell r="C241" t="str">
            <v>ネヴァーエンド+</v>
          </cell>
        </row>
        <row r="242">
          <cell r="A242">
            <v>415030</v>
          </cell>
          <cell r="C242" t="str">
            <v>グレイブアクト+</v>
          </cell>
        </row>
        <row r="243">
          <cell r="A243">
            <v>415040</v>
          </cell>
          <cell r="C243" t="str">
            <v>スカルグラッジ+</v>
          </cell>
        </row>
        <row r="244">
          <cell r="A244">
            <v>415050</v>
          </cell>
          <cell r="C244" t="str">
            <v>ネガティブドレイン+</v>
          </cell>
        </row>
        <row r="245">
          <cell r="A245">
            <v>415060</v>
          </cell>
          <cell r="C245" t="str">
            <v>アンデッドペイン+</v>
          </cell>
        </row>
        <row r="246">
          <cell r="A246">
            <v>415070</v>
          </cell>
          <cell r="C246" t="str">
            <v>ジャックポッド+</v>
          </cell>
        </row>
        <row r="247">
          <cell r="A247">
            <v>415080</v>
          </cell>
          <cell r="C247" t="str">
            <v>ヒールハント+</v>
          </cell>
        </row>
        <row r="248">
          <cell r="A248">
            <v>415090</v>
          </cell>
          <cell r="C248" t="str">
            <v>クイックカース+</v>
          </cell>
        </row>
      </sheetData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>
        <row r="1">
          <cell r="A1" t="str">
            <v>AnimationType</v>
          </cell>
          <cell r="D1" t="str">
            <v>Attribute</v>
          </cell>
          <cell r="G1" t="str">
            <v>SkillType</v>
          </cell>
          <cell r="J1" t="str">
            <v>TargetType</v>
          </cell>
          <cell r="M1" t="str">
            <v>Scope</v>
          </cell>
          <cell r="P1" t="str">
            <v>Feature</v>
          </cell>
          <cell r="U1" t="str">
            <v>Trigger</v>
          </cell>
          <cell r="W1" t="str">
            <v>MagicType</v>
          </cell>
        </row>
        <row r="2">
          <cell r="A2">
            <v>0</v>
          </cell>
          <cell r="B2" t="str">
            <v>なし</v>
          </cell>
          <cell r="D2">
            <v>0</v>
          </cell>
          <cell r="E2" t="str">
            <v>なし</v>
          </cell>
          <cell r="G2">
            <v>0</v>
          </cell>
          <cell r="H2" t="str">
            <v>なし</v>
          </cell>
          <cell r="J2">
            <v>0</v>
          </cell>
          <cell r="K2" t="str">
            <v>なし</v>
          </cell>
          <cell r="M2">
            <v>0</v>
          </cell>
          <cell r="N2" t="str">
            <v>なし</v>
          </cell>
          <cell r="P2">
            <v>0</v>
          </cell>
          <cell r="Q2" t="str">
            <v>ない</v>
          </cell>
          <cell r="U2">
            <v>0</v>
          </cell>
          <cell r="V2" t="str">
            <v>なし</v>
          </cell>
          <cell r="W2">
            <v>0</v>
          </cell>
          <cell r="X2" t="str">
            <v>なし</v>
          </cell>
        </row>
        <row r="3">
          <cell r="A3">
            <v>1</v>
          </cell>
          <cell r="B3" t="str">
            <v>単体</v>
          </cell>
          <cell r="D3">
            <v>1</v>
          </cell>
          <cell r="E3" t="str">
            <v>炎</v>
          </cell>
          <cell r="G3">
            <v>1</v>
          </cell>
          <cell r="H3" t="str">
            <v>魔法</v>
          </cell>
          <cell r="J3">
            <v>1</v>
          </cell>
          <cell r="K3" t="str">
            <v>相手</v>
          </cell>
          <cell r="M3">
            <v>1</v>
          </cell>
          <cell r="N3" t="str">
            <v>単体</v>
          </cell>
          <cell r="P3">
            <v>1010</v>
          </cell>
          <cell r="Q3" t="str">
            <v>Hpダメージ</v>
          </cell>
          <cell r="U3">
            <v>1010</v>
          </cell>
          <cell r="V3" t="str">
            <v>自身のHpが〇%以下</v>
          </cell>
          <cell r="W3">
            <v>1</v>
          </cell>
          <cell r="X3" t="str">
            <v>元素</v>
          </cell>
        </row>
        <row r="4">
          <cell r="A4">
            <v>2</v>
          </cell>
          <cell r="B4" t="str">
            <v>列</v>
          </cell>
          <cell r="D4">
            <v>2</v>
          </cell>
          <cell r="E4" t="str">
            <v>雷</v>
          </cell>
          <cell r="G4">
            <v>2</v>
          </cell>
          <cell r="H4" t="str">
            <v>パッシブ</v>
          </cell>
          <cell r="J4">
            <v>2</v>
          </cell>
          <cell r="K4" t="str">
            <v>味方</v>
          </cell>
          <cell r="M4">
            <v>2</v>
          </cell>
          <cell r="N4" t="str">
            <v>列</v>
          </cell>
          <cell r="P4">
            <v>1020</v>
          </cell>
          <cell r="Q4" t="str">
            <v>Hp吸収ダメージ</v>
          </cell>
          <cell r="U4">
            <v>1020</v>
          </cell>
          <cell r="V4" t="str">
            <v>自身のHpが〇%以上</v>
          </cell>
          <cell r="W4">
            <v>2</v>
          </cell>
          <cell r="X4" t="str">
            <v>光</v>
          </cell>
        </row>
        <row r="5">
          <cell r="A5">
            <v>3</v>
          </cell>
          <cell r="B5" t="str">
            <v>全体</v>
          </cell>
          <cell r="D5">
            <v>3</v>
          </cell>
          <cell r="E5" t="str">
            <v>氷</v>
          </cell>
          <cell r="G5">
            <v>3</v>
          </cell>
          <cell r="H5" t="str">
            <v>神化</v>
          </cell>
          <cell r="J5">
            <v>3</v>
          </cell>
          <cell r="K5" t="str">
            <v>全員</v>
          </cell>
          <cell r="M5">
            <v>3</v>
          </cell>
          <cell r="N5" t="str">
            <v>全体</v>
          </cell>
          <cell r="P5">
            <v>1030</v>
          </cell>
          <cell r="Q5" t="str">
            <v>Hp固定ダメージ</v>
          </cell>
          <cell r="U5">
            <v>1030</v>
          </cell>
          <cell r="V5" t="str">
            <v>Hp%〇以下の味方</v>
          </cell>
          <cell r="W5">
            <v>3</v>
          </cell>
          <cell r="X5" t="str">
            <v>理術</v>
          </cell>
        </row>
        <row r="6">
          <cell r="D6">
            <v>4</v>
          </cell>
          <cell r="E6" t="str">
            <v>光</v>
          </cell>
          <cell r="G6">
            <v>4</v>
          </cell>
          <cell r="H6" t="str">
            <v>覚醒</v>
          </cell>
          <cell r="J6">
            <v>4</v>
          </cell>
          <cell r="K6" t="str">
            <v>自身</v>
          </cell>
          <cell r="M6">
            <v>4</v>
          </cell>
          <cell r="N6" t="str">
            <v>自身</v>
          </cell>
          <cell r="P6">
            <v>1040</v>
          </cell>
          <cell r="Q6" t="str">
            <v>特定ステートダメージ</v>
          </cell>
          <cell r="U6">
            <v>1040</v>
          </cell>
          <cell r="V6" t="str">
            <v>Hp%〇以上の味方</v>
          </cell>
          <cell r="W6">
            <v>4</v>
          </cell>
          <cell r="X6" t="str">
            <v>精神</v>
          </cell>
        </row>
        <row r="7">
          <cell r="D7">
            <v>5</v>
          </cell>
          <cell r="E7" t="str">
            <v>闇</v>
          </cell>
          <cell r="G7">
            <v>5</v>
          </cell>
          <cell r="H7" t="str">
            <v>レリック</v>
          </cell>
          <cell r="J7">
            <v>6</v>
          </cell>
          <cell r="K7" t="str">
            <v>反撃</v>
          </cell>
          <cell r="M7">
            <v>5</v>
          </cell>
          <cell r="N7" t="str">
            <v>最前列のみ</v>
          </cell>
          <cell r="P7">
            <v>1050</v>
          </cell>
          <cell r="Q7" t="str">
            <v>効果無視Hpダメージ</v>
          </cell>
          <cell r="U7">
            <v>1050</v>
          </cell>
          <cell r="V7" t="str">
            <v>Hp%〇以下の敵</v>
          </cell>
          <cell r="W7">
            <v>5</v>
          </cell>
          <cell r="X7" t="str">
            <v>超次元</v>
          </cell>
        </row>
        <row r="8">
          <cell r="G8">
            <v>6</v>
          </cell>
          <cell r="H8" t="str">
            <v>強化</v>
          </cell>
          <cell r="J8">
            <v>7</v>
          </cell>
          <cell r="K8" t="str">
            <v>追撃</v>
          </cell>
          <cell r="M8">
            <v>11</v>
          </cell>
          <cell r="N8" t="str">
            <v>単体・自身を除く</v>
          </cell>
          <cell r="P8">
            <v>1060</v>
          </cell>
          <cell r="Q8" t="str">
            <v>Hp割合固定ダメージ</v>
          </cell>
          <cell r="U8">
            <v>1060</v>
          </cell>
          <cell r="V8" t="str">
            <v>Hp%〇以上の敵</v>
          </cell>
          <cell r="W8">
            <v>6</v>
          </cell>
          <cell r="X8" t="str">
            <v>自己強化</v>
          </cell>
        </row>
        <row r="9">
          <cell r="G9">
            <v>11</v>
          </cell>
          <cell r="H9" t="str">
            <v>アルカナ使用</v>
          </cell>
          <cell r="J9">
            <v>11</v>
          </cell>
          <cell r="K9" t="str">
            <v>Triggerの条件を満たす</v>
          </cell>
          <cell r="M9">
            <v>12</v>
          </cell>
          <cell r="N9" t="str">
            <v>列・自身を除く</v>
          </cell>
          <cell r="P9">
            <v>1070</v>
          </cell>
          <cell r="Q9" t="str">
            <v>Hpダメージ割合追加ダメージ</v>
          </cell>
          <cell r="U9">
            <v>1130</v>
          </cell>
          <cell r="V9" t="str">
            <v>最もHpが少ない味方</v>
          </cell>
          <cell r="W9">
            <v>7</v>
          </cell>
          <cell r="X9" t="str">
            <v>工作</v>
          </cell>
        </row>
        <row r="10">
          <cell r="G10">
            <v>12</v>
          </cell>
          <cell r="H10" t="str">
            <v>転生</v>
          </cell>
          <cell r="J10">
            <v>101</v>
          </cell>
          <cell r="K10" t="str">
            <v>パーティ</v>
          </cell>
          <cell r="M10">
            <v>13</v>
          </cell>
          <cell r="N10" t="str">
            <v>全体・自身を除く</v>
          </cell>
          <cell r="P10">
            <v>1080</v>
          </cell>
          <cell r="Q10" t="str">
            <v>Hp犠牲ダメージ</v>
          </cell>
          <cell r="U10">
            <v>1140</v>
          </cell>
          <cell r="V10" t="str">
            <v>最もHpが多い味方</v>
          </cell>
          <cell r="W10">
            <v>10</v>
          </cell>
          <cell r="X10" t="str">
            <v>半神</v>
          </cell>
        </row>
        <row r="11">
          <cell r="M11">
            <v>21</v>
          </cell>
          <cell r="N11" t="str">
            <v>ランダム</v>
          </cell>
          <cell r="P11">
            <v>1090</v>
          </cell>
          <cell r="Q11" t="str">
            <v>受けたダメージ総計ダメージ</v>
          </cell>
          <cell r="U11">
            <v>1150</v>
          </cell>
          <cell r="V11" t="str">
            <v>最もHpが少ない敵</v>
          </cell>
          <cell r="W11">
            <v>11</v>
          </cell>
          <cell r="X11" t="str">
            <v>覚醒</v>
          </cell>
        </row>
        <row r="12">
          <cell r="M12">
            <v>31</v>
          </cell>
          <cell r="N12" t="str">
            <v>単体と両隣</v>
          </cell>
          <cell r="P12">
            <v>1100</v>
          </cell>
          <cell r="Q12" t="str">
            <v>Hp貫通ダメージ</v>
          </cell>
          <cell r="U12">
            <v>1160</v>
          </cell>
          <cell r="V12" t="str">
            <v>最もHpが多い敵</v>
          </cell>
          <cell r="W12">
            <v>99</v>
          </cell>
          <cell r="X12" t="str">
            <v>その他</v>
          </cell>
        </row>
        <row r="13">
          <cell r="M13">
            <v>32</v>
          </cell>
          <cell r="N13" t="str">
            <v>自分を除いた両隣</v>
          </cell>
          <cell r="P13">
            <v>1110</v>
          </cell>
          <cell r="Q13" t="str">
            <v>残りHp比例ダメージ</v>
          </cell>
          <cell r="U13">
            <v>2010</v>
          </cell>
          <cell r="V13" t="str">
            <v>味方にHpが〇%以下がいる</v>
          </cell>
          <cell r="W13" t="str">
            <v xml:space="preserve"> </v>
          </cell>
        </row>
        <row r="14">
          <cell r="P14">
            <v>2010</v>
          </cell>
          <cell r="Q14" t="str">
            <v>Hp回復</v>
          </cell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8"/>
  <sheetViews>
    <sheetView workbookViewId="0">
      <pane ySplit="1" topLeftCell="A296" activePane="bottomLeft" state="frozen"/>
      <selection pane="bottomLeft" activeCell="A249" sqref="A249:XFD427"/>
    </sheetView>
  </sheetViews>
  <sheetFormatPr defaultColWidth="9" defaultRowHeight="13" x14ac:dyDescent="0.2"/>
  <cols>
    <col min="1" max="2" width="7.6328125" customWidth="1"/>
    <col min="3" max="3" width="19.7265625" customWidth="1"/>
    <col min="6" max="7" width="15.08984375" customWidth="1"/>
    <col min="8" max="8" width="14.453125" customWidth="1"/>
    <col min="9" max="9" width="5.54296875" customWidth="1"/>
    <col min="10" max="11" width="6.6328125" customWidth="1"/>
    <col min="12" max="12" width="5.36328125" style="5" customWidth="1"/>
    <col min="13" max="13" width="4.90625" style="5" customWidth="1"/>
    <col min="14" max="14" width="4.453125" customWidth="1"/>
    <col min="15" max="15" width="5.54296875" customWidth="1"/>
    <col min="16" max="16" width="5.1796875" customWidth="1"/>
    <col min="17" max="17" width="22.08984375" customWidth="1"/>
    <col min="18" max="18" width="5" customWidth="1"/>
    <col min="19" max="19" width="17.7265625" customWidth="1"/>
    <col min="20" max="20" width="6.6328125" customWidth="1"/>
    <col min="21" max="21" width="11.81640625" customWidth="1"/>
    <col min="22" max="22" width="7.906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4</v>
      </c>
      <c r="N1" t="s">
        <v>10</v>
      </c>
      <c r="O1" t="s">
        <v>4</v>
      </c>
      <c r="P1" t="s">
        <v>11</v>
      </c>
      <c r="Q1" t="s">
        <v>4</v>
      </c>
      <c r="R1" t="s">
        <v>12</v>
      </c>
      <c r="S1" t="s">
        <v>4</v>
      </c>
      <c r="T1" t="s">
        <v>13</v>
      </c>
      <c r="U1" t="s">
        <v>14</v>
      </c>
      <c r="V1" t="s">
        <v>15</v>
      </c>
      <c r="W1" t="s">
        <v>16</v>
      </c>
    </row>
    <row r="2" spans="1:23" x14ac:dyDescent="0.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 t="str">
        <f>INDEX(Define!E:E,MATCH(L2,Define!D:D))</f>
        <v>なし</v>
      </c>
      <c r="N2">
        <v>0</v>
      </c>
      <c r="O2" t="str">
        <f>INDEX(Define!H:H,MATCH(N2,Define!G:G))</f>
        <v>なし</v>
      </c>
      <c r="P2">
        <v>0</v>
      </c>
      <c r="Q2" t="str">
        <f>INDEX(Define!K:K,MATCH(P2,Define!J:J))</f>
        <v>なし</v>
      </c>
      <c r="R2">
        <v>0</v>
      </c>
      <c r="S2" t="str">
        <f>INDEX(Define!N:N,MATCH(R2,Define!M:M))</f>
        <v>なし</v>
      </c>
      <c r="T2">
        <v>1</v>
      </c>
      <c r="U2">
        <v>1</v>
      </c>
      <c r="V2">
        <v>1</v>
      </c>
      <c r="W2">
        <v>0</v>
      </c>
    </row>
    <row r="3" spans="1:23" x14ac:dyDescent="0.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 t="str">
        <f>INDEX(Define!E:E,MATCH(L3,Define!D:D))</f>
        <v>なし</v>
      </c>
      <c r="N3">
        <v>0</v>
      </c>
      <c r="O3" t="str">
        <f>INDEX(Define!H:H,MATCH(N3,Define!G:G))</f>
        <v>なし</v>
      </c>
      <c r="P3">
        <v>0</v>
      </c>
      <c r="Q3" t="str">
        <f>INDEX(Define!K:K,MATCH(P3,Define!J:J))</f>
        <v>なし</v>
      </c>
      <c r="R3">
        <v>0</v>
      </c>
      <c r="S3" t="str">
        <f>INDEX(Define!N:N,MATCH(R3,Define!M:M))</f>
        <v>なし</v>
      </c>
      <c r="T3">
        <v>1</v>
      </c>
      <c r="U3">
        <v>1</v>
      </c>
      <c r="V3">
        <v>1</v>
      </c>
      <c r="W3">
        <v>0</v>
      </c>
    </row>
    <row r="4" spans="1:23" x14ac:dyDescent="0.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 t="str">
        <f>INDEX(Define!E:E,MATCH(L4,Define!D:D))</f>
        <v>なし</v>
      </c>
      <c r="N4">
        <v>1</v>
      </c>
      <c r="O4" t="str">
        <f>INDEX(Define!H:H,MATCH(N4,Define!G:G))</f>
        <v>魔法</v>
      </c>
      <c r="P4">
        <v>1</v>
      </c>
      <c r="Q4" t="str">
        <f>INDEX(Define!K:K,MATCH(P4,Define!J:J))</f>
        <v>相手</v>
      </c>
      <c r="R4">
        <v>1</v>
      </c>
      <c r="S4" t="str">
        <f>INDEX(Define!N:N,MATCH(R4,Define!M:M))</f>
        <v>単体</v>
      </c>
      <c r="T4">
        <v>2</v>
      </c>
      <c r="U4">
        <v>1</v>
      </c>
      <c r="V4">
        <v>1</v>
      </c>
      <c r="W4">
        <v>0</v>
      </c>
    </row>
    <row r="5" spans="1:23" x14ac:dyDescent="0.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 t="str">
        <f>INDEX(Define!E:E,MATCH(L5,Define!D:D))</f>
        <v>なし</v>
      </c>
      <c r="N5">
        <v>3</v>
      </c>
      <c r="O5" t="str">
        <f>INDEX(Define!H:H,MATCH(N5,Define!G:G))</f>
        <v>神化</v>
      </c>
      <c r="P5">
        <v>4</v>
      </c>
      <c r="Q5" t="str">
        <f>INDEX(Define!K:K,MATCH(P5,Define!J:J))</f>
        <v>自身</v>
      </c>
      <c r="R5">
        <v>4</v>
      </c>
      <c r="S5" t="str">
        <f>INDEX(Define!N:N,MATCH(R5,Define!M:M))</f>
        <v>自身</v>
      </c>
      <c r="T5">
        <v>1</v>
      </c>
      <c r="U5">
        <v>1</v>
      </c>
      <c r="V5">
        <v>1</v>
      </c>
      <c r="W5">
        <v>0</v>
      </c>
    </row>
    <row r="6" spans="1:23" x14ac:dyDescent="0.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 t="str">
        <f>INDEX(Define!E:E,MATCH(L6,Define!D:D))</f>
        <v>なし</v>
      </c>
      <c r="N6">
        <v>1</v>
      </c>
      <c r="O6" t="str">
        <f>INDEX(Define!H:H,MATCH(N6,Define!G:G))</f>
        <v>魔法</v>
      </c>
      <c r="P6">
        <v>4</v>
      </c>
      <c r="Q6" t="str">
        <f>INDEX(Define!K:K,MATCH(P6,Define!J:J))</f>
        <v>自身</v>
      </c>
      <c r="R6">
        <v>4</v>
      </c>
      <c r="S6" t="str">
        <f>INDEX(Define!N:N,MATCH(R6,Define!M:M))</f>
        <v>自身</v>
      </c>
      <c r="T6">
        <v>1</v>
      </c>
      <c r="U6">
        <v>1</v>
      </c>
      <c r="V6">
        <v>1</v>
      </c>
      <c r="W6">
        <v>0</v>
      </c>
    </row>
    <row r="7" spans="1:23" x14ac:dyDescent="0.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2</v>
      </c>
      <c r="M7" t="str">
        <f>INDEX(Define!E:E,MATCH(L7,Define!D:D))</f>
        <v>雷</v>
      </c>
      <c r="N7">
        <v>0</v>
      </c>
      <c r="O7" t="str">
        <f>INDEX(Define!H:H,MATCH(N7,Define!G:G))</f>
        <v>なし</v>
      </c>
      <c r="P7">
        <v>1</v>
      </c>
      <c r="Q7" t="str">
        <f>INDEX(Define!K:K,MATCH(P7,Define!J:J))</f>
        <v>相手</v>
      </c>
      <c r="R7">
        <v>1</v>
      </c>
      <c r="S7" t="str">
        <f>INDEX(Define!N:N,MATCH(R7,Define!M:M))</f>
        <v>単体</v>
      </c>
      <c r="T7">
        <v>2</v>
      </c>
      <c r="U7">
        <v>1</v>
      </c>
      <c r="V7">
        <v>1</v>
      </c>
      <c r="W7">
        <v>0</v>
      </c>
    </row>
    <row r="8" spans="1:23" x14ac:dyDescent="0.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2</v>
      </c>
      <c r="M8" t="str">
        <f>INDEX(Define!E:E,MATCH(L8,Define!D:D))</f>
        <v>雷</v>
      </c>
      <c r="N8">
        <v>0</v>
      </c>
      <c r="O8" t="str">
        <f>INDEX(Define!H:H,MATCH(N8,Define!G:G))</f>
        <v>なし</v>
      </c>
      <c r="P8">
        <v>4</v>
      </c>
      <c r="Q8" t="str">
        <f>INDEX(Define!K:K,MATCH(P8,Define!J:J))</f>
        <v>自身</v>
      </c>
      <c r="R8">
        <v>4</v>
      </c>
      <c r="S8" t="str">
        <f>INDEX(Define!N:N,MATCH(R8,Define!M:M))</f>
        <v>自身</v>
      </c>
      <c r="T8">
        <v>1</v>
      </c>
      <c r="U8">
        <v>1</v>
      </c>
      <c r="V8">
        <v>1</v>
      </c>
      <c r="W8">
        <v>0</v>
      </c>
    </row>
    <row r="9" spans="1:23" x14ac:dyDescent="0.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2</v>
      </c>
      <c r="M9" t="str">
        <f>INDEX(Define!E:E,MATCH(L9,Define!D:D))</f>
        <v>雷</v>
      </c>
      <c r="N9">
        <v>0</v>
      </c>
      <c r="O9" t="str">
        <f>INDEX(Define!H:H,MATCH(N9,Define!G:G))</f>
        <v>なし</v>
      </c>
      <c r="P9">
        <v>1</v>
      </c>
      <c r="Q9" t="str">
        <f>INDEX(Define!K:K,MATCH(P9,Define!J:J))</f>
        <v>相手</v>
      </c>
      <c r="R9">
        <v>1</v>
      </c>
      <c r="S9" t="str">
        <f>INDEX(Define!N:N,MATCH(R9,Define!M:M))</f>
        <v>単体</v>
      </c>
      <c r="T9">
        <v>2</v>
      </c>
      <c r="U9">
        <v>1</v>
      </c>
      <c r="V9">
        <v>1</v>
      </c>
      <c r="W9">
        <v>0</v>
      </c>
    </row>
    <row r="10" spans="1:23" x14ac:dyDescent="0.2">
      <c r="A10">
        <v>1010</v>
      </c>
      <c r="B10">
        <v>1010</v>
      </c>
      <c r="C10" t="str">
        <f>INDEX([3]TextData!B:B,MATCH(B10,[3]TextData!A:A))</f>
        <v>ファイアボール</v>
      </c>
      <c r="D10">
        <v>1</v>
      </c>
      <c r="E10" t="str">
        <f>INDEX([3]Define!X:X,MATCH(D10,[3]Define!W:W))</f>
        <v>元素</v>
      </c>
      <c r="F10">
        <v>101</v>
      </c>
      <c r="G10">
        <v>1</v>
      </c>
      <c r="H10" t="str">
        <f>INDEX([3]Define!B:B,MATCH(G10,[3]Define!A:A))</f>
        <v>単体</v>
      </c>
      <c r="I10">
        <v>0</v>
      </c>
      <c r="J10">
        <v>1</v>
      </c>
      <c r="K10">
        <v>1</v>
      </c>
      <c r="L10" t="str">
        <f>INDEX([3]Define!E:E,MATCH(K10,[3]Define!D:D))</f>
        <v>炎</v>
      </c>
      <c r="M10">
        <v>1</v>
      </c>
      <c r="N10" t="str">
        <f>INDEX([3]Define!H:H,MATCH(M10,[3]Define!G:G))</f>
        <v>魔法</v>
      </c>
      <c r="O10">
        <v>1</v>
      </c>
      <c r="P10" t="str">
        <f>INDEX([3]Define!K:K,MATCH(O10,[3]Define!J:J))</f>
        <v>相手</v>
      </c>
      <c r="Q10">
        <v>1</v>
      </c>
      <c r="R10" t="str">
        <f>INDEX([3]Define!N:N,MATCH(Q10,[3]Define!M:M))</f>
        <v>単体</v>
      </c>
      <c r="S10">
        <v>1</v>
      </c>
      <c r="T10">
        <v>1</v>
      </c>
      <c r="U10">
        <v>1</v>
      </c>
      <c r="V10">
        <v>0</v>
      </c>
    </row>
    <row r="11" spans="1:23" x14ac:dyDescent="0.2">
      <c r="A11">
        <v>1020</v>
      </c>
      <c r="B11">
        <v>1020</v>
      </c>
      <c r="C11" t="str">
        <f>INDEX([3]TextData!B:B,MATCH(B11,[3]TextData!A:A))</f>
        <v>バーンストーム</v>
      </c>
      <c r="D11">
        <v>1</v>
      </c>
      <c r="E11" t="str">
        <f>INDEX([3]Define!X:X,MATCH(D11,[3]Define!W:W))</f>
        <v>元素</v>
      </c>
      <c r="F11">
        <v>101</v>
      </c>
      <c r="G11">
        <v>2</v>
      </c>
      <c r="H11" t="str">
        <f>INDEX([3]Define!B:B,MATCH(G11,[3]Define!A:A))</f>
        <v>列</v>
      </c>
      <c r="I11">
        <v>3</v>
      </c>
      <c r="J11">
        <v>2</v>
      </c>
      <c r="K11">
        <v>1</v>
      </c>
      <c r="L11" t="str">
        <f>INDEX([3]Define!E:E,MATCH(K11,[3]Define!D:D))</f>
        <v>炎</v>
      </c>
      <c r="M11">
        <v>1</v>
      </c>
      <c r="N11" t="str">
        <f>INDEX([3]Define!H:H,MATCH(M11,[3]Define!G:G))</f>
        <v>魔法</v>
      </c>
      <c r="O11">
        <v>1</v>
      </c>
      <c r="P11" t="str">
        <f>INDEX([3]Define!K:K,MATCH(O11,[3]Define!J:J))</f>
        <v>相手</v>
      </c>
      <c r="Q11">
        <v>2</v>
      </c>
      <c r="R11" t="str">
        <f>INDEX([3]Define!N:N,MATCH(Q11,[3]Define!M:M))</f>
        <v>列</v>
      </c>
      <c r="S11">
        <v>1</v>
      </c>
      <c r="T11">
        <v>1</v>
      </c>
      <c r="U11">
        <v>1</v>
      </c>
      <c r="V11">
        <v>0</v>
      </c>
    </row>
    <row r="12" spans="1:23" x14ac:dyDescent="0.2">
      <c r="A12">
        <v>1030</v>
      </c>
      <c r="B12">
        <v>1030</v>
      </c>
      <c r="C12" t="str">
        <f>INDEX([3]TextData!B:B,MATCH(B12,[3]TextData!A:A))</f>
        <v>ヒートスタンプ</v>
      </c>
      <c r="D12">
        <v>2</v>
      </c>
      <c r="E12" t="str">
        <f>INDEX([3]Define!X:X,MATCH(D12,[3]Define!W:W))</f>
        <v>光</v>
      </c>
      <c r="F12">
        <v>21</v>
      </c>
      <c r="G12">
        <v>1</v>
      </c>
      <c r="H12" t="str">
        <f>INDEX([3]Define!B:B,MATCH(G12,[3]Define!A:A))</f>
        <v>単体</v>
      </c>
      <c r="I12">
        <v>2</v>
      </c>
      <c r="J12">
        <v>2</v>
      </c>
      <c r="K12">
        <v>1</v>
      </c>
      <c r="L12" t="str">
        <f>INDEX([3]Define!E:E,MATCH(K12,[3]Define!D:D))</f>
        <v>炎</v>
      </c>
      <c r="M12">
        <v>1</v>
      </c>
      <c r="N12" t="str">
        <f>INDEX([3]Define!H:H,MATCH(M12,[3]Define!G:G))</f>
        <v>魔法</v>
      </c>
      <c r="O12">
        <v>2</v>
      </c>
      <c r="P12" t="str">
        <f>INDEX([3]Define!K:K,MATCH(O12,[3]Define!J:J))</f>
        <v>味方</v>
      </c>
      <c r="Q12">
        <v>1</v>
      </c>
      <c r="R12" t="str">
        <f>INDEX([3]Define!N:N,MATCH(Q12,[3]Define!M:M))</f>
        <v>単体</v>
      </c>
      <c r="S12">
        <v>1</v>
      </c>
      <c r="T12">
        <v>1</v>
      </c>
      <c r="U12">
        <v>1</v>
      </c>
      <c r="V12">
        <v>0</v>
      </c>
    </row>
    <row r="13" spans="1:23" x14ac:dyDescent="0.2">
      <c r="A13">
        <v>1040</v>
      </c>
      <c r="B13">
        <v>1040</v>
      </c>
      <c r="C13" t="str">
        <f>INDEX([3]TextData!B:B,MATCH(B13,[3]TextData!A:A))</f>
        <v>ソードアダプト</v>
      </c>
      <c r="D13">
        <v>4</v>
      </c>
      <c r="E13" t="str">
        <f>INDEX([3]Define!X:X,MATCH(D13,[3]Define!W:W))</f>
        <v>精神</v>
      </c>
      <c r="F13">
        <v>51</v>
      </c>
      <c r="G13">
        <v>1</v>
      </c>
      <c r="H13" t="str">
        <f>INDEX([3]Define!B:B,MATCH(G13,[3]Define!A:A))</f>
        <v>単体</v>
      </c>
      <c r="I13">
        <v>3</v>
      </c>
      <c r="J13">
        <v>2</v>
      </c>
      <c r="K13">
        <v>1</v>
      </c>
      <c r="L13" t="str">
        <f>INDEX([3]Define!E:E,MATCH(K13,[3]Define!D:D))</f>
        <v>炎</v>
      </c>
      <c r="M13">
        <v>1</v>
      </c>
      <c r="N13" t="str">
        <f>INDEX([3]Define!H:H,MATCH(M13,[3]Define!G:G))</f>
        <v>魔法</v>
      </c>
      <c r="O13">
        <v>4</v>
      </c>
      <c r="P13" t="str">
        <f>INDEX([3]Define!K:K,MATCH(O13,[3]Define!J:J))</f>
        <v>自身</v>
      </c>
      <c r="Q13">
        <v>4</v>
      </c>
      <c r="R13" t="str">
        <f>INDEX([3]Define!N:N,MATCH(Q13,[3]Define!M:M))</f>
        <v>自身</v>
      </c>
      <c r="S13">
        <v>1</v>
      </c>
      <c r="T13">
        <v>1</v>
      </c>
      <c r="U13">
        <v>1</v>
      </c>
      <c r="V13">
        <v>0</v>
      </c>
    </row>
    <row r="14" spans="1:23" ht="12" customHeight="1" x14ac:dyDescent="0.2">
      <c r="A14">
        <v>1050</v>
      </c>
      <c r="B14">
        <v>1050</v>
      </c>
      <c r="C14" t="str">
        <f>INDEX([3]TextData!B:B,MATCH(B14,[3]TextData!A:A))</f>
        <v>フレイムレイン</v>
      </c>
      <c r="D14">
        <v>1</v>
      </c>
      <c r="E14" t="str">
        <f>INDEX([3]Define!X:X,MATCH(D14,[3]Define!W:W))</f>
        <v>元素</v>
      </c>
      <c r="F14">
        <v>101</v>
      </c>
      <c r="G14">
        <v>1</v>
      </c>
      <c r="H14" t="str">
        <f>INDEX([3]Define!B:B,MATCH(G14,[3]Define!A:A))</f>
        <v>単体</v>
      </c>
      <c r="I14">
        <v>2</v>
      </c>
      <c r="J14">
        <v>2</v>
      </c>
      <c r="K14">
        <v>1</v>
      </c>
      <c r="L14" t="str">
        <f>INDEX([3]Define!E:E,MATCH(K14,[3]Define!D:D))</f>
        <v>炎</v>
      </c>
      <c r="M14">
        <v>1</v>
      </c>
      <c r="N14" t="str">
        <f>INDEX([3]Define!H:H,MATCH(M14,[3]Define!G:G))</f>
        <v>魔法</v>
      </c>
      <c r="O14">
        <v>1</v>
      </c>
      <c r="P14" t="str">
        <f>INDEX([3]Define!K:K,MATCH(O14,[3]Define!J:J))</f>
        <v>相手</v>
      </c>
      <c r="Q14">
        <v>1</v>
      </c>
      <c r="R14" t="str">
        <f>INDEX([3]Define!N:N,MATCH(Q14,[3]Define!M:M))</f>
        <v>単体</v>
      </c>
      <c r="S14">
        <v>1</v>
      </c>
      <c r="T14">
        <v>5</v>
      </c>
      <c r="U14">
        <v>1</v>
      </c>
      <c r="V14">
        <v>0</v>
      </c>
    </row>
    <row r="15" spans="1:23" ht="12" customHeight="1" x14ac:dyDescent="0.2">
      <c r="A15">
        <v>1060</v>
      </c>
      <c r="B15">
        <v>1060</v>
      </c>
      <c r="C15" t="str">
        <f>INDEX([3]TextData!B:B,MATCH(B15,[3]TextData!A:A))</f>
        <v>イクスティンクション</v>
      </c>
      <c r="D15">
        <v>1</v>
      </c>
      <c r="E15" t="str">
        <f>INDEX([3]Define!X:X,MATCH(D15,[3]Define!W:W))</f>
        <v>元素</v>
      </c>
      <c r="F15">
        <v>101</v>
      </c>
      <c r="G15">
        <v>1</v>
      </c>
      <c r="H15" t="str">
        <f>INDEX([3]Define!B:B,MATCH(G15,[3]Define!A:A))</f>
        <v>単体</v>
      </c>
      <c r="I15">
        <v>3</v>
      </c>
      <c r="J15">
        <v>2</v>
      </c>
      <c r="K15">
        <v>1</v>
      </c>
      <c r="L15" t="str">
        <f>INDEX([3]Define!E:E,MATCH(K15,[3]Define!D:D))</f>
        <v>炎</v>
      </c>
      <c r="M15">
        <v>1</v>
      </c>
      <c r="N15" t="str">
        <f>INDEX([3]Define!H:H,MATCH(M15,[3]Define!G:G))</f>
        <v>魔法</v>
      </c>
      <c r="O15">
        <v>1</v>
      </c>
      <c r="P15" t="str">
        <f>INDEX([3]Define!K:K,MATCH(O15,[3]Define!J:J))</f>
        <v>相手</v>
      </c>
      <c r="Q15">
        <v>1</v>
      </c>
      <c r="R15" t="str">
        <f>INDEX([3]Define!N:N,MATCH(Q15,[3]Define!M:M))</f>
        <v>単体</v>
      </c>
      <c r="S15">
        <v>1</v>
      </c>
      <c r="T15">
        <v>1</v>
      </c>
      <c r="U15">
        <v>1</v>
      </c>
      <c r="V15">
        <v>0</v>
      </c>
    </row>
    <row r="16" spans="1:23" ht="12" customHeight="1" x14ac:dyDescent="0.2">
      <c r="A16">
        <v>1070</v>
      </c>
      <c r="B16">
        <v>1070</v>
      </c>
      <c r="C16" t="str">
        <f>INDEX([3]TextData!B:B,MATCH(B16,[3]TextData!A:A))</f>
        <v>バーニングソウル</v>
      </c>
      <c r="D16">
        <v>2</v>
      </c>
      <c r="E16" t="str">
        <f>INDEX([3]Define!X:X,MATCH(D16,[3]Define!W:W))</f>
        <v>光</v>
      </c>
      <c r="F16">
        <v>101</v>
      </c>
      <c r="G16">
        <v>1</v>
      </c>
      <c r="H16" t="str">
        <f>INDEX([3]Define!B:B,MATCH(G16,[3]Define!A:A))</f>
        <v>単体</v>
      </c>
      <c r="I16">
        <v>3</v>
      </c>
      <c r="J16">
        <v>2</v>
      </c>
      <c r="K16">
        <v>1</v>
      </c>
      <c r="L16" t="str">
        <f>INDEX([3]Define!E:E,MATCH(K16,[3]Define!D:D))</f>
        <v>炎</v>
      </c>
      <c r="M16">
        <v>1</v>
      </c>
      <c r="N16" t="str">
        <f>INDEX([3]Define!H:H,MATCH(M16,[3]Define!G:G))</f>
        <v>魔法</v>
      </c>
      <c r="O16">
        <v>2</v>
      </c>
      <c r="P16" t="str">
        <f>INDEX([3]Define!K:K,MATCH(O16,[3]Define!J:J))</f>
        <v>味方</v>
      </c>
      <c r="Q16">
        <v>1</v>
      </c>
      <c r="R16" t="str">
        <f>INDEX([3]Define!N:N,MATCH(Q16,[3]Define!M:M))</f>
        <v>単体</v>
      </c>
      <c r="S16">
        <v>1</v>
      </c>
      <c r="T16">
        <v>1</v>
      </c>
      <c r="U16">
        <v>1</v>
      </c>
      <c r="V16">
        <v>0</v>
      </c>
    </row>
    <row r="17" spans="1:22" ht="12" customHeight="1" x14ac:dyDescent="0.2">
      <c r="A17">
        <v>1080</v>
      </c>
      <c r="B17">
        <v>1080</v>
      </c>
      <c r="C17" t="str">
        <f>INDEX([3]TextData!B:B,MATCH(B17,[3]TextData!A:A))</f>
        <v>レイジングバウンサー</v>
      </c>
      <c r="D17">
        <v>1</v>
      </c>
      <c r="E17" t="str">
        <f>INDEX([3]Define!X:X,MATCH(D17,[3]Define!W:W))</f>
        <v>元素</v>
      </c>
      <c r="F17">
        <v>51</v>
      </c>
      <c r="G17">
        <v>1</v>
      </c>
      <c r="H17" t="str">
        <f>INDEX([3]Define!B:B,MATCH(G17,[3]Define!A:A))</f>
        <v>単体</v>
      </c>
      <c r="I17">
        <v>2</v>
      </c>
      <c r="J17">
        <v>2</v>
      </c>
      <c r="K17">
        <v>1</v>
      </c>
      <c r="L17" t="str">
        <f>INDEX([3]Define!E:E,MATCH(K17,[3]Define!D:D))</f>
        <v>炎</v>
      </c>
      <c r="M17">
        <v>1</v>
      </c>
      <c r="N17" t="str">
        <f>INDEX([3]Define!H:H,MATCH(M17,[3]Define!G:G))</f>
        <v>魔法</v>
      </c>
      <c r="O17">
        <v>4</v>
      </c>
      <c r="P17" t="str">
        <f>INDEX([3]Define!K:K,MATCH(O17,[3]Define!J:J))</f>
        <v>自身</v>
      </c>
      <c r="Q17">
        <v>4</v>
      </c>
      <c r="R17" t="str">
        <f>INDEX([3]Define!N:N,MATCH(Q17,[3]Define!M:M))</f>
        <v>自身</v>
      </c>
      <c r="S17">
        <v>1</v>
      </c>
      <c r="T17">
        <v>1</v>
      </c>
      <c r="U17">
        <v>1</v>
      </c>
      <c r="V17">
        <v>0</v>
      </c>
    </row>
    <row r="18" spans="1:22" x14ac:dyDescent="0.2">
      <c r="A18">
        <v>2010</v>
      </c>
      <c r="B18">
        <v>2010</v>
      </c>
      <c r="C18" t="str">
        <f>INDEX([3]TextData!B:B,MATCH(B18,[3]TextData!A:A))</f>
        <v>ディスチャージ</v>
      </c>
      <c r="D18">
        <v>1</v>
      </c>
      <c r="E18" t="str">
        <f>INDEX([3]Define!X:X,MATCH(D18,[3]Define!W:W))</f>
        <v>元素</v>
      </c>
      <c r="F18">
        <v>201</v>
      </c>
      <c r="G18">
        <v>1</v>
      </c>
      <c r="H18" t="str">
        <f>INDEX([3]Define!B:B,MATCH(G18,[3]Define!A:A))</f>
        <v>単体</v>
      </c>
      <c r="I18">
        <v>0</v>
      </c>
      <c r="J18">
        <v>1</v>
      </c>
      <c r="K18">
        <v>2</v>
      </c>
      <c r="L18" t="str">
        <f>INDEX([3]Define!E:E,MATCH(K18,[3]Define!D:D))</f>
        <v>雷</v>
      </c>
      <c r="M18">
        <v>1</v>
      </c>
      <c r="N18" t="str">
        <f>INDEX([3]Define!H:H,MATCH(M18,[3]Define!G:G))</f>
        <v>魔法</v>
      </c>
      <c r="O18">
        <v>1</v>
      </c>
      <c r="P18" t="str">
        <f>INDEX([3]Define!K:K,MATCH(O18,[3]Define!J:J))</f>
        <v>相手</v>
      </c>
      <c r="Q18">
        <v>1</v>
      </c>
      <c r="R18" t="str">
        <f>INDEX([3]Define!N:N,MATCH(Q18,[3]Define!M:M))</f>
        <v>単体</v>
      </c>
      <c r="S18">
        <v>1</v>
      </c>
      <c r="T18">
        <v>1</v>
      </c>
      <c r="U18">
        <v>1</v>
      </c>
      <c r="V18">
        <v>0</v>
      </c>
    </row>
    <row r="19" spans="1:22" x14ac:dyDescent="0.2">
      <c r="A19">
        <v>2020</v>
      </c>
      <c r="B19">
        <v>2020</v>
      </c>
      <c r="C19" t="str">
        <f>INDEX([3]TextData!B:B,MATCH(B19,[3]TextData!A:A))</f>
        <v>イベイドコード</v>
      </c>
      <c r="D19">
        <v>4</v>
      </c>
      <c r="E19" t="str">
        <f>INDEX([3]Define!X:X,MATCH(D19,[3]Define!W:W))</f>
        <v>精神</v>
      </c>
      <c r="F19">
        <v>51</v>
      </c>
      <c r="G19">
        <v>1</v>
      </c>
      <c r="H19" t="str">
        <f>INDEX([3]Define!B:B,MATCH(G19,[3]Define!A:A))</f>
        <v>単体</v>
      </c>
      <c r="I19">
        <v>0</v>
      </c>
      <c r="J19">
        <v>2</v>
      </c>
      <c r="K19">
        <v>2</v>
      </c>
      <c r="L19" t="str">
        <f>INDEX([3]Define!E:E,MATCH(K19,[3]Define!D:D))</f>
        <v>雷</v>
      </c>
      <c r="M19">
        <v>1</v>
      </c>
      <c r="N19" t="str">
        <f>INDEX([3]Define!H:H,MATCH(M19,[3]Define!G:G))</f>
        <v>魔法</v>
      </c>
      <c r="O19">
        <v>4</v>
      </c>
      <c r="P19" t="str">
        <f>INDEX([3]Define!K:K,MATCH(O19,[3]Define!J:J))</f>
        <v>自身</v>
      </c>
      <c r="Q19">
        <v>4</v>
      </c>
      <c r="R19" t="str">
        <f>INDEX([3]Define!N:N,MATCH(Q19,[3]Define!M:M))</f>
        <v>自身</v>
      </c>
      <c r="S19">
        <v>1</v>
      </c>
      <c r="T19">
        <v>1</v>
      </c>
      <c r="U19">
        <v>1</v>
      </c>
      <c r="V19">
        <v>0</v>
      </c>
    </row>
    <row r="20" spans="1:22" x14ac:dyDescent="0.2">
      <c r="A20">
        <v>2030</v>
      </c>
      <c r="B20">
        <v>2030</v>
      </c>
      <c r="C20" t="str">
        <f>INDEX([3]TextData!B:B,MATCH(B20,[3]TextData!A:A))</f>
        <v>ショックインパルス</v>
      </c>
      <c r="D20">
        <v>3</v>
      </c>
      <c r="E20" t="str">
        <f>INDEX([3]Define!X:X,MATCH(D20,[3]Define!W:W))</f>
        <v>理術</v>
      </c>
      <c r="F20">
        <v>201</v>
      </c>
      <c r="G20">
        <v>1</v>
      </c>
      <c r="H20" t="str">
        <f>INDEX([3]Define!B:B,MATCH(G20,[3]Define!A:A))</f>
        <v>単体</v>
      </c>
      <c r="I20">
        <v>3</v>
      </c>
      <c r="J20">
        <v>2</v>
      </c>
      <c r="K20">
        <v>2</v>
      </c>
      <c r="L20" t="str">
        <f>INDEX([3]Define!E:E,MATCH(K20,[3]Define!D:D))</f>
        <v>雷</v>
      </c>
      <c r="M20">
        <v>1</v>
      </c>
      <c r="N20" t="str">
        <f>INDEX([3]Define!H:H,MATCH(M20,[3]Define!G:G))</f>
        <v>魔法</v>
      </c>
      <c r="O20">
        <v>1</v>
      </c>
      <c r="P20" t="str">
        <f>INDEX([3]Define!K:K,MATCH(O20,[3]Define!J:J))</f>
        <v>相手</v>
      </c>
      <c r="Q20">
        <v>1</v>
      </c>
      <c r="R20" t="str">
        <f>INDEX([3]Define!N:N,MATCH(Q20,[3]Define!M:M))</f>
        <v>単体</v>
      </c>
      <c r="S20">
        <v>2</v>
      </c>
      <c r="T20">
        <v>1</v>
      </c>
      <c r="U20">
        <v>1</v>
      </c>
      <c r="V20">
        <v>0</v>
      </c>
    </row>
    <row r="21" spans="1:22" x14ac:dyDescent="0.2">
      <c r="A21">
        <v>2040</v>
      </c>
      <c r="B21">
        <v>2040</v>
      </c>
      <c r="C21" t="str">
        <f>INDEX([3]TextData!B:B,MATCH(B21,[3]TextData!A:A))</f>
        <v>トラストチェイン</v>
      </c>
      <c r="D21">
        <v>1</v>
      </c>
      <c r="E21" t="str">
        <f>INDEX([3]Define!X:X,MATCH(D21,[3]Define!W:W))</f>
        <v>元素</v>
      </c>
      <c r="F21">
        <v>51</v>
      </c>
      <c r="G21">
        <v>1</v>
      </c>
      <c r="H21" t="str">
        <f>INDEX([3]Define!B:B,MATCH(G21,[3]Define!A:A))</f>
        <v>単体</v>
      </c>
      <c r="I21">
        <v>3</v>
      </c>
      <c r="J21">
        <v>2</v>
      </c>
      <c r="K21">
        <v>2</v>
      </c>
      <c r="L21" t="str">
        <f>INDEX([3]Define!E:E,MATCH(K21,[3]Define!D:D))</f>
        <v>雷</v>
      </c>
      <c r="M21">
        <v>1</v>
      </c>
      <c r="N21" t="str">
        <f>INDEX([3]Define!H:H,MATCH(M21,[3]Define!G:G))</f>
        <v>魔法</v>
      </c>
      <c r="O21">
        <v>4</v>
      </c>
      <c r="P21" t="str">
        <f>INDEX([3]Define!K:K,MATCH(O21,[3]Define!J:J))</f>
        <v>自身</v>
      </c>
      <c r="Q21">
        <v>32</v>
      </c>
      <c r="R21" t="str">
        <f>INDEX([3]Define!N:N,MATCH(Q21,[3]Define!M:M))</f>
        <v>自分を除いた両隣</v>
      </c>
      <c r="S21">
        <v>1</v>
      </c>
      <c r="T21">
        <v>1</v>
      </c>
      <c r="U21">
        <v>1</v>
      </c>
      <c r="V21">
        <v>0</v>
      </c>
    </row>
    <row r="22" spans="1:22" x14ac:dyDescent="0.2">
      <c r="A22">
        <v>2050</v>
      </c>
      <c r="B22">
        <v>2050</v>
      </c>
      <c r="C22" t="str">
        <f>INDEX([3]TextData!B:B,MATCH(B22,[3]TextData!A:A))</f>
        <v>スペルバニシング</v>
      </c>
      <c r="D22">
        <v>1</v>
      </c>
      <c r="E22" t="str">
        <f>INDEX([3]Define!X:X,MATCH(D22,[3]Define!W:W))</f>
        <v>元素</v>
      </c>
      <c r="F22">
        <v>201</v>
      </c>
      <c r="G22">
        <v>1</v>
      </c>
      <c r="H22" t="str">
        <f>INDEX([3]Define!B:B,MATCH(G22,[3]Define!A:A))</f>
        <v>単体</v>
      </c>
      <c r="I22">
        <v>2</v>
      </c>
      <c r="J22">
        <v>2</v>
      </c>
      <c r="K22">
        <v>2</v>
      </c>
      <c r="L22" t="str">
        <f>INDEX([3]Define!E:E,MATCH(K22,[3]Define!D:D))</f>
        <v>雷</v>
      </c>
      <c r="M22">
        <v>1</v>
      </c>
      <c r="N22" t="str">
        <f>INDEX([3]Define!H:H,MATCH(M22,[3]Define!G:G))</f>
        <v>魔法</v>
      </c>
      <c r="O22">
        <v>1</v>
      </c>
      <c r="P22" t="str">
        <f>INDEX([3]Define!K:K,MATCH(O22,[3]Define!J:J))</f>
        <v>相手</v>
      </c>
      <c r="Q22">
        <v>1</v>
      </c>
      <c r="R22" t="str">
        <f>INDEX([3]Define!N:N,MATCH(Q22,[3]Define!M:M))</f>
        <v>単体</v>
      </c>
      <c r="S22">
        <v>1</v>
      </c>
      <c r="T22">
        <v>1</v>
      </c>
      <c r="U22">
        <v>1</v>
      </c>
      <c r="V22">
        <v>0</v>
      </c>
    </row>
    <row r="23" spans="1:22" x14ac:dyDescent="0.2">
      <c r="A23">
        <v>2060</v>
      </c>
      <c r="B23">
        <v>2060</v>
      </c>
      <c r="C23" t="str">
        <f>INDEX([3]TextData!B:B,MATCH(B23,[3]TextData!A:A))</f>
        <v>アーテニーストライク</v>
      </c>
      <c r="D23">
        <v>1</v>
      </c>
      <c r="E23" t="str">
        <f>INDEX([3]Define!X:X,MATCH(D23,[3]Define!W:W))</f>
        <v>元素</v>
      </c>
      <c r="F23">
        <v>201</v>
      </c>
      <c r="G23">
        <v>1</v>
      </c>
      <c r="H23" t="str">
        <f>INDEX([3]Define!B:B,MATCH(G23,[3]Define!A:A))</f>
        <v>単体</v>
      </c>
      <c r="I23">
        <v>1</v>
      </c>
      <c r="J23">
        <v>2</v>
      </c>
      <c r="K23">
        <v>2</v>
      </c>
      <c r="L23" t="str">
        <f>INDEX([3]Define!E:E,MATCH(K23,[3]Define!D:D))</f>
        <v>雷</v>
      </c>
      <c r="M23">
        <v>1</v>
      </c>
      <c r="N23" t="str">
        <f>INDEX([3]Define!H:H,MATCH(M23,[3]Define!G:G))</f>
        <v>魔法</v>
      </c>
      <c r="O23">
        <v>1</v>
      </c>
      <c r="P23" t="str">
        <f>INDEX([3]Define!K:K,MATCH(O23,[3]Define!J:J))</f>
        <v>相手</v>
      </c>
      <c r="Q23">
        <v>1</v>
      </c>
      <c r="R23" t="str">
        <f>INDEX([3]Define!N:N,MATCH(Q23,[3]Define!M:M))</f>
        <v>単体</v>
      </c>
      <c r="S23">
        <v>1</v>
      </c>
      <c r="T23">
        <v>1</v>
      </c>
      <c r="U23">
        <v>1</v>
      </c>
      <c r="V23">
        <v>0</v>
      </c>
    </row>
    <row r="24" spans="1:22" x14ac:dyDescent="0.2">
      <c r="A24">
        <v>2061</v>
      </c>
      <c r="B24">
        <v>2060</v>
      </c>
      <c r="C24" t="str">
        <f>INDEX([3]TextData!B:B,MATCH(B24,[3]TextData!A:A))</f>
        <v>アーテニーストライク</v>
      </c>
      <c r="D24">
        <v>1</v>
      </c>
      <c r="E24" t="str">
        <f>INDEX([3]Define!X:X,MATCH(D24,[3]Define!W:W))</f>
        <v>元素</v>
      </c>
      <c r="F24">
        <v>51</v>
      </c>
      <c r="G24">
        <v>1</v>
      </c>
      <c r="H24" t="str">
        <f>INDEX([3]Define!B:B,MATCH(G24,[3]Define!A:A))</f>
        <v>単体</v>
      </c>
      <c r="I24">
        <v>0</v>
      </c>
      <c r="J24">
        <v>2</v>
      </c>
      <c r="K24">
        <v>2</v>
      </c>
      <c r="L24" t="str">
        <f>INDEX([3]Define!E:E,MATCH(K24,[3]Define!D:D))</f>
        <v>雷</v>
      </c>
      <c r="M24">
        <v>2</v>
      </c>
      <c r="N24" t="str">
        <f>INDEX([3]Define!H:H,MATCH(M24,[3]Define!G:G))</f>
        <v>パッシブ</v>
      </c>
      <c r="O24">
        <v>4</v>
      </c>
      <c r="P24" t="str">
        <f>INDEX([3]Define!K:K,MATCH(O24,[3]Define!J:J))</f>
        <v>自身</v>
      </c>
      <c r="Q24">
        <v>4</v>
      </c>
      <c r="R24" t="str">
        <f>INDEX([3]Define!N:N,MATCH(Q24,[3]Define!M:M))</f>
        <v>自身</v>
      </c>
      <c r="S24">
        <v>1</v>
      </c>
      <c r="T24">
        <v>1</v>
      </c>
      <c r="U24">
        <v>1</v>
      </c>
      <c r="V24">
        <v>0</v>
      </c>
    </row>
    <row r="25" spans="1:22" x14ac:dyDescent="0.2">
      <c r="A25">
        <v>2070</v>
      </c>
      <c r="B25">
        <v>2070</v>
      </c>
      <c r="C25" t="str">
        <f>INDEX([3]TextData!B:B,MATCH(B25,[3]TextData!A:A))</f>
        <v>コンセントレイト</v>
      </c>
      <c r="D25">
        <v>3</v>
      </c>
      <c r="E25" t="str">
        <f>INDEX([3]Define!X:X,MATCH(D25,[3]Define!W:W))</f>
        <v>理術</v>
      </c>
      <c r="F25">
        <v>51</v>
      </c>
      <c r="G25">
        <v>1</v>
      </c>
      <c r="H25" t="str">
        <f>INDEX([3]Define!B:B,MATCH(G25,[3]Define!A:A))</f>
        <v>単体</v>
      </c>
      <c r="I25">
        <v>1</v>
      </c>
      <c r="J25">
        <v>2</v>
      </c>
      <c r="K25">
        <v>2</v>
      </c>
      <c r="L25" t="str">
        <f>INDEX([3]Define!E:E,MATCH(K25,[3]Define!D:D))</f>
        <v>雷</v>
      </c>
      <c r="M25">
        <v>1</v>
      </c>
      <c r="N25" t="str">
        <f>INDEX([3]Define!H:H,MATCH(M25,[3]Define!G:G))</f>
        <v>魔法</v>
      </c>
      <c r="O25">
        <v>4</v>
      </c>
      <c r="P25" t="str">
        <f>INDEX([3]Define!K:K,MATCH(O25,[3]Define!J:J))</f>
        <v>自身</v>
      </c>
      <c r="Q25">
        <v>4</v>
      </c>
      <c r="R25" t="str">
        <f>INDEX([3]Define!N:N,MATCH(Q25,[3]Define!M:M))</f>
        <v>自身</v>
      </c>
      <c r="S25">
        <v>1</v>
      </c>
      <c r="T25">
        <v>1</v>
      </c>
      <c r="U25">
        <v>1</v>
      </c>
      <c r="V25">
        <v>0</v>
      </c>
    </row>
    <row r="26" spans="1:22" x14ac:dyDescent="0.2">
      <c r="A26">
        <v>2080</v>
      </c>
      <c r="B26">
        <v>2080</v>
      </c>
      <c r="C26" t="str">
        <f>INDEX([3]TextData!B:B,MATCH(B26,[3]TextData!A:A))</f>
        <v>ディレイマジック</v>
      </c>
      <c r="D26">
        <v>5</v>
      </c>
      <c r="E26" t="str">
        <f>INDEX([3]Define!X:X,MATCH(D26,[3]Define!W:W))</f>
        <v>超次元</v>
      </c>
      <c r="F26">
        <v>201</v>
      </c>
      <c r="G26">
        <v>1</v>
      </c>
      <c r="H26" t="str">
        <f>INDEX([3]Define!B:B,MATCH(G26,[3]Define!A:A))</f>
        <v>単体</v>
      </c>
      <c r="I26">
        <v>3</v>
      </c>
      <c r="J26">
        <v>2</v>
      </c>
      <c r="K26">
        <v>2</v>
      </c>
      <c r="L26" t="str">
        <f>INDEX([3]Define!E:E,MATCH(K26,[3]Define!D:D))</f>
        <v>雷</v>
      </c>
      <c r="M26">
        <v>1</v>
      </c>
      <c r="N26" t="str">
        <f>INDEX([3]Define!H:H,MATCH(M26,[3]Define!G:G))</f>
        <v>魔法</v>
      </c>
      <c r="O26">
        <v>1</v>
      </c>
      <c r="P26" t="str">
        <f>INDEX([3]Define!K:K,MATCH(O26,[3]Define!J:J))</f>
        <v>相手</v>
      </c>
      <c r="Q26">
        <v>1</v>
      </c>
      <c r="R26" t="str">
        <f>INDEX([3]Define!N:N,MATCH(Q26,[3]Define!M:M))</f>
        <v>単体</v>
      </c>
      <c r="S26">
        <v>1</v>
      </c>
      <c r="T26">
        <v>2</v>
      </c>
      <c r="U26">
        <v>1</v>
      </c>
      <c r="V26">
        <v>0</v>
      </c>
    </row>
    <row r="27" spans="1:22" x14ac:dyDescent="0.2">
      <c r="A27">
        <v>3010</v>
      </c>
      <c r="B27">
        <v>3010</v>
      </c>
      <c r="C27" t="str">
        <f>INDEX([3]TextData!B:B,MATCH(B27,[3]TextData!A:A))</f>
        <v>アイスブレイド</v>
      </c>
      <c r="D27">
        <v>1</v>
      </c>
      <c r="E27" t="str">
        <f>INDEX([3]Define!X:X,MATCH(D27,[3]Define!W:W))</f>
        <v>元素</v>
      </c>
      <c r="F27">
        <v>301</v>
      </c>
      <c r="G27">
        <v>1</v>
      </c>
      <c r="H27" t="str">
        <f>INDEX([3]Define!B:B,MATCH(G27,[3]Define!A:A))</f>
        <v>単体</v>
      </c>
      <c r="I27">
        <v>0</v>
      </c>
      <c r="J27">
        <v>1</v>
      </c>
      <c r="K27">
        <v>3</v>
      </c>
      <c r="L27" t="str">
        <f>INDEX([3]Define!E:E,MATCH(K27,[3]Define!D:D))</f>
        <v>氷</v>
      </c>
      <c r="M27">
        <v>1</v>
      </c>
      <c r="N27" t="str">
        <f>INDEX([3]Define!H:H,MATCH(M27,[3]Define!G:G))</f>
        <v>魔法</v>
      </c>
      <c r="O27">
        <v>1</v>
      </c>
      <c r="P27" t="str">
        <f>INDEX([3]Define!K:K,MATCH(O27,[3]Define!J:J))</f>
        <v>相手</v>
      </c>
      <c r="Q27">
        <v>1</v>
      </c>
      <c r="R27" t="str">
        <f>INDEX([3]Define!N:N,MATCH(Q27,[3]Define!M:M))</f>
        <v>単体</v>
      </c>
      <c r="S27">
        <v>1</v>
      </c>
      <c r="T27">
        <v>1</v>
      </c>
      <c r="U27">
        <v>1</v>
      </c>
      <c r="V27">
        <v>0</v>
      </c>
    </row>
    <row r="28" spans="1:22" x14ac:dyDescent="0.2">
      <c r="A28">
        <v>3020</v>
      </c>
      <c r="B28">
        <v>3020</v>
      </c>
      <c r="C28" t="str">
        <f>INDEX([3]TextData!B:B,MATCH(B28,[3]TextData!A:A))</f>
        <v>カウンターオーラ</v>
      </c>
      <c r="D28">
        <v>2</v>
      </c>
      <c r="E28" t="str">
        <f>INDEX([3]Define!X:X,MATCH(D28,[3]Define!W:W))</f>
        <v>光</v>
      </c>
      <c r="F28">
        <v>301</v>
      </c>
      <c r="G28">
        <v>1</v>
      </c>
      <c r="H28" t="str">
        <f>INDEX([3]Define!B:B,MATCH(G28,[3]Define!A:A))</f>
        <v>単体</v>
      </c>
      <c r="I28">
        <v>2</v>
      </c>
      <c r="J28">
        <v>2</v>
      </c>
      <c r="K28">
        <v>3</v>
      </c>
      <c r="L28" t="str">
        <f>INDEX([3]Define!E:E,MATCH(K28,[3]Define!D:D))</f>
        <v>氷</v>
      </c>
      <c r="M28">
        <v>1</v>
      </c>
      <c r="N28" t="str">
        <f>INDEX([3]Define!H:H,MATCH(M28,[3]Define!G:G))</f>
        <v>魔法</v>
      </c>
      <c r="O28">
        <v>4</v>
      </c>
      <c r="P28" t="str">
        <f>INDEX([3]Define!K:K,MATCH(O28,[3]Define!J:J))</f>
        <v>自身</v>
      </c>
      <c r="Q28">
        <v>4</v>
      </c>
      <c r="R28" t="str">
        <f>INDEX([3]Define!N:N,MATCH(Q28,[3]Define!M:M))</f>
        <v>自身</v>
      </c>
      <c r="S28">
        <v>1</v>
      </c>
      <c r="T28">
        <v>1</v>
      </c>
      <c r="U28">
        <v>1</v>
      </c>
      <c r="V28">
        <v>0</v>
      </c>
    </row>
    <row r="29" spans="1:22" x14ac:dyDescent="0.2">
      <c r="A29">
        <v>3030</v>
      </c>
      <c r="B29">
        <v>3030</v>
      </c>
      <c r="C29" t="str">
        <f>INDEX([3]TextData!B:B,MATCH(B29,[3]TextData!A:A))</f>
        <v>ラインプロテクト</v>
      </c>
      <c r="D29">
        <v>4</v>
      </c>
      <c r="E29" t="str">
        <f>INDEX([3]Define!X:X,MATCH(D29,[3]Define!W:W))</f>
        <v>精神</v>
      </c>
      <c r="F29">
        <v>51</v>
      </c>
      <c r="G29">
        <v>1</v>
      </c>
      <c r="H29" t="str">
        <f>INDEX([3]Define!B:B,MATCH(G29,[3]Define!A:A))</f>
        <v>単体</v>
      </c>
      <c r="I29">
        <v>4</v>
      </c>
      <c r="J29">
        <v>2</v>
      </c>
      <c r="K29">
        <v>3</v>
      </c>
      <c r="L29" t="str">
        <f>INDEX([3]Define!E:E,MATCH(K29,[3]Define!D:D))</f>
        <v>氷</v>
      </c>
      <c r="M29">
        <v>1</v>
      </c>
      <c r="N29" t="str">
        <f>INDEX([3]Define!H:H,MATCH(M29,[3]Define!G:G))</f>
        <v>魔法</v>
      </c>
      <c r="O29">
        <v>2</v>
      </c>
      <c r="P29" t="str">
        <f>INDEX([3]Define!K:K,MATCH(O29,[3]Define!J:J))</f>
        <v>味方</v>
      </c>
      <c r="Q29">
        <v>2</v>
      </c>
      <c r="R29" t="str">
        <f>INDEX([3]Define!N:N,MATCH(Q29,[3]Define!M:M))</f>
        <v>列</v>
      </c>
      <c r="S29">
        <v>1</v>
      </c>
      <c r="T29">
        <v>1</v>
      </c>
      <c r="U29">
        <v>1</v>
      </c>
      <c r="V29">
        <v>0</v>
      </c>
    </row>
    <row r="30" spans="1:22" x14ac:dyDescent="0.2">
      <c r="A30">
        <v>3040</v>
      </c>
      <c r="B30">
        <v>3040</v>
      </c>
      <c r="C30" t="str">
        <f>INDEX([3]TextData!B:B,MATCH(B30,[3]TextData!A:A))</f>
        <v>エスコートソール</v>
      </c>
      <c r="D30">
        <v>3</v>
      </c>
      <c r="E30" t="str">
        <f>INDEX([3]Define!X:X,MATCH(D30,[3]Define!W:W))</f>
        <v>理術</v>
      </c>
      <c r="F30">
        <v>61</v>
      </c>
      <c r="G30">
        <v>1</v>
      </c>
      <c r="H30" t="str">
        <f>INDEX([3]Define!B:B,MATCH(G30,[3]Define!A:A))</f>
        <v>単体</v>
      </c>
      <c r="I30">
        <v>3</v>
      </c>
      <c r="J30">
        <v>2</v>
      </c>
      <c r="K30">
        <v>3</v>
      </c>
      <c r="L30" t="str">
        <f>INDEX([3]Define!E:E,MATCH(K30,[3]Define!D:D))</f>
        <v>氷</v>
      </c>
      <c r="M30">
        <v>1</v>
      </c>
      <c r="N30" t="str">
        <f>INDEX([3]Define!H:H,MATCH(M30,[3]Define!G:G))</f>
        <v>魔法</v>
      </c>
      <c r="O30">
        <v>1</v>
      </c>
      <c r="P30" t="str">
        <f>INDEX([3]Define!K:K,MATCH(O30,[3]Define!J:J))</f>
        <v>相手</v>
      </c>
      <c r="Q30">
        <v>31</v>
      </c>
      <c r="R30" t="str">
        <f>INDEX([3]Define!N:N,MATCH(Q30,[3]Define!M:M))</f>
        <v>単体と両隣</v>
      </c>
      <c r="S30">
        <v>1</v>
      </c>
      <c r="T30">
        <v>1</v>
      </c>
      <c r="U30">
        <v>1</v>
      </c>
      <c r="V30">
        <v>0</v>
      </c>
    </row>
    <row r="31" spans="1:22" x14ac:dyDescent="0.2">
      <c r="A31">
        <v>3050</v>
      </c>
      <c r="B31">
        <v>3050</v>
      </c>
      <c r="C31" t="str">
        <f>INDEX([3]TextData!B:B,MATCH(B31,[3]TextData!A:A))</f>
        <v>ディープフリーズ</v>
      </c>
      <c r="D31">
        <v>3</v>
      </c>
      <c r="E31" t="str">
        <f>INDEX([3]Define!X:X,MATCH(D31,[3]Define!W:W))</f>
        <v>理術</v>
      </c>
      <c r="F31">
        <v>301</v>
      </c>
      <c r="G31">
        <v>1</v>
      </c>
      <c r="H31" t="str">
        <f>INDEX([3]Define!B:B,MATCH(G31,[3]Define!A:A))</f>
        <v>単体</v>
      </c>
      <c r="I31">
        <v>4</v>
      </c>
      <c r="J31">
        <v>2</v>
      </c>
      <c r="K31">
        <v>3</v>
      </c>
      <c r="L31" t="str">
        <f>INDEX([3]Define!E:E,MATCH(K31,[3]Define!D:D))</f>
        <v>氷</v>
      </c>
      <c r="M31">
        <v>1</v>
      </c>
      <c r="N31" t="str">
        <f>INDEX([3]Define!H:H,MATCH(M31,[3]Define!G:G))</f>
        <v>魔法</v>
      </c>
      <c r="O31">
        <v>1</v>
      </c>
      <c r="P31" t="str">
        <f>INDEX([3]Define!K:K,MATCH(O31,[3]Define!J:J))</f>
        <v>相手</v>
      </c>
      <c r="Q31">
        <v>2</v>
      </c>
      <c r="R31" t="str">
        <f>INDEX([3]Define!N:N,MATCH(Q31,[3]Define!M:M))</f>
        <v>列</v>
      </c>
      <c r="S31">
        <v>1</v>
      </c>
      <c r="T31">
        <v>1</v>
      </c>
      <c r="U31">
        <v>1</v>
      </c>
      <c r="V31">
        <v>0</v>
      </c>
    </row>
    <row r="32" spans="1:22" x14ac:dyDescent="0.2">
      <c r="A32">
        <v>3060</v>
      </c>
      <c r="B32">
        <v>3060</v>
      </c>
      <c r="C32" t="str">
        <f>INDEX([3]TextData!B:B,MATCH(B32,[3]TextData!A:A))</f>
        <v>バブルブロウ</v>
      </c>
      <c r="D32">
        <v>3</v>
      </c>
      <c r="E32" t="str">
        <f>INDEX([3]Define!X:X,MATCH(D32,[3]Define!W:W))</f>
        <v>理術</v>
      </c>
      <c r="F32">
        <v>301</v>
      </c>
      <c r="G32">
        <v>1</v>
      </c>
      <c r="H32" t="str">
        <f>INDEX([3]Define!B:B,MATCH(G32,[3]Define!A:A))</f>
        <v>単体</v>
      </c>
      <c r="I32">
        <v>2</v>
      </c>
      <c r="J32">
        <v>2</v>
      </c>
      <c r="K32">
        <v>3</v>
      </c>
      <c r="L32" t="str">
        <f>INDEX([3]Define!E:E,MATCH(K32,[3]Define!D:D))</f>
        <v>氷</v>
      </c>
      <c r="M32">
        <v>1</v>
      </c>
      <c r="N32" t="str">
        <f>INDEX([3]Define!H:H,MATCH(M32,[3]Define!G:G))</f>
        <v>魔法</v>
      </c>
      <c r="O32">
        <v>1</v>
      </c>
      <c r="P32" t="str">
        <f>INDEX([3]Define!K:K,MATCH(O32,[3]Define!J:J))</f>
        <v>相手</v>
      </c>
      <c r="Q32">
        <v>1</v>
      </c>
      <c r="R32" t="str">
        <f>INDEX([3]Define!N:N,MATCH(Q32,[3]Define!M:M))</f>
        <v>単体</v>
      </c>
      <c r="S32">
        <v>1</v>
      </c>
      <c r="T32">
        <v>1</v>
      </c>
      <c r="U32">
        <v>1</v>
      </c>
      <c r="V32">
        <v>0</v>
      </c>
    </row>
    <row r="33" spans="1:22" x14ac:dyDescent="0.2">
      <c r="A33">
        <v>3070</v>
      </c>
      <c r="B33">
        <v>3070</v>
      </c>
      <c r="C33" t="str">
        <f>INDEX([3]TextData!B:B,MATCH(B33,[3]TextData!A:A))</f>
        <v>アクアミラージュ</v>
      </c>
      <c r="D33">
        <v>4</v>
      </c>
      <c r="E33" t="str">
        <f>INDEX([3]Define!X:X,MATCH(D33,[3]Define!W:W))</f>
        <v>精神</v>
      </c>
      <c r="F33">
        <v>51</v>
      </c>
      <c r="G33">
        <v>1</v>
      </c>
      <c r="H33" t="str">
        <f>INDEX([3]Define!B:B,MATCH(G33,[3]Define!A:A))</f>
        <v>単体</v>
      </c>
      <c r="I33">
        <v>2</v>
      </c>
      <c r="J33">
        <v>2</v>
      </c>
      <c r="K33">
        <v>3</v>
      </c>
      <c r="L33" t="str">
        <f>INDEX([3]Define!E:E,MATCH(K33,[3]Define!D:D))</f>
        <v>氷</v>
      </c>
      <c r="M33">
        <v>1</v>
      </c>
      <c r="N33" t="str">
        <f>INDEX([3]Define!H:H,MATCH(M33,[3]Define!G:G))</f>
        <v>魔法</v>
      </c>
      <c r="O33">
        <v>2</v>
      </c>
      <c r="P33" t="str">
        <f>INDEX([3]Define!K:K,MATCH(O33,[3]Define!J:J))</f>
        <v>味方</v>
      </c>
      <c r="Q33">
        <v>1</v>
      </c>
      <c r="R33" t="str">
        <f>INDEX([3]Define!N:N,MATCH(Q33,[3]Define!M:M))</f>
        <v>単体</v>
      </c>
      <c r="S33">
        <v>2</v>
      </c>
      <c r="T33">
        <v>1</v>
      </c>
      <c r="U33">
        <v>1</v>
      </c>
      <c r="V33">
        <v>0</v>
      </c>
    </row>
    <row r="34" spans="1:22" x14ac:dyDescent="0.2">
      <c r="A34">
        <v>3080</v>
      </c>
      <c r="B34">
        <v>3080</v>
      </c>
      <c r="C34" t="str">
        <f>INDEX([3]TextData!B:B,MATCH(B34,[3]TextData!A:A))</f>
        <v>フロストシールド</v>
      </c>
      <c r="D34">
        <v>4</v>
      </c>
      <c r="E34" t="str">
        <f>INDEX([3]Define!X:X,MATCH(D34,[3]Define!W:W))</f>
        <v>精神</v>
      </c>
      <c r="F34">
        <v>51</v>
      </c>
      <c r="G34">
        <v>1</v>
      </c>
      <c r="H34" t="str">
        <f>INDEX([3]Define!B:B,MATCH(G34,[3]Define!A:A))</f>
        <v>単体</v>
      </c>
      <c r="I34">
        <v>5</v>
      </c>
      <c r="J34">
        <v>2</v>
      </c>
      <c r="K34">
        <v>3</v>
      </c>
      <c r="L34" t="str">
        <f>INDEX([3]Define!E:E,MATCH(K34,[3]Define!D:D))</f>
        <v>氷</v>
      </c>
      <c r="M34">
        <v>1</v>
      </c>
      <c r="N34" t="str">
        <f>INDEX([3]Define!H:H,MATCH(M34,[3]Define!G:G))</f>
        <v>魔法</v>
      </c>
      <c r="O34">
        <v>2</v>
      </c>
      <c r="P34" t="str">
        <f>INDEX([3]Define!K:K,MATCH(O34,[3]Define!J:J))</f>
        <v>味方</v>
      </c>
      <c r="Q34">
        <v>3</v>
      </c>
      <c r="R34" t="str">
        <f>INDEX([3]Define!N:N,MATCH(Q34,[3]Define!M:M))</f>
        <v>全体</v>
      </c>
      <c r="S34">
        <v>2</v>
      </c>
      <c r="T34">
        <v>1</v>
      </c>
      <c r="U34">
        <v>1</v>
      </c>
      <c r="V34">
        <v>0</v>
      </c>
    </row>
    <row r="35" spans="1:22" ht="12" customHeight="1" x14ac:dyDescent="0.2">
      <c r="A35">
        <v>4010</v>
      </c>
      <c r="B35">
        <v>4010</v>
      </c>
      <c r="C35" t="str">
        <f>INDEX([3]TextData!B:B,MATCH(B35,[3]TextData!A:A))</f>
        <v>セイントレーザー</v>
      </c>
      <c r="D35">
        <v>1</v>
      </c>
      <c r="E35" t="str">
        <f>INDEX([3]Define!X:X,MATCH(D35,[3]Define!W:W))</f>
        <v>元素</v>
      </c>
      <c r="F35">
        <v>401</v>
      </c>
      <c r="G35">
        <v>1</v>
      </c>
      <c r="H35" t="str">
        <f>INDEX([3]Define!B:B,MATCH(G35,[3]Define!A:A))</f>
        <v>単体</v>
      </c>
      <c r="I35">
        <v>0</v>
      </c>
      <c r="J35">
        <v>1</v>
      </c>
      <c r="K35">
        <v>4</v>
      </c>
      <c r="L35" t="str">
        <f>INDEX([3]Define!E:E,MATCH(K35,[3]Define!D:D))</f>
        <v>光</v>
      </c>
      <c r="M35">
        <v>1</v>
      </c>
      <c r="N35" t="str">
        <f>INDEX([3]Define!H:H,MATCH(M35,[3]Define!G:G))</f>
        <v>魔法</v>
      </c>
      <c r="O35">
        <v>1</v>
      </c>
      <c r="P35" t="str">
        <f>INDEX([3]Define!K:K,MATCH(O35,[3]Define!J:J))</f>
        <v>相手</v>
      </c>
      <c r="Q35">
        <v>1</v>
      </c>
      <c r="R35" t="str">
        <f>INDEX([3]Define!N:N,MATCH(Q35,[3]Define!M:M))</f>
        <v>単体</v>
      </c>
      <c r="S35">
        <v>1</v>
      </c>
      <c r="T35">
        <v>1</v>
      </c>
      <c r="U35">
        <v>1</v>
      </c>
      <c r="V35">
        <v>0</v>
      </c>
    </row>
    <row r="36" spans="1:22" ht="12" customHeight="1" x14ac:dyDescent="0.2">
      <c r="A36">
        <v>4020</v>
      </c>
      <c r="B36">
        <v>4020</v>
      </c>
      <c r="C36" t="str">
        <f>INDEX([3]TextData!B:B,MATCH(B36,[3]TextData!A:A))</f>
        <v>ペネトレイト</v>
      </c>
      <c r="D36">
        <v>1</v>
      </c>
      <c r="E36" t="str">
        <f>INDEX([3]Define!X:X,MATCH(D36,[3]Define!W:W))</f>
        <v>元素</v>
      </c>
      <c r="F36">
        <v>401</v>
      </c>
      <c r="G36">
        <v>1</v>
      </c>
      <c r="H36" t="str">
        <f>INDEX([3]Define!B:B,MATCH(G36,[3]Define!A:A))</f>
        <v>単体</v>
      </c>
      <c r="I36">
        <v>0</v>
      </c>
      <c r="J36">
        <v>2</v>
      </c>
      <c r="K36">
        <v>4</v>
      </c>
      <c r="L36" t="str">
        <f>INDEX([3]Define!E:E,MATCH(K36,[3]Define!D:D))</f>
        <v>光</v>
      </c>
      <c r="M36">
        <v>1</v>
      </c>
      <c r="N36" t="str">
        <f>INDEX([3]Define!H:H,MATCH(M36,[3]Define!G:G))</f>
        <v>魔法</v>
      </c>
      <c r="O36">
        <v>1</v>
      </c>
      <c r="P36" t="str">
        <f>INDEX([3]Define!K:K,MATCH(O36,[3]Define!J:J))</f>
        <v>相手</v>
      </c>
      <c r="Q36">
        <v>1</v>
      </c>
      <c r="R36" t="str">
        <f>INDEX([3]Define!N:N,MATCH(Q36,[3]Define!M:M))</f>
        <v>単体</v>
      </c>
      <c r="S36">
        <v>1</v>
      </c>
      <c r="T36">
        <v>1</v>
      </c>
      <c r="U36">
        <v>1</v>
      </c>
      <c r="V36">
        <v>0</v>
      </c>
    </row>
    <row r="37" spans="1:22" ht="12" customHeight="1" x14ac:dyDescent="0.2">
      <c r="A37">
        <v>4030</v>
      </c>
      <c r="B37">
        <v>4030</v>
      </c>
      <c r="C37" t="str">
        <f>INDEX([3]TextData!B:B,MATCH(B37,[3]TextData!A:A))</f>
        <v>ヒーリング</v>
      </c>
      <c r="D37">
        <v>2</v>
      </c>
      <c r="E37" t="str">
        <f>INDEX([3]Define!X:X,MATCH(D37,[3]Define!W:W))</f>
        <v>光</v>
      </c>
      <c r="F37">
        <v>21</v>
      </c>
      <c r="G37">
        <v>1</v>
      </c>
      <c r="H37" t="str">
        <f>INDEX([3]Define!B:B,MATCH(G37,[3]Define!A:A))</f>
        <v>単体</v>
      </c>
      <c r="I37">
        <v>3</v>
      </c>
      <c r="J37">
        <v>2</v>
      </c>
      <c r="K37">
        <v>4</v>
      </c>
      <c r="L37" t="str">
        <f>INDEX([3]Define!E:E,MATCH(K37,[3]Define!D:D))</f>
        <v>光</v>
      </c>
      <c r="M37">
        <v>1</v>
      </c>
      <c r="N37" t="str">
        <f>INDEX([3]Define!H:H,MATCH(M37,[3]Define!G:G))</f>
        <v>魔法</v>
      </c>
      <c r="O37">
        <v>3</v>
      </c>
      <c r="P37" t="str">
        <f>INDEX([3]Define!K:K,MATCH(O37,[3]Define!J:J))</f>
        <v>全員</v>
      </c>
      <c r="Q37">
        <v>1</v>
      </c>
      <c r="R37" t="str">
        <f>INDEX([3]Define!N:N,MATCH(Q37,[3]Define!M:M))</f>
        <v>単体</v>
      </c>
      <c r="S37">
        <v>1</v>
      </c>
      <c r="T37">
        <v>1</v>
      </c>
      <c r="U37">
        <v>1</v>
      </c>
      <c r="V37">
        <v>0</v>
      </c>
    </row>
    <row r="38" spans="1:22" x14ac:dyDescent="0.2">
      <c r="A38">
        <v>4040</v>
      </c>
      <c r="B38">
        <v>4040</v>
      </c>
      <c r="C38" t="str">
        <f>INDEX([3]TextData!B:B,MATCH(B38,[3]TextData!A:A))</f>
        <v>リザイアフォトン</v>
      </c>
      <c r="D38">
        <v>2</v>
      </c>
      <c r="E38" t="str">
        <f>INDEX([3]Define!X:X,MATCH(D38,[3]Define!W:W))</f>
        <v>光</v>
      </c>
      <c r="F38">
        <v>401</v>
      </c>
      <c r="G38">
        <v>1</v>
      </c>
      <c r="H38" t="str">
        <f>INDEX([3]Define!B:B,MATCH(G38,[3]Define!A:A))</f>
        <v>単体</v>
      </c>
      <c r="I38">
        <v>3</v>
      </c>
      <c r="J38">
        <v>2</v>
      </c>
      <c r="K38">
        <v>4</v>
      </c>
      <c r="L38" t="str">
        <f>INDEX([3]Define!E:E,MATCH(K38,[3]Define!D:D))</f>
        <v>光</v>
      </c>
      <c r="M38">
        <v>1</v>
      </c>
      <c r="N38" t="str">
        <f>INDEX([3]Define!H:H,MATCH(M38,[3]Define!G:G))</f>
        <v>魔法</v>
      </c>
      <c r="O38">
        <v>1</v>
      </c>
      <c r="P38" t="str">
        <f>INDEX([3]Define!K:K,MATCH(O38,[3]Define!J:J))</f>
        <v>相手</v>
      </c>
      <c r="Q38">
        <v>1</v>
      </c>
      <c r="R38" t="str">
        <f>INDEX([3]Define!N:N,MATCH(Q38,[3]Define!M:M))</f>
        <v>単体</v>
      </c>
      <c r="S38">
        <v>1</v>
      </c>
      <c r="T38">
        <v>1</v>
      </c>
      <c r="U38">
        <v>1</v>
      </c>
      <c r="V38">
        <v>0</v>
      </c>
    </row>
    <row r="39" spans="1:22" ht="12" customHeight="1" x14ac:dyDescent="0.2">
      <c r="A39">
        <v>4050</v>
      </c>
      <c r="B39">
        <v>4050</v>
      </c>
      <c r="C39" t="str">
        <f>INDEX([3]TextData!B:B,MATCH(B39,[3]TextData!A:A))</f>
        <v>べネディクション</v>
      </c>
      <c r="D39">
        <v>2</v>
      </c>
      <c r="E39" t="str">
        <f>INDEX([3]Define!X:X,MATCH(D39,[3]Define!W:W))</f>
        <v>光</v>
      </c>
      <c r="F39">
        <v>21</v>
      </c>
      <c r="G39">
        <v>1</v>
      </c>
      <c r="H39" t="str">
        <f>INDEX([3]Define!B:B,MATCH(G39,[3]Define!A:A))</f>
        <v>単体</v>
      </c>
      <c r="I39">
        <v>3</v>
      </c>
      <c r="J39">
        <v>2</v>
      </c>
      <c r="K39">
        <v>4</v>
      </c>
      <c r="L39" t="str">
        <f>INDEX([3]Define!E:E,MATCH(K39,[3]Define!D:D))</f>
        <v>光</v>
      </c>
      <c r="M39">
        <v>1</v>
      </c>
      <c r="N39" t="str">
        <f>INDEX([3]Define!H:H,MATCH(M39,[3]Define!G:G))</f>
        <v>魔法</v>
      </c>
      <c r="O39">
        <v>2</v>
      </c>
      <c r="P39" t="str">
        <f>INDEX([3]Define!K:K,MATCH(O39,[3]Define!J:J))</f>
        <v>味方</v>
      </c>
      <c r="Q39">
        <v>13</v>
      </c>
      <c r="R39" t="str">
        <f>INDEX([3]Define!N:N,MATCH(Q39,[3]Define!M:M))</f>
        <v>全体・自身を除く</v>
      </c>
      <c r="S39">
        <v>2</v>
      </c>
      <c r="T39">
        <v>1</v>
      </c>
      <c r="U39">
        <v>1</v>
      </c>
      <c r="V39">
        <v>0</v>
      </c>
    </row>
    <row r="40" spans="1:22" x14ac:dyDescent="0.2">
      <c r="A40">
        <v>4060</v>
      </c>
      <c r="B40">
        <v>4060</v>
      </c>
      <c r="C40" t="str">
        <f>INDEX([3]TextData!B:B,MATCH(B40,[3]TextData!A:A))</f>
        <v>ホーリーグレイス</v>
      </c>
      <c r="D40">
        <v>2</v>
      </c>
      <c r="E40" t="str">
        <f>INDEX([3]Define!X:X,MATCH(D40,[3]Define!W:W))</f>
        <v>光</v>
      </c>
      <c r="F40">
        <v>21</v>
      </c>
      <c r="G40">
        <v>1</v>
      </c>
      <c r="H40" t="str">
        <f>INDEX([3]Define!B:B,MATCH(G40,[3]Define!A:A))</f>
        <v>単体</v>
      </c>
      <c r="I40">
        <v>7</v>
      </c>
      <c r="J40">
        <v>2</v>
      </c>
      <c r="K40">
        <v>4</v>
      </c>
      <c r="L40" t="str">
        <f>INDEX([3]Define!E:E,MATCH(K40,[3]Define!D:D))</f>
        <v>光</v>
      </c>
      <c r="M40">
        <v>1</v>
      </c>
      <c r="N40" t="str">
        <f>INDEX([3]Define!H:H,MATCH(M40,[3]Define!G:G))</f>
        <v>魔法</v>
      </c>
      <c r="O40">
        <v>2</v>
      </c>
      <c r="P40" t="str">
        <f>INDEX([3]Define!K:K,MATCH(O40,[3]Define!J:J))</f>
        <v>味方</v>
      </c>
      <c r="Q40">
        <v>1</v>
      </c>
      <c r="R40" t="str">
        <f>INDEX([3]Define!N:N,MATCH(Q40,[3]Define!M:M))</f>
        <v>単体</v>
      </c>
      <c r="S40">
        <v>1</v>
      </c>
      <c r="T40">
        <v>1</v>
      </c>
      <c r="U40">
        <v>0</v>
      </c>
      <c r="V40">
        <v>0</v>
      </c>
    </row>
    <row r="41" spans="1:22" x14ac:dyDescent="0.2">
      <c r="A41">
        <v>4070</v>
      </c>
      <c r="B41">
        <v>4070</v>
      </c>
      <c r="C41" t="str">
        <f>INDEX([3]TextData!B:B,MATCH(B41,[3]TextData!A:A))</f>
        <v>キュアエール</v>
      </c>
      <c r="D41">
        <v>2</v>
      </c>
      <c r="E41" t="str">
        <f>INDEX([3]Define!X:X,MATCH(D41,[3]Define!W:W))</f>
        <v>光</v>
      </c>
      <c r="F41">
        <v>21</v>
      </c>
      <c r="G41">
        <v>1</v>
      </c>
      <c r="H41" t="str">
        <f>INDEX([3]Define!B:B,MATCH(G41,[3]Define!A:A))</f>
        <v>単体</v>
      </c>
      <c r="I41">
        <v>4</v>
      </c>
      <c r="J41">
        <v>2</v>
      </c>
      <c r="K41">
        <v>4</v>
      </c>
      <c r="L41" t="str">
        <f>INDEX([3]Define!E:E,MATCH(K41,[3]Define!D:D))</f>
        <v>光</v>
      </c>
      <c r="M41">
        <v>1</v>
      </c>
      <c r="N41" t="str">
        <f>INDEX([3]Define!H:H,MATCH(M41,[3]Define!G:G))</f>
        <v>魔法</v>
      </c>
      <c r="O41">
        <v>2</v>
      </c>
      <c r="P41" t="str">
        <f>INDEX([3]Define!K:K,MATCH(O41,[3]Define!J:J))</f>
        <v>味方</v>
      </c>
      <c r="Q41">
        <v>2</v>
      </c>
      <c r="R41" t="str">
        <f>INDEX([3]Define!N:N,MATCH(Q41,[3]Define!M:M))</f>
        <v>列</v>
      </c>
      <c r="S41">
        <v>1</v>
      </c>
      <c r="T41">
        <v>1</v>
      </c>
      <c r="U41">
        <v>1</v>
      </c>
      <c r="V41">
        <v>0</v>
      </c>
    </row>
    <row r="42" spans="1:22" x14ac:dyDescent="0.2">
      <c r="A42">
        <v>4080</v>
      </c>
      <c r="B42">
        <v>4080</v>
      </c>
      <c r="C42" t="str">
        <f>INDEX([3]TextData!B:B,MATCH(B42,[3]TextData!A:A))</f>
        <v>ラインバリア</v>
      </c>
      <c r="D42">
        <v>2</v>
      </c>
      <c r="E42" t="str">
        <f>INDEX([3]Define!X:X,MATCH(D42,[3]Define!W:W))</f>
        <v>光</v>
      </c>
      <c r="F42">
        <v>51</v>
      </c>
      <c r="G42">
        <v>1</v>
      </c>
      <c r="H42" t="str">
        <f>INDEX([3]Define!B:B,MATCH(G42,[3]Define!A:A))</f>
        <v>単体</v>
      </c>
      <c r="I42">
        <v>4</v>
      </c>
      <c r="J42">
        <v>2</v>
      </c>
      <c r="K42">
        <v>4</v>
      </c>
      <c r="L42" t="str">
        <f>INDEX([3]Define!E:E,MATCH(K42,[3]Define!D:D))</f>
        <v>光</v>
      </c>
      <c r="M42">
        <v>1</v>
      </c>
      <c r="N42" t="str">
        <f>INDEX([3]Define!H:H,MATCH(M42,[3]Define!G:G))</f>
        <v>魔法</v>
      </c>
      <c r="O42">
        <v>2</v>
      </c>
      <c r="P42" t="str">
        <f>INDEX([3]Define!K:K,MATCH(O42,[3]Define!J:J))</f>
        <v>味方</v>
      </c>
      <c r="Q42">
        <v>2</v>
      </c>
      <c r="R42" t="str">
        <f>INDEX([3]Define!N:N,MATCH(Q42,[3]Define!M:M))</f>
        <v>列</v>
      </c>
      <c r="S42">
        <v>1</v>
      </c>
      <c r="T42">
        <v>1</v>
      </c>
      <c r="U42">
        <v>1</v>
      </c>
      <c r="V42">
        <v>0</v>
      </c>
    </row>
    <row r="43" spans="1:22" ht="12" customHeight="1" x14ac:dyDescent="0.2">
      <c r="A43">
        <v>5010</v>
      </c>
      <c r="B43">
        <v>5010</v>
      </c>
      <c r="C43" t="str">
        <f>INDEX([3]TextData!B:B,MATCH(B43,[3]TextData!A:A))</f>
        <v>ダークプリズン</v>
      </c>
      <c r="D43">
        <v>5</v>
      </c>
      <c r="E43" t="str">
        <f>INDEX([3]Define!X:X,MATCH(D43,[3]Define!W:W))</f>
        <v>超次元</v>
      </c>
      <c r="F43">
        <v>501</v>
      </c>
      <c r="G43">
        <v>1</v>
      </c>
      <c r="H43" t="str">
        <f>INDEX([3]Define!B:B,MATCH(G43,[3]Define!A:A))</f>
        <v>単体</v>
      </c>
      <c r="I43">
        <v>0</v>
      </c>
      <c r="J43">
        <v>1</v>
      </c>
      <c r="K43">
        <v>5</v>
      </c>
      <c r="L43" t="str">
        <f>INDEX([3]Define!E:E,MATCH(K43,[3]Define!D:D))</f>
        <v>闇</v>
      </c>
      <c r="M43">
        <v>1</v>
      </c>
      <c r="N43" t="str">
        <f>INDEX([3]Define!H:H,MATCH(M43,[3]Define!G:G))</f>
        <v>魔法</v>
      </c>
      <c r="O43">
        <v>1</v>
      </c>
      <c r="P43" t="str">
        <f>INDEX([3]Define!K:K,MATCH(O43,[3]Define!J:J))</f>
        <v>相手</v>
      </c>
      <c r="Q43">
        <v>1</v>
      </c>
      <c r="R43" t="str">
        <f>INDEX([3]Define!N:N,MATCH(Q43,[3]Define!M:M))</f>
        <v>単体</v>
      </c>
      <c r="S43">
        <v>1</v>
      </c>
      <c r="T43">
        <v>1</v>
      </c>
      <c r="U43">
        <v>1</v>
      </c>
      <c r="V43">
        <v>0</v>
      </c>
    </row>
    <row r="44" spans="1:22" ht="12" customHeight="1" x14ac:dyDescent="0.2">
      <c r="A44">
        <v>5020</v>
      </c>
      <c r="B44">
        <v>5020</v>
      </c>
      <c r="C44" t="str">
        <f>INDEX([3]TextData!B:B,MATCH(B44,[3]TextData!A:A))</f>
        <v>ユーサネイジア</v>
      </c>
      <c r="D44">
        <v>5</v>
      </c>
      <c r="E44" t="str">
        <f>INDEX([3]Define!X:X,MATCH(D44,[3]Define!W:W))</f>
        <v>超次元</v>
      </c>
      <c r="F44">
        <v>501</v>
      </c>
      <c r="G44">
        <v>1</v>
      </c>
      <c r="H44" t="str">
        <f>INDEX([3]Define!B:B,MATCH(G44,[3]Define!A:A))</f>
        <v>単体</v>
      </c>
      <c r="I44">
        <v>5</v>
      </c>
      <c r="J44">
        <v>2</v>
      </c>
      <c r="K44">
        <v>5</v>
      </c>
      <c r="L44" t="str">
        <f>INDEX([3]Define!E:E,MATCH(K44,[3]Define!D:D))</f>
        <v>闇</v>
      </c>
      <c r="M44">
        <v>1</v>
      </c>
      <c r="N44" t="str">
        <f>INDEX([3]Define!H:H,MATCH(M44,[3]Define!G:G))</f>
        <v>魔法</v>
      </c>
      <c r="O44">
        <v>1</v>
      </c>
      <c r="P44" t="str">
        <f>INDEX([3]Define!K:K,MATCH(O44,[3]Define!J:J))</f>
        <v>相手</v>
      </c>
      <c r="Q44">
        <v>3</v>
      </c>
      <c r="R44" t="str">
        <f>INDEX([3]Define!N:N,MATCH(Q44,[3]Define!M:M))</f>
        <v>全体</v>
      </c>
      <c r="S44">
        <v>2</v>
      </c>
      <c r="T44">
        <v>1</v>
      </c>
      <c r="U44">
        <v>1</v>
      </c>
      <c r="V44">
        <v>0</v>
      </c>
    </row>
    <row r="45" spans="1:22" ht="12" customHeight="1" x14ac:dyDescent="0.2">
      <c r="A45">
        <v>5030</v>
      </c>
      <c r="B45">
        <v>5030</v>
      </c>
      <c r="C45" t="str">
        <f>INDEX([3]TextData!B:B,MATCH(B45,[3]TextData!A:A))</f>
        <v>ドレインヒール</v>
      </c>
      <c r="D45">
        <v>5</v>
      </c>
      <c r="E45" t="str">
        <f>INDEX([3]Define!X:X,MATCH(D45,[3]Define!W:W))</f>
        <v>超次元</v>
      </c>
      <c r="F45">
        <v>501</v>
      </c>
      <c r="G45">
        <v>1</v>
      </c>
      <c r="H45" t="str">
        <f>INDEX([3]Define!B:B,MATCH(G45,[3]Define!A:A))</f>
        <v>単体</v>
      </c>
      <c r="I45">
        <v>5</v>
      </c>
      <c r="J45">
        <v>2</v>
      </c>
      <c r="K45">
        <v>5</v>
      </c>
      <c r="L45" t="str">
        <f>INDEX([3]Define!E:E,MATCH(K45,[3]Define!D:D))</f>
        <v>闇</v>
      </c>
      <c r="M45">
        <v>1</v>
      </c>
      <c r="N45" t="str">
        <f>INDEX([3]Define!H:H,MATCH(M45,[3]Define!G:G))</f>
        <v>魔法</v>
      </c>
      <c r="O45">
        <v>1</v>
      </c>
      <c r="P45" t="str">
        <f>INDEX([3]Define!K:K,MATCH(O45,[3]Define!J:J))</f>
        <v>相手</v>
      </c>
      <c r="Q45">
        <v>1</v>
      </c>
      <c r="R45" t="str">
        <f>INDEX([3]Define!N:N,MATCH(Q45,[3]Define!M:M))</f>
        <v>単体</v>
      </c>
      <c r="S45">
        <v>1</v>
      </c>
      <c r="T45">
        <v>1</v>
      </c>
      <c r="U45">
        <v>1</v>
      </c>
      <c r="V45">
        <v>0</v>
      </c>
    </row>
    <row r="46" spans="1:22" ht="12" customHeight="1" x14ac:dyDescent="0.2">
      <c r="A46">
        <v>5040</v>
      </c>
      <c r="B46">
        <v>5040</v>
      </c>
      <c r="C46" t="str">
        <f>INDEX([3]TextData!B:B,MATCH(B46,[3]TextData!A:A))</f>
        <v>アビサルデスペア</v>
      </c>
      <c r="D46">
        <v>5</v>
      </c>
      <c r="E46" t="str">
        <f>INDEX([3]Define!X:X,MATCH(D46,[3]Define!W:W))</f>
        <v>超次元</v>
      </c>
      <c r="F46">
        <v>501</v>
      </c>
      <c r="G46">
        <v>1</v>
      </c>
      <c r="H46" t="str">
        <f>INDEX([3]Define!B:B,MATCH(G46,[3]Define!A:A))</f>
        <v>単体</v>
      </c>
      <c r="I46">
        <v>3</v>
      </c>
      <c r="J46">
        <v>2</v>
      </c>
      <c r="K46">
        <v>5</v>
      </c>
      <c r="L46" t="str">
        <f>INDEX([3]Define!E:E,MATCH(K46,[3]Define!D:D))</f>
        <v>闇</v>
      </c>
      <c r="M46">
        <v>1</v>
      </c>
      <c r="N46" t="str">
        <f>INDEX([3]Define!H:H,MATCH(M46,[3]Define!G:G))</f>
        <v>魔法</v>
      </c>
      <c r="O46">
        <v>1</v>
      </c>
      <c r="P46" t="str">
        <f>INDEX([3]Define!K:K,MATCH(O46,[3]Define!J:J))</f>
        <v>相手</v>
      </c>
      <c r="Q46">
        <v>1</v>
      </c>
      <c r="R46" t="str">
        <f>INDEX([3]Define!N:N,MATCH(Q46,[3]Define!M:M))</f>
        <v>単体</v>
      </c>
      <c r="S46">
        <v>1</v>
      </c>
      <c r="T46">
        <v>1</v>
      </c>
      <c r="U46">
        <v>1</v>
      </c>
      <c r="V46">
        <v>0</v>
      </c>
    </row>
    <row r="47" spans="1:22" ht="12" customHeight="1" x14ac:dyDescent="0.2">
      <c r="A47">
        <v>5050</v>
      </c>
      <c r="B47">
        <v>5050</v>
      </c>
      <c r="C47" t="str">
        <f>INDEX([3]TextData!B:B,MATCH(B47,[3]TextData!A:A))</f>
        <v>ディプラヴィティ</v>
      </c>
      <c r="D47">
        <v>3</v>
      </c>
      <c r="E47" t="str">
        <f>INDEX([3]Define!X:X,MATCH(D47,[3]Define!W:W))</f>
        <v>理術</v>
      </c>
      <c r="F47">
        <v>501</v>
      </c>
      <c r="G47">
        <v>1</v>
      </c>
      <c r="H47" t="str">
        <f>INDEX([3]Define!B:B,MATCH(G47,[3]Define!A:A))</f>
        <v>単体</v>
      </c>
      <c r="I47">
        <v>2</v>
      </c>
      <c r="J47">
        <v>2</v>
      </c>
      <c r="K47">
        <v>5</v>
      </c>
      <c r="L47" t="str">
        <f>INDEX([3]Define!E:E,MATCH(K47,[3]Define!D:D))</f>
        <v>闇</v>
      </c>
      <c r="M47">
        <v>1</v>
      </c>
      <c r="N47" t="str">
        <f>INDEX([3]Define!H:H,MATCH(M47,[3]Define!G:G))</f>
        <v>魔法</v>
      </c>
      <c r="O47">
        <v>1</v>
      </c>
      <c r="P47" t="str">
        <f>INDEX([3]Define!K:K,MATCH(O47,[3]Define!J:J))</f>
        <v>相手</v>
      </c>
      <c r="Q47">
        <v>1</v>
      </c>
      <c r="R47" t="str">
        <f>INDEX([3]Define!N:N,MATCH(Q47,[3]Define!M:M))</f>
        <v>単体</v>
      </c>
      <c r="S47">
        <v>1</v>
      </c>
      <c r="T47">
        <v>1</v>
      </c>
      <c r="U47">
        <v>1</v>
      </c>
      <c r="V47">
        <v>0</v>
      </c>
    </row>
    <row r="48" spans="1:22" ht="12" customHeight="1" x14ac:dyDescent="0.2">
      <c r="A48">
        <v>5060</v>
      </c>
      <c r="B48">
        <v>5060</v>
      </c>
      <c r="C48" t="str">
        <f>INDEX([3]TextData!B:B,MATCH(B48,[3]TextData!A:A))</f>
        <v>ダークネス</v>
      </c>
      <c r="D48">
        <v>3</v>
      </c>
      <c r="E48" t="str">
        <f>INDEX([3]Define!X:X,MATCH(D48,[3]Define!W:W))</f>
        <v>理術</v>
      </c>
      <c r="F48">
        <v>61</v>
      </c>
      <c r="G48">
        <v>1</v>
      </c>
      <c r="H48" t="str">
        <f>INDEX([3]Define!B:B,MATCH(G48,[3]Define!A:A))</f>
        <v>単体</v>
      </c>
      <c r="I48">
        <v>3</v>
      </c>
      <c r="J48">
        <v>2</v>
      </c>
      <c r="K48">
        <v>5</v>
      </c>
      <c r="L48" t="str">
        <f>INDEX([3]Define!E:E,MATCH(K48,[3]Define!D:D))</f>
        <v>闇</v>
      </c>
      <c r="M48">
        <v>1</v>
      </c>
      <c r="N48" t="str">
        <f>INDEX([3]Define!H:H,MATCH(M48,[3]Define!G:G))</f>
        <v>魔法</v>
      </c>
      <c r="O48">
        <v>1</v>
      </c>
      <c r="P48" t="str">
        <f>INDEX([3]Define!K:K,MATCH(O48,[3]Define!J:J))</f>
        <v>相手</v>
      </c>
      <c r="Q48">
        <v>1</v>
      </c>
      <c r="R48" t="str">
        <f>INDEX([3]Define!N:N,MATCH(Q48,[3]Define!M:M))</f>
        <v>単体</v>
      </c>
      <c r="S48">
        <v>1</v>
      </c>
      <c r="T48">
        <v>1</v>
      </c>
      <c r="U48">
        <v>1</v>
      </c>
      <c r="V48">
        <v>0</v>
      </c>
    </row>
    <row r="49" spans="1:22" ht="12" customHeight="1" x14ac:dyDescent="0.2">
      <c r="A49">
        <v>5070</v>
      </c>
      <c r="B49">
        <v>5070</v>
      </c>
      <c r="C49" t="str">
        <f>INDEX([3]TextData!B:B,MATCH(B49,[3]TextData!A:A))</f>
        <v>シェイディークラウド</v>
      </c>
      <c r="D49">
        <v>5</v>
      </c>
      <c r="E49" t="str">
        <f>INDEX([3]Define!X:X,MATCH(D49,[3]Define!W:W))</f>
        <v>超次元</v>
      </c>
      <c r="F49">
        <v>61</v>
      </c>
      <c r="G49">
        <v>1</v>
      </c>
      <c r="H49" t="str">
        <f>INDEX([3]Define!B:B,MATCH(G49,[3]Define!A:A))</f>
        <v>単体</v>
      </c>
      <c r="I49">
        <v>2</v>
      </c>
      <c r="J49">
        <v>2</v>
      </c>
      <c r="K49">
        <v>5</v>
      </c>
      <c r="L49" t="str">
        <f>INDEX([3]Define!E:E,MATCH(K49,[3]Define!D:D))</f>
        <v>闇</v>
      </c>
      <c r="M49">
        <v>1</v>
      </c>
      <c r="N49" t="str">
        <f>INDEX([3]Define!H:H,MATCH(M49,[3]Define!G:G))</f>
        <v>魔法</v>
      </c>
      <c r="O49">
        <v>1</v>
      </c>
      <c r="P49" t="str">
        <f>INDEX([3]Define!K:K,MATCH(O49,[3]Define!J:J))</f>
        <v>相手</v>
      </c>
      <c r="Q49">
        <v>2</v>
      </c>
      <c r="R49" t="str">
        <f>INDEX([3]Define!N:N,MATCH(Q49,[3]Define!M:M))</f>
        <v>列</v>
      </c>
      <c r="S49">
        <v>2</v>
      </c>
      <c r="T49">
        <v>1</v>
      </c>
      <c r="U49">
        <v>1</v>
      </c>
      <c r="V49">
        <v>0</v>
      </c>
    </row>
    <row r="50" spans="1:22" ht="12" customHeight="1" x14ac:dyDescent="0.2">
      <c r="A50">
        <v>5080</v>
      </c>
      <c r="B50">
        <v>5080</v>
      </c>
      <c r="C50" t="str">
        <f>INDEX([3]TextData!B:B,MATCH(B50,[3]TextData!A:A))</f>
        <v>ポイズンブロウ</v>
      </c>
      <c r="D50">
        <v>5</v>
      </c>
      <c r="E50" t="str">
        <f>INDEX([3]Define!X:X,MATCH(D50,[3]Define!W:W))</f>
        <v>超次元</v>
      </c>
      <c r="F50">
        <v>501</v>
      </c>
      <c r="G50">
        <v>1</v>
      </c>
      <c r="H50" t="str">
        <f>INDEX([3]Define!B:B,MATCH(G50,[3]Define!A:A))</f>
        <v>単体</v>
      </c>
      <c r="I50">
        <v>2</v>
      </c>
      <c r="J50">
        <v>2</v>
      </c>
      <c r="K50">
        <v>5</v>
      </c>
      <c r="L50" t="str">
        <f>INDEX([3]Define!E:E,MATCH(K50,[3]Define!D:D))</f>
        <v>闇</v>
      </c>
      <c r="M50">
        <v>1</v>
      </c>
      <c r="N50" t="str">
        <f>INDEX([3]Define!H:H,MATCH(M50,[3]Define!G:G))</f>
        <v>魔法</v>
      </c>
      <c r="O50">
        <v>1</v>
      </c>
      <c r="P50" t="str">
        <f>INDEX([3]Define!K:K,MATCH(O50,[3]Define!J:J))</f>
        <v>相手</v>
      </c>
      <c r="Q50">
        <v>1</v>
      </c>
      <c r="R50" t="str">
        <f>INDEX([3]Define!N:N,MATCH(Q50,[3]Define!M:M))</f>
        <v>単体</v>
      </c>
      <c r="S50">
        <v>1</v>
      </c>
      <c r="T50">
        <v>1</v>
      </c>
      <c r="U50">
        <v>1</v>
      </c>
      <c r="V50">
        <v>0</v>
      </c>
    </row>
    <row r="51" spans="1:22" x14ac:dyDescent="0.2">
      <c r="A51">
        <v>10010</v>
      </c>
      <c r="B51">
        <v>10010</v>
      </c>
      <c r="C51" t="str">
        <f>INDEX([3]TextData!B:B,MATCH(B51,[3]TextData!A:A))</f>
        <v>アンデッド</v>
      </c>
      <c r="D51">
        <v>6</v>
      </c>
      <c r="E51" t="str">
        <f>INDEX([3]Define!X:X,MATCH(D51,[3]Define!W:W))</f>
        <v>自己強化</v>
      </c>
      <c r="F51">
        <v>51</v>
      </c>
      <c r="G51">
        <v>1</v>
      </c>
      <c r="H51" t="str">
        <f>INDEX([3]Define!B:B,MATCH(G51,[3]Define!A:A))</f>
        <v>単体</v>
      </c>
      <c r="I51">
        <v>0</v>
      </c>
      <c r="J51">
        <v>0</v>
      </c>
      <c r="K51">
        <v>0</v>
      </c>
      <c r="L51" t="str">
        <f>INDEX([3]Define!E:E,MATCH(K51,[3]Define!D:D))</f>
        <v>なし</v>
      </c>
      <c r="M51">
        <v>2</v>
      </c>
      <c r="N51" t="str">
        <f>INDEX([3]Define!H:H,MATCH(M51,[3]Define!G:G))</f>
        <v>パッシブ</v>
      </c>
      <c r="O51">
        <v>4</v>
      </c>
      <c r="P51" t="str">
        <f>INDEX([3]Define!K:K,MATCH(O51,[3]Define!J:J))</f>
        <v>自身</v>
      </c>
      <c r="Q51">
        <v>4</v>
      </c>
      <c r="R51" t="str">
        <f>INDEX([3]Define!N:N,MATCH(Q51,[3]Define!M:M))</f>
        <v>自身</v>
      </c>
      <c r="S51">
        <v>1</v>
      </c>
      <c r="T51">
        <v>1</v>
      </c>
      <c r="U51">
        <v>1</v>
      </c>
      <c r="V51">
        <v>0</v>
      </c>
    </row>
    <row r="52" spans="1:22" x14ac:dyDescent="0.2">
      <c r="A52">
        <v>10020</v>
      </c>
      <c r="B52">
        <v>10020</v>
      </c>
      <c r="C52" t="str">
        <f>INDEX([3]TextData!B:B,MATCH(B52,[3]TextData!A:A))</f>
        <v>エアリアル</v>
      </c>
      <c r="D52">
        <v>6</v>
      </c>
      <c r="E52" t="str">
        <f>INDEX([3]Define!X:X,MATCH(D52,[3]Define!W:W))</f>
        <v>自己強化</v>
      </c>
      <c r="F52">
        <v>51</v>
      </c>
      <c r="G52">
        <v>1</v>
      </c>
      <c r="H52" t="str">
        <f>INDEX([3]Define!B:B,MATCH(G52,[3]Define!A:A))</f>
        <v>単体</v>
      </c>
      <c r="I52">
        <v>0</v>
      </c>
      <c r="J52">
        <v>0</v>
      </c>
      <c r="K52">
        <v>0</v>
      </c>
      <c r="L52" t="str">
        <f>INDEX([3]Define!E:E,MATCH(K52,[3]Define!D:D))</f>
        <v>なし</v>
      </c>
      <c r="M52">
        <v>2</v>
      </c>
      <c r="N52" t="str">
        <f>INDEX([3]Define!H:H,MATCH(M52,[3]Define!G:G))</f>
        <v>パッシブ</v>
      </c>
      <c r="O52">
        <v>4</v>
      </c>
      <c r="P52" t="str">
        <f>INDEX([3]Define!K:K,MATCH(O52,[3]Define!J:J))</f>
        <v>自身</v>
      </c>
      <c r="Q52">
        <v>4</v>
      </c>
      <c r="R52" t="str">
        <f>INDEX([3]Define!N:N,MATCH(Q52,[3]Define!M:M))</f>
        <v>自身</v>
      </c>
      <c r="S52">
        <v>1</v>
      </c>
      <c r="T52">
        <v>1</v>
      </c>
      <c r="U52">
        <v>1</v>
      </c>
      <c r="V52">
        <v>0</v>
      </c>
    </row>
    <row r="53" spans="1:22" x14ac:dyDescent="0.2">
      <c r="A53">
        <v>10030</v>
      </c>
      <c r="B53">
        <v>10030</v>
      </c>
      <c r="C53" t="str">
        <f>INDEX([3]TextData!B:B,MATCH(B53,[3]TextData!A:A))</f>
        <v>悪魔</v>
      </c>
      <c r="D53">
        <v>6</v>
      </c>
      <c r="E53" t="str">
        <f>INDEX([3]Define!X:X,MATCH(D53,[3]Define!W:W))</f>
        <v>自己強化</v>
      </c>
      <c r="F53">
        <v>51</v>
      </c>
      <c r="G53">
        <v>1</v>
      </c>
      <c r="H53" t="str">
        <f>INDEX([3]Define!B:B,MATCH(G53,[3]Define!A:A))</f>
        <v>単体</v>
      </c>
      <c r="I53">
        <v>0</v>
      </c>
      <c r="J53">
        <v>0</v>
      </c>
      <c r="K53">
        <v>0</v>
      </c>
      <c r="L53" t="str">
        <f>INDEX([3]Define!E:E,MATCH(K53,[3]Define!D:D))</f>
        <v>なし</v>
      </c>
      <c r="M53">
        <v>2</v>
      </c>
      <c r="N53" t="str">
        <f>INDEX([3]Define!H:H,MATCH(M53,[3]Define!G:G))</f>
        <v>パッシブ</v>
      </c>
      <c r="O53">
        <v>4</v>
      </c>
      <c r="P53" t="str">
        <f>INDEX([3]Define!K:K,MATCH(O53,[3]Define!J:J))</f>
        <v>自身</v>
      </c>
      <c r="Q53">
        <v>4</v>
      </c>
      <c r="R53" t="str">
        <f>INDEX([3]Define!N:N,MATCH(Q53,[3]Define!M:M))</f>
        <v>自身</v>
      </c>
      <c r="S53">
        <v>1</v>
      </c>
      <c r="T53">
        <v>1</v>
      </c>
      <c r="U53">
        <v>1</v>
      </c>
      <c r="V53">
        <v>0</v>
      </c>
    </row>
    <row r="54" spans="1:22" x14ac:dyDescent="0.2">
      <c r="A54">
        <v>10040</v>
      </c>
      <c r="B54">
        <v>10040</v>
      </c>
      <c r="C54" t="str">
        <f>INDEX([3]TextData!B:B,MATCH(B54,[3]TextData!A:A))</f>
        <v>クリーチャー</v>
      </c>
      <c r="D54">
        <v>6</v>
      </c>
      <c r="E54" t="str">
        <f>INDEX([3]Define!X:X,MATCH(D54,[3]Define!W:W))</f>
        <v>自己強化</v>
      </c>
      <c r="F54">
        <v>51</v>
      </c>
      <c r="G54">
        <v>1</v>
      </c>
      <c r="H54" t="str">
        <f>INDEX([3]Define!B:B,MATCH(G54,[3]Define!A:A))</f>
        <v>単体</v>
      </c>
      <c r="I54">
        <v>0</v>
      </c>
      <c r="J54">
        <v>0</v>
      </c>
      <c r="K54">
        <v>0</v>
      </c>
      <c r="L54" t="str">
        <f>INDEX([3]Define!E:E,MATCH(K54,[3]Define!D:D))</f>
        <v>なし</v>
      </c>
      <c r="M54">
        <v>2</v>
      </c>
      <c r="N54" t="str">
        <f>INDEX([3]Define!H:H,MATCH(M54,[3]Define!G:G))</f>
        <v>パッシブ</v>
      </c>
      <c r="O54">
        <v>4</v>
      </c>
      <c r="P54" t="str">
        <f>INDEX([3]Define!K:K,MATCH(O54,[3]Define!J:J))</f>
        <v>自身</v>
      </c>
      <c r="Q54">
        <v>4</v>
      </c>
      <c r="R54" t="str">
        <f>INDEX([3]Define!N:N,MATCH(Q54,[3]Define!M:M))</f>
        <v>自身</v>
      </c>
      <c r="S54">
        <v>1</v>
      </c>
      <c r="T54">
        <v>1</v>
      </c>
      <c r="U54">
        <v>1</v>
      </c>
      <c r="V54">
        <v>0</v>
      </c>
    </row>
    <row r="55" spans="1:22" x14ac:dyDescent="0.2">
      <c r="A55">
        <v>10050</v>
      </c>
      <c r="B55">
        <v>10050</v>
      </c>
      <c r="C55" t="str">
        <f>INDEX([3]TextData!B:B,MATCH(B55,[3]TextData!A:A))</f>
        <v>野生の記憶</v>
      </c>
      <c r="D55">
        <v>6</v>
      </c>
      <c r="E55" t="str">
        <f>INDEX([3]Define!X:X,MATCH(D55,[3]Define!W:W))</f>
        <v>自己強化</v>
      </c>
      <c r="F55">
        <v>51</v>
      </c>
      <c r="G55">
        <v>1</v>
      </c>
      <c r="H55" t="str">
        <f>INDEX([3]Define!B:B,MATCH(G55,[3]Define!A:A))</f>
        <v>単体</v>
      </c>
      <c r="I55">
        <v>0</v>
      </c>
      <c r="J55">
        <v>0</v>
      </c>
      <c r="K55">
        <v>0</v>
      </c>
      <c r="L55" t="str">
        <f>INDEX([3]Define!E:E,MATCH(K55,[3]Define!D:D))</f>
        <v>なし</v>
      </c>
      <c r="M55">
        <v>2</v>
      </c>
      <c r="N55" t="str">
        <f>INDEX([3]Define!H:H,MATCH(M55,[3]Define!G:G))</f>
        <v>パッシブ</v>
      </c>
      <c r="O55">
        <v>4</v>
      </c>
      <c r="P55" t="str">
        <f>INDEX([3]Define!K:K,MATCH(O55,[3]Define!J:J))</f>
        <v>自身</v>
      </c>
      <c r="Q55">
        <v>4</v>
      </c>
      <c r="R55" t="str">
        <f>INDEX([3]Define!N:N,MATCH(Q55,[3]Define!M:M))</f>
        <v>自身</v>
      </c>
      <c r="S55">
        <v>1</v>
      </c>
      <c r="T55">
        <v>1</v>
      </c>
      <c r="U55">
        <v>1</v>
      </c>
      <c r="V55">
        <v>0</v>
      </c>
    </row>
    <row r="56" spans="1:22" x14ac:dyDescent="0.2">
      <c r="A56">
        <v>10060</v>
      </c>
      <c r="B56">
        <v>10060</v>
      </c>
      <c r="C56" t="str">
        <f>INDEX([3]TextData!B:B,MATCH(B56,[3]TextData!A:A))</f>
        <v>変異生物</v>
      </c>
      <c r="D56">
        <v>6</v>
      </c>
      <c r="E56" t="str">
        <f>INDEX([3]Define!X:X,MATCH(D56,[3]Define!W:W))</f>
        <v>自己強化</v>
      </c>
      <c r="F56">
        <v>51</v>
      </c>
      <c r="G56">
        <v>1</v>
      </c>
      <c r="H56" t="str">
        <f>INDEX([3]Define!B:B,MATCH(G56,[3]Define!A:A))</f>
        <v>単体</v>
      </c>
      <c r="I56">
        <v>0</v>
      </c>
      <c r="J56">
        <v>0</v>
      </c>
      <c r="K56">
        <v>0</v>
      </c>
      <c r="L56" t="str">
        <f>INDEX([3]Define!E:E,MATCH(K56,[3]Define!D:D))</f>
        <v>なし</v>
      </c>
      <c r="M56">
        <v>2</v>
      </c>
      <c r="N56" t="str">
        <f>INDEX([3]Define!H:H,MATCH(M56,[3]Define!G:G))</f>
        <v>パッシブ</v>
      </c>
      <c r="O56">
        <v>4</v>
      </c>
      <c r="P56" t="str">
        <f>INDEX([3]Define!K:K,MATCH(O56,[3]Define!J:J))</f>
        <v>自身</v>
      </c>
      <c r="Q56">
        <v>4</v>
      </c>
      <c r="R56" t="str">
        <f>INDEX([3]Define!N:N,MATCH(Q56,[3]Define!M:M))</f>
        <v>自身</v>
      </c>
      <c r="S56">
        <v>1</v>
      </c>
      <c r="T56">
        <v>1</v>
      </c>
      <c r="U56">
        <v>1</v>
      </c>
      <c r="V56">
        <v>0</v>
      </c>
    </row>
    <row r="57" spans="1:22" x14ac:dyDescent="0.2">
      <c r="A57">
        <v>11010</v>
      </c>
      <c r="B57">
        <v>11010</v>
      </c>
      <c r="C57" t="str">
        <f>INDEX([3]TextData!B:B,MATCH(B57,[3]TextData!A:A))</f>
        <v>ウルフソウル</v>
      </c>
      <c r="D57">
        <v>6</v>
      </c>
      <c r="E57" t="str">
        <f>INDEX([3]Define!X:X,MATCH(D57,[3]Define!W:W))</f>
        <v>自己強化</v>
      </c>
      <c r="F57">
        <v>51</v>
      </c>
      <c r="G57">
        <v>1</v>
      </c>
      <c r="H57" t="str">
        <f>INDEX([3]Define!B:B,MATCH(G57,[3]Define!A:A))</f>
        <v>単体</v>
      </c>
      <c r="I57">
        <v>0</v>
      </c>
      <c r="J57">
        <v>10</v>
      </c>
      <c r="K57">
        <v>1</v>
      </c>
      <c r="L57" t="str">
        <f>INDEX([3]Define!E:E,MATCH(K57,[3]Define!D:D))</f>
        <v>炎</v>
      </c>
      <c r="M57">
        <v>2</v>
      </c>
      <c r="N57" t="str">
        <f>INDEX([3]Define!H:H,MATCH(M57,[3]Define!G:G))</f>
        <v>パッシブ</v>
      </c>
      <c r="O57">
        <v>4</v>
      </c>
      <c r="P57" t="str">
        <f>INDEX([3]Define!K:K,MATCH(O57,[3]Define!J:J))</f>
        <v>自身</v>
      </c>
      <c r="Q57">
        <v>4</v>
      </c>
      <c r="R57" t="str">
        <f>INDEX([3]Define!N:N,MATCH(Q57,[3]Define!M:M))</f>
        <v>自身</v>
      </c>
      <c r="S57">
        <v>1</v>
      </c>
      <c r="T57">
        <v>1</v>
      </c>
      <c r="U57">
        <v>1</v>
      </c>
      <c r="V57">
        <v>0</v>
      </c>
    </row>
    <row r="58" spans="1:22" x14ac:dyDescent="0.2">
      <c r="A58">
        <v>11020</v>
      </c>
      <c r="B58">
        <v>11020</v>
      </c>
      <c r="C58" t="str">
        <f>INDEX([3]TextData!B:B,MATCH(B58,[3]TextData!A:A))</f>
        <v>プリディカメント</v>
      </c>
      <c r="D58">
        <v>6</v>
      </c>
      <c r="E58" t="str">
        <f>INDEX([3]Define!X:X,MATCH(D58,[3]Define!W:W))</f>
        <v>自己強化</v>
      </c>
      <c r="F58">
        <v>51</v>
      </c>
      <c r="G58">
        <v>1</v>
      </c>
      <c r="H58" t="str">
        <f>INDEX([3]Define!B:B,MATCH(G58,[3]Define!A:A))</f>
        <v>単体</v>
      </c>
      <c r="I58">
        <v>0</v>
      </c>
      <c r="J58">
        <v>10</v>
      </c>
      <c r="K58">
        <v>1</v>
      </c>
      <c r="L58" t="str">
        <f>INDEX([3]Define!E:E,MATCH(K58,[3]Define!D:D))</f>
        <v>炎</v>
      </c>
      <c r="M58">
        <v>2</v>
      </c>
      <c r="N58" t="str">
        <f>INDEX([3]Define!H:H,MATCH(M58,[3]Define!G:G))</f>
        <v>パッシブ</v>
      </c>
      <c r="O58">
        <v>4</v>
      </c>
      <c r="P58" t="str">
        <f>INDEX([3]Define!K:K,MATCH(O58,[3]Define!J:J))</f>
        <v>自身</v>
      </c>
      <c r="Q58">
        <v>4</v>
      </c>
      <c r="R58" t="str">
        <f>INDEX([3]Define!N:N,MATCH(Q58,[3]Define!M:M))</f>
        <v>自身</v>
      </c>
      <c r="S58">
        <v>1</v>
      </c>
      <c r="T58">
        <v>1</v>
      </c>
      <c r="U58">
        <v>1</v>
      </c>
      <c r="V58">
        <v>0</v>
      </c>
    </row>
    <row r="59" spans="1:22" x14ac:dyDescent="0.2">
      <c r="A59">
        <v>11030</v>
      </c>
      <c r="B59">
        <v>11030</v>
      </c>
      <c r="C59" t="str">
        <f>INDEX([3]TextData!B:B,MATCH(B59,[3]TextData!A:A))</f>
        <v>アサルトシフト</v>
      </c>
      <c r="D59">
        <v>6</v>
      </c>
      <c r="E59" t="str">
        <f>INDEX([3]Define!X:X,MATCH(D59,[3]Define!W:W))</f>
        <v>自己強化</v>
      </c>
      <c r="F59">
        <v>51</v>
      </c>
      <c r="G59">
        <v>1</v>
      </c>
      <c r="H59" t="str">
        <f>INDEX([3]Define!B:B,MATCH(G59,[3]Define!A:A))</f>
        <v>単体</v>
      </c>
      <c r="I59">
        <v>0</v>
      </c>
      <c r="J59">
        <v>10</v>
      </c>
      <c r="K59">
        <v>1</v>
      </c>
      <c r="L59" t="str">
        <f>INDEX([3]Define!E:E,MATCH(K59,[3]Define!D:D))</f>
        <v>炎</v>
      </c>
      <c r="M59">
        <v>2</v>
      </c>
      <c r="N59" t="str">
        <f>INDEX([3]Define!H:H,MATCH(M59,[3]Define!G:G))</f>
        <v>パッシブ</v>
      </c>
      <c r="O59">
        <v>4</v>
      </c>
      <c r="P59" t="str">
        <f>INDEX([3]Define!K:K,MATCH(O59,[3]Define!J:J))</f>
        <v>自身</v>
      </c>
      <c r="Q59">
        <v>4</v>
      </c>
      <c r="R59" t="str">
        <f>INDEX([3]Define!N:N,MATCH(Q59,[3]Define!M:M))</f>
        <v>自身</v>
      </c>
      <c r="S59">
        <v>1</v>
      </c>
      <c r="T59">
        <v>1</v>
      </c>
      <c r="U59">
        <v>1</v>
      </c>
      <c r="V59">
        <v>0</v>
      </c>
    </row>
    <row r="60" spans="1:22" x14ac:dyDescent="0.2">
      <c r="A60">
        <v>11040</v>
      </c>
      <c r="B60">
        <v>11040</v>
      </c>
      <c r="C60" t="str">
        <f>INDEX([3]TextData!B:B,MATCH(B60,[3]TextData!A:A))</f>
        <v>アクティブギフト</v>
      </c>
      <c r="D60">
        <v>6</v>
      </c>
      <c r="E60" t="str">
        <f>INDEX([3]Define!X:X,MATCH(D60,[3]Define!W:W))</f>
        <v>自己強化</v>
      </c>
      <c r="F60">
        <v>51</v>
      </c>
      <c r="G60">
        <v>1</v>
      </c>
      <c r="H60" t="str">
        <f>INDEX([3]Define!B:B,MATCH(G60,[3]Define!A:A))</f>
        <v>単体</v>
      </c>
      <c r="I60">
        <v>4</v>
      </c>
      <c r="J60">
        <v>10</v>
      </c>
      <c r="K60">
        <v>1</v>
      </c>
      <c r="L60" t="str">
        <f>INDEX([3]Define!E:E,MATCH(K60,[3]Define!D:D))</f>
        <v>炎</v>
      </c>
      <c r="M60">
        <v>2</v>
      </c>
      <c r="N60" t="str">
        <f>INDEX([3]Define!H:H,MATCH(M60,[3]Define!G:G))</f>
        <v>パッシブ</v>
      </c>
      <c r="O60">
        <v>11</v>
      </c>
      <c r="P60" t="str">
        <f>INDEX([3]Define!K:K,MATCH(O60,[3]Define!J:J))</f>
        <v>Triggerの条件を満たす</v>
      </c>
      <c r="Q60">
        <v>1</v>
      </c>
      <c r="R60" t="str">
        <f>INDEX([3]Define!N:N,MATCH(Q60,[3]Define!M:M))</f>
        <v>単体</v>
      </c>
      <c r="S60">
        <v>1</v>
      </c>
      <c r="T60">
        <v>1</v>
      </c>
      <c r="U60">
        <v>1</v>
      </c>
      <c r="V60">
        <v>1</v>
      </c>
    </row>
    <row r="61" spans="1:22" x14ac:dyDescent="0.2">
      <c r="A61">
        <v>11050</v>
      </c>
      <c r="B61">
        <v>11050</v>
      </c>
      <c r="C61" t="str">
        <f>INDEX([3]TextData!B:B,MATCH(B61,[3]TextData!A:A))</f>
        <v>イグナイテッド</v>
      </c>
      <c r="D61">
        <v>6</v>
      </c>
      <c r="E61" t="str">
        <f>INDEX([3]Define!X:X,MATCH(D61,[3]Define!W:W))</f>
        <v>自己強化</v>
      </c>
      <c r="F61">
        <v>51</v>
      </c>
      <c r="G61">
        <v>1</v>
      </c>
      <c r="H61" t="str">
        <f>INDEX([3]Define!B:B,MATCH(G61,[3]Define!A:A))</f>
        <v>単体</v>
      </c>
      <c r="I61">
        <v>0</v>
      </c>
      <c r="J61">
        <v>10</v>
      </c>
      <c r="K61">
        <v>1</v>
      </c>
      <c r="L61" t="str">
        <f>INDEX([3]Define!E:E,MATCH(K61,[3]Define!D:D))</f>
        <v>炎</v>
      </c>
      <c r="M61">
        <v>2</v>
      </c>
      <c r="N61" t="str">
        <f>INDEX([3]Define!H:H,MATCH(M61,[3]Define!G:G))</f>
        <v>パッシブ</v>
      </c>
      <c r="O61">
        <v>4</v>
      </c>
      <c r="P61" t="str">
        <f>INDEX([3]Define!K:K,MATCH(O61,[3]Define!J:J))</f>
        <v>自身</v>
      </c>
      <c r="Q61">
        <v>4</v>
      </c>
      <c r="R61" t="str">
        <f>INDEX([3]Define!N:N,MATCH(Q61,[3]Define!M:M))</f>
        <v>自身</v>
      </c>
      <c r="S61">
        <v>1</v>
      </c>
      <c r="T61">
        <v>1</v>
      </c>
      <c r="U61">
        <v>1</v>
      </c>
      <c r="V61">
        <v>0</v>
      </c>
    </row>
    <row r="62" spans="1:22" x14ac:dyDescent="0.2">
      <c r="A62">
        <v>11060</v>
      </c>
      <c r="B62">
        <v>11060</v>
      </c>
      <c r="C62" t="str">
        <f>INDEX([3]TextData!B:B,MATCH(B62,[3]TextData!A:A))</f>
        <v>ライジングファイア</v>
      </c>
      <c r="D62">
        <v>6</v>
      </c>
      <c r="E62" t="str">
        <f>INDEX([3]Define!X:X,MATCH(D62,[3]Define!W:W))</f>
        <v>自己強化</v>
      </c>
      <c r="F62">
        <v>51</v>
      </c>
      <c r="G62">
        <v>1</v>
      </c>
      <c r="H62" t="str">
        <f>INDEX([3]Define!B:B,MATCH(G62,[3]Define!A:A))</f>
        <v>単体</v>
      </c>
      <c r="I62">
        <v>0</v>
      </c>
      <c r="J62">
        <v>20</v>
      </c>
      <c r="K62">
        <v>1</v>
      </c>
      <c r="L62" t="str">
        <f>INDEX([3]Define!E:E,MATCH(K62,[3]Define!D:D))</f>
        <v>炎</v>
      </c>
      <c r="M62">
        <v>2</v>
      </c>
      <c r="N62" t="str">
        <f>INDEX([3]Define!H:H,MATCH(M62,[3]Define!G:G))</f>
        <v>パッシブ</v>
      </c>
      <c r="O62">
        <v>4</v>
      </c>
      <c r="P62" t="str">
        <f>INDEX([3]Define!K:K,MATCH(O62,[3]Define!J:J))</f>
        <v>自身</v>
      </c>
      <c r="Q62">
        <v>4</v>
      </c>
      <c r="R62" t="str">
        <f>INDEX([3]Define!N:N,MATCH(Q62,[3]Define!M:M))</f>
        <v>自身</v>
      </c>
      <c r="S62">
        <v>1</v>
      </c>
      <c r="T62">
        <v>1</v>
      </c>
      <c r="U62">
        <v>1</v>
      </c>
      <c r="V62">
        <v>0</v>
      </c>
    </row>
    <row r="63" spans="1:22" x14ac:dyDescent="0.2">
      <c r="A63">
        <v>11070</v>
      </c>
      <c r="B63">
        <v>11070</v>
      </c>
      <c r="C63" t="str">
        <f>INDEX([3]TextData!B:B,MATCH(B63,[3]TextData!A:A))</f>
        <v>ルージュバック</v>
      </c>
      <c r="D63">
        <v>6</v>
      </c>
      <c r="E63" t="str">
        <f>INDEX([3]Define!X:X,MATCH(D63,[3]Define!W:W))</f>
        <v>自己強化</v>
      </c>
      <c r="F63">
        <v>51</v>
      </c>
      <c r="G63">
        <v>1</v>
      </c>
      <c r="H63" t="str">
        <f>INDEX([3]Define!B:B,MATCH(G63,[3]Define!A:A))</f>
        <v>単体</v>
      </c>
      <c r="I63">
        <v>0</v>
      </c>
      <c r="J63">
        <v>20</v>
      </c>
      <c r="K63">
        <v>1</v>
      </c>
      <c r="L63" t="str">
        <f>INDEX([3]Define!E:E,MATCH(K63,[3]Define!D:D))</f>
        <v>炎</v>
      </c>
      <c r="M63">
        <v>2</v>
      </c>
      <c r="N63" t="str">
        <f>INDEX([3]Define!H:H,MATCH(M63,[3]Define!G:G))</f>
        <v>パッシブ</v>
      </c>
      <c r="O63">
        <v>4</v>
      </c>
      <c r="P63" t="str">
        <f>INDEX([3]Define!K:K,MATCH(O63,[3]Define!J:J))</f>
        <v>自身</v>
      </c>
      <c r="Q63">
        <v>4</v>
      </c>
      <c r="R63" t="str">
        <f>INDEX([3]Define!N:N,MATCH(Q63,[3]Define!M:M))</f>
        <v>自身</v>
      </c>
      <c r="S63">
        <v>1</v>
      </c>
      <c r="T63">
        <v>1</v>
      </c>
      <c r="U63">
        <v>1</v>
      </c>
      <c r="V63">
        <v>0</v>
      </c>
    </row>
    <row r="64" spans="1:22" x14ac:dyDescent="0.2">
      <c r="A64">
        <v>11080</v>
      </c>
      <c r="B64">
        <v>11080</v>
      </c>
      <c r="C64" t="str">
        <f>INDEX([3]TextData!B:B,MATCH(B64,[3]TextData!A:A))</f>
        <v>パワーエール</v>
      </c>
      <c r="D64">
        <v>6</v>
      </c>
      <c r="E64" t="str">
        <f>INDEX([3]Define!X:X,MATCH(D64,[3]Define!W:W))</f>
        <v>自己強化</v>
      </c>
      <c r="F64">
        <v>51</v>
      </c>
      <c r="G64">
        <v>1</v>
      </c>
      <c r="H64" t="str">
        <f>INDEX([3]Define!B:B,MATCH(G64,[3]Define!A:A))</f>
        <v>単体</v>
      </c>
      <c r="I64">
        <v>3</v>
      </c>
      <c r="J64">
        <v>20</v>
      </c>
      <c r="K64">
        <v>1</v>
      </c>
      <c r="L64" t="str">
        <f>INDEX([3]Define!E:E,MATCH(K64,[3]Define!D:D))</f>
        <v>炎</v>
      </c>
      <c r="M64">
        <v>2</v>
      </c>
      <c r="N64" t="str">
        <f>INDEX([3]Define!H:H,MATCH(M64,[3]Define!G:G))</f>
        <v>パッシブ</v>
      </c>
      <c r="O64">
        <v>11</v>
      </c>
      <c r="P64" t="str">
        <f>INDEX([3]Define!K:K,MATCH(O64,[3]Define!J:J))</f>
        <v>Triggerの条件を満たす</v>
      </c>
      <c r="Q64">
        <v>1</v>
      </c>
      <c r="R64" t="str">
        <f>INDEX([3]Define!N:N,MATCH(Q64,[3]Define!M:M))</f>
        <v>単体</v>
      </c>
      <c r="S64">
        <v>1</v>
      </c>
      <c r="T64">
        <v>1</v>
      </c>
      <c r="U64">
        <v>1</v>
      </c>
      <c r="V64">
        <v>1</v>
      </c>
    </row>
    <row r="65" spans="1:22" x14ac:dyDescent="0.2">
      <c r="A65">
        <v>11090</v>
      </c>
      <c r="B65">
        <v>11090</v>
      </c>
      <c r="C65" t="str">
        <f>INDEX([3]TextData!B:B,MATCH(B65,[3]TextData!A:A))</f>
        <v>スレイプニル</v>
      </c>
      <c r="D65">
        <v>6</v>
      </c>
      <c r="E65" t="str">
        <f>INDEX([3]Define!X:X,MATCH(D65,[3]Define!W:W))</f>
        <v>自己強化</v>
      </c>
      <c r="F65">
        <v>51</v>
      </c>
      <c r="G65">
        <v>1</v>
      </c>
      <c r="H65" t="str">
        <f>INDEX([3]Define!B:B,MATCH(G65,[3]Define!A:A))</f>
        <v>単体</v>
      </c>
      <c r="I65">
        <v>3</v>
      </c>
      <c r="J65">
        <v>20</v>
      </c>
      <c r="K65">
        <v>1</v>
      </c>
      <c r="L65" t="str">
        <f>INDEX([3]Define!E:E,MATCH(K65,[3]Define!D:D))</f>
        <v>炎</v>
      </c>
      <c r="M65">
        <v>2</v>
      </c>
      <c r="N65" t="str">
        <f>INDEX([3]Define!H:H,MATCH(M65,[3]Define!G:G))</f>
        <v>パッシブ</v>
      </c>
      <c r="O65">
        <v>4</v>
      </c>
      <c r="P65" t="str">
        <f>INDEX([3]Define!K:K,MATCH(O65,[3]Define!J:J))</f>
        <v>自身</v>
      </c>
      <c r="Q65">
        <v>4</v>
      </c>
      <c r="R65" t="str">
        <f>INDEX([3]Define!N:N,MATCH(Q65,[3]Define!M:M))</f>
        <v>自身</v>
      </c>
      <c r="S65">
        <v>1</v>
      </c>
      <c r="T65">
        <v>1</v>
      </c>
      <c r="U65">
        <v>1</v>
      </c>
      <c r="V65">
        <v>0</v>
      </c>
    </row>
    <row r="66" spans="1:22" x14ac:dyDescent="0.2">
      <c r="A66">
        <v>12010</v>
      </c>
      <c r="B66">
        <v>12010</v>
      </c>
      <c r="C66" t="str">
        <f>INDEX([3]TextData!B:B,MATCH(B66,[3]TextData!A:A))</f>
        <v>エクステンション</v>
      </c>
      <c r="D66">
        <v>6</v>
      </c>
      <c r="E66" t="str">
        <f>INDEX([3]Define!X:X,MATCH(D66,[3]Define!W:W))</f>
        <v>自己強化</v>
      </c>
      <c r="F66">
        <v>51</v>
      </c>
      <c r="G66">
        <v>1</v>
      </c>
      <c r="H66" t="str">
        <f>INDEX([3]Define!B:B,MATCH(G66,[3]Define!A:A))</f>
        <v>単体</v>
      </c>
      <c r="I66">
        <v>0</v>
      </c>
      <c r="J66">
        <v>10</v>
      </c>
      <c r="K66">
        <v>2</v>
      </c>
      <c r="L66" t="str">
        <f>INDEX([3]Define!E:E,MATCH(K66,[3]Define!D:D))</f>
        <v>雷</v>
      </c>
      <c r="M66">
        <v>2</v>
      </c>
      <c r="N66" t="str">
        <f>INDEX([3]Define!H:H,MATCH(M66,[3]Define!G:G))</f>
        <v>パッシブ</v>
      </c>
      <c r="O66">
        <v>4</v>
      </c>
      <c r="P66" t="str">
        <f>INDEX([3]Define!K:K,MATCH(O66,[3]Define!J:J))</f>
        <v>自身</v>
      </c>
      <c r="Q66">
        <v>4</v>
      </c>
      <c r="R66" t="str">
        <f>INDEX([3]Define!N:N,MATCH(Q66,[3]Define!M:M))</f>
        <v>自身</v>
      </c>
      <c r="S66">
        <v>1</v>
      </c>
      <c r="T66">
        <v>1</v>
      </c>
      <c r="U66">
        <v>1</v>
      </c>
      <c r="V66">
        <v>0</v>
      </c>
    </row>
    <row r="67" spans="1:22" x14ac:dyDescent="0.2">
      <c r="A67">
        <v>12020</v>
      </c>
      <c r="B67">
        <v>12020</v>
      </c>
      <c r="C67" t="str">
        <f>INDEX([3]TextData!B:B,MATCH(B67,[3]TextData!A:A))</f>
        <v>ヘブンリーラック</v>
      </c>
      <c r="D67">
        <v>6</v>
      </c>
      <c r="E67" t="str">
        <f>INDEX([3]Define!X:X,MATCH(D67,[3]Define!W:W))</f>
        <v>自己強化</v>
      </c>
      <c r="F67">
        <v>51</v>
      </c>
      <c r="G67">
        <v>1</v>
      </c>
      <c r="H67" t="str">
        <f>INDEX([3]Define!B:B,MATCH(G67,[3]Define!A:A))</f>
        <v>単体</v>
      </c>
      <c r="I67">
        <v>0</v>
      </c>
      <c r="J67">
        <v>10</v>
      </c>
      <c r="K67">
        <v>2</v>
      </c>
      <c r="L67" t="str">
        <f>INDEX([3]Define!E:E,MATCH(K67,[3]Define!D:D))</f>
        <v>雷</v>
      </c>
      <c r="M67">
        <v>2</v>
      </c>
      <c r="N67" t="str">
        <f>INDEX([3]Define!H:H,MATCH(M67,[3]Define!G:G))</f>
        <v>パッシブ</v>
      </c>
      <c r="O67">
        <v>4</v>
      </c>
      <c r="P67" t="str">
        <f>INDEX([3]Define!K:K,MATCH(O67,[3]Define!J:J))</f>
        <v>自身</v>
      </c>
      <c r="Q67">
        <v>4</v>
      </c>
      <c r="R67" t="str">
        <f>INDEX([3]Define!N:N,MATCH(Q67,[3]Define!M:M))</f>
        <v>自身</v>
      </c>
      <c r="S67">
        <v>1</v>
      </c>
      <c r="T67">
        <v>1</v>
      </c>
      <c r="U67">
        <v>1</v>
      </c>
      <c r="V67">
        <v>0</v>
      </c>
    </row>
    <row r="68" spans="1:22" x14ac:dyDescent="0.2">
      <c r="A68">
        <v>12030</v>
      </c>
      <c r="B68">
        <v>12030</v>
      </c>
      <c r="C68" t="str">
        <f>INDEX([3]TextData!B:B,MATCH(B68,[3]TextData!A:A))</f>
        <v>スウィフトカレント</v>
      </c>
      <c r="D68">
        <v>6</v>
      </c>
      <c r="E68" t="str">
        <f>INDEX([3]Define!X:X,MATCH(D68,[3]Define!W:W))</f>
        <v>自己強化</v>
      </c>
      <c r="F68">
        <v>51</v>
      </c>
      <c r="G68">
        <v>1</v>
      </c>
      <c r="H68" t="str">
        <f>INDEX([3]Define!B:B,MATCH(G68,[3]Define!A:A))</f>
        <v>単体</v>
      </c>
      <c r="I68">
        <v>0</v>
      </c>
      <c r="J68">
        <v>10</v>
      </c>
      <c r="K68">
        <v>2</v>
      </c>
      <c r="L68" t="str">
        <f>INDEX([3]Define!E:E,MATCH(K68,[3]Define!D:D))</f>
        <v>雷</v>
      </c>
      <c r="M68">
        <v>2</v>
      </c>
      <c r="N68" t="str">
        <f>INDEX([3]Define!H:H,MATCH(M68,[3]Define!G:G))</f>
        <v>パッシブ</v>
      </c>
      <c r="O68">
        <v>4</v>
      </c>
      <c r="P68" t="str">
        <f>INDEX([3]Define!K:K,MATCH(O68,[3]Define!J:J))</f>
        <v>自身</v>
      </c>
      <c r="Q68">
        <v>4</v>
      </c>
      <c r="R68" t="str">
        <f>INDEX([3]Define!N:N,MATCH(Q68,[3]Define!M:M))</f>
        <v>自身</v>
      </c>
      <c r="S68">
        <v>1</v>
      </c>
      <c r="T68">
        <v>1</v>
      </c>
      <c r="U68">
        <v>1</v>
      </c>
      <c r="V68">
        <v>0</v>
      </c>
    </row>
    <row r="69" spans="1:22" x14ac:dyDescent="0.2">
      <c r="A69">
        <v>12040</v>
      </c>
      <c r="B69">
        <v>12040</v>
      </c>
      <c r="C69" t="str">
        <f>INDEX([3]TextData!B:B,MATCH(B69,[3]TextData!A:A))</f>
        <v>イヴェイドオール</v>
      </c>
      <c r="D69">
        <v>6</v>
      </c>
      <c r="E69" t="str">
        <f>INDEX([3]Define!X:X,MATCH(D69,[3]Define!W:W))</f>
        <v>自己強化</v>
      </c>
      <c r="F69">
        <v>51</v>
      </c>
      <c r="G69">
        <v>1</v>
      </c>
      <c r="H69" t="str">
        <f>INDEX([3]Define!B:B,MATCH(G69,[3]Define!A:A))</f>
        <v>単体</v>
      </c>
      <c r="I69">
        <v>0</v>
      </c>
      <c r="J69">
        <v>10</v>
      </c>
      <c r="K69">
        <v>2</v>
      </c>
      <c r="L69" t="str">
        <f>INDEX([3]Define!E:E,MATCH(K69,[3]Define!D:D))</f>
        <v>雷</v>
      </c>
      <c r="M69">
        <v>2</v>
      </c>
      <c r="N69" t="str">
        <f>INDEX([3]Define!H:H,MATCH(M69,[3]Define!G:G))</f>
        <v>パッシブ</v>
      </c>
      <c r="O69">
        <v>2</v>
      </c>
      <c r="P69" t="str">
        <f>INDEX([3]Define!K:K,MATCH(O69,[3]Define!J:J))</f>
        <v>味方</v>
      </c>
      <c r="Q69">
        <v>2</v>
      </c>
      <c r="R69" t="str">
        <f>INDEX([3]Define!N:N,MATCH(Q69,[3]Define!M:M))</f>
        <v>列</v>
      </c>
      <c r="S69">
        <v>1</v>
      </c>
      <c r="T69">
        <v>1</v>
      </c>
      <c r="U69">
        <v>1</v>
      </c>
      <c r="V69">
        <v>0</v>
      </c>
    </row>
    <row r="70" spans="1:22" x14ac:dyDescent="0.2">
      <c r="A70">
        <v>12050</v>
      </c>
      <c r="B70">
        <v>12050</v>
      </c>
      <c r="C70" t="str">
        <f>INDEX([3]TextData!B:B,MATCH(B70,[3]TextData!A:A))</f>
        <v>クイックムーブ</v>
      </c>
      <c r="D70">
        <v>6</v>
      </c>
      <c r="E70" t="str">
        <f>INDEX([3]Define!X:X,MATCH(D70,[3]Define!W:W))</f>
        <v>自己強化</v>
      </c>
      <c r="F70">
        <v>51</v>
      </c>
      <c r="G70">
        <v>1</v>
      </c>
      <c r="H70" t="str">
        <f>INDEX([3]Define!B:B,MATCH(G70,[3]Define!A:A))</f>
        <v>単体</v>
      </c>
      <c r="I70">
        <v>0</v>
      </c>
      <c r="J70">
        <v>10</v>
      </c>
      <c r="K70">
        <v>2</v>
      </c>
      <c r="L70" t="str">
        <f>INDEX([3]Define!E:E,MATCH(K70,[3]Define!D:D))</f>
        <v>雷</v>
      </c>
      <c r="M70">
        <v>2</v>
      </c>
      <c r="N70" t="str">
        <f>INDEX([3]Define!H:H,MATCH(M70,[3]Define!G:G))</f>
        <v>パッシブ</v>
      </c>
      <c r="O70">
        <v>4</v>
      </c>
      <c r="P70" t="str">
        <f>INDEX([3]Define!K:K,MATCH(O70,[3]Define!J:J))</f>
        <v>自身</v>
      </c>
      <c r="Q70">
        <v>4</v>
      </c>
      <c r="R70" t="str">
        <f>INDEX([3]Define!N:N,MATCH(Q70,[3]Define!M:M))</f>
        <v>自身</v>
      </c>
      <c r="S70">
        <v>1</v>
      </c>
      <c r="T70">
        <v>1</v>
      </c>
      <c r="U70">
        <v>1</v>
      </c>
      <c r="V70">
        <v>0</v>
      </c>
    </row>
    <row r="71" spans="1:22" x14ac:dyDescent="0.2">
      <c r="A71">
        <v>12060</v>
      </c>
      <c r="B71">
        <v>12060</v>
      </c>
      <c r="C71" t="str">
        <f>INDEX([3]TextData!B:B,MATCH(B71,[3]TextData!A:A))</f>
        <v>チェイスマジック</v>
      </c>
      <c r="D71">
        <v>6</v>
      </c>
      <c r="E71" t="str">
        <f>INDEX([3]Define!X:X,MATCH(D71,[3]Define!W:W))</f>
        <v>自己強化</v>
      </c>
      <c r="F71">
        <v>201</v>
      </c>
      <c r="G71">
        <v>1</v>
      </c>
      <c r="H71" t="str">
        <f>INDEX([3]Define!B:B,MATCH(G71,[3]Define!A:A))</f>
        <v>単体</v>
      </c>
      <c r="I71">
        <v>3</v>
      </c>
      <c r="J71">
        <v>20</v>
      </c>
      <c r="K71">
        <v>2</v>
      </c>
      <c r="L71" t="str">
        <f>INDEX([3]Define!E:E,MATCH(K71,[3]Define!D:D))</f>
        <v>雷</v>
      </c>
      <c r="M71">
        <v>2</v>
      </c>
      <c r="N71" t="str">
        <f>INDEX([3]Define!H:H,MATCH(M71,[3]Define!G:G))</f>
        <v>パッシブ</v>
      </c>
      <c r="O71">
        <v>7</v>
      </c>
      <c r="P71" t="str">
        <f>INDEX([3]Define!K:K,MATCH(O71,[3]Define!J:J))</f>
        <v>追撃</v>
      </c>
      <c r="Q71">
        <v>1</v>
      </c>
      <c r="R71" t="str">
        <f>INDEX([3]Define!N:N,MATCH(Q71,[3]Define!M:M))</f>
        <v>単体</v>
      </c>
      <c r="S71">
        <v>1</v>
      </c>
      <c r="T71">
        <v>1</v>
      </c>
      <c r="U71">
        <v>1</v>
      </c>
      <c r="V71">
        <v>0</v>
      </c>
    </row>
    <row r="72" spans="1:22" x14ac:dyDescent="0.2">
      <c r="A72">
        <v>12070</v>
      </c>
      <c r="B72">
        <v>12070</v>
      </c>
      <c r="C72" t="str">
        <f>INDEX([3]TextData!B:B,MATCH(B72,[3]TextData!A:A))</f>
        <v>ソーサリーコネクト</v>
      </c>
      <c r="D72">
        <v>6</v>
      </c>
      <c r="E72" t="str">
        <f>INDEX([3]Define!X:X,MATCH(D72,[3]Define!W:W))</f>
        <v>自己強化</v>
      </c>
      <c r="F72">
        <v>51</v>
      </c>
      <c r="G72">
        <v>1</v>
      </c>
      <c r="H72" t="str">
        <f>INDEX([3]Define!B:B,MATCH(G72,[3]Define!A:A))</f>
        <v>単体</v>
      </c>
      <c r="I72">
        <v>3</v>
      </c>
      <c r="J72">
        <v>20</v>
      </c>
      <c r="K72">
        <v>2</v>
      </c>
      <c r="L72" t="str">
        <f>INDEX([3]Define!E:E,MATCH(K72,[3]Define!D:D))</f>
        <v>雷</v>
      </c>
      <c r="M72">
        <v>2</v>
      </c>
      <c r="N72" t="str">
        <f>INDEX([3]Define!H:H,MATCH(M72,[3]Define!G:G))</f>
        <v>パッシブ</v>
      </c>
      <c r="O72">
        <v>11</v>
      </c>
      <c r="P72" t="str">
        <f>INDEX([3]Define!K:K,MATCH(O72,[3]Define!J:J))</f>
        <v>Triggerの条件を満たす</v>
      </c>
      <c r="Q72">
        <v>1</v>
      </c>
      <c r="R72" t="str">
        <f>INDEX([3]Define!N:N,MATCH(Q72,[3]Define!M:M))</f>
        <v>単体</v>
      </c>
      <c r="S72">
        <v>1</v>
      </c>
      <c r="T72">
        <v>1</v>
      </c>
      <c r="U72">
        <v>1</v>
      </c>
      <c r="V72">
        <v>1</v>
      </c>
    </row>
    <row r="73" spans="1:22" x14ac:dyDescent="0.2">
      <c r="A73">
        <v>12071</v>
      </c>
      <c r="B73">
        <v>12070</v>
      </c>
      <c r="C73" t="str">
        <f>INDEX([3]TextData!B:B,MATCH(B73,[3]TextData!A:A))</f>
        <v>ソーサリーコネクト</v>
      </c>
      <c r="D73">
        <v>6</v>
      </c>
      <c r="E73" t="str">
        <f>INDEX([3]Define!X:X,MATCH(D73,[3]Define!W:W))</f>
        <v>自己強化</v>
      </c>
      <c r="F73">
        <v>61</v>
      </c>
      <c r="G73">
        <v>1</v>
      </c>
      <c r="H73" t="str">
        <f>INDEX([3]Define!B:B,MATCH(G73,[3]Define!A:A))</f>
        <v>単体</v>
      </c>
      <c r="I73">
        <v>3</v>
      </c>
      <c r="J73">
        <v>20</v>
      </c>
      <c r="K73">
        <v>2</v>
      </c>
      <c r="L73" t="str">
        <f>INDEX([3]Define!E:E,MATCH(K73,[3]Define!D:D))</f>
        <v>雷</v>
      </c>
      <c r="M73">
        <v>2</v>
      </c>
      <c r="N73" t="str">
        <f>INDEX([3]Define!H:H,MATCH(M73,[3]Define!G:G))</f>
        <v>パッシブ</v>
      </c>
      <c r="O73">
        <v>4</v>
      </c>
      <c r="P73" t="str">
        <f>INDEX([3]Define!K:K,MATCH(O73,[3]Define!J:J))</f>
        <v>自身</v>
      </c>
      <c r="Q73">
        <v>4</v>
      </c>
      <c r="R73" t="str">
        <f>INDEX([3]Define!N:N,MATCH(Q73,[3]Define!M:M))</f>
        <v>自身</v>
      </c>
      <c r="S73">
        <v>1</v>
      </c>
      <c r="T73">
        <v>1</v>
      </c>
      <c r="U73">
        <v>1</v>
      </c>
      <c r="V73">
        <v>0</v>
      </c>
    </row>
    <row r="74" spans="1:22" x14ac:dyDescent="0.2">
      <c r="A74">
        <v>12080</v>
      </c>
      <c r="B74">
        <v>12080</v>
      </c>
      <c r="C74" t="str">
        <f>INDEX([3]TextData!B:B,MATCH(B74,[3]TextData!A:A))</f>
        <v>ウィンドライズ</v>
      </c>
      <c r="D74">
        <v>6</v>
      </c>
      <c r="E74" t="str">
        <f>INDEX([3]Define!X:X,MATCH(D74,[3]Define!W:W))</f>
        <v>自己強化</v>
      </c>
      <c r="F74">
        <v>201</v>
      </c>
      <c r="G74">
        <v>1</v>
      </c>
      <c r="H74" t="str">
        <f>INDEX([3]Define!B:B,MATCH(G74,[3]Define!A:A))</f>
        <v>単体</v>
      </c>
      <c r="I74">
        <v>0</v>
      </c>
      <c r="J74">
        <v>20</v>
      </c>
      <c r="K74">
        <v>2</v>
      </c>
      <c r="L74" t="str">
        <f>INDEX([3]Define!E:E,MATCH(K74,[3]Define!D:D))</f>
        <v>雷</v>
      </c>
      <c r="M74">
        <v>2</v>
      </c>
      <c r="N74" t="str">
        <f>INDEX([3]Define!H:H,MATCH(M74,[3]Define!G:G))</f>
        <v>パッシブ</v>
      </c>
      <c r="O74">
        <v>6</v>
      </c>
      <c r="P74" t="str">
        <f>INDEX([3]Define!K:K,MATCH(O74,[3]Define!J:J))</f>
        <v>反撃</v>
      </c>
      <c r="Q74">
        <v>1</v>
      </c>
      <c r="R74" t="str">
        <f>INDEX([3]Define!N:N,MATCH(Q74,[3]Define!M:M))</f>
        <v>単体</v>
      </c>
      <c r="S74">
        <v>2</v>
      </c>
      <c r="T74">
        <v>1</v>
      </c>
      <c r="U74">
        <v>1</v>
      </c>
      <c r="V74">
        <v>0</v>
      </c>
    </row>
    <row r="75" spans="1:22" x14ac:dyDescent="0.2">
      <c r="A75">
        <v>12090</v>
      </c>
      <c r="B75">
        <v>12090</v>
      </c>
      <c r="C75" t="str">
        <f>INDEX([3]TextData!B:B,MATCH(B75,[3]TextData!A:A))</f>
        <v>アウトオブオーダー</v>
      </c>
      <c r="D75">
        <v>6</v>
      </c>
      <c r="E75" t="str">
        <f>INDEX([3]Define!X:X,MATCH(D75,[3]Define!W:W))</f>
        <v>自己強化</v>
      </c>
      <c r="F75">
        <v>51</v>
      </c>
      <c r="G75">
        <v>1</v>
      </c>
      <c r="H75" t="str">
        <f>INDEX([3]Define!B:B,MATCH(G75,[3]Define!A:A))</f>
        <v>単体</v>
      </c>
      <c r="I75">
        <v>0</v>
      </c>
      <c r="J75">
        <v>20</v>
      </c>
      <c r="K75">
        <v>2</v>
      </c>
      <c r="L75" t="str">
        <f>INDEX([3]Define!E:E,MATCH(K75,[3]Define!D:D))</f>
        <v>雷</v>
      </c>
      <c r="M75">
        <v>2</v>
      </c>
      <c r="N75" t="str">
        <f>INDEX([3]Define!H:H,MATCH(M75,[3]Define!G:G))</f>
        <v>パッシブ</v>
      </c>
      <c r="O75">
        <v>4</v>
      </c>
      <c r="P75" t="str">
        <f>INDEX([3]Define!K:K,MATCH(O75,[3]Define!J:J))</f>
        <v>自身</v>
      </c>
      <c r="Q75">
        <v>2</v>
      </c>
      <c r="R75" t="str">
        <f>INDEX([3]Define!N:N,MATCH(Q75,[3]Define!M:M))</f>
        <v>列</v>
      </c>
      <c r="S75">
        <v>2</v>
      </c>
      <c r="T75">
        <v>1</v>
      </c>
      <c r="U75">
        <v>1</v>
      </c>
      <c r="V75">
        <v>0</v>
      </c>
    </row>
    <row r="76" spans="1:22" x14ac:dyDescent="0.2">
      <c r="A76">
        <v>13010</v>
      </c>
      <c r="B76">
        <v>13010</v>
      </c>
      <c r="C76" t="str">
        <f>INDEX([3]TextData!B:B,MATCH(B76,[3]TextData!A:A))</f>
        <v>アーマーコード</v>
      </c>
      <c r="D76">
        <v>6</v>
      </c>
      <c r="E76" t="str">
        <f>INDEX([3]Define!X:X,MATCH(D76,[3]Define!W:W))</f>
        <v>自己強化</v>
      </c>
      <c r="F76">
        <v>51</v>
      </c>
      <c r="G76">
        <v>1</v>
      </c>
      <c r="H76" t="str">
        <f>INDEX([3]Define!B:B,MATCH(G76,[3]Define!A:A))</f>
        <v>単体</v>
      </c>
      <c r="I76">
        <v>0</v>
      </c>
      <c r="J76">
        <v>10</v>
      </c>
      <c r="K76">
        <v>3</v>
      </c>
      <c r="L76" t="str">
        <f>INDEX([3]Define!E:E,MATCH(K76,[3]Define!D:D))</f>
        <v>氷</v>
      </c>
      <c r="M76">
        <v>2</v>
      </c>
      <c r="N76" t="str">
        <f>INDEX([3]Define!H:H,MATCH(M76,[3]Define!G:G))</f>
        <v>パッシブ</v>
      </c>
      <c r="O76">
        <v>4</v>
      </c>
      <c r="P76" t="str">
        <f>INDEX([3]Define!K:K,MATCH(O76,[3]Define!J:J))</f>
        <v>自身</v>
      </c>
      <c r="Q76">
        <v>4</v>
      </c>
      <c r="R76" t="str">
        <f>INDEX([3]Define!N:N,MATCH(Q76,[3]Define!M:M))</f>
        <v>自身</v>
      </c>
      <c r="S76">
        <v>1</v>
      </c>
      <c r="T76">
        <v>1</v>
      </c>
      <c r="U76">
        <v>1</v>
      </c>
      <c r="V76">
        <v>0</v>
      </c>
    </row>
    <row r="77" spans="1:22" ht="12" customHeight="1" x14ac:dyDescent="0.2">
      <c r="A77">
        <v>13020</v>
      </c>
      <c r="B77">
        <v>13020</v>
      </c>
      <c r="C77" t="str">
        <f>INDEX([3]TextData!B:B,MATCH(B77,[3]TextData!A:A))</f>
        <v>クイックバリア</v>
      </c>
      <c r="D77">
        <v>6</v>
      </c>
      <c r="E77" t="str">
        <f>INDEX([3]Define!X:X,MATCH(D77,[3]Define!W:W))</f>
        <v>自己強化</v>
      </c>
      <c r="F77">
        <v>21</v>
      </c>
      <c r="G77">
        <v>1</v>
      </c>
      <c r="H77" t="str">
        <f>INDEX([3]Define!B:B,MATCH(G77,[3]Define!A:A))</f>
        <v>単体</v>
      </c>
      <c r="I77">
        <v>3</v>
      </c>
      <c r="J77">
        <v>10</v>
      </c>
      <c r="K77">
        <v>3</v>
      </c>
      <c r="L77" t="str">
        <f>INDEX([3]Define!E:E,MATCH(K77,[3]Define!D:D))</f>
        <v>氷</v>
      </c>
      <c r="M77">
        <v>2</v>
      </c>
      <c r="N77" t="str">
        <f>INDEX([3]Define!H:H,MATCH(M77,[3]Define!G:G))</f>
        <v>パッシブ</v>
      </c>
      <c r="O77">
        <v>11</v>
      </c>
      <c r="P77" t="str">
        <f>INDEX([3]Define!K:K,MATCH(O77,[3]Define!J:J))</f>
        <v>Triggerの条件を満たす</v>
      </c>
      <c r="Q77">
        <v>1</v>
      </c>
      <c r="R77" t="str">
        <f>INDEX([3]Define!N:N,MATCH(Q77,[3]Define!M:M))</f>
        <v>単体</v>
      </c>
      <c r="S77">
        <v>1</v>
      </c>
      <c r="T77">
        <v>1</v>
      </c>
      <c r="U77">
        <v>1</v>
      </c>
      <c r="V77">
        <v>1</v>
      </c>
    </row>
    <row r="78" spans="1:22" ht="12" customHeight="1" x14ac:dyDescent="0.2">
      <c r="A78">
        <v>13030</v>
      </c>
      <c r="B78">
        <v>13030</v>
      </c>
      <c r="C78" t="str">
        <f>INDEX([3]TextData!B:B,MATCH(B78,[3]TextData!A:A))</f>
        <v>クイックキュア</v>
      </c>
      <c r="D78">
        <v>6</v>
      </c>
      <c r="E78" t="str">
        <f>INDEX([3]Define!X:X,MATCH(D78,[3]Define!W:W))</f>
        <v>自己強化</v>
      </c>
      <c r="F78">
        <v>51</v>
      </c>
      <c r="G78">
        <v>1</v>
      </c>
      <c r="H78" t="str">
        <f>INDEX([3]Define!B:B,MATCH(G78,[3]Define!A:A))</f>
        <v>単体</v>
      </c>
      <c r="I78">
        <v>2</v>
      </c>
      <c r="J78">
        <v>10</v>
      </c>
      <c r="K78">
        <v>3</v>
      </c>
      <c r="L78" t="str">
        <f>INDEX([3]Define!E:E,MATCH(K78,[3]Define!D:D))</f>
        <v>氷</v>
      </c>
      <c r="M78">
        <v>2</v>
      </c>
      <c r="N78" t="str">
        <f>INDEX([3]Define!H:H,MATCH(M78,[3]Define!G:G))</f>
        <v>パッシブ</v>
      </c>
      <c r="O78">
        <v>11</v>
      </c>
      <c r="P78" t="str">
        <f>INDEX([3]Define!K:K,MATCH(O78,[3]Define!J:J))</f>
        <v>Triggerの条件を満たす</v>
      </c>
      <c r="Q78">
        <v>1</v>
      </c>
      <c r="R78" t="str">
        <f>INDEX([3]Define!N:N,MATCH(Q78,[3]Define!M:M))</f>
        <v>単体</v>
      </c>
      <c r="S78">
        <v>1</v>
      </c>
      <c r="T78">
        <v>1</v>
      </c>
      <c r="U78">
        <v>1</v>
      </c>
      <c r="V78">
        <v>1</v>
      </c>
    </row>
    <row r="79" spans="1:22" x14ac:dyDescent="0.2">
      <c r="A79">
        <v>13040</v>
      </c>
      <c r="B79">
        <v>13040</v>
      </c>
      <c r="C79" t="str">
        <f>INDEX([3]TextData!B:B,MATCH(B79,[3]TextData!A:A))</f>
        <v>セルフシールド</v>
      </c>
      <c r="D79">
        <v>6</v>
      </c>
      <c r="E79" t="str">
        <f>INDEX([3]Define!X:X,MATCH(D79,[3]Define!W:W))</f>
        <v>自己強化</v>
      </c>
      <c r="F79">
        <v>51</v>
      </c>
      <c r="G79">
        <v>1</v>
      </c>
      <c r="H79" t="str">
        <f>INDEX([3]Define!B:B,MATCH(G79,[3]Define!A:A))</f>
        <v>単体</v>
      </c>
      <c r="I79">
        <v>3</v>
      </c>
      <c r="J79">
        <v>10</v>
      </c>
      <c r="K79">
        <v>3</v>
      </c>
      <c r="L79" t="str">
        <f>INDEX([3]Define!E:E,MATCH(K79,[3]Define!D:D))</f>
        <v>氷</v>
      </c>
      <c r="M79">
        <v>2</v>
      </c>
      <c r="N79" t="str">
        <f>INDEX([3]Define!H:H,MATCH(M79,[3]Define!G:G))</f>
        <v>パッシブ</v>
      </c>
      <c r="O79">
        <v>4</v>
      </c>
      <c r="P79" t="str">
        <f>INDEX([3]Define!K:K,MATCH(O79,[3]Define!J:J))</f>
        <v>自身</v>
      </c>
      <c r="Q79">
        <v>4</v>
      </c>
      <c r="R79" t="str">
        <f>INDEX([3]Define!N:N,MATCH(Q79,[3]Define!M:M))</f>
        <v>自身</v>
      </c>
      <c r="S79">
        <v>1</v>
      </c>
      <c r="T79">
        <v>1</v>
      </c>
      <c r="U79">
        <v>1</v>
      </c>
      <c r="V79">
        <v>0</v>
      </c>
    </row>
    <row r="80" spans="1:22" x14ac:dyDescent="0.2">
      <c r="A80">
        <v>13050</v>
      </c>
      <c r="B80">
        <v>13050</v>
      </c>
      <c r="C80" t="str">
        <f>INDEX([3]TextData!B:B,MATCH(B80,[3]TextData!A:A))</f>
        <v>パッシブジャミング</v>
      </c>
      <c r="D80">
        <v>6</v>
      </c>
      <c r="E80" t="str">
        <f>INDEX([3]Define!X:X,MATCH(D80,[3]Define!W:W))</f>
        <v>自己強化</v>
      </c>
      <c r="F80">
        <v>51</v>
      </c>
      <c r="G80">
        <v>1</v>
      </c>
      <c r="H80" t="str">
        <f>INDEX([3]Define!B:B,MATCH(G80,[3]Define!A:A))</f>
        <v>単体</v>
      </c>
      <c r="I80">
        <v>5</v>
      </c>
      <c r="J80">
        <v>10</v>
      </c>
      <c r="K80">
        <v>3</v>
      </c>
      <c r="L80" t="str">
        <f>INDEX([3]Define!E:E,MATCH(K80,[3]Define!D:D))</f>
        <v>氷</v>
      </c>
      <c r="M80">
        <v>2</v>
      </c>
      <c r="N80" t="str">
        <f>INDEX([3]Define!H:H,MATCH(M80,[3]Define!G:G))</f>
        <v>パッシブ</v>
      </c>
      <c r="O80">
        <v>11</v>
      </c>
      <c r="P80" t="str">
        <f>INDEX([3]Define!K:K,MATCH(O80,[3]Define!J:J))</f>
        <v>Triggerの条件を満たす</v>
      </c>
      <c r="Q80">
        <v>1</v>
      </c>
      <c r="R80" t="str">
        <f>INDEX([3]Define!N:N,MATCH(Q80,[3]Define!M:M))</f>
        <v>単体</v>
      </c>
      <c r="S80">
        <v>1</v>
      </c>
      <c r="T80">
        <v>1</v>
      </c>
      <c r="U80">
        <v>1</v>
      </c>
      <c r="V80">
        <v>1</v>
      </c>
    </row>
    <row r="81" spans="1:22" x14ac:dyDescent="0.2">
      <c r="A81">
        <v>13060</v>
      </c>
      <c r="B81">
        <v>13060</v>
      </c>
      <c r="C81" t="str">
        <f>INDEX([3]TextData!B:B,MATCH(B81,[3]TextData!A:A))</f>
        <v>サプライカバー</v>
      </c>
      <c r="D81">
        <v>6</v>
      </c>
      <c r="E81" t="str">
        <f>INDEX([3]Define!X:X,MATCH(D81,[3]Define!W:W))</f>
        <v>自己強化</v>
      </c>
      <c r="F81">
        <v>51</v>
      </c>
      <c r="G81">
        <v>1</v>
      </c>
      <c r="H81" t="str">
        <f>INDEX([3]Define!B:B,MATCH(G81,[3]Define!A:A))</f>
        <v>単体</v>
      </c>
      <c r="I81">
        <v>2</v>
      </c>
      <c r="J81">
        <v>20</v>
      </c>
      <c r="K81">
        <v>3</v>
      </c>
      <c r="L81" t="str">
        <f>INDEX([3]Define!E:E,MATCH(K81,[3]Define!D:D))</f>
        <v>氷</v>
      </c>
      <c r="M81">
        <v>2</v>
      </c>
      <c r="N81" t="str">
        <f>INDEX([3]Define!H:H,MATCH(M81,[3]Define!G:G))</f>
        <v>パッシブ</v>
      </c>
      <c r="O81">
        <v>4</v>
      </c>
      <c r="P81" t="str">
        <f>INDEX([3]Define!K:K,MATCH(O81,[3]Define!J:J))</f>
        <v>自身</v>
      </c>
      <c r="Q81">
        <v>4</v>
      </c>
      <c r="R81" t="str">
        <f>INDEX([3]Define!N:N,MATCH(Q81,[3]Define!M:M))</f>
        <v>自身</v>
      </c>
      <c r="S81">
        <v>1</v>
      </c>
      <c r="T81">
        <v>1</v>
      </c>
      <c r="U81">
        <v>1</v>
      </c>
      <c r="V81">
        <v>0</v>
      </c>
    </row>
    <row r="82" spans="1:22" x14ac:dyDescent="0.2">
      <c r="A82">
        <v>13070</v>
      </c>
      <c r="B82">
        <v>13070</v>
      </c>
      <c r="C82" t="str">
        <f>INDEX([3]TextData!B:B,MATCH(B82,[3]TextData!A:A))</f>
        <v>アシッドラッシュ</v>
      </c>
      <c r="D82">
        <v>6</v>
      </c>
      <c r="E82" t="str">
        <f>INDEX([3]Define!X:X,MATCH(D82,[3]Define!W:W))</f>
        <v>自己強化</v>
      </c>
      <c r="F82">
        <v>51</v>
      </c>
      <c r="G82">
        <v>1</v>
      </c>
      <c r="H82" t="str">
        <f>INDEX([3]Define!B:B,MATCH(G82,[3]Define!A:A))</f>
        <v>単体</v>
      </c>
      <c r="I82">
        <v>0</v>
      </c>
      <c r="J82">
        <v>20</v>
      </c>
      <c r="K82">
        <v>3</v>
      </c>
      <c r="L82" t="str">
        <f>INDEX([3]Define!E:E,MATCH(K82,[3]Define!D:D))</f>
        <v>氷</v>
      </c>
      <c r="M82">
        <v>2</v>
      </c>
      <c r="N82" t="str">
        <f>INDEX([3]Define!H:H,MATCH(M82,[3]Define!G:G))</f>
        <v>パッシブ</v>
      </c>
      <c r="O82">
        <v>7</v>
      </c>
      <c r="P82" t="str">
        <f>INDEX([3]Define!K:K,MATCH(O82,[3]Define!J:J))</f>
        <v>追撃</v>
      </c>
      <c r="Q82">
        <v>1</v>
      </c>
      <c r="R82" t="str">
        <f>INDEX([3]Define!N:N,MATCH(Q82,[3]Define!M:M))</f>
        <v>単体</v>
      </c>
      <c r="S82">
        <v>1</v>
      </c>
      <c r="T82">
        <v>1</v>
      </c>
      <c r="U82">
        <v>1</v>
      </c>
      <c r="V82">
        <v>0</v>
      </c>
    </row>
    <row r="83" spans="1:22" x14ac:dyDescent="0.2">
      <c r="A83">
        <v>13080</v>
      </c>
      <c r="B83">
        <v>13080</v>
      </c>
      <c r="C83" t="str">
        <f>INDEX([3]TextData!B:B,MATCH(B83,[3]TextData!A:A))</f>
        <v>ライフスティール</v>
      </c>
      <c r="D83">
        <v>6</v>
      </c>
      <c r="E83" t="str">
        <f>INDEX([3]Define!X:X,MATCH(D83,[3]Define!W:W))</f>
        <v>自己強化</v>
      </c>
      <c r="F83">
        <v>51</v>
      </c>
      <c r="G83">
        <v>1</v>
      </c>
      <c r="H83" t="str">
        <f>INDEX([3]Define!B:B,MATCH(G83,[3]Define!A:A))</f>
        <v>単体</v>
      </c>
      <c r="I83">
        <v>3</v>
      </c>
      <c r="J83">
        <v>20</v>
      </c>
      <c r="K83">
        <v>3</v>
      </c>
      <c r="L83" t="str">
        <f>INDEX([3]Define!E:E,MATCH(K83,[3]Define!D:D))</f>
        <v>氷</v>
      </c>
      <c r="M83">
        <v>2</v>
      </c>
      <c r="N83" t="str">
        <f>INDEX([3]Define!H:H,MATCH(M83,[3]Define!G:G))</f>
        <v>パッシブ</v>
      </c>
      <c r="O83">
        <v>4</v>
      </c>
      <c r="P83" t="str">
        <f>INDEX([3]Define!K:K,MATCH(O83,[3]Define!J:J))</f>
        <v>自身</v>
      </c>
      <c r="Q83">
        <v>4</v>
      </c>
      <c r="R83" t="str">
        <f>INDEX([3]Define!N:N,MATCH(Q83,[3]Define!M:M))</f>
        <v>自身</v>
      </c>
      <c r="S83">
        <v>1</v>
      </c>
      <c r="T83">
        <v>1</v>
      </c>
      <c r="U83">
        <v>1</v>
      </c>
      <c r="V83">
        <v>0</v>
      </c>
    </row>
    <row r="84" spans="1:22" x14ac:dyDescent="0.2">
      <c r="A84">
        <v>13090</v>
      </c>
      <c r="B84">
        <v>13090</v>
      </c>
      <c r="C84" t="str">
        <f>INDEX([3]TextData!B:B,MATCH(B84,[3]TextData!A:A))</f>
        <v>アイスセイバー</v>
      </c>
      <c r="D84">
        <v>6</v>
      </c>
      <c r="E84" t="str">
        <f>INDEX([3]Define!X:X,MATCH(D84,[3]Define!W:W))</f>
        <v>自己強化</v>
      </c>
      <c r="F84">
        <v>51</v>
      </c>
      <c r="G84">
        <v>1</v>
      </c>
      <c r="H84" t="str">
        <f>INDEX([3]Define!B:B,MATCH(G84,[3]Define!A:A))</f>
        <v>単体</v>
      </c>
      <c r="I84">
        <v>3</v>
      </c>
      <c r="J84">
        <v>20</v>
      </c>
      <c r="K84">
        <v>3</v>
      </c>
      <c r="L84" t="str">
        <f>INDEX([3]Define!E:E,MATCH(K84,[3]Define!D:D))</f>
        <v>氷</v>
      </c>
      <c r="M84">
        <v>2</v>
      </c>
      <c r="N84" t="str">
        <f>INDEX([3]Define!H:H,MATCH(M84,[3]Define!G:G))</f>
        <v>パッシブ</v>
      </c>
      <c r="O84">
        <v>7</v>
      </c>
      <c r="P84" t="str">
        <f>INDEX([3]Define!K:K,MATCH(O84,[3]Define!J:J))</f>
        <v>追撃</v>
      </c>
      <c r="Q84">
        <v>3</v>
      </c>
      <c r="R84" t="str">
        <f>INDEX([3]Define!N:N,MATCH(Q84,[3]Define!M:M))</f>
        <v>全体</v>
      </c>
      <c r="S84">
        <v>1</v>
      </c>
      <c r="T84">
        <v>1</v>
      </c>
      <c r="U84">
        <v>1</v>
      </c>
      <c r="V84">
        <v>0</v>
      </c>
    </row>
    <row r="85" spans="1:22" ht="12" customHeight="1" x14ac:dyDescent="0.2">
      <c r="A85">
        <v>14010</v>
      </c>
      <c r="B85">
        <v>14010</v>
      </c>
      <c r="C85" t="str">
        <f>INDEX([3]TextData!B:B,MATCH(B85,[3]TextData!A:A))</f>
        <v>ディバインシールド</v>
      </c>
      <c r="D85">
        <v>6</v>
      </c>
      <c r="E85" t="str">
        <f>INDEX([3]Define!X:X,MATCH(D85,[3]Define!W:W))</f>
        <v>自己強化</v>
      </c>
      <c r="F85">
        <v>51</v>
      </c>
      <c r="G85">
        <v>1</v>
      </c>
      <c r="H85" t="str">
        <f>INDEX([3]Define!B:B,MATCH(G85,[3]Define!A:A))</f>
        <v>単体</v>
      </c>
      <c r="I85">
        <v>0</v>
      </c>
      <c r="J85">
        <v>10</v>
      </c>
      <c r="K85">
        <v>4</v>
      </c>
      <c r="L85" t="str">
        <f>INDEX([3]Define!E:E,MATCH(K85,[3]Define!D:D))</f>
        <v>光</v>
      </c>
      <c r="M85">
        <v>2</v>
      </c>
      <c r="N85" t="str">
        <f>INDEX([3]Define!H:H,MATCH(M85,[3]Define!G:G))</f>
        <v>パッシブ</v>
      </c>
      <c r="O85">
        <v>4</v>
      </c>
      <c r="P85" t="str">
        <f>INDEX([3]Define!K:K,MATCH(O85,[3]Define!J:J))</f>
        <v>自身</v>
      </c>
      <c r="Q85">
        <v>4</v>
      </c>
      <c r="R85" t="str">
        <f>INDEX([3]Define!N:N,MATCH(Q85,[3]Define!M:M))</f>
        <v>自身</v>
      </c>
      <c r="S85">
        <v>1</v>
      </c>
      <c r="T85">
        <v>1</v>
      </c>
      <c r="U85">
        <v>1</v>
      </c>
      <c r="V85">
        <v>0</v>
      </c>
    </row>
    <row r="86" spans="1:22" ht="12" customHeight="1" x14ac:dyDescent="0.2">
      <c r="A86">
        <v>14020</v>
      </c>
      <c r="B86">
        <v>14020</v>
      </c>
      <c r="C86" t="str">
        <f>INDEX([3]TextData!B:B,MATCH(B86,[3]TextData!A:A))</f>
        <v>ライフディバイド</v>
      </c>
      <c r="D86">
        <v>6</v>
      </c>
      <c r="E86" t="str">
        <f>INDEX([3]Define!X:X,MATCH(D86,[3]Define!W:W))</f>
        <v>自己強化</v>
      </c>
      <c r="F86">
        <v>21</v>
      </c>
      <c r="G86">
        <v>1</v>
      </c>
      <c r="H86" t="str">
        <f>INDEX([3]Define!B:B,MATCH(G86,[3]Define!A:A))</f>
        <v>単体</v>
      </c>
      <c r="I86">
        <v>3</v>
      </c>
      <c r="J86">
        <v>10</v>
      </c>
      <c r="K86">
        <v>4</v>
      </c>
      <c r="L86" t="str">
        <f>INDEX([3]Define!E:E,MATCH(K86,[3]Define!D:D))</f>
        <v>光</v>
      </c>
      <c r="M86">
        <v>2</v>
      </c>
      <c r="N86" t="str">
        <f>INDEX([3]Define!H:H,MATCH(M86,[3]Define!G:G))</f>
        <v>パッシブ</v>
      </c>
      <c r="O86">
        <v>11</v>
      </c>
      <c r="P86" t="str">
        <f>INDEX([3]Define!K:K,MATCH(O86,[3]Define!J:J))</f>
        <v>Triggerの条件を満たす</v>
      </c>
      <c r="Q86">
        <v>1</v>
      </c>
      <c r="R86" t="str">
        <f>INDEX([3]Define!N:N,MATCH(Q86,[3]Define!M:M))</f>
        <v>単体</v>
      </c>
      <c r="S86">
        <v>1</v>
      </c>
      <c r="T86">
        <v>1</v>
      </c>
      <c r="U86">
        <v>1</v>
      </c>
      <c r="V86">
        <v>1</v>
      </c>
    </row>
    <row r="87" spans="1:22" ht="12" customHeight="1" x14ac:dyDescent="0.2">
      <c r="A87">
        <v>14030</v>
      </c>
      <c r="B87">
        <v>14030</v>
      </c>
      <c r="C87" t="str">
        <f>INDEX([3]TextData!B:B,MATCH(B87,[3]TextData!A:A))</f>
        <v>エイミングスコープ</v>
      </c>
      <c r="D87">
        <v>6</v>
      </c>
      <c r="E87" t="str">
        <f>INDEX([3]Define!X:X,MATCH(D87,[3]Define!W:W))</f>
        <v>自己強化</v>
      </c>
      <c r="F87">
        <v>51</v>
      </c>
      <c r="G87">
        <v>1</v>
      </c>
      <c r="H87" t="str">
        <f>INDEX([3]Define!B:B,MATCH(G87,[3]Define!A:A))</f>
        <v>単体</v>
      </c>
      <c r="I87">
        <v>0</v>
      </c>
      <c r="J87">
        <v>10</v>
      </c>
      <c r="K87">
        <v>4</v>
      </c>
      <c r="L87" t="str">
        <f>INDEX([3]Define!E:E,MATCH(K87,[3]Define!D:D))</f>
        <v>光</v>
      </c>
      <c r="M87">
        <v>2</v>
      </c>
      <c r="N87" t="str">
        <f>INDEX([3]Define!H:H,MATCH(M87,[3]Define!G:G))</f>
        <v>パッシブ</v>
      </c>
      <c r="O87">
        <v>2</v>
      </c>
      <c r="P87" t="str">
        <f>INDEX([3]Define!K:K,MATCH(O87,[3]Define!J:J))</f>
        <v>味方</v>
      </c>
      <c r="Q87">
        <v>3</v>
      </c>
      <c r="R87" t="str">
        <f>INDEX([3]Define!N:N,MATCH(Q87,[3]Define!M:M))</f>
        <v>全体</v>
      </c>
      <c r="S87">
        <v>1</v>
      </c>
      <c r="T87">
        <v>1</v>
      </c>
      <c r="U87">
        <v>1</v>
      </c>
      <c r="V87">
        <v>0</v>
      </c>
    </row>
    <row r="88" spans="1:22" ht="12" customHeight="1" x14ac:dyDescent="0.2">
      <c r="A88">
        <v>14040</v>
      </c>
      <c r="B88">
        <v>14040</v>
      </c>
      <c r="C88" t="str">
        <f>INDEX([3]TextData!B:B,MATCH(B88,[3]TextData!A:A))</f>
        <v>リジェネレーション</v>
      </c>
      <c r="D88">
        <v>6</v>
      </c>
      <c r="E88" t="str">
        <f>INDEX([3]Define!X:X,MATCH(D88,[3]Define!W:W))</f>
        <v>自己強化</v>
      </c>
      <c r="F88">
        <v>21</v>
      </c>
      <c r="G88">
        <v>1</v>
      </c>
      <c r="H88" t="str">
        <f>INDEX([3]Define!B:B,MATCH(G88,[3]Define!A:A))</f>
        <v>単体</v>
      </c>
      <c r="I88">
        <v>0</v>
      </c>
      <c r="J88">
        <v>10</v>
      </c>
      <c r="K88">
        <v>4</v>
      </c>
      <c r="L88" t="str">
        <f>INDEX([3]Define!E:E,MATCH(K88,[3]Define!D:D))</f>
        <v>光</v>
      </c>
      <c r="M88">
        <v>2</v>
      </c>
      <c r="N88" t="str">
        <f>INDEX([3]Define!H:H,MATCH(M88,[3]Define!G:G))</f>
        <v>パッシブ</v>
      </c>
      <c r="O88">
        <v>4</v>
      </c>
      <c r="P88" t="str">
        <f>INDEX([3]Define!K:K,MATCH(O88,[3]Define!J:J))</f>
        <v>自身</v>
      </c>
      <c r="Q88">
        <v>4</v>
      </c>
      <c r="R88" t="str">
        <f>INDEX([3]Define!N:N,MATCH(Q88,[3]Define!M:M))</f>
        <v>自身</v>
      </c>
      <c r="S88">
        <v>1</v>
      </c>
      <c r="T88">
        <v>1</v>
      </c>
      <c r="U88">
        <v>1</v>
      </c>
      <c r="V88">
        <v>0</v>
      </c>
    </row>
    <row r="89" spans="1:22" ht="12" customHeight="1" x14ac:dyDescent="0.2">
      <c r="A89">
        <v>14050</v>
      </c>
      <c r="B89">
        <v>14050</v>
      </c>
      <c r="C89" t="str">
        <f>INDEX([3]TextData!B:B,MATCH(B89,[3]TextData!A:A))</f>
        <v>ホープフルアイリス</v>
      </c>
      <c r="D89">
        <v>6</v>
      </c>
      <c r="E89" t="str">
        <f>INDEX([3]Define!X:X,MATCH(D89,[3]Define!W:W))</f>
        <v>自己強化</v>
      </c>
      <c r="F89">
        <v>51</v>
      </c>
      <c r="G89">
        <v>1</v>
      </c>
      <c r="H89" t="str">
        <f>INDEX([3]Define!B:B,MATCH(G89,[3]Define!A:A))</f>
        <v>単体</v>
      </c>
      <c r="I89">
        <v>0</v>
      </c>
      <c r="J89">
        <v>10</v>
      </c>
      <c r="K89">
        <v>4</v>
      </c>
      <c r="L89" t="str">
        <f>INDEX([3]Define!E:E,MATCH(K89,[3]Define!D:D))</f>
        <v>光</v>
      </c>
      <c r="M89">
        <v>2</v>
      </c>
      <c r="N89" t="str">
        <f>INDEX([3]Define!H:H,MATCH(M89,[3]Define!G:G))</f>
        <v>パッシブ</v>
      </c>
      <c r="O89">
        <v>4</v>
      </c>
      <c r="P89" t="str">
        <f>INDEX([3]Define!K:K,MATCH(O89,[3]Define!J:J))</f>
        <v>自身</v>
      </c>
      <c r="Q89">
        <v>4</v>
      </c>
      <c r="R89" t="str">
        <f>INDEX([3]Define!N:N,MATCH(Q89,[3]Define!M:M))</f>
        <v>自身</v>
      </c>
      <c r="S89">
        <v>1</v>
      </c>
      <c r="T89">
        <v>1</v>
      </c>
      <c r="U89">
        <v>1</v>
      </c>
      <c r="V89">
        <v>0</v>
      </c>
    </row>
    <row r="90" spans="1:22" ht="12" customHeight="1" x14ac:dyDescent="0.2">
      <c r="A90">
        <v>14060</v>
      </c>
      <c r="B90">
        <v>14060</v>
      </c>
      <c r="C90" t="str">
        <f>INDEX([3]TextData!B:B,MATCH(B90,[3]TextData!A:A))</f>
        <v>パッシブサプライ</v>
      </c>
      <c r="D90">
        <v>6</v>
      </c>
      <c r="E90" t="str">
        <f>INDEX([3]Define!X:X,MATCH(D90,[3]Define!W:W))</f>
        <v>自己強化</v>
      </c>
      <c r="F90">
        <v>51</v>
      </c>
      <c r="G90">
        <v>1</v>
      </c>
      <c r="H90" t="str">
        <f>INDEX([3]Define!B:B,MATCH(G90,[3]Define!A:A))</f>
        <v>単体</v>
      </c>
      <c r="I90">
        <v>0</v>
      </c>
      <c r="J90">
        <v>20</v>
      </c>
      <c r="K90">
        <v>4</v>
      </c>
      <c r="L90" t="str">
        <f>INDEX([3]Define!E:E,MATCH(K90,[3]Define!D:D))</f>
        <v>光</v>
      </c>
      <c r="M90">
        <v>2</v>
      </c>
      <c r="N90" t="str">
        <f>INDEX([3]Define!H:H,MATCH(M90,[3]Define!G:G))</f>
        <v>パッシブ</v>
      </c>
      <c r="O90">
        <v>6</v>
      </c>
      <c r="P90" t="str">
        <f>INDEX([3]Define!K:K,MATCH(O90,[3]Define!J:J))</f>
        <v>反撃</v>
      </c>
      <c r="Q90">
        <v>1</v>
      </c>
      <c r="R90" t="str">
        <f>INDEX([3]Define!N:N,MATCH(Q90,[3]Define!M:M))</f>
        <v>単体</v>
      </c>
      <c r="S90">
        <v>1</v>
      </c>
      <c r="T90">
        <v>1</v>
      </c>
      <c r="U90">
        <v>1</v>
      </c>
      <c r="V90">
        <v>0</v>
      </c>
    </row>
    <row r="91" spans="1:22" ht="12" customHeight="1" x14ac:dyDescent="0.2">
      <c r="A91">
        <v>14070</v>
      </c>
      <c r="B91">
        <v>14070</v>
      </c>
      <c r="C91" t="str">
        <f>INDEX([3]TextData!B:B,MATCH(B91,[3]TextData!A:A))</f>
        <v>ホーミングクルセイド</v>
      </c>
      <c r="D91">
        <v>6</v>
      </c>
      <c r="E91" t="str">
        <f>INDEX([3]Define!X:X,MATCH(D91,[3]Define!W:W))</f>
        <v>自己強化</v>
      </c>
      <c r="F91">
        <v>51</v>
      </c>
      <c r="G91">
        <v>1</v>
      </c>
      <c r="H91" t="str">
        <f>INDEX([3]Define!B:B,MATCH(G91,[3]Define!A:A))</f>
        <v>単体</v>
      </c>
      <c r="I91">
        <v>0</v>
      </c>
      <c r="J91">
        <v>20</v>
      </c>
      <c r="K91">
        <v>4</v>
      </c>
      <c r="L91" t="str">
        <f>INDEX([3]Define!E:E,MATCH(K91,[3]Define!D:D))</f>
        <v>光</v>
      </c>
      <c r="M91">
        <v>2</v>
      </c>
      <c r="N91" t="str">
        <f>INDEX([3]Define!H:H,MATCH(M91,[3]Define!G:G))</f>
        <v>パッシブ</v>
      </c>
      <c r="O91">
        <v>4</v>
      </c>
      <c r="P91" t="str">
        <f>INDEX([3]Define!K:K,MATCH(O91,[3]Define!J:J))</f>
        <v>自身</v>
      </c>
      <c r="Q91">
        <v>4</v>
      </c>
      <c r="R91" t="str">
        <f>INDEX([3]Define!N:N,MATCH(Q91,[3]Define!M:M))</f>
        <v>自身</v>
      </c>
      <c r="S91">
        <v>1</v>
      </c>
      <c r="T91">
        <v>1</v>
      </c>
      <c r="U91">
        <v>1</v>
      </c>
      <c r="V91">
        <v>0</v>
      </c>
    </row>
    <row r="92" spans="1:22" ht="12" customHeight="1" x14ac:dyDescent="0.2">
      <c r="A92">
        <v>14080</v>
      </c>
      <c r="B92">
        <v>14080</v>
      </c>
      <c r="C92" t="str">
        <f>INDEX([3]TextData!B:B,MATCH(B92,[3]TextData!A:A))</f>
        <v>クイックヒール</v>
      </c>
      <c r="D92">
        <v>6</v>
      </c>
      <c r="E92" t="str">
        <f>INDEX([3]Define!X:X,MATCH(D92,[3]Define!W:W))</f>
        <v>自己強化</v>
      </c>
      <c r="F92">
        <v>21</v>
      </c>
      <c r="G92">
        <v>1</v>
      </c>
      <c r="H92" t="str">
        <f>INDEX([3]Define!B:B,MATCH(G92,[3]Define!A:A))</f>
        <v>単体</v>
      </c>
      <c r="I92">
        <v>2</v>
      </c>
      <c r="J92">
        <v>20</v>
      </c>
      <c r="K92">
        <v>4</v>
      </c>
      <c r="L92" t="str">
        <f>INDEX([3]Define!E:E,MATCH(K92,[3]Define!D:D))</f>
        <v>光</v>
      </c>
      <c r="M92">
        <v>2</v>
      </c>
      <c r="N92" t="str">
        <f>INDEX([3]Define!H:H,MATCH(M92,[3]Define!G:G))</f>
        <v>パッシブ</v>
      </c>
      <c r="O92">
        <v>11</v>
      </c>
      <c r="P92" t="str">
        <f>INDEX([3]Define!K:K,MATCH(O92,[3]Define!J:J))</f>
        <v>Triggerの条件を満たす</v>
      </c>
      <c r="Q92">
        <v>1</v>
      </c>
      <c r="R92" t="str">
        <f>INDEX([3]Define!N:N,MATCH(Q92,[3]Define!M:M))</f>
        <v>単体</v>
      </c>
      <c r="S92">
        <v>1</v>
      </c>
      <c r="T92">
        <v>1</v>
      </c>
      <c r="U92">
        <v>1</v>
      </c>
      <c r="V92">
        <v>0</v>
      </c>
    </row>
    <row r="93" spans="1:22" ht="12" customHeight="1" x14ac:dyDescent="0.2">
      <c r="A93">
        <v>14090</v>
      </c>
      <c r="B93">
        <v>14090</v>
      </c>
      <c r="C93" t="str">
        <f>INDEX([3]TextData!B:B,MATCH(B93,[3]TextData!A:A))</f>
        <v>リレイズ</v>
      </c>
      <c r="D93">
        <v>6</v>
      </c>
      <c r="E93" t="str">
        <f>INDEX([3]Define!X:X,MATCH(D93,[3]Define!W:W))</f>
        <v>自己強化</v>
      </c>
      <c r="F93">
        <v>21</v>
      </c>
      <c r="G93">
        <v>1</v>
      </c>
      <c r="H93" t="str">
        <f>INDEX([3]Define!B:B,MATCH(G93,[3]Define!A:A))</f>
        <v>単体</v>
      </c>
      <c r="I93">
        <v>5</v>
      </c>
      <c r="J93">
        <v>20</v>
      </c>
      <c r="K93">
        <v>4</v>
      </c>
      <c r="L93" t="str">
        <f>INDEX([3]Define!E:E,MATCH(K93,[3]Define!D:D))</f>
        <v>光</v>
      </c>
      <c r="M93">
        <v>2</v>
      </c>
      <c r="N93" t="str">
        <f>INDEX([3]Define!H:H,MATCH(M93,[3]Define!G:G))</f>
        <v>パッシブ</v>
      </c>
      <c r="O93">
        <v>4</v>
      </c>
      <c r="P93" t="str">
        <f>INDEX([3]Define!K:K,MATCH(O93,[3]Define!J:J))</f>
        <v>自身</v>
      </c>
      <c r="Q93">
        <v>4</v>
      </c>
      <c r="R93" t="str">
        <f>INDEX([3]Define!N:N,MATCH(Q93,[3]Define!M:M))</f>
        <v>自身</v>
      </c>
      <c r="S93">
        <v>1</v>
      </c>
      <c r="T93">
        <v>1</v>
      </c>
      <c r="U93">
        <v>1</v>
      </c>
      <c r="V93">
        <v>0</v>
      </c>
    </row>
    <row r="94" spans="1:22" ht="12" customHeight="1" x14ac:dyDescent="0.2">
      <c r="A94">
        <v>15010</v>
      </c>
      <c r="B94">
        <v>15010</v>
      </c>
      <c r="C94" t="str">
        <f>INDEX([3]TextData!B:B,MATCH(B94,[3]TextData!A:A))</f>
        <v>イーグルアイ</v>
      </c>
      <c r="D94">
        <v>6</v>
      </c>
      <c r="E94" t="str">
        <f>INDEX([3]Define!X:X,MATCH(D94,[3]Define!W:W))</f>
        <v>自己強化</v>
      </c>
      <c r="F94">
        <v>51</v>
      </c>
      <c r="G94">
        <v>1</v>
      </c>
      <c r="H94" t="str">
        <f>INDEX([3]Define!B:B,MATCH(G94,[3]Define!A:A))</f>
        <v>単体</v>
      </c>
      <c r="I94">
        <v>0</v>
      </c>
      <c r="J94">
        <v>10</v>
      </c>
      <c r="K94">
        <v>5</v>
      </c>
      <c r="L94" t="str">
        <f>INDEX([3]Define!E:E,MATCH(K94,[3]Define!D:D))</f>
        <v>闇</v>
      </c>
      <c r="M94">
        <v>2</v>
      </c>
      <c r="N94" t="str">
        <f>INDEX([3]Define!H:H,MATCH(M94,[3]Define!G:G))</f>
        <v>パッシブ</v>
      </c>
      <c r="O94">
        <v>4</v>
      </c>
      <c r="P94" t="str">
        <f>INDEX([3]Define!K:K,MATCH(O94,[3]Define!J:J))</f>
        <v>自身</v>
      </c>
      <c r="Q94">
        <v>4</v>
      </c>
      <c r="R94" t="str">
        <f>INDEX([3]Define!N:N,MATCH(Q94,[3]Define!M:M))</f>
        <v>自身</v>
      </c>
      <c r="S94">
        <v>1</v>
      </c>
      <c r="T94">
        <v>1</v>
      </c>
      <c r="U94">
        <v>1</v>
      </c>
      <c r="V94">
        <v>0</v>
      </c>
    </row>
    <row r="95" spans="1:22" ht="12" customHeight="1" x14ac:dyDescent="0.2">
      <c r="A95">
        <v>15020</v>
      </c>
      <c r="B95">
        <v>15020</v>
      </c>
      <c r="C95" t="str">
        <f>INDEX([3]TextData!B:B,MATCH(B95,[3]TextData!A:A))</f>
        <v>ネヴァーエンド</v>
      </c>
      <c r="D95">
        <v>6</v>
      </c>
      <c r="E95" t="str">
        <f>INDEX([3]Define!X:X,MATCH(D95,[3]Define!W:W))</f>
        <v>自己強化</v>
      </c>
      <c r="F95">
        <v>51</v>
      </c>
      <c r="G95">
        <v>1</v>
      </c>
      <c r="H95" t="str">
        <f>INDEX([3]Define!B:B,MATCH(G95,[3]Define!A:A))</f>
        <v>単体</v>
      </c>
      <c r="I95">
        <v>0</v>
      </c>
      <c r="J95">
        <v>10</v>
      </c>
      <c r="K95">
        <v>5</v>
      </c>
      <c r="L95" t="str">
        <f>INDEX([3]Define!E:E,MATCH(K95,[3]Define!D:D))</f>
        <v>闇</v>
      </c>
      <c r="M95">
        <v>2</v>
      </c>
      <c r="N95" t="str">
        <f>INDEX([3]Define!H:H,MATCH(M95,[3]Define!G:G))</f>
        <v>パッシブ</v>
      </c>
      <c r="O95">
        <v>4</v>
      </c>
      <c r="P95" t="str">
        <f>INDEX([3]Define!K:K,MATCH(O95,[3]Define!J:J))</f>
        <v>自身</v>
      </c>
      <c r="Q95">
        <v>4</v>
      </c>
      <c r="R95" t="str">
        <f>INDEX([3]Define!N:N,MATCH(Q95,[3]Define!M:M))</f>
        <v>自身</v>
      </c>
      <c r="S95">
        <v>1</v>
      </c>
      <c r="T95">
        <v>1</v>
      </c>
      <c r="U95">
        <v>1</v>
      </c>
      <c r="V95">
        <v>0</v>
      </c>
    </row>
    <row r="96" spans="1:22" ht="12" customHeight="1" x14ac:dyDescent="0.2">
      <c r="A96">
        <v>15030</v>
      </c>
      <c r="B96">
        <v>15030</v>
      </c>
      <c r="C96" t="str">
        <f>INDEX([3]TextData!B:B,MATCH(B96,[3]TextData!A:A))</f>
        <v>グレイブアクト</v>
      </c>
      <c r="D96">
        <v>6</v>
      </c>
      <c r="E96" t="str">
        <f>INDEX([3]Define!X:X,MATCH(D96,[3]Define!W:W))</f>
        <v>自己強化</v>
      </c>
      <c r="F96">
        <v>51</v>
      </c>
      <c r="G96">
        <v>1</v>
      </c>
      <c r="H96" t="str">
        <f>INDEX([3]Define!B:B,MATCH(G96,[3]Define!A:A))</f>
        <v>単体</v>
      </c>
      <c r="I96">
        <v>0</v>
      </c>
      <c r="J96">
        <v>10</v>
      </c>
      <c r="K96">
        <v>5</v>
      </c>
      <c r="L96" t="str">
        <f>INDEX([3]Define!E:E,MATCH(K96,[3]Define!D:D))</f>
        <v>闇</v>
      </c>
      <c r="M96">
        <v>2</v>
      </c>
      <c r="N96" t="str">
        <f>INDEX([3]Define!H:H,MATCH(M96,[3]Define!G:G))</f>
        <v>パッシブ</v>
      </c>
      <c r="O96">
        <v>4</v>
      </c>
      <c r="P96" t="str">
        <f>INDEX([3]Define!K:K,MATCH(O96,[3]Define!J:J))</f>
        <v>自身</v>
      </c>
      <c r="Q96">
        <v>4</v>
      </c>
      <c r="R96" t="str">
        <f>INDEX([3]Define!N:N,MATCH(Q96,[3]Define!M:M))</f>
        <v>自身</v>
      </c>
      <c r="S96">
        <v>1</v>
      </c>
      <c r="T96">
        <v>1</v>
      </c>
      <c r="U96">
        <v>1</v>
      </c>
      <c r="V96">
        <v>0</v>
      </c>
    </row>
    <row r="97" spans="1:22" ht="12" customHeight="1" x14ac:dyDescent="0.2">
      <c r="A97">
        <v>15040</v>
      </c>
      <c r="B97">
        <v>15040</v>
      </c>
      <c r="C97" t="str">
        <f>INDEX([3]TextData!B:B,MATCH(B97,[3]TextData!A:A))</f>
        <v>スカルグラッジ</v>
      </c>
      <c r="D97">
        <v>6</v>
      </c>
      <c r="E97" t="str">
        <f>INDEX([3]Define!X:X,MATCH(D97,[3]Define!W:W))</f>
        <v>自己強化</v>
      </c>
      <c r="F97">
        <v>51</v>
      </c>
      <c r="G97">
        <v>1</v>
      </c>
      <c r="H97" t="str">
        <f>INDEX([3]Define!B:B,MATCH(G97,[3]Define!A:A))</f>
        <v>単体</v>
      </c>
      <c r="I97">
        <v>0</v>
      </c>
      <c r="J97">
        <v>10</v>
      </c>
      <c r="K97">
        <v>5</v>
      </c>
      <c r="L97" t="str">
        <f>INDEX([3]Define!E:E,MATCH(K97,[3]Define!D:D))</f>
        <v>闇</v>
      </c>
      <c r="M97">
        <v>2</v>
      </c>
      <c r="N97" t="str">
        <f>INDEX([3]Define!H:H,MATCH(M97,[3]Define!G:G))</f>
        <v>パッシブ</v>
      </c>
      <c r="O97">
        <v>4</v>
      </c>
      <c r="P97" t="str">
        <f>INDEX([3]Define!K:K,MATCH(O97,[3]Define!J:J))</f>
        <v>自身</v>
      </c>
      <c r="Q97">
        <v>4</v>
      </c>
      <c r="R97" t="str">
        <f>INDEX([3]Define!N:N,MATCH(Q97,[3]Define!M:M))</f>
        <v>自身</v>
      </c>
      <c r="S97">
        <v>1</v>
      </c>
      <c r="T97">
        <v>1</v>
      </c>
      <c r="U97">
        <v>1</v>
      </c>
      <c r="V97">
        <v>0</v>
      </c>
    </row>
    <row r="98" spans="1:22" ht="12" customHeight="1" x14ac:dyDescent="0.2">
      <c r="A98">
        <v>15050</v>
      </c>
      <c r="B98">
        <v>15050</v>
      </c>
      <c r="C98" t="str">
        <f>INDEX([3]TextData!B:B,MATCH(B98,[3]TextData!A:A))</f>
        <v>ネガティブドレイン</v>
      </c>
      <c r="D98">
        <v>6</v>
      </c>
      <c r="E98" t="str">
        <f>INDEX([3]Define!X:X,MATCH(D98,[3]Define!W:W))</f>
        <v>自己強化</v>
      </c>
      <c r="F98">
        <v>51</v>
      </c>
      <c r="G98">
        <v>1</v>
      </c>
      <c r="H98" t="str">
        <f>INDEX([3]Define!B:B,MATCH(G98,[3]Define!A:A))</f>
        <v>単体</v>
      </c>
      <c r="I98">
        <v>0</v>
      </c>
      <c r="J98">
        <v>10</v>
      </c>
      <c r="K98">
        <v>5</v>
      </c>
      <c r="L98" t="str">
        <f>INDEX([3]Define!E:E,MATCH(K98,[3]Define!D:D))</f>
        <v>闇</v>
      </c>
      <c r="M98">
        <v>2</v>
      </c>
      <c r="N98" t="str">
        <f>INDEX([3]Define!H:H,MATCH(M98,[3]Define!G:G))</f>
        <v>パッシブ</v>
      </c>
      <c r="O98">
        <v>4</v>
      </c>
      <c r="P98" t="str">
        <f>INDEX([3]Define!K:K,MATCH(O98,[3]Define!J:J))</f>
        <v>自身</v>
      </c>
      <c r="Q98">
        <v>4</v>
      </c>
      <c r="R98" t="str">
        <f>INDEX([3]Define!N:N,MATCH(Q98,[3]Define!M:M))</f>
        <v>自身</v>
      </c>
      <c r="S98">
        <v>1</v>
      </c>
      <c r="T98">
        <v>1</v>
      </c>
      <c r="U98">
        <v>1</v>
      </c>
      <c r="V98">
        <v>0</v>
      </c>
    </row>
    <row r="99" spans="1:22" ht="12" customHeight="1" x14ac:dyDescent="0.2">
      <c r="A99">
        <v>15060</v>
      </c>
      <c r="B99">
        <v>15060</v>
      </c>
      <c r="C99" t="str">
        <f>INDEX([3]TextData!B:B,MATCH(B99,[3]TextData!A:A))</f>
        <v>アンデッドペイン</v>
      </c>
      <c r="D99">
        <v>6</v>
      </c>
      <c r="E99" t="str">
        <f>INDEX([3]Define!X:X,MATCH(D99,[3]Define!W:W))</f>
        <v>自己強化</v>
      </c>
      <c r="F99">
        <v>51</v>
      </c>
      <c r="G99">
        <v>1</v>
      </c>
      <c r="H99" t="str">
        <f>INDEX([3]Define!B:B,MATCH(G99,[3]Define!A:A))</f>
        <v>単体</v>
      </c>
      <c r="I99">
        <v>0</v>
      </c>
      <c r="J99">
        <v>20</v>
      </c>
      <c r="K99">
        <v>5</v>
      </c>
      <c r="L99" t="str">
        <f>INDEX([3]Define!E:E,MATCH(K99,[3]Define!D:D))</f>
        <v>闇</v>
      </c>
      <c r="M99">
        <v>2</v>
      </c>
      <c r="N99" t="str">
        <f>INDEX([3]Define!H:H,MATCH(M99,[3]Define!G:G))</f>
        <v>パッシブ</v>
      </c>
      <c r="O99">
        <v>4</v>
      </c>
      <c r="P99" t="str">
        <f>INDEX([3]Define!K:K,MATCH(O99,[3]Define!J:J))</f>
        <v>自身</v>
      </c>
      <c r="Q99">
        <v>4</v>
      </c>
      <c r="R99" t="str">
        <f>INDEX([3]Define!N:N,MATCH(Q99,[3]Define!M:M))</f>
        <v>自身</v>
      </c>
      <c r="S99">
        <v>1</v>
      </c>
      <c r="T99">
        <v>1</v>
      </c>
      <c r="U99">
        <v>1</v>
      </c>
      <c r="V99">
        <v>0</v>
      </c>
    </row>
    <row r="100" spans="1:22" ht="12" customHeight="1" x14ac:dyDescent="0.2">
      <c r="A100">
        <v>15070</v>
      </c>
      <c r="B100">
        <v>15070</v>
      </c>
      <c r="C100" t="str">
        <f>INDEX([3]TextData!B:B,MATCH(B100,[3]TextData!A:A))</f>
        <v>ジャックポッド</v>
      </c>
      <c r="D100">
        <v>6</v>
      </c>
      <c r="E100" t="str">
        <f>INDEX([3]Define!X:X,MATCH(D100,[3]Define!W:W))</f>
        <v>自己強化</v>
      </c>
      <c r="F100">
        <v>51</v>
      </c>
      <c r="G100">
        <v>1</v>
      </c>
      <c r="H100" t="str">
        <f>INDEX([3]Define!B:B,MATCH(G100,[3]Define!A:A))</f>
        <v>単体</v>
      </c>
      <c r="I100">
        <v>3</v>
      </c>
      <c r="J100">
        <v>20</v>
      </c>
      <c r="K100">
        <v>5</v>
      </c>
      <c r="L100" t="str">
        <f>INDEX([3]Define!E:E,MATCH(K100,[3]Define!D:D))</f>
        <v>闇</v>
      </c>
      <c r="M100">
        <v>2</v>
      </c>
      <c r="N100" t="str">
        <f>INDEX([3]Define!H:H,MATCH(M100,[3]Define!G:G))</f>
        <v>パッシブ</v>
      </c>
      <c r="O100">
        <v>11</v>
      </c>
      <c r="P100" t="str">
        <f>INDEX([3]Define!K:K,MATCH(O100,[3]Define!J:J))</f>
        <v>Triggerの条件を満たす</v>
      </c>
      <c r="Q100">
        <v>1</v>
      </c>
      <c r="R100" t="str">
        <f>INDEX([3]Define!N:N,MATCH(Q100,[3]Define!M:M))</f>
        <v>単体</v>
      </c>
      <c r="S100">
        <v>1</v>
      </c>
      <c r="T100">
        <v>1</v>
      </c>
      <c r="U100">
        <v>1</v>
      </c>
      <c r="V100">
        <v>1</v>
      </c>
    </row>
    <row r="101" spans="1:22" ht="12" customHeight="1" x14ac:dyDescent="0.2">
      <c r="A101">
        <v>15080</v>
      </c>
      <c r="B101">
        <v>15080</v>
      </c>
      <c r="C101" t="str">
        <f>INDEX([3]TextData!B:B,MATCH(B101,[3]TextData!A:A))</f>
        <v>ヒールハント</v>
      </c>
      <c r="D101">
        <v>6</v>
      </c>
      <c r="E101" t="str">
        <f>INDEX([3]Define!X:X,MATCH(D101,[3]Define!W:W))</f>
        <v>自己強化</v>
      </c>
      <c r="F101">
        <v>51</v>
      </c>
      <c r="G101">
        <v>1</v>
      </c>
      <c r="H101" t="str">
        <f>INDEX([3]Define!B:B,MATCH(G101,[3]Define!A:A))</f>
        <v>単体</v>
      </c>
      <c r="I101">
        <v>2</v>
      </c>
      <c r="J101">
        <v>20</v>
      </c>
      <c r="K101">
        <v>5</v>
      </c>
      <c r="L101" t="str">
        <f>INDEX([3]Define!E:E,MATCH(K101,[3]Define!D:D))</f>
        <v>闇</v>
      </c>
      <c r="M101">
        <v>2</v>
      </c>
      <c r="N101" t="str">
        <f>INDEX([3]Define!H:H,MATCH(M101,[3]Define!G:G))</f>
        <v>パッシブ</v>
      </c>
      <c r="O101">
        <v>6</v>
      </c>
      <c r="P101" t="str">
        <f>INDEX([3]Define!K:K,MATCH(O101,[3]Define!J:J))</f>
        <v>反撃</v>
      </c>
      <c r="Q101">
        <v>1</v>
      </c>
      <c r="R101" t="str">
        <f>INDEX([3]Define!N:N,MATCH(Q101,[3]Define!M:M))</f>
        <v>単体</v>
      </c>
      <c r="S101">
        <v>2</v>
      </c>
      <c r="T101">
        <v>1</v>
      </c>
      <c r="U101">
        <v>1</v>
      </c>
      <c r="V101">
        <v>0</v>
      </c>
    </row>
    <row r="102" spans="1:22" ht="12" customHeight="1" x14ac:dyDescent="0.2">
      <c r="A102">
        <v>15090</v>
      </c>
      <c r="B102">
        <v>15090</v>
      </c>
      <c r="C102" t="str">
        <f>INDEX([3]TextData!B:B,MATCH(B102,[3]TextData!A:A))</f>
        <v>クイックカース</v>
      </c>
      <c r="D102">
        <v>6</v>
      </c>
      <c r="E102" t="str">
        <f>INDEX([3]Define!X:X,MATCH(D102,[3]Define!W:W))</f>
        <v>自己強化</v>
      </c>
      <c r="F102">
        <v>61</v>
      </c>
      <c r="G102">
        <v>1</v>
      </c>
      <c r="H102" t="str">
        <f>INDEX([3]Define!B:B,MATCH(G102,[3]Define!A:A))</f>
        <v>単体</v>
      </c>
      <c r="I102">
        <v>2</v>
      </c>
      <c r="J102">
        <v>20</v>
      </c>
      <c r="K102">
        <v>5</v>
      </c>
      <c r="L102" t="str">
        <f>INDEX([3]Define!E:E,MATCH(K102,[3]Define!D:D))</f>
        <v>闇</v>
      </c>
      <c r="M102">
        <v>2</v>
      </c>
      <c r="N102" t="str">
        <f>INDEX([3]Define!H:H,MATCH(M102,[3]Define!G:G))</f>
        <v>パッシブ</v>
      </c>
      <c r="O102">
        <v>6</v>
      </c>
      <c r="P102" t="str">
        <f>INDEX([3]Define!K:K,MATCH(O102,[3]Define!J:J))</f>
        <v>反撃</v>
      </c>
      <c r="Q102">
        <v>1</v>
      </c>
      <c r="R102" t="str">
        <f>INDEX([3]Define!N:N,MATCH(Q102,[3]Define!M:M))</f>
        <v>単体</v>
      </c>
      <c r="S102">
        <v>2</v>
      </c>
      <c r="T102">
        <v>1</v>
      </c>
      <c r="U102">
        <v>1</v>
      </c>
      <c r="V102">
        <v>0</v>
      </c>
    </row>
    <row r="103" spans="1:22" ht="12" customHeight="1" x14ac:dyDescent="0.2">
      <c r="A103">
        <v>20010</v>
      </c>
      <c r="B103">
        <v>20010</v>
      </c>
      <c r="C103" t="str">
        <f>INDEX([3]TextData!B:B,MATCH(B103,[3]TextData!A:A))</f>
        <v>ウェイトユニゾン</v>
      </c>
      <c r="D103">
        <v>99</v>
      </c>
      <c r="E103" t="str">
        <f>INDEX([3]Define!X:X,MATCH(D103,[3]Define!W:W))</f>
        <v>その他</v>
      </c>
      <c r="F103">
        <v>0</v>
      </c>
      <c r="G103">
        <v>1</v>
      </c>
      <c r="H103" t="str">
        <f>INDEX([3]Define!B:B,MATCH(G103,[3]Define!A:A))</f>
        <v>単体</v>
      </c>
      <c r="I103">
        <v>0</v>
      </c>
      <c r="J103">
        <v>0</v>
      </c>
      <c r="K103">
        <v>0</v>
      </c>
      <c r="L103" t="str">
        <f>INDEX([3]Define!E:E,MATCH(K103,[3]Define!D:D))</f>
        <v>なし</v>
      </c>
      <c r="M103">
        <v>1</v>
      </c>
      <c r="N103" t="str">
        <f>INDEX([3]Define!H:H,MATCH(M103,[3]Define!G:G))</f>
        <v>魔法</v>
      </c>
      <c r="O103">
        <v>4</v>
      </c>
      <c r="P103" t="str">
        <f>INDEX([3]Define!K:K,MATCH(O103,[3]Define!J:J))</f>
        <v>自身</v>
      </c>
      <c r="Q103">
        <v>4</v>
      </c>
      <c r="R103" t="str">
        <f>INDEX([3]Define!N:N,MATCH(Q103,[3]Define!M:M))</f>
        <v>自身</v>
      </c>
      <c r="S103">
        <v>1</v>
      </c>
      <c r="T103">
        <v>1</v>
      </c>
      <c r="U103">
        <v>1</v>
      </c>
      <c r="V103">
        <v>0</v>
      </c>
    </row>
    <row r="104" spans="1:22" x14ac:dyDescent="0.2">
      <c r="A104">
        <v>100110</v>
      </c>
      <c r="B104">
        <v>100110</v>
      </c>
      <c r="C104" t="str">
        <f>INDEX([3]TextData!B:B,MATCH(B104,[3]TextData!A:A))</f>
        <v>ソーイングアームド</v>
      </c>
      <c r="D104">
        <v>10</v>
      </c>
      <c r="E104" t="str">
        <f>INDEX([3]Define!X:X,MATCH(D104,[3]Define!W:W))</f>
        <v>半神</v>
      </c>
      <c r="F104">
        <v>51</v>
      </c>
      <c r="G104">
        <v>1</v>
      </c>
      <c r="H104" t="str">
        <f>INDEX([3]Define!B:B,MATCH(G104,[3]Define!A:A))</f>
        <v>単体</v>
      </c>
      <c r="I104">
        <v>0</v>
      </c>
      <c r="J104">
        <v>1000</v>
      </c>
      <c r="K104">
        <v>1</v>
      </c>
      <c r="L104" t="str">
        <f>INDEX([3]Define!E:E,MATCH(K104,[3]Define!D:D))</f>
        <v>炎</v>
      </c>
      <c r="M104">
        <v>3</v>
      </c>
      <c r="N104" t="str">
        <f>INDEX([3]Define!H:H,MATCH(M104,[3]Define!G:G))</f>
        <v>神化</v>
      </c>
      <c r="O104">
        <v>4</v>
      </c>
      <c r="P104" t="str">
        <f>INDEX([3]Define!K:K,MATCH(O104,[3]Define!J:J))</f>
        <v>自身</v>
      </c>
      <c r="Q104">
        <v>2</v>
      </c>
      <c r="R104" t="str">
        <f>INDEX([3]Define!N:N,MATCH(Q104,[3]Define!M:M))</f>
        <v>列</v>
      </c>
      <c r="S104">
        <v>2</v>
      </c>
      <c r="T104">
        <v>1</v>
      </c>
      <c r="U104">
        <v>1</v>
      </c>
      <c r="V104">
        <v>0</v>
      </c>
    </row>
    <row r="105" spans="1:22" x14ac:dyDescent="0.2">
      <c r="A105">
        <v>100120</v>
      </c>
      <c r="B105">
        <v>100120</v>
      </c>
      <c r="C105" t="str">
        <f>INDEX([3]TextData!B:B,MATCH(B105,[3]TextData!A:A))</f>
        <v>エターナルロンド</v>
      </c>
      <c r="D105">
        <v>11</v>
      </c>
      <c r="E105" t="str">
        <f>INDEX([3]Define!X:X,MATCH(D105,[3]Define!W:W))</f>
        <v>覚醒</v>
      </c>
      <c r="F105">
        <v>101</v>
      </c>
      <c r="G105">
        <v>1</v>
      </c>
      <c r="H105" t="str">
        <f>INDEX([3]Define!B:B,MATCH(G105,[3]Define!A:A))</f>
        <v>単体</v>
      </c>
      <c r="I105">
        <v>0</v>
      </c>
      <c r="J105">
        <v>1000</v>
      </c>
      <c r="K105">
        <v>1</v>
      </c>
      <c r="L105" t="str">
        <f>INDEX([3]Define!E:E,MATCH(K105,[3]Define!D:D))</f>
        <v>炎</v>
      </c>
      <c r="M105">
        <v>4</v>
      </c>
      <c r="N105" t="str">
        <f>INDEX([3]Define!H:H,MATCH(M105,[3]Define!G:G))</f>
        <v>覚醒</v>
      </c>
      <c r="O105">
        <v>1</v>
      </c>
      <c r="P105" t="str">
        <f>INDEX([3]Define!K:K,MATCH(O105,[3]Define!J:J))</f>
        <v>相手</v>
      </c>
      <c r="Q105">
        <v>2</v>
      </c>
      <c r="R105" t="str">
        <f>INDEX([3]Define!N:N,MATCH(Q105,[3]Define!M:M))</f>
        <v>列</v>
      </c>
      <c r="S105">
        <v>1</v>
      </c>
      <c r="T105">
        <v>1</v>
      </c>
      <c r="U105">
        <v>1</v>
      </c>
      <c r="V105">
        <v>0</v>
      </c>
    </row>
    <row r="106" spans="1:22" x14ac:dyDescent="0.2">
      <c r="A106">
        <v>100210</v>
      </c>
      <c r="B106">
        <v>100210</v>
      </c>
      <c r="C106" t="str">
        <f>INDEX([3]TextData!B:B,MATCH(B106,[3]TextData!A:A))</f>
        <v>アブソリュートパリィ</v>
      </c>
      <c r="D106">
        <v>10</v>
      </c>
      <c r="E106" t="str">
        <f>INDEX([3]Define!X:X,MATCH(D106,[3]Define!W:W))</f>
        <v>半神</v>
      </c>
      <c r="F106">
        <v>51</v>
      </c>
      <c r="G106">
        <v>1</v>
      </c>
      <c r="H106" t="str">
        <f>INDEX([3]Define!B:B,MATCH(G106,[3]Define!A:A))</f>
        <v>単体</v>
      </c>
      <c r="I106">
        <v>0</v>
      </c>
      <c r="J106">
        <v>1000</v>
      </c>
      <c r="K106">
        <v>2</v>
      </c>
      <c r="L106" t="str">
        <f>INDEX([3]Define!E:E,MATCH(K106,[3]Define!D:D))</f>
        <v>雷</v>
      </c>
      <c r="M106">
        <v>3</v>
      </c>
      <c r="N106" t="str">
        <f>INDEX([3]Define!H:H,MATCH(M106,[3]Define!G:G))</f>
        <v>神化</v>
      </c>
      <c r="O106">
        <v>4</v>
      </c>
      <c r="P106" t="str">
        <f>INDEX([3]Define!K:K,MATCH(O106,[3]Define!J:J))</f>
        <v>自身</v>
      </c>
      <c r="Q106">
        <v>4</v>
      </c>
      <c r="R106" t="str">
        <f>INDEX([3]Define!N:N,MATCH(Q106,[3]Define!M:M))</f>
        <v>自身</v>
      </c>
      <c r="S106">
        <v>1</v>
      </c>
      <c r="T106">
        <v>1</v>
      </c>
      <c r="U106">
        <v>1</v>
      </c>
      <c r="V106">
        <v>0</v>
      </c>
    </row>
    <row r="107" spans="1:22" x14ac:dyDescent="0.2">
      <c r="A107">
        <v>100220</v>
      </c>
      <c r="B107">
        <v>100220</v>
      </c>
      <c r="C107" t="str">
        <f>INDEX([3]TextData!B:B,MATCH(B107,[3]TextData!A:A))</f>
        <v>レヴェリー</v>
      </c>
      <c r="D107">
        <v>11</v>
      </c>
      <c r="E107" t="str">
        <f>INDEX([3]Define!X:X,MATCH(D107,[3]Define!W:W))</f>
        <v>覚醒</v>
      </c>
      <c r="F107">
        <v>1002</v>
      </c>
      <c r="G107">
        <v>1</v>
      </c>
      <c r="H107" t="str">
        <f>INDEX([3]Define!B:B,MATCH(G107,[3]Define!A:A))</f>
        <v>単体</v>
      </c>
      <c r="I107">
        <v>0</v>
      </c>
      <c r="J107">
        <v>1000</v>
      </c>
      <c r="K107">
        <v>2</v>
      </c>
      <c r="L107" t="str">
        <f>INDEX([3]Define!E:E,MATCH(K107,[3]Define!D:D))</f>
        <v>雷</v>
      </c>
      <c r="M107">
        <v>4</v>
      </c>
      <c r="N107" t="str">
        <f>INDEX([3]Define!H:H,MATCH(M107,[3]Define!G:G))</f>
        <v>覚醒</v>
      </c>
      <c r="O107">
        <v>1</v>
      </c>
      <c r="P107" t="str">
        <f>INDEX([3]Define!K:K,MATCH(O107,[3]Define!J:J))</f>
        <v>相手</v>
      </c>
      <c r="Q107">
        <v>3</v>
      </c>
      <c r="R107" t="str">
        <f>INDEX([3]Define!N:N,MATCH(Q107,[3]Define!M:M))</f>
        <v>全体</v>
      </c>
      <c r="S107">
        <v>2</v>
      </c>
      <c r="T107">
        <v>7</v>
      </c>
      <c r="U107">
        <v>1</v>
      </c>
      <c r="V107">
        <v>0</v>
      </c>
    </row>
    <row r="108" spans="1:22" x14ac:dyDescent="0.2">
      <c r="A108">
        <v>100310</v>
      </c>
      <c r="B108">
        <v>100310</v>
      </c>
      <c r="C108" t="str">
        <f>INDEX([3]TextData!B:B,MATCH(B108,[3]TextData!A:A))</f>
        <v>セイクリッドバリア</v>
      </c>
      <c r="D108">
        <v>10</v>
      </c>
      <c r="E108" t="str">
        <f>INDEX([3]Define!X:X,MATCH(D108,[3]Define!W:W))</f>
        <v>半神</v>
      </c>
      <c r="F108">
        <v>51</v>
      </c>
      <c r="G108">
        <v>1</v>
      </c>
      <c r="H108" t="str">
        <f>INDEX([3]Define!B:B,MATCH(G108,[3]Define!A:A))</f>
        <v>単体</v>
      </c>
      <c r="I108">
        <v>0</v>
      </c>
      <c r="J108">
        <v>1000</v>
      </c>
      <c r="K108">
        <v>3</v>
      </c>
      <c r="L108" t="str">
        <f>INDEX([3]Define!E:E,MATCH(K108,[3]Define!D:D))</f>
        <v>氷</v>
      </c>
      <c r="M108">
        <v>3</v>
      </c>
      <c r="N108" t="str">
        <f>INDEX([3]Define!H:H,MATCH(M108,[3]Define!G:G))</f>
        <v>神化</v>
      </c>
      <c r="O108">
        <v>2</v>
      </c>
      <c r="P108" t="str">
        <f>INDEX([3]Define!K:K,MATCH(O108,[3]Define!J:J))</f>
        <v>味方</v>
      </c>
      <c r="Q108">
        <v>3</v>
      </c>
      <c r="R108" t="str">
        <f>INDEX([3]Define!N:N,MATCH(Q108,[3]Define!M:M))</f>
        <v>全体</v>
      </c>
      <c r="S108">
        <v>2</v>
      </c>
      <c r="T108">
        <v>1</v>
      </c>
      <c r="U108">
        <v>1</v>
      </c>
      <c r="V108">
        <v>0</v>
      </c>
    </row>
    <row r="109" spans="1:22" x14ac:dyDescent="0.2">
      <c r="A109">
        <v>100320</v>
      </c>
      <c r="B109">
        <v>100320</v>
      </c>
      <c r="C109" t="str">
        <f>INDEX([3]TextData!B:B,MATCH(B109,[3]TextData!A:A))</f>
        <v>リベンジニードル</v>
      </c>
      <c r="D109">
        <v>11</v>
      </c>
      <c r="E109" t="str">
        <f>INDEX([3]Define!X:X,MATCH(D109,[3]Define!W:W))</f>
        <v>覚醒</v>
      </c>
      <c r="F109">
        <v>1003</v>
      </c>
      <c r="G109">
        <v>1</v>
      </c>
      <c r="H109" t="str">
        <f>INDEX([3]Define!B:B,MATCH(G109,[3]Define!A:A))</f>
        <v>単体</v>
      </c>
      <c r="I109">
        <v>0</v>
      </c>
      <c r="J109">
        <v>1000</v>
      </c>
      <c r="K109">
        <v>3</v>
      </c>
      <c r="L109" t="str">
        <f>INDEX([3]Define!E:E,MATCH(K109,[3]Define!D:D))</f>
        <v>氷</v>
      </c>
      <c r="M109">
        <v>4</v>
      </c>
      <c r="N109" t="str">
        <f>INDEX([3]Define!H:H,MATCH(M109,[3]Define!G:G))</f>
        <v>覚醒</v>
      </c>
      <c r="O109">
        <v>1</v>
      </c>
      <c r="P109" t="str">
        <f>INDEX([3]Define!K:K,MATCH(O109,[3]Define!J:J))</f>
        <v>相手</v>
      </c>
      <c r="Q109">
        <v>3</v>
      </c>
      <c r="R109" t="str">
        <f>INDEX([3]Define!N:N,MATCH(Q109,[3]Define!M:M))</f>
        <v>全体</v>
      </c>
      <c r="S109">
        <v>1</v>
      </c>
      <c r="T109">
        <v>1</v>
      </c>
      <c r="U109">
        <v>1</v>
      </c>
      <c r="V109">
        <v>0</v>
      </c>
    </row>
    <row r="110" spans="1:22" x14ac:dyDescent="0.2">
      <c r="A110">
        <v>100410</v>
      </c>
      <c r="B110">
        <v>100410</v>
      </c>
      <c r="C110" t="str">
        <f>INDEX([3]TextData!B:B,MATCH(B110,[3]TextData!A:A))</f>
        <v>アバンデンス</v>
      </c>
      <c r="D110">
        <v>10</v>
      </c>
      <c r="E110" t="str">
        <f>INDEX([3]Define!X:X,MATCH(D110,[3]Define!W:W))</f>
        <v>半神</v>
      </c>
      <c r="F110">
        <v>401</v>
      </c>
      <c r="G110">
        <v>1</v>
      </c>
      <c r="H110" t="str">
        <f>INDEX([3]Define!B:B,MATCH(G110,[3]Define!A:A))</f>
        <v>単体</v>
      </c>
      <c r="I110">
        <v>0</v>
      </c>
      <c r="J110">
        <v>1000</v>
      </c>
      <c r="K110">
        <v>4</v>
      </c>
      <c r="L110" t="str">
        <f>INDEX([3]Define!E:E,MATCH(K110,[3]Define!D:D))</f>
        <v>光</v>
      </c>
      <c r="M110">
        <v>3</v>
      </c>
      <c r="N110" t="str">
        <f>INDEX([3]Define!H:H,MATCH(M110,[3]Define!G:G))</f>
        <v>神化</v>
      </c>
      <c r="O110">
        <v>2</v>
      </c>
      <c r="P110" t="str">
        <f>INDEX([3]Define!K:K,MATCH(O110,[3]Define!J:J))</f>
        <v>味方</v>
      </c>
      <c r="Q110">
        <v>3</v>
      </c>
      <c r="R110" t="str">
        <f>INDEX([3]Define!N:N,MATCH(Q110,[3]Define!M:M))</f>
        <v>全体</v>
      </c>
      <c r="S110">
        <v>2</v>
      </c>
      <c r="T110">
        <v>1</v>
      </c>
      <c r="U110">
        <v>0</v>
      </c>
      <c r="V110">
        <v>0</v>
      </c>
    </row>
    <row r="111" spans="1:22" x14ac:dyDescent="0.2">
      <c r="A111">
        <v>100420</v>
      </c>
      <c r="B111">
        <v>100420</v>
      </c>
      <c r="C111" t="str">
        <f>INDEX([3]TextData!B:B,MATCH(B111,[3]TextData!A:A))</f>
        <v>ハーヴェスト</v>
      </c>
      <c r="D111">
        <v>11</v>
      </c>
      <c r="E111" t="str">
        <f>INDEX([3]Define!X:X,MATCH(D111,[3]Define!W:W))</f>
        <v>覚醒</v>
      </c>
      <c r="F111">
        <v>1004</v>
      </c>
      <c r="G111">
        <v>1</v>
      </c>
      <c r="H111" t="str">
        <f>INDEX([3]Define!B:B,MATCH(G111,[3]Define!A:A))</f>
        <v>単体</v>
      </c>
      <c r="I111">
        <v>0</v>
      </c>
      <c r="J111">
        <v>1000</v>
      </c>
      <c r="K111">
        <v>4</v>
      </c>
      <c r="L111" t="str">
        <f>INDEX([3]Define!E:E,MATCH(K111,[3]Define!D:D))</f>
        <v>光</v>
      </c>
      <c r="M111">
        <v>4</v>
      </c>
      <c r="N111" t="str">
        <f>INDEX([3]Define!H:H,MATCH(M111,[3]Define!G:G))</f>
        <v>覚醒</v>
      </c>
      <c r="O111">
        <v>2</v>
      </c>
      <c r="P111" t="str">
        <f>INDEX([3]Define!K:K,MATCH(O111,[3]Define!J:J))</f>
        <v>味方</v>
      </c>
      <c r="Q111">
        <v>3</v>
      </c>
      <c r="R111" t="str">
        <f>INDEX([3]Define!N:N,MATCH(Q111,[3]Define!M:M))</f>
        <v>全体</v>
      </c>
      <c r="S111">
        <v>2</v>
      </c>
      <c r="T111">
        <v>1</v>
      </c>
      <c r="U111">
        <v>1</v>
      </c>
      <c r="V111">
        <v>0</v>
      </c>
    </row>
    <row r="112" spans="1:22" ht="12" customHeight="1" x14ac:dyDescent="0.2">
      <c r="A112">
        <v>100510</v>
      </c>
      <c r="B112">
        <v>100510</v>
      </c>
      <c r="C112" t="str">
        <f>INDEX([3]TextData!B:B,MATCH(B112,[3]TextData!A:A))</f>
        <v>カースドブレイク</v>
      </c>
      <c r="D112">
        <v>10</v>
      </c>
      <c r="E112" t="str">
        <f>INDEX([3]Define!X:X,MATCH(D112,[3]Define!W:W))</f>
        <v>半神</v>
      </c>
      <c r="F112">
        <v>51</v>
      </c>
      <c r="G112">
        <v>1</v>
      </c>
      <c r="H112" t="str">
        <f>INDEX([3]Define!B:B,MATCH(G112,[3]Define!A:A))</f>
        <v>単体</v>
      </c>
      <c r="I112">
        <v>0</v>
      </c>
      <c r="J112">
        <v>1000</v>
      </c>
      <c r="K112">
        <v>5</v>
      </c>
      <c r="L112" t="str">
        <f>INDEX([3]Define!E:E,MATCH(K112,[3]Define!D:D))</f>
        <v>闇</v>
      </c>
      <c r="M112">
        <v>3</v>
      </c>
      <c r="N112" t="str">
        <f>INDEX([3]Define!H:H,MATCH(M112,[3]Define!G:G))</f>
        <v>神化</v>
      </c>
      <c r="O112">
        <v>4</v>
      </c>
      <c r="P112" t="str">
        <f>INDEX([3]Define!K:K,MATCH(O112,[3]Define!J:J))</f>
        <v>自身</v>
      </c>
      <c r="Q112">
        <v>4</v>
      </c>
      <c r="R112" t="str">
        <f>INDEX([3]Define!N:N,MATCH(Q112,[3]Define!M:M))</f>
        <v>自身</v>
      </c>
      <c r="S112">
        <v>1</v>
      </c>
      <c r="T112">
        <v>1</v>
      </c>
      <c r="U112">
        <v>1</v>
      </c>
      <c r="V112">
        <v>0</v>
      </c>
    </row>
    <row r="113" spans="1:22" ht="12" customHeight="1" x14ac:dyDescent="0.2">
      <c r="A113">
        <v>100520</v>
      </c>
      <c r="B113">
        <v>100520</v>
      </c>
      <c r="C113" t="str">
        <f>INDEX([3]TextData!B:B,MATCH(B113,[3]TextData!A:A))</f>
        <v>ムーンライトレイ</v>
      </c>
      <c r="D113">
        <v>11</v>
      </c>
      <c r="E113" t="str">
        <f>INDEX([3]Define!X:X,MATCH(D113,[3]Define!W:W))</f>
        <v>覚醒</v>
      </c>
      <c r="F113">
        <v>1005</v>
      </c>
      <c r="G113">
        <v>1</v>
      </c>
      <c r="H113" t="str">
        <f>INDEX([3]Define!B:B,MATCH(G113,[3]Define!A:A))</f>
        <v>単体</v>
      </c>
      <c r="I113">
        <v>0</v>
      </c>
      <c r="J113">
        <v>1000</v>
      </c>
      <c r="K113">
        <v>5</v>
      </c>
      <c r="L113" t="str">
        <f>INDEX([3]Define!E:E,MATCH(K113,[3]Define!D:D))</f>
        <v>闇</v>
      </c>
      <c r="M113">
        <v>4</v>
      </c>
      <c r="N113" t="str">
        <f>INDEX([3]Define!H:H,MATCH(M113,[3]Define!G:G))</f>
        <v>覚醒</v>
      </c>
      <c r="O113">
        <v>1</v>
      </c>
      <c r="P113" t="str">
        <f>INDEX([3]Define!K:K,MATCH(O113,[3]Define!J:J))</f>
        <v>相手</v>
      </c>
      <c r="Q113">
        <v>3</v>
      </c>
      <c r="R113" t="str">
        <f>INDEX([3]Define!N:N,MATCH(Q113,[3]Define!M:M))</f>
        <v>全体</v>
      </c>
      <c r="S113">
        <v>2</v>
      </c>
      <c r="T113">
        <v>1</v>
      </c>
      <c r="U113">
        <v>1</v>
      </c>
      <c r="V113">
        <v>0</v>
      </c>
    </row>
    <row r="114" spans="1:22" x14ac:dyDescent="0.2">
      <c r="A114">
        <v>100610</v>
      </c>
      <c r="B114">
        <v>100610</v>
      </c>
      <c r="C114" t="str">
        <f>INDEX([3]TextData!B:B,MATCH(B114,[3]TextData!A:A))</f>
        <v>サンフレイム</v>
      </c>
      <c r="D114">
        <v>10</v>
      </c>
      <c r="E114" t="str">
        <f>INDEX([3]Define!X:X,MATCH(D114,[3]Define!W:W))</f>
        <v>半神</v>
      </c>
      <c r="F114">
        <v>51</v>
      </c>
      <c r="G114">
        <v>1</v>
      </c>
      <c r="H114" t="str">
        <f>INDEX([3]Define!B:B,MATCH(G114,[3]Define!A:A))</f>
        <v>単体</v>
      </c>
      <c r="I114">
        <v>0</v>
      </c>
      <c r="J114">
        <v>1000</v>
      </c>
      <c r="K114">
        <v>1</v>
      </c>
      <c r="L114" t="str">
        <f>INDEX([3]Define!E:E,MATCH(K114,[3]Define!D:D))</f>
        <v>炎</v>
      </c>
      <c r="M114">
        <v>3</v>
      </c>
      <c r="N114" t="str">
        <f>INDEX([3]Define!H:H,MATCH(M114,[3]Define!G:G))</f>
        <v>神化</v>
      </c>
      <c r="O114">
        <v>4</v>
      </c>
      <c r="P114" t="str">
        <f>INDEX([3]Define!K:K,MATCH(O114,[3]Define!J:J))</f>
        <v>自身</v>
      </c>
      <c r="Q114">
        <v>31</v>
      </c>
      <c r="R114" t="str">
        <f>INDEX([3]Define!N:N,MATCH(Q114,[3]Define!M:M))</f>
        <v>単体と両隣</v>
      </c>
      <c r="S114">
        <v>2</v>
      </c>
      <c r="T114">
        <v>1</v>
      </c>
      <c r="U114">
        <v>1</v>
      </c>
      <c r="V114">
        <v>0</v>
      </c>
    </row>
    <row r="115" spans="1:22" x14ac:dyDescent="0.2">
      <c r="A115">
        <v>100620</v>
      </c>
      <c r="B115">
        <v>100620</v>
      </c>
      <c r="C115" t="str">
        <f>INDEX([3]TextData!B:B,MATCH(B115,[3]TextData!A:A))</f>
        <v>フレイムタン</v>
      </c>
      <c r="D115">
        <v>11</v>
      </c>
      <c r="E115" t="str">
        <f>INDEX([3]Define!X:X,MATCH(D115,[3]Define!W:W))</f>
        <v>覚醒</v>
      </c>
      <c r="F115">
        <v>1005</v>
      </c>
      <c r="G115">
        <v>1</v>
      </c>
      <c r="H115" t="str">
        <f>INDEX([3]Define!B:B,MATCH(G115,[3]Define!A:A))</f>
        <v>単体</v>
      </c>
      <c r="I115">
        <v>0</v>
      </c>
      <c r="J115">
        <v>1000</v>
      </c>
      <c r="K115">
        <v>1</v>
      </c>
      <c r="L115" t="str">
        <f>INDEX([3]Define!E:E,MATCH(K115,[3]Define!D:D))</f>
        <v>炎</v>
      </c>
      <c r="M115">
        <v>4</v>
      </c>
      <c r="N115" t="str">
        <f>INDEX([3]Define!H:H,MATCH(M115,[3]Define!G:G))</f>
        <v>覚醒</v>
      </c>
      <c r="O115">
        <v>1</v>
      </c>
      <c r="P115" t="str">
        <f>INDEX([3]Define!K:K,MATCH(O115,[3]Define!J:J))</f>
        <v>相手</v>
      </c>
      <c r="Q115">
        <v>3</v>
      </c>
      <c r="R115" t="str">
        <f>INDEX([3]Define!N:N,MATCH(Q115,[3]Define!M:M))</f>
        <v>全体</v>
      </c>
      <c r="S115">
        <v>2</v>
      </c>
      <c r="T115">
        <v>1</v>
      </c>
      <c r="U115">
        <v>1</v>
      </c>
      <c r="V115">
        <v>0</v>
      </c>
    </row>
    <row r="116" spans="1:22" ht="12" customHeight="1" x14ac:dyDescent="0.2">
      <c r="A116">
        <v>100710</v>
      </c>
      <c r="B116">
        <v>100710</v>
      </c>
      <c r="C116" t="str">
        <f>INDEX([3]TextData!B:B,MATCH(B116,[3]TextData!A:A))</f>
        <v>ライズザフラッグ</v>
      </c>
      <c r="D116">
        <v>10</v>
      </c>
      <c r="E116" t="str">
        <f>INDEX([3]Define!X:X,MATCH(D116,[3]Define!W:W))</f>
        <v>半神</v>
      </c>
      <c r="F116">
        <v>201</v>
      </c>
      <c r="G116">
        <v>1</v>
      </c>
      <c r="H116" t="str">
        <f>INDEX([3]Define!B:B,MATCH(G116,[3]Define!A:A))</f>
        <v>単体</v>
      </c>
      <c r="I116">
        <v>0</v>
      </c>
      <c r="J116">
        <v>1000</v>
      </c>
      <c r="K116">
        <v>2</v>
      </c>
      <c r="L116" t="str">
        <f>INDEX([3]Define!E:E,MATCH(K116,[3]Define!D:D))</f>
        <v>雷</v>
      </c>
      <c r="M116">
        <v>3</v>
      </c>
      <c r="N116" t="str">
        <f>INDEX([3]Define!H:H,MATCH(M116,[3]Define!G:G))</f>
        <v>神化</v>
      </c>
      <c r="O116">
        <v>4</v>
      </c>
      <c r="P116" t="str">
        <f>INDEX([3]Define!K:K,MATCH(O116,[3]Define!J:J))</f>
        <v>自身</v>
      </c>
      <c r="Q116">
        <v>4</v>
      </c>
      <c r="R116" t="str">
        <f>INDEX([3]Define!N:N,MATCH(Q116,[3]Define!M:M))</f>
        <v>自身</v>
      </c>
      <c r="S116">
        <v>1</v>
      </c>
      <c r="T116">
        <v>1</v>
      </c>
      <c r="U116">
        <v>1</v>
      </c>
      <c r="V116">
        <v>0</v>
      </c>
    </row>
    <row r="117" spans="1:22" ht="12" customHeight="1" x14ac:dyDescent="0.2">
      <c r="A117">
        <v>100720</v>
      </c>
      <c r="B117">
        <v>100720</v>
      </c>
      <c r="C117" t="str">
        <f>INDEX([3]TextData!B:B,MATCH(B117,[3]TextData!A:A))</f>
        <v>オーバーリミット</v>
      </c>
      <c r="D117">
        <v>11</v>
      </c>
      <c r="E117" t="str">
        <f>INDEX([3]Define!X:X,MATCH(D117,[3]Define!W:W))</f>
        <v>覚醒</v>
      </c>
      <c r="F117">
        <v>1005</v>
      </c>
      <c r="G117">
        <v>1</v>
      </c>
      <c r="H117" t="str">
        <f>INDEX([3]Define!B:B,MATCH(G117,[3]Define!A:A))</f>
        <v>単体</v>
      </c>
      <c r="I117">
        <v>0</v>
      </c>
      <c r="J117">
        <v>1000</v>
      </c>
      <c r="K117">
        <v>2</v>
      </c>
      <c r="L117" t="str">
        <f>INDEX([3]Define!E:E,MATCH(K117,[3]Define!D:D))</f>
        <v>雷</v>
      </c>
      <c r="M117">
        <v>4</v>
      </c>
      <c r="N117" t="str">
        <f>INDEX([3]Define!H:H,MATCH(M117,[3]Define!G:G))</f>
        <v>覚醒</v>
      </c>
      <c r="O117">
        <v>2</v>
      </c>
      <c r="P117" t="str">
        <f>INDEX([3]Define!K:K,MATCH(O117,[3]Define!J:J))</f>
        <v>味方</v>
      </c>
      <c r="Q117">
        <v>2</v>
      </c>
      <c r="R117" t="str">
        <f>INDEX([3]Define!N:N,MATCH(Q117,[3]Define!M:M))</f>
        <v>列</v>
      </c>
      <c r="S117">
        <v>1</v>
      </c>
      <c r="T117">
        <v>1</v>
      </c>
      <c r="U117">
        <v>1</v>
      </c>
      <c r="V117">
        <v>0</v>
      </c>
    </row>
    <row r="118" spans="1:22" ht="12" customHeight="1" x14ac:dyDescent="0.2">
      <c r="A118">
        <v>100810</v>
      </c>
      <c r="B118">
        <v>100810</v>
      </c>
      <c r="C118" t="str">
        <f>INDEX([3]TextData!B:B,MATCH(B118,[3]TextData!A:A))</f>
        <v>テンパランス</v>
      </c>
      <c r="D118">
        <v>10</v>
      </c>
      <c r="E118" t="str">
        <f>INDEX([3]Define!X:X,MATCH(D118,[3]Define!W:W))</f>
        <v>半神</v>
      </c>
      <c r="F118">
        <v>51</v>
      </c>
      <c r="G118">
        <v>1</v>
      </c>
      <c r="H118" t="str">
        <f>INDEX([3]Define!B:B,MATCH(G118,[3]Define!A:A))</f>
        <v>単体</v>
      </c>
      <c r="I118">
        <v>0</v>
      </c>
      <c r="J118">
        <v>1000</v>
      </c>
      <c r="K118">
        <v>3</v>
      </c>
      <c r="L118" t="str">
        <f>INDEX([3]Define!E:E,MATCH(K118,[3]Define!D:D))</f>
        <v>氷</v>
      </c>
      <c r="M118">
        <v>3</v>
      </c>
      <c r="N118" t="str">
        <f>INDEX([3]Define!H:H,MATCH(M118,[3]Define!G:G))</f>
        <v>神化</v>
      </c>
      <c r="O118">
        <v>2</v>
      </c>
      <c r="P118" t="str">
        <f>INDEX([3]Define!K:K,MATCH(O118,[3]Define!J:J))</f>
        <v>味方</v>
      </c>
      <c r="Q118">
        <v>3</v>
      </c>
      <c r="R118" t="str">
        <f>INDEX([3]Define!N:N,MATCH(Q118,[3]Define!M:M))</f>
        <v>全体</v>
      </c>
      <c r="S118">
        <v>2</v>
      </c>
      <c r="T118">
        <v>1</v>
      </c>
      <c r="U118">
        <v>1</v>
      </c>
      <c r="V118">
        <v>0</v>
      </c>
    </row>
    <row r="119" spans="1:22" ht="12" customHeight="1" x14ac:dyDescent="0.2">
      <c r="A119">
        <v>100820</v>
      </c>
      <c r="B119">
        <v>100820</v>
      </c>
      <c r="C119" t="str">
        <f>INDEX([3]TextData!B:B,MATCH(B119,[3]TextData!A:A))</f>
        <v>シエルクルセイダー</v>
      </c>
      <c r="D119">
        <v>11</v>
      </c>
      <c r="E119" t="str">
        <f>INDEX([3]Define!X:X,MATCH(D119,[3]Define!W:W))</f>
        <v>覚醒</v>
      </c>
      <c r="F119">
        <v>1005</v>
      </c>
      <c r="G119">
        <v>1</v>
      </c>
      <c r="H119" t="str">
        <f>INDEX([3]Define!B:B,MATCH(G119,[3]Define!A:A))</f>
        <v>単体</v>
      </c>
      <c r="I119">
        <v>0</v>
      </c>
      <c r="J119">
        <v>1000</v>
      </c>
      <c r="K119">
        <v>3</v>
      </c>
      <c r="L119" t="str">
        <f>INDEX([3]Define!E:E,MATCH(K119,[3]Define!D:D))</f>
        <v>氷</v>
      </c>
      <c r="M119">
        <v>4</v>
      </c>
      <c r="N119" t="str">
        <f>INDEX([3]Define!H:H,MATCH(M119,[3]Define!G:G))</f>
        <v>覚醒</v>
      </c>
      <c r="O119">
        <v>1</v>
      </c>
      <c r="P119" t="str">
        <f>INDEX([3]Define!K:K,MATCH(O119,[3]Define!J:J))</f>
        <v>相手</v>
      </c>
      <c r="Q119">
        <v>3</v>
      </c>
      <c r="R119" t="str">
        <f>INDEX([3]Define!N:N,MATCH(Q119,[3]Define!M:M))</f>
        <v>全体</v>
      </c>
      <c r="S119">
        <v>2</v>
      </c>
      <c r="T119">
        <v>1</v>
      </c>
      <c r="U119">
        <v>1</v>
      </c>
      <c r="V119">
        <v>0</v>
      </c>
    </row>
    <row r="120" spans="1:22" ht="12" customHeight="1" x14ac:dyDescent="0.2">
      <c r="A120">
        <v>100910</v>
      </c>
      <c r="B120">
        <v>100910</v>
      </c>
      <c r="C120" t="str">
        <f>INDEX([3]TextData!B:B,MATCH(B120,[3]TextData!A:A))</f>
        <v>バーニングカウンター</v>
      </c>
      <c r="D120">
        <v>10</v>
      </c>
      <c r="E120" t="str">
        <f>INDEX([3]Define!X:X,MATCH(D120,[3]Define!W:W))</f>
        <v>半神</v>
      </c>
      <c r="F120">
        <v>101</v>
      </c>
      <c r="G120">
        <v>1</v>
      </c>
      <c r="H120" t="str">
        <f>INDEX([3]Define!B:B,MATCH(G120,[3]Define!A:A))</f>
        <v>単体</v>
      </c>
      <c r="I120">
        <v>0</v>
      </c>
      <c r="J120">
        <v>1000</v>
      </c>
      <c r="K120">
        <v>1</v>
      </c>
      <c r="L120" t="str">
        <f>INDEX([3]Define!E:E,MATCH(K120,[3]Define!D:D))</f>
        <v>炎</v>
      </c>
      <c r="M120">
        <v>3</v>
      </c>
      <c r="N120" t="str">
        <f>INDEX([3]Define!H:H,MATCH(M120,[3]Define!G:G))</f>
        <v>神化</v>
      </c>
      <c r="O120">
        <v>6</v>
      </c>
      <c r="P120" t="str">
        <f>INDEX([3]Define!K:K,MATCH(O120,[3]Define!J:J))</f>
        <v>反撃</v>
      </c>
      <c r="Q120">
        <v>1</v>
      </c>
      <c r="R120" t="str">
        <f>INDEX([3]Define!N:N,MATCH(Q120,[3]Define!M:M))</f>
        <v>単体</v>
      </c>
      <c r="S120">
        <v>1</v>
      </c>
      <c r="T120">
        <v>1</v>
      </c>
      <c r="U120">
        <v>1</v>
      </c>
      <c r="V120">
        <v>0</v>
      </c>
    </row>
    <row r="121" spans="1:22" ht="12" customHeight="1" x14ac:dyDescent="0.2">
      <c r="A121">
        <v>100911</v>
      </c>
      <c r="B121">
        <v>100911</v>
      </c>
      <c r="C121" t="str">
        <f>INDEX([3]TextData!B:B,MATCH(B121,[3]TextData!A:A))</f>
        <v>バーニングカウンター</v>
      </c>
      <c r="D121">
        <v>10</v>
      </c>
      <c r="E121" t="str">
        <f>INDEX([3]Define!X:X,MATCH(D121,[3]Define!W:W))</f>
        <v>半神</v>
      </c>
      <c r="F121">
        <v>51</v>
      </c>
      <c r="G121">
        <v>1</v>
      </c>
      <c r="H121" t="str">
        <f>INDEX([3]Define!B:B,MATCH(G121,[3]Define!A:A))</f>
        <v>単体</v>
      </c>
      <c r="I121">
        <v>0</v>
      </c>
      <c r="J121">
        <v>1000</v>
      </c>
      <c r="K121">
        <v>1</v>
      </c>
      <c r="L121" t="str">
        <f>INDEX([3]Define!E:E,MATCH(K121,[3]Define!D:D))</f>
        <v>炎</v>
      </c>
      <c r="M121">
        <v>2</v>
      </c>
      <c r="N121" t="str">
        <f>INDEX([3]Define!H:H,MATCH(M121,[3]Define!G:G))</f>
        <v>パッシブ</v>
      </c>
      <c r="O121">
        <v>4</v>
      </c>
      <c r="P121" t="str">
        <f>INDEX([3]Define!K:K,MATCH(O121,[3]Define!J:J))</f>
        <v>自身</v>
      </c>
      <c r="Q121">
        <v>4</v>
      </c>
      <c r="R121" t="str">
        <f>INDEX([3]Define!N:N,MATCH(Q121,[3]Define!M:M))</f>
        <v>自身</v>
      </c>
      <c r="S121">
        <v>1</v>
      </c>
      <c r="T121">
        <v>1</v>
      </c>
      <c r="U121">
        <v>1</v>
      </c>
      <c r="V121">
        <v>0</v>
      </c>
    </row>
    <row r="122" spans="1:22" ht="12" customHeight="1" x14ac:dyDescent="0.2">
      <c r="A122">
        <v>100920</v>
      </c>
      <c r="B122">
        <v>100920</v>
      </c>
      <c r="C122" t="str">
        <f>INDEX([3]TextData!B:B,MATCH(B122,[3]TextData!A:A))</f>
        <v>プロミネンス</v>
      </c>
      <c r="D122">
        <v>11</v>
      </c>
      <c r="E122" t="str">
        <f>INDEX([3]Define!X:X,MATCH(D122,[3]Define!W:W))</f>
        <v>覚醒</v>
      </c>
      <c r="F122">
        <v>1005</v>
      </c>
      <c r="G122">
        <v>1</v>
      </c>
      <c r="H122" t="str">
        <f>INDEX([3]Define!B:B,MATCH(G122,[3]Define!A:A))</f>
        <v>単体</v>
      </c>
      <c r="I122">
        <v>0</v>
      </c>
      <c r="J122">
        <v>1000</v>
      </c>
      <c r="K122">
        <v>1</v>
      </c>
      <c r="L122" t="str">
        <f>INDEX([3]Define!E:E,MATCH(K122,[3]Define!D:D))</f>
        <v>炎</v>
      </c>
      <c r="M122">
        <v>4</v>
      </c>
      <c r="N122" t="str">
        <f>INDEX([3]Define!H:H,MATCH(M122,[3]Define!G:G))</f>
        <v>覚醒</v>
      </c>
      <c r="O122">
        <v>1</v>
      </c>
      <c r="P122" t="str">
        <f>INDEX([3]Define!K:K,MATCH(O122,[3]Define!J:J))</f>
        <v>相手</v>
      </c>
      <c r="Q122">
        <v>1</v>
      </c>
      <c r="R122" t="str">
        <f>INDEX([3]Define!N:N,MATCH(Q122,[3]Define!M:M))</f>
        <v>単体</v>
      </c>
      <c r="S122">
        <v>1</v>
      </c>
      <c r="T122">
        <v>1</v>
      </c>
      <c r="U122">
        <v>1</v>
      </c>
      <c r="V122">
        <v>0</v>
      </c>
    </row>
    <row r="123" spans="1:22" ht="12" customHeight="1" x14ac:dyDescent="0.2">
      <c r="A123">
        <v>100921</v>
      </c>
      <c r="B123">
        <v>100921</v>
      </c>
      <c r="C123" t="str">
        <f>INDEX([3]TextData!B:B,MATCH(B123,[3]TextData!A:A))</f>
        <v>プロミネンス</v>
      </c>
      <c r="D123">
        <v>11</v>
      </c>
      <c r="E123" t="str">
        <f>INDEX([3]Define!X:X,MATCH(D123,[3]Define!W:W))</f>
        <v>覚醒</v>
      </c>
      <c r="F123">
        <v>51</v>
      </c>
      <c r="G123">
        <v>1</v>
      </c>
      <c r="H123" t="str">
        <f>INDEX([3]Define!B:B,MATCH(G123,[3]Define!A:A))</f>
        <v>単体</v>
      </c>
      <c r="I123">
        <v>0</v>
      </c>
      <c r="J123">
        <v>1000</v>
      </c>
      <c r="K123">
        <v>1</v>
      </c>
      <c r="L123" t="str">
        <f>INDEX([3]Define!E:E,MATCH(K123,[3]Define!D:D))</f>
        <v>炎</v>
      </c>
      <c r="M123">
        <v>2</v>
      </c>
      <c r="N123" t="str">
        <f>INDEX([3]Define!H:H,MATCH(M123,[3]Define!G:G))</f>
        <v>パッシブ</v>
      </c>
      <c r="O123">
        <v>4</v>
      </c>
      <c r="P123" t="str">
        <f>INDEX([3]Define!K:K,MATCH(O123,[3]Define!J:J))</f>
        <v>自身</v>
      </c>
      <c r="Q123">
        <v>4</v>
      </c>
      <c r="R123" t="str">
        <f>INDEX([3]Define!N:N,MATCH(Q123,[3]Define!M:M))</f>
        <v>自身</v>
      </c>
      <c r="S123">
        <v>1</v>
      </c>
      <c r="T123">
        <v>1</v>
      </c>
      <c r="U123">
        <v>1</v>
      </c>
      <c r="V123">
        <v>0</v>
      </c>
    </row>
    <row r="124" spans="1:22" ht="12" customHeight="1" x14ac:dyDescent="0.2">
      <c r="A124">
        <v>101010</v>
      </c>
      <c r="B124">
        <v>101010</v>
      </c>
      <c r="C124" t="str">
        <f>INDEX([3]TextData!B:B,MATCH(B124,[3]TextData!A:A))</f>
        <v>エウロス</v>
      </c>
      <c r="D124">
        <v>10</v>
      </c>
      <c r="E124" t="str">
        <f>INDEX([3]Define!X:X,MATCH(D124,[3]Define!W:W))</f>
        <v>半神</v>
      </c>
      <c r="F124">
        <v>51</v>
      </c>
      <c r="G124">
        <v>1</v>
      </c>
      <c r="H124" t="str">
        <f>INDEX([3]Define!B:B,MATCH(G124,[3]Define!A:A))</f>
        <v>単体</v>
      </c>
      <c r="I124">
        <v>0</v>
      </c>
      <c r="J124">
        <v>1000</v>
      </c>
      <c r="K124">
        <v>2</v>
      </c>
      <c r="L124" t="str">
        <f>INDEX([3]Define!E:E,MATCH(K124,[3]Define!D:D))</f>
        <v>雷</v>
      </c>
      <c r="M124">
        <v>3</v>
      </c>
      <c r="N124" t="str">
        <f>INDEX([3]Define!H:H,MATCH(M124,[3]Define!G:G))</f>
        <v>神化</v>
      </c>
      <c r="O124">
        <v>6</v>
      </c>
      <c r="P124" t="str">
        <f>INDEX([3]Define!K:K,MATCH(O124,[3]Define!J:J))</f>
        <v>反撃</v>
      </c>
      <c r="Q124">
        <v>1</v>
      </c>
      <c r="R124" t="str">
        <f>INDEX([3]Define!N:N,MATCH(Q124,[3]Define!M:M))</f>
        <v>単体</v>
      </c>
      <c r="S124">
        <v>1</v>
      </c>
      <c r="T124">
        <v>1</v>
      </c>
      <c r="U124">
        <v>1</v>
      </c>
      <c r="V124">
        <v>0</v>
      </c>
    </row>
    <row r="125" spans="1:22" ht="12" customHeight="1" x14ac:dyDescent="0.2">
      <c r="A125">
        <v>101020</v>
      </c>
      <c r="B125">
        <v>101020</v>
      </c>
      <c r="C125" t="str">
        <f>INDEX([3]TextData!B:B,MATCH(B125,[3]TextData!A:A))</f>
        <v>ボレアス</v>
      </c>
      <c r="D125">
        <v>11</v>
      </c>
      <c r="E125" t="str">
        <f>INDEX([3]Define!X:X,MATCH(D125,[3]Define!W:W))</f>
        <v>覚醒</v>
      </c>
      <c r="F125">
        <v>1005</v>
      </c>
      <c r="G125">
        <v>1</v>
      </c>
      <c r="H125" t="str">
        <f>INDEX([3]Define!B:B,MATCH(G125,[3]Define!A:A))</f>
        <v>単体</v>
      </c>
      <c r="I125">
        <v>0</v>
      </c>
      <c r="J125">
        <v>1000</v>
      </c>
      <c r="K125">
        <v>2</v>
      </c>
      <c r="L125" t="str">
        <f>INDEX([3]Define!E:E,MATCH(K125,[3]Define!D:D))</f>
        <v>雷</v>
      </c>
      <c r="M125">
        <v>4</v>
      </c>
      <c r="N125" t="str">
        <f>INDEX([3]Define!H:H,MATCH(M125,[3]Define!G:G))</f>
        <v>覚醒</v>
      </c>
      <c r="O125">
        <v>1</v>
      </c>
      <c r="P125" t="str">
        <f>INDEX([3]Define!K:K,MATCH(O125,[3]Define!J:J))</f>
        <v>相手</v>
      </c>
      <c r="Q125">
        <v>3</v>
      </c>
      <c r="R125" t="str">
        <f>INDEX([3]Define!N:N,MATCH(Q125,[3]Define!M:M))</f>
        <v>全体</v>
      </c>
      <c r="S125">
        <v>2</v>
      </c>
      <c r="T125">
        <v>1</v>
      </c>
      <c r="U125">
        <v>1</v>
      </c>
      <c r="V125">
        <v>0</v>
      </c>
    </row>
    <row r="126" spans="1:22" ht="12" customHeight="1" x14ac:dyDescent="0.2">
      <c r="A126">
        <v>101110</v>
      </c>
      <c r="B126">
        <v>101110</v>
      </c>
      <c r="C126" t="str">
        <f>INDEX([3]TextData!B:B,MATCH(B126,[3]TextData!A:A))</f>
        <v>アバランシュ</v>
      </c>
      <c r="D126">
        <v>10</v>
      </c>
      <c r="E126" t="str">
        <f>INDEX([3]Define!X:X,MATCH(D126,[3]Define!W:W))</f>
        <v>半神</v>
      </c>
      <c r="F126">
        <v>301</v>
      </c>
      <c r="G126">
        <v>1</v>
      </c>
      <c r="H126" t="str">
        <f>INDEX([3]Define!B:B,MATCH(G126,[3]Define!A:A))</f>
        <v>単体</v>
      </c>
      <c r="I126">
        <v>0</v>
      </c>
      <c r="J126">
        <v>1000</v>
      </c>
      <c r="K126">
        <v>3</v>
      </c>
      <c r="L126" t="str">
        <f>INDEX([3]Define!E:E,MATCH(K126,[3]Define!D:D))</f>
        <v>氷</v>
      </c>
      <c r="M126">
        <v>3</v>
      </c>
      <c r="N126" t="str">
        <f>INDEX([3]Define!H:H,MATCH(M126,[3]Define!G:G))</f>
        <v>神化</v>
      </c>
      <c r="O126">
        <v>1</v>
      </c>
      <c r="P126" t="str">
        <f>INDEX([3]Define!K:K,MATCH(O126,[3]Define!J:J))</f>
        <v>相手</v>
      </c>
      <c r="Q126">
        <v>3</v>
      </c>
      <c r="R126" t="str">
        <f>INDEX([3]Define!N:N,MATCH(Q126,[3]Define!M:M))</f>
        <v>全体</v>
      </c>
      <c r="S126">
        <v>2</v>
      </c>
      <c r="T126">
        <v>1</v>
      </c>
      <c r="U126">
        <v>1</v>
      </c>
      <c r="V126">
        <v>0</v>
      </c>
    </row>
    <row r="127" spans="1:22" ht="12" customHeight="1" x14ac:dyDescent="0.2">
      <c r="A127">
        <v>101120</v>
      </c>
      <c r="B127">
        <v>101120</v>
      </c>
      <c r="C127" t="str">
        <f>INDEX([3]TextData!B:B,MATCH(B127,[3]TextData!A:A))</f>
        <v>ブリザードコフィン</v>
      </c>
      <c r="D127">
        <v>11</v>
      </c>
      <c r="E127" t="str">
        <f>INDEX([3]Define!X:X,MATCH(D127,[3]Define!W:W))</f>
        <v>覚醒</v>
      </c>
      <c r="F127">
        <v>1005</v>
      </c>
      <c r="G127">
        <v>1</v>
      </c>
      <c r="H127" t="str">
        <f>INDEX([3]Define!B:B,MATCH(G127,[3]Define!A:A))</f>
        <v>単体</v>
      </c>
      <c r="I127">
        <v>0</v>
      </c>
      <c r="J127">
        <v>1000</v>
      </c>
      <c r="K127">
        <v>3</v>
      </c>
      <c r="L127" t="str">
        <f>INDEX([3]Define!E:E,MATCH(K127,[3]Define!D:D))</f>
        <v>氷</v>
      </c>
      <c r="M127">
        <v>4</v>
      </c>
      <c r="N127" t="str">
        <f>INDEX([3]Define!H:H,MATCH(M127,[3]Define!G:G))</f>
        <v>覚醒</v>
      </c>
      <c r="O127">
        <v>1</v>
      </c>
      <c r="P127" t="str">
        <f>INDEX([3]Define!K:K,MATCH(O127,[3]Define!J:J))</f>
        <v>相手</v>
      </c>
      <c r="Q127">
        <v>2</v>
      </c>
      <c r="R127" t="str">
        <f>INDEX([3]Define!N:N,MATCH(Q127,[3]Define!M:M))</f>
        <v>列</v>
      </c>
      <c r="S127">
        <v>2</v>
      </c>
      <c r="T127">
        <v>1</v>
      </c>
      <c r="U127">
        <v>1</v>
      </c>
      <c r="V127">
        <v>0</v>
      </c>
    </row>
    <row r="128" spans="1:22" x14ac:dyDescent="0.2">
      <c r="A128">
        <v>200210</v>
      </c>
      <c r="B128">
        <v>200210</v>
      </c>
      <c r="C128" t="str">
        <f>INDEX([3]TextData!B:B,MATCH(B128,[3]TextData!A:A))</f>
        <v>マイトレインフォース</v>
      </c>
      <c r="D128">
        <v>10</v>
      </c>
      <c r="E128" t="str">
        <f>INDEX([3]Define!X:X,MATCH(D128,[3]Define!W:W))</f>
        <v>半神</v>
      </c>
      <c r="F128">
        <v>51</v>
      </c>
      <c r="G128">
        <v>1</v>
      </c>
      <c r="H128" t="str">
        <f>INDEX([3]Define!B:B,MATCH(G128,[3]Define!A:A))</f>
        <v>単体</v>
      </c>
      <c r="I128">
        <v>0</v>
      </c>
      <c r="J128">
        <v>1000</v>
      </c>
      <c r="K128">
        <v>1</v>
      </c>
      <c r="L128" t="str">
        <f>INDEX([3]Define!E:E,MATCH(K128,[3]Define!D:D))</f>
        <v>炎</v>
      </c>
      <c r="M128">
        <v>3</v>
      </c>
      <c r="N128" t="str">
        <f>INDEX([3]Define!H:H,MATCH(M128,[3]Define!G:G))</f>
        <v>神化</v>
      </c>
      <c r="O128">
        <v>4</v>
      </c>
      <c r="P128" t="str">
        <f>INDEX([3]Define!K:K,MATCH(O128,[3]Define!J:J))</f>
        <v>自身</v>
      </c>
      <c r="Q128">
        <v>4</v>
      </c>
      <c r="R128" t="str">
        <f>INDEX([3]Define!N:N,MATCH(Q128,[3]Define!M:M))</f>
        <v>自身</v>
      </c>
      <c r="S128">
        <v>1</v>
      </c>
      <c r="T128">
        <v>1</v>
      </c>
      <c r="U128">
        <v>1</v>
      </c>
      <c r="V128">
        <v>0</v>
      </c>
    </row>
    <row r="129" spans="1:22" x14ac:dyDescent="0.2">
      <c r="A129">
        <v>200220</v>
      </c>
      <c r="B129">
        <v>200220</v>
      </c>
      <c r="C129" t="str">
        <f>INDEX([3]TextData!B:B,MATCH(B129,[3]TextData!A:A))</f>
        <v>カタストロフィ</v>
      </c>
      <c r="D129">
        <v>11</v>
      </c>
      <c r="E129" t="str">
        <f>INDEX([3]Define!X:X,MATCH(D129,[3]Define!W:W))</f>
        <v>覚醒</v>
      </c>
      <c r="F129">
        <v>101</v>
      </c>
      <c r="G129">
        <v>1</v>
      </c>
      <c r="H129" t="str">
        <f>INDEX([3]Define!B:B,MATCH(G129,[3]Define!A:A))</f>
        <v>単体</v>
      </c>
      <c r="I129">
        <v>0</v>
      </c>
      <c r="J129">
        <v>1000</v>
      </c>
      <c r="K129">
        <v>1</v>
      </c>
      <c r="L129" t="str">
        <f>INDEX([3]Define!E:E,MATCH(K129,[3]Define!D:D))</f>
        <v>炎</v>
      </c>
      <c r="M129">
        <v>4</v>
      </c>
      <c r="N129" t="str">
        <f>INDEX([3]Define!H:H,MATCH(M129,[3]Define!G:G))</f>
        <v>覚醒</v>
      </c>
      <c r="O129">
        <v>1</v>
      </c>
      <c r="P129" t="str">
        <f>INDEX([3]Define!K:K,MATCH(O129,[3]Define!J:J))</f>
        <v>相手</v>
      </c>
      <c r="Q129">
        <v>1</v>
      </c>
      <c r="R129" t="str">
        <f>INDEX([3]Define!N:N,MATCH(Q129,[3]Define!M:M))</f>
        <v>単体</v>
      </c>
      <c r="S129">
        <v>1</v>
      </c>
      <c r="T129">
        <v>1</v>
      </c>
      <c r="U129">
        <v>1</v>
      </c>
      <c r="V129">
        <v>0</v>
      </c>
    </row>
    <row r="130" spans="1:22" x14ac:dyDescent="0.2">
      <c r="A130">
        <v>200230</v>
      </c>
      <c r="B130">
        <v>200230</v>
      </c>
      <c r="C130" t="str">
        <f>INDEX([3]TextData!B:B,MATCH(B130,[3]TextData!A:A))</f>
        <v>悪魔(ベリト)</v>
      </c>
      <c r="D130">
        <v>6</v>
      </c>
      <c r="E130" t="str">
        <f>INDEX([3]Define!X:X,MATCH(D130,[3]Define!W:W))</f>
        <v>自己強化</v>
      </c>
      <c r="F130">
        <v>51</v>
      </c>
      <c r="G130">
        <v>1</v>
      </c>
      <c r="H130" t="str">
        <f>INDEX([3]Define!B:B,MATCH(G130,[3]Define!A:A))</f>
        <v>単体</v>
      </c>
      <c r="I130">
        <v>0</v>
      </c>
      <c r="J130">
        <v>0</v>
      </c>
      <c r="K130">
        <v>0</v>
      </c>
      <c r="L130" t="str">
        <f>INDEX([3]Define!E:E,MATCH(K130,[3]Define!D:D))</f>
        <v>なし</v>
      </c>
      <c r="M130">
        <v>2</v>
      </c>
      <c r="N130" t="str">
        <f>INDEX([3]Define!H:H,MATCH(M130,[3]Define!G:G))</f>
        <v>パッシブ</v>
      </c>
      <c r="O130">
        <v>4</v>
      </c>
      <c r="P130" t="str">
        <f>INDEX([3]Define!K:K,MATCH(O130,[3]Define!J:J))</f>
        <v>自身</v>
      </c>
      <c r="Q130">
        <v>4</v>
      </c>
      <c r="R130" t="str">
        <f>INDEX([3]Define!N:N,MATCH(Q130,[3]Define!M:M))</f>
        <v>自身</v>
      </c>
      <c r="S130">
        <v>1</v>
      </c>
      <c r="T130">
        <v>1</v>
      </c>
      <c r="U130">
        <v>1</v>
      </c>
      <c r="V130">
        <v>0</v>
      </c>
    </row>
    <row r="131" spans="1:22" x14ac:dyDescent="0.2">
      <c r="A131">
        <v>200310</v>
      </c>
      <c r="B131">
        <v>200310</v>
      </c>
      <c r="C131" t="str">
        <f>INDEX([3]TextData!B:B,MATCH(B131,[3]TextData!A:A))</f>
        <v>プルガシオン</v>
      </c>
      <c r="D131">
        <v>10</v>
      </c>
      <c r="E131" t="str">
        <f>INDEX([3]Define!X:X,MATCH(D131,[3]Define!W:W))</f>
        <v>半神</v>
      </c>
      <c r="F131">
        <v>21</v>
      </c>
      <c r="G131">
        <v>1</v>
      </c>
      <c r="H131" t="str">
        <f>INDEX([3]Define!B:B,MATCH(G131,[3]Define!A:A))</f>
        <v>単体</v>
      </c>
      <c r="I131">
        <v>0</v>
      </c>
      <c r="J131">
        <v>1000</v>
      </c>
      <c r="K131">
        <v>4</v>
      </c>
      <c r="L131" t="str">
        <f>INDEX([3]Define!E:E,MATCH(K131,[3]Define!D:D))</f>
        <v>光</v>
      </c>
      <c r="M131">
        <v>3</v>
      </c>
      <c r="N131" t="str">
        <f>INDEX([3]Define!H:H,MATCH(M131,[3]Define!G:G))</f>
        <v>神化</v>
      </c>
      <c r="O131">
        <v>2</v>
      </c>
      <c r="P131" t="str">
        <f>INDEX([3]Define!K:K,MATCH(O131,[3]Define!J:J))</f>
        <v>味方</v>
      </c>
      <c r="Q131">
        <v>3</v>
      </c>
      <c r="R131" t="str">
        <f>INDEX([3]Define!N:N,MATCH(Q131,[3]Define!M:M))</f>
        <v>全体</v>
      </c>
      <c r="S131">
        <v>2</v>
      </c>
      <c r="T131">
        <v>1</v>
      </c>
      <c r="U131">
        <v>1</v>
      </c>
      <c r="V131">
        <v>0</v>
      </c>
    </row>
    <row r="132" spans="1:22" x14ac:dyDescent="0.2">
      <c r="A132">
        <v>200320</v>
      </c>
      <c r="B132">
        <v>200320</v>
      </c>
      <c r="C132" t="str">
        <f>INDEX([3]TextData!B:B,MATCH(B132,[3]TextData!A:A))</f>
        <v>プリエステス</v>
      </c>
      <c r="D132">
        <v>11</v>
      </c>
      <c r="E132" t="str">
        <f>INDEX([3]Define!X:X,MATCH(D132,[3]Define!W:W))</f>
        <v>覚醒</v>
      </c>
      <c r="F132">
        <v>21</v>
      </c>
      <c r="G132">
        <v>1</v>
      </c>
      <c r="H132" t="str">
        <f>INDEX([3]Define!B:B,MATCH(G132,[3]Define!A:A))</f>
        <v>単体</v>
      </c>
      <c r="I132">
        <v>0</v>
      </c>
      <c r="J132">
        <v>1000</v>
      </c>
      <c r="K132">
        <v>4</v>
      </c>
      <c r="L132" t="str">
        <f>INDEX([3]Define!E:E,MATCH(K132,[3]Define!D:D))</f>
        <v>光</v>
      </c>
      <c r="M132">
        <v>4</v>
      </c>
      <c r="N132" t="str">
        <f>INDEX([3]Define!H:H,MATCH(M132,[3]Define!G:G))</f>
        <v>覚醒</v>
      </c>
      <c r="O132">
        <v>4</v>
      </c>
      <c r="P132" t="str">
        <f>INDEX([3]Define!K:K,MATCH(O132,[3]Define!J:J))</f>
        <v>自身</v>
      </c>
      <c r="Q132">
        <v>4</v>
      </c>
      <c r="R132" t="str">
        <f>INDEX([3]Define!N:N,MATCH(Q132,[3]Define!M:M))</f>
        <v>自身</v>
      </c>
      <c r="S132">
        <v>1</v>
      </c>
      <c r="T132">
        <v>1</v>
      </c>
      <c r="U132">
        <v>1</v>
      </c>
      <c r="V132">
        <v>0</v>
      </c>
    </row>
    <row r="133" spans="1:22" x14ac:dyDescent="0.2">
      <c r="A133">
        <v>200330</v>
      </c>
      <c r="B133">
        <v>200330</v>
      </c>
      <c r="C133" t="str">
        <f>INDEX([3]TextData!B:B,MATCH(B133,[3]TextData!A:A))</f>
        <v>悪魔(パイモン)</v>
      </c>
      <c r="D133">
        <v>6</v>
      </c>
      <c r="E133" t="str">
        <f>INDEX([3]Define!X:X,MATCH(D133,[3]Define!W:W))</f>
        <v>自己強化</v>
      </c>
      <c r="F133">
        <v>51</v>
      </c>
      <c r="G133">
        <v>1</v>
      </c>
      <c r="H133" t="str">
        <f>INDEX([3]Define!B:B,MATCH(G133,[3]Define!A:A))</f>
        <v>単体</v>
      </c>
      <c r="I133">
        <v>0</v>
      </c>
      <c r="J133">
        <v>0</v>
      </c>
      <c r="K133">
        <v>0</v>
      </c>
      <c r="L133" t="str">
        <f>INDEX([3]Define!E:E,MATCH(K133,[3]Define!D:D))</f>
        <v>なし</v>
      </c>
      <c r="M133">
        <v>2</v>
      </c>
      <c r="N133" t="str">
        <f>INDEX([3]Define!H:H,MATCH(M133,[3]Define!G:G))</f>
        <v>パッシブ</v>
      </c>
      <c r="O133">
        <v>4</v>
      </c>
      <c r="P133" t="str">
        <f>INDEX([3]Define!K:K,MATCH(O133,[3]Define!J:J))</f>
        <v>自身</v>
      </c>
      <c r="Q133">
        <v>4</v>
      </c>
      <c r="R133" t="str">
        <f>INDEX([3]Define!N:N,MATCH(Q133,[3]Define!M:M))</f>
        <v>自身</v>
      </c>
      <c r="S133">
        <v>1</v>
      </c>
      <c r="T133">
        <v>1</v>
      </c>
      <c r="U133">
        <v>1</v>
      </c>
      <c r="V133">
        <v>0</v>
      </c>
    </row>
    <row r="134" spans="1:22" x14ac:dyDescent="0.2">
      <c r="A134">
        <v>200410</v>
      </c>
      <c r="B134">
        <v>200410</v>
      </c>
      <c r="C134" t="str">
        <f>INDEX([3]TextData!B:B,MATCH(B134,[3]TextData!A:A))</f>
        <v>コウソクテンショウ</v>
      </c>
      <c r="D134">
        <v>10</v>
      </c>
      <c r="E134" t="str">
        <f>INDEX([3]Define!X:X,MATCH(D134,[3]Define!W:W))</f>
        <v>半神</v>
      </c>
      <c r="F134">
        <v>201</v>
      </c>
      <c r="G134">
        <v>1</v>
      </c>
      <c r="H134" t="str">
        <f>INDEX([3]Define!B:B,MATCH(G134,[3]Define!A:A))</f>
        <v>単体</v>
      </c>
      <c r="I134">
        <v>0</v>
      </c>
      <c r="J134">
        <v>1000</v>
      </c>
      <c r="K134">
        <v>2</v>
      </c>
      <c r="L134" t="str">
        <f>INDEX([3]Define!E:E,MATCH(K134,[3]Define!D:D))</f>
        <v>雷</v>
      </c>
      <c r="M134">
        <v>3</v>
      </c>
      <c r="N134" t="str">
        <f>INDEX([3]Define!H:H,MATCH(M134,[3]Define!G:G))</f>
        <v>神化</v>
      </c>
      <c r="O134">
        <v>1</v>
      </c>
      <c r="P134" t="str">
        <f>INDEX([3]Define!K:K,MATCH(O134,[3]Define!J:J))</f>
        <v>相手</v>
      </c>
      <c r="Q134">
        <v>2</v>
      </c>
      <c r="R134" t="str">
        <f>INDEX([3]Define!N:N,MATCH(Q134,[3]Define!M:M))</f>
        <v>列</v>
      </c>
      <c r="S134">
        <v>2</v>
      </c>
      <c r="T134">
        <v>1</v>
      </c>
      <c r="U134">
        <v>1</v>
      </c>
      <c r="V134">
        <v>0</v>
      </c>
    </row>
    <row r="135" spans="1:22" x14ac:dyDescent="0.2">
      <c r="A135">
        <v>200411</v>
      </c>
      <c r="B135">
        <v>200411</v>
      </c>
      <c r="C135" t="str">
        <f>INDEX([3]TextData!B:B,MATCH(B135,[3]TextData!A:A))</f>
        <v>コウソクテンショウ</v>
      </c>
      <c r="D135">
        <v>10</v>
      </c>
      <c r="E135" t="str">
        <f>INDEX([3]Define!X:X,MATCH(D135,[3]Define!W:W))</f>
        <v>半神</v>
      </c>
      <c r="F135">
        <v>51</v>
      </c>
      <c r="G135">
        <v>1</v>
      </c>
      <c r="H135" t="str">
        <f>INDEX([3]Define!B:B,MATCH(G135,[3]Define!A:A))</f>
        <v>単体</v>
      </c>
      <c r="I135">
        <v>0</v>
      </c>
      <c r="J135">
        <v>1000</v>
      </c>
      <c r="K135">
        <v>2</v>
      </c>
      <c r="L135" t="str">
        <f>INDEX([3]Define!E:E,MATCH(K135,[3]Define!D:D))</f>
        <v>雷</v>
      </c>
      <c r="M135">
        <v>2</v>
      </c>
      <c r="N135" t="str">
        <f>INDEX([3]Define!H:H,MATCH(M135,[3]Define!G:G))</f>
        <v>パッシブ</v>
      </c>
      <c r="O135">
        <v>4</v>
      </c>
      <c r="P135" t="str">
        <f>INDEX([3]Define!K:K,MATCH(O135,[3]Define!J:J))</f>
        <v>自身</v>
      </c>
      <c r="Q135">
        <v>4</v>
      </c>
      <c r="R135" t="str">
        <f>INDEX([3]Define!N:N,MATCH(Q135,[3]Define!M:M))</f>
        <v>自身</v>
      </c>
      <c r="S135">
        <v>1</v>
      </c>
      <c r="T135">
        <v>1</v>
      </c>
      <c r="U135">
        <v>1</v>
      </c>
      <c r="V135">
        <v>0</v>
      </c>
    </row>
    <row r="136" spans="1:22" x14ac:dyDescent="0.2">
      <c r="A136">
        <v>200420</v>
      </c>
      <c r="B136">
        <v>200420</v>
      </c>
      <c r="C136" t="str">
        <f>INDEX([3]TextData!B:B,MATCH(B136,[3]TextData!A:A))</f>
        <v>アンチバフ</v>
      </c>
      <c r="D136">
        <v>11</v>
      </c>
      <c r="E136" t="str">
        <f>INDEX([3]Define!X:X,MATCH(D136,[3]Define!W:W))</f>
        <v>覚醒</v>
      </c>
      <c r="F136">
        <v>61</v>
      </c>
      <c r="G136">
        <v>1</v>
      </c>
      <c r="H136" t="str">
        <f>INDEX([3]Define!B:B,MATCH(G136,[3]Define!A:A))</f>
        <v>単体</v>
      </c>
      <c r="I136">
        <v>0</v>
      </c>
      <c r="J136">
        <v>1000</v>
      </c>
      <c r="K136">
        <v>2</v>
      </c>
      <c r="L136" t="str">
        <f>INDEX([3]Define!E:E,MATCH(K136,[3]Define!D:D))</f>
        <v>雷</v>
      </c>
      <c r="M136">
        <v>4</v>
      </c>
      <c r="N136" t="str">
        <f>INDEX([3]Define!H:H,MATCH(M136,[3]Define!G:G))</f>
        <v>覚醒</v>
      </c>
      <c r="O136">
        <v>1</v>
      </c>
      <c r="P136" t="str">
        <f>INDEX([3]Define!K:K,MATCH(O136,[3]Define!J:J))</f>
        <v>相手</v>
      </c>
      <c r="Q136">
        <v>3</v>
      </c>
      <c r="R136" t="str">
        <f>INDEX([3]Define!N:N,MATCH(Q136,[3]Define!M:M))</f>
        <v>全体</v>
      </c>
      <c r="S136">
        <v>2</v>
      </c>
      <c r="T136">
        <v>1</v>
      </c>
      <c r="U136">
        <v>1</v>
      </c>
      <c r="V136">
        <v>0</v>
      </c>
    </row>
    <row r="137" spans="1:22" x14ac:dyDescent="0.2">
      <c r="A137">
        <v>200430</v>
      </c>
      <c r="B137">
        <v>200430</v>
      </c>
      <c r="C137" t="str">
        <f>INDEX([3]TextData!B:B,MATCH(B137,[3]TextData!A:A))</f>
        <v>悪魔(アンドラス)</v>
      </c>
      <c r="D137">
        <v>6</v>
      </c>
      <c r="E137" t="str">
        <f>INDEX([3]Define!X:X,MATCH(D137,[3]Define!W:W))</f>
        <v>自己強化</v>
      </c>
      <c r="F137">
        <v>51</v>
      </c>
      <c r="G137">
        <v>1</v>
      </c>
      <c r="H137" t="str">
        <f>INDEX([3]Define!B:B,MATCH(G137,[3]Define!A:A))</f>
        <v>単体</v>
      </c>
      <c r="I137">
        <v>0</v>
      </c>
      <c r="J137">
        <v>0</v>
      </c>
      <c r="K137">
        <v>0</v>
      </c>
      <c r="L137" t="str">
        <f>INDEX([3]Define!E:E,MATCH(K137,[3]Define!D:D))</f>
        <v>なし</v>
      </c>
      <c r="M137">
        <v>6</v>
      </c>
      <c r="N137" t="str">
        <f>INDEX([3]Define!H:H,MATCH(M137,[3]Define!G:G))</f>
        <v>強化</v>
      </c>
      <c r="O137">
        <v>4</v>
      </c>
      <c r="P137" t="str">
        <f>INDEX([3]Define!K:K,MATCH(O137,[3]Define!J:J))</f>
        <v>自身</v>
      </c>
      <c r="Q137">
        <v>4</v>
      </c>
      <c r="R137" t="str">
        <f>INDEX([3]Define!N:N,MATCH(Q137,[3]Define!M:M))</f>
        <v>自身</v>
      </c>
      <c r="S137">
        <v>1</v>
      </c>
      <c r="T137">
        <v>1</v>
      </c>
      <c r="U137">
        <v>1</v>
      </c>
      <c r="V137">
        <v>0</v>
      </c>
    </row>
    <row r="138" spans="1:22" x14ac:dyDescent="0.2">
      <c r="A138">
        <v>200510</v>
      </c>
      <c r="B138">
        <v>200510</v>
      </c>
      <c r="C138" t="str">
        <f>INDEX([3]TextData!B:B,MATCH(B138,[3]TextData!A:A))</f>
        <v>カウントダウン</v>
      </c>
      <c r="D138">
        <v>10</v>
      </c>
      <c r="E138" t="str">
        <f>INDEX([3]Define!X:X,MATCH(D138,[3]Define!W:W))</f>
        <v>半神</v>
      </c>
      <c r="F138">
        <v>51</v>
      </c>
      <c r="G138">
        <v>1</v>
      </c>
      <c r="H138" t="str">
        <f>INDEX([3]Define!B:B,MATCH(G138,[3]Define!A:A))</f>
        <v>単体</v>
      </c>
      <c r="I138">
        <v>0</v>
      </c>
      <c r="J138">
        <v>1000</v>
      </c>
      <c r="K138">
        <v>3</v>
      </c>
      <c r="L138" t="str">
        <f>INDEX([3]Define!E:E,MATCH(K138,[3]Define!D:D))</f>
        <v>氷</v>
      </c>
      <c r="M138">
        <v>3</v>
      </c>
      <c r="N138" t="str">
        <f>INDEX([3]Define!H:H,MATCH(M138,[3]Define!G:G))</f>
        <v>神化</v>
      </c>
      <c r="O138">
        <v>4</v>
      </c>
      <c r="P138" t="str">
        <f>INDEX([3]Define!K:K,MATCH(O138,[3]Define!J:J))</f>
        <v>自身</v>
      </c>
      <c r="Q138">
        <v>4</v>
      </c>
      <c r="R138" t="str">
        <f>INDEX([3]Define!N:N,MATCH(Q138,[3]Define!M:M))</f>
        <v>自身</v>
      </c>
      <c r="S138">
        <v>1</v>
      </c>
      <c r="T138">
        <v>1</v>
      </c>
      <c r="U138">
        <v>1</v>
      </c>
      <c r="V138">
        <v>0</v>
      </c>
    </row>
    <row r="139" spans="1:22" x14ac:dyDescent="0.2">
      <c r="A139">
        <v>200520</v>
      </c>
      <c r="B139">
        <v>200520</v>
      </c>
      <c r="C139" t="str">
        <f>INDEX([3]TextData!B:B,MATCH(B139,[3]TextData!A:A))</f>
        <v>グラウンドゼロ</v>
      </c>
      <c r="D139">
        <v>11</v>
      </c>
      <c r="E139" t="str">
        <f>INDEX([3]Define!X:X,MATCH(D139,[3]Define!W:W))</f>
        <v>覚醒</v>
      </c>
      <c r="F139">
        <v>301</v>
      </c>
      <c r="G139">
        <v>1</v>
      </c>
      <c r="H139" t="str">
        <f>INDEX([3]Define!B:B,MATCH(G139,[3]Define!A:A))</f>
        <v>単体</v>
      </c>
      <c r="I139">
        <v>0</v>
      </c>
      <c r="J139">
        <v>1000</v>
      </c>
      <c r="K139">
        <v>3</v>
      </c>
      <c r="L139" t="str">
        <f>INDEX([3]Define!E:E,MATCH(K139,[3]Define!D:D))</f>
        <v>氷</v>
      </c>
      <c r="M139">
        <v>4</v>
      </c>
      <c r="N139" t="str">
        <f>INDEX([3]Define!H:H,MATCH(M139,[3]Define!G:G))</f>
        <v>覚醒</v>
      </c>
      <c r="O139">
        <v>1</v>
      </c>
      <c r="P139" t="str">
        <f>INDEX([3]Define!K:K,MATCH(O139,[3]Define!J:J))</f>
        <v>相手</v>
      </c>
      <c r="Q139">
        <v>3</v>
      </c>
      <c r="R139" t="str">
        <f>INDEX([3]Define!N:N,MATCH(Q139,[3]Define!M:M))</f>
        <v>全体</v>
      </c>
      <c r="S139">
        <v>2</v>
      </c>
      <c r="T139">
        <v>1</v>
      </c>
      <c r="U139">
        <v>1</v>
      </c>
      <c r="V139">
        <v>0</v>
      </c>
    </row>
    <row r="140" spans="1:22" x14ac:dyDescent="0.2">
      <c r="A140">
        <v>200530</v>
      </c>
      <c r="B140">
        <v>200530</v>
      </c>
      <c r="C140" t="str">
        <f>INDEX([3]TextData!B:B,MATCH(B140,[3]TextData!A:A))</f>
        <v>悪魔(ビフロンス)</v>
      </c>
      <c r="D140">
        <v>6</v>
      </c>
      <c r="E140" t="str">
        <f>INDEX([3]Define!X:X,MATCH(D140,[3]Define!W:W))</f>
        <v>自己強化</v>
      </c>
      <c r="F140">
        <v>51</v>
      </c>
      <c r="G140">
        <v>1</v>
      </c>
      <c r="H140" t="str">
        <f>INDEX([3]Define!B:B,MATCH(G140,[3]Define!A:A))</f>
        <v>単体</v>
      </c>
      <c r="I140">
        <v>99</v>
      </c>
      <c r="J140">
        <v>0</v>
      </c>
      <c r="K140">
        <v>0</v>
      </c>
      <c r="L140" t="str">
        <f>INDEX([3]Define!E:E,MATCH(K140,[3]Define!D:D))</f>
        <v>なし</v>
      </c>
      <c r="M140">
        <v>2</v>
      </c>
      <c r="N140" t="str">
        <f>INDEX([3]Define!H:H,MATCH(M140,[3]Define!G:G))</f>
        <v>パッシブ</v>
      </c>
      <c r="O140">
        <v>4</v>
      </c>
      <c r="P140" t="str">
        <f>INDEX([3]Define!K:K,MATCH(O140,[3]Define!J:J))</f>
        <v>自身</v>
      </c>
      <c r="Q140">
        <v>4</v>
      </c>
      <c r="R140" t="str">
        <f>INDEX([3]Define!N:N,MATCH(Q140,[3]Define!M:M))</f>
        <v>自身</v>
      </c>
      <c r="S140">
        <v>1</v>
      </c>
      <c r="T140">
        <v>1</v>
      </c>
      <c r="U140">
        <v>1</v>
      </c>
      <c r="V140">
        <v>0</v>
      </c>
    </row>
    <row r="141" spans="1:22" x14ac:dyDescent="0.2">
      <c r="A141">
        <v>201010</v>
      </c>
      <c r="B141">
        <v>201010</v>
      </c>
      <c r="C141" t="str">
        <f>INDEX([3]TextData!B:B,MATCH(B141,[3]TextData!A:A))</f>
        <v>カオスペイン</v>
      </c>
      <c r="D141">
        <v>10</v>
      </c>
      <c r="E141" t="str">
        <f>INDEX([3]Define!X:X,MATCH(D141,[3]Define!W:W))</f>
        <v>半神</v>
      </c>
      <c r="F141">
        <v>501</v>
      </c>
      <c r="G141">
        <v>1</v>
      </c>
      <c r="H141" t="str">
        <f>INDEX([3]Define!B:B,MATCH(G141,[3]Define!A:A))</f>
        <v>単体</v>
      </c>
      <c r="I141">
        <v>0</v>
      </c>
      <c r="J141">
        <v>1000</v>
      </c>
      <c r="K141">
        <v>5</v>
      </c>
      <c r="L141" t="str">
        <f>INDEX([3]Define!E:E,MATCH(K141,[3]Define!D:D))</f>
        <v>闇</v>
      </c>
      <c r="M141">
        <v>3</v>
      </c>
      <c r="N141" t="str">
        <f>INDEX([3]Define!H:H,MATCH(M141,[3]Define!G:G))</f>
        <v>神化</v>
      </c>
      <c r="O141">
        <v>1</v>
      </c>
      <c r="P141" t="str">
        <f>INDEX([3]Define!K:K,MATCH(O141,[3]Define!J:J))</f>
        <v>相手</v>
      </c>
      <c r="Q141">
        <v>3</v>
      </c>
      <c r="R141" t="str">
        <f>INDEX([3]Define!N:N,MATCH(Q141,[3]Define!M:M))</f>
        <v>全体</v>
      </c>
      <c r="S141">
        <v>2</v>
      </c>
      <c r="T141">
        <v>1</v>
      </c>
      <c r="U141">
        <v>1</v>
      </c>
      <c r="V141">
        <v>0</v>
      </c>
    </row>
    <row r="142" spans="1:22" x14ac:dyDescent="0.2">
      <c r="A142">
        <v>201020</v>
      </c>
      <c r="B142">
        <v>201020</v>
      </c>
      <c r="C142" t="str">
        <f>INDEX([3]TextData!B:B,MATCH(B142,[3]TextData!A:A))</f>
        <v>フォールンワン</v>
      </c>
      <c r="D142">
        <v>11</v>
      </c>
      <c r="E142" t="str">
        <f>INDEX([3]Define!X:X,MATCH(D142,[3]Define!W:W))</f>
        <v>覚醒</v>
      </c>
      <c r="F142">
        <v>501</v>
      </c>
      <c r="G142">
        <v>1</v>
      </c>
      <c r="H142" t="str">
        <f>INDEX([3]Define!B:B,MATCH(G142,[3]Define!A:A))</f>
        <v>単体</v>
      </c>
      <c r="I142">
        <v>0</v>
      </c>
      <c r="J142">
        <v>1000</v>
      </c>
      <c r="K142">
        <v>5</v>
      </c>
      <c r="L142" t="str">
        <f>INDEX([3]Define!E:E,MATCH(K142,[3]Define!D:D))</f>
        <v>闇</v>
      </c>
      <c r="M142">
        <v>4</v>
      </c>
      <c r="N142" t="str">
        <f>INDEX([3]Define!H:H,MATCH(M142,[3]Define!G:G))</f>
        <v>覚醒</v>
      </c>
      <c r="O142">
        <v>1</v>
      </c>
      <c r="P142" t="str">
        <f>INDEX([3]Define!K:K,MATCH(O142,[3]Define!J:J))</f>
        <v>相手</v>
      </c>
      <c r="Q142">
        <v>3</v>
      </c>
      <c r="R142" t="str">
        <f>INDEX([3]Define!N:N,MATCH(Q142,[3]Define!M:M))</f>
        <v>全体</v>
      </c>
      <c r="S142">
        <v>2</v>
      </c>
      <c r="T142">
        <v>1</v>
      </c>
      <c r="U142">
        <v>1</v>
      </c>
      <c r="V142">
        <v>0</v>
      </c>
    </row>
    <row r="143" spans="1:22" x14ac:dyDescent="0.2">
      <c r="A143">
        <v>201030</v>
      </c>
      <c r="B143">
        <v>201030</v>
      </c>
      <c r="C143" t="str">
        <f>INDEX([3]TextData!B:B,MATCH(B143,[3]TextData!A:A))</f>
        <v>アンリマユ</v>
      </c>
      <c r="D143">
        <v>6</v>
      </c>
      <c r="E143" t="str">
        <f>INDEX([3]Define!X:X,MATCH(D143,[3]Define!W:W))</f>
        <v>自己強化</v>
      </c>
      <c r="F143">
        <v>51</v>
      </c>
      <c r="G143">
        <v>1</v>
      </c>
      <c r="H143" t="str">
        <f>INDEX([3]Define!B:B,MATCH(G143,[3]Define!A:A))</f>
        <v>単体</v>
      </c>
      <c r="I143">
        <v>0</v>
      </c>
      <c r="J143">
        <v>0</v>
      </c>
      <c r="K143">
        <v>0</v>
      </c>
      <c r="L143" t="str">
        <f>INDEX([3]Define!E:E,MATCH(K143,[3]Define!D:D))</f>
        <v>なし</v>
      </c>
      <c r="M143">
        <v>2</v>
      </c>
      <c r="N143" t="str">
        <f>INDEX([3]Define!H:H,MATCH(M143,[3]Define!G:G))</f>
        <v>パッシブ</v>
      </c>
      <c r="O143">
        <v>4</v>
      </c>
      <c r="P143" t="str">
        <f>INDEX([3]Define!K:K,MATCH(O143,[3]Define!J:J))</f>
        <v>自身</v>
      </c>
      <c r="Q143">
        <v>4</v>
      </c>
      <c r="R143" t="str">
        <f>INDEX([3]Define!N:N,MATCH(Q143,[3]Define!M:M))</f>
        <v>自身</v>
      </c>
      <c r="S143">
        <v>1</v>
      </c>
      <c r="T143">
        <v>1</v>
      </c>
      <c r="U143">
        <v>1</v>
      </c>
      <c r="V143">
        <v>0</v>
      </c>
    </row>
    <row r="144" spans="1:22" x14ac:dyDescent="0.2">
      <c r="A144">
        <v>300010</v>
      </c>
      <c r="B144">
        <v>300010</v>
      </c>
      <c r="C144" t="str">
        <f>INDEX([3]TextData!B:B,MATCH(B144,[3]TextData!A:A))</f>
        <v>ライフブースト</v>
      </c>
      <c r="D144">
        <v>6</v>
      </c>
      <c r="E144" t="str">
        <f>INDEX([3]Define!X:X,MATCH(D144,[3]Define!W:W))</f>
        <v>自己強化</v>
      </c>
      <c r="F144">
        <v>51</v>
      </c>
      <c r="G144">
        <v>1</v>
      </c>
      <c r="H144" t="str">
        <f>INDEX([3]Define!B:B,MATCH(G144,[3]Define!A:A))</f>
        <v>単体</v>
      </c>
      <c r="I144">
        <v>0</v>
      </c>
      <c r="J144">
        <v>200</v>
      </c>
      <c r="K144">
        <v>4</v>
      </c>
      <c r="L144" t="str">
        <f>INDEX([3]Define!E:E,MATCH(K144,[3]Define!D:D))</f>
        <v>光</v>
      </c>
      <c r="M144">
        <v>5</v>
      </c>
      <c r="N144" t="str">
        <f>INDEX([3]Define!H:H,MATCH(M144,[3]Define!G:G))</f>
        <v>レリック</v>
      </c>
      <c r="O144">
        <v>2</v>
      </c>
      <c r="P144" t="str">
        <f>INDEX([3]Define!K:K,MATCH(O144,[3]Define!J:J))</f>
        <v>味方</v>
      </c>
      <c r="Q144">
        <v>3</v>
      </c>
      <c r="R144" t="str">
        <f>INDEX([3]Define!N:N,MATCH(Q144,[3]Define!M:M))</f>
        <v>全体</v>
      </c>
      <c r="S144">
        <v>2</v>
      </c>
      <c r="T144">
        <v>1</v>
      </c>
      <c r="U144">
        <v>1</v>
      </c>
      <c r="V144">
        <v>0</v>
      </c>
    </row>
    <row r="145" spans="1:22" x14ac:dyDescent="0.2">
      <c r="A145">
        <v>300020</v>
      </c>
      <c r="B145">
        <v>300020</v>
      </c>
      <c r="C145" t="str">
        <f>INDEX([3]TextData!B:B,MATCH(B145,[3]TextData!A:A))</f>
        <v>スピリットチャージ</v>
      </c>
      <c r="D145">
        <v>6</v>
      </c>
      <c r="E145" t="str">
        <f>INDEX([3]Define!X:X,MATCH(D145,[3]Define!W:W))</f>
        <v>自己強化</v>
      </c>
      <c r="F145">
        <v>51</v>
      </c>
      <c r="G145">
        <v>1</v>
      </c>
      <c r="H145" t="str">
        <f>INDEX([3]Define!B:B,MATCH(G145,[3]Define!A:A))</f>
        <v>単体</v>
      </c>
      <c r="I145">
        <v>0</v>
      </c>
      <c r="J145">
        <v>200</v>
      </c>
      <c r="K145">
        <v>5</v>
      </c>
      <c r="L145" t="str">
        <f>INDEX([3]Define!E:E,MATCH(K145,[3]Define!D:D))</f>
        <v>闇</v>
      </c>
      <c r="M145">
        <v>5</v>
      </c>
      <c r="N145" t="str">
        <f>INDEX([3]Define!H:H,MATCH(M145,[3]Define!G:G))</f>
        <v>レリック</v>
      </c>
      <c r="O145">
        <v>2</v>
      </c>
      <c r="P145" t="str">
        <f>INDEX([3]Define!K:K,MATCH(O145,[3]Define!J:J))</f>
        <v>味方</v>
      </c>
      <c r="Q145">
        <v>3</v>
      </c>
      <c r="R145" t="str">
        <f>INDEX([3]Define!N:N,MATCH(Q145,[3]Define!M:M))</f>
        <v>全体</v>
      </c>
      <c r="S145">
        <v>2</v>
      </c>
      <c r="T145">
        <v>1</v>
      </c>
      <c r="U145">
        <v>1</v>
      </c>
      <c r="V145">
        <v>0</v>
      </c>
    </row>
    <row r="146" spans="1:22" x14ac:dyDescent="0.2">
      <c r="A146">
        <v>300030</v>
      </c>
      <c r="B146">
        <v>300030</v>
      </c>
      <c r="C146" t="str">
        <f>INDEX([3]TextData!B:B,MATCH(B146,[3]TextData!A:A))</f>
        <v>フォースライズ</v>
      </c>
      <c r="D146">
        <v>6</v>
      </c>
      <c r="E146" t="str">
        <f>INDEX([3]Define!X:X,MATCH(D146,[3]Define!W:W))</f>
        <v>自己強化</v>
      </c>
      <c r="F146">
        <v>51</v>
      </c>
      <c r="G146">
        <v>1</v>
      </c>
      <c r="H146" t="str">
        <f>INDEX([3]Define!B:B,MATCH(G146,[3]Define!A:A))</f>
        <v>単体</v>
      </c>
      <c r="I146">
        <v>0</v>
      </c>
      <c r="J146">
        <v>200</v>
      </c>
      <c r="K146">
        <v>1</v>
      </c>
      <c r="L146" t="str">
        <f>INDEX([3]Define!E:E,MATCH(K146,[3]Define!D:D))</f>
        <v>炎</v>
      </c>
      <c r="M146">
        <v>5</v>
      </c>
      <c r="N146" t="str">
        <f>INDEX([3]Define!H:H,MATCH(M146,[3]Define!G:G))</f>
        <v>レリック</v>
      </c>
      <c r="O146">
        <v>2</v>
      </c>
      <c r="P146" t="str">
        <f>INDEX([3]Define!K:K,MATCH(O146,[3]Define!J:J))</f>
        <v>味方</v>
      </c>
      <c r="Q146">
        <v>3</v>
      </c>
      <c r="R146" t="str">
        <f>INDEX([3]Define!N:N,MATCH(Q146,[3]Define!M:M))</f>
        <v>全体</v>
      </c>
      <c r="S146">
        <v>2</v>
      </c>
      <c r="T146">
        <v>1</v>
      </c>
      <c r="U146">
        <v>1</v>
      </c>
      <c r="V146">
        <v>0</v>
      </c>
    </row>
    <row r="147" spans="1:22" x14ac:dyDescent="0.2">
      <c r="A147">
        <v>300040</v>
      </c>
      <c r="B147">
        <v>300040</v>
      </c>
      <c r="C147" t="str">
        <f>INDEX([3]TextData!B:B,MATCH(B147,[3]TextData!A:A))</f>
        <v>ディフェンスオーラ</v>
      </c>
      <c r="D147">
        <v>6</v>
      </c>
      <c r="E147" t="str">
        <f>INDEX([3]Define!X:X,MATCH(D147,[3]Define!W:W))</f>
        <v>自己強化</v>
      </c>
      <c r="F147">
        <v>51</v>
      </c>
      <c r="G147">
        <v>1</v>
      </c>
      <c r="H147" t="str">
        <f>INDEX([3]Define!B:B,MATCH(G147,[3]Define!A:A))</f>
        <v>単体</v>
      </c>
      <c r="I147">
        <v>0</v>
      </c>
      <c r="J147">
        <v>200</v>
      </c>
      <c r="K147">
        <v>3</v>
      </c>
      <c r="L147" t="str">
        <f>INDEX([3]Define!E:E,MATCH(K147,[3]Define!D:D))</f>
        <v>氷</v>
      </c>
      <c r="M147">
        <v>5</v>
      </c>
      <c r="N147" t="str">
        <f>INDEX([3]Define!H:H,MATCH(M147,[3]Define!G:G))</f>
        <v>レリック</v>
      </c>
      <c r="O147">
        <v>2</v>
      </c>
      <c r="P147" t="str">
        <f>INDEX([3]Define!K:K,MATCH(O147,[3]Define!J:J))</f>
        <v>味方</v>
      </c>
      <c r="Q147">
        <v>3</v>
      </c>
      <c r="R147" t="str">
        <f>INDEX([3]Define!N:N,MATCH(Q147,[3]Define!M:M))</f>
        <v>全体</v>
      </c>
      <c r="S147">
        <v>2</v>
      </c>
      <c r="T147">
        <v>1</v>
      </c>
      <c r="U147">
        <v>1</v>
      </c>
      <c r="V147">
        <v>0</v>
      </c>
    </row>
    <row r="148" spans="1:22" x14ac:dyDescent="0.2">
      <c r="A148">
        <v>300050</v>
      </c>
      <c r="B148">
        <v>300050</v>
      </c>
      <c r="C148" t="str">
        <f>INDEX([3]TextData!B:B,MATCH(B148,[3]TextData!A:A))</f>
        <v>ラピッドムーブ</v>
      </c>
      <c r="D148">
        <v>6</v>
      </c>
      <c r="E148" t="str">
        <f>INDEX([3]Define!X:X,MATCH(D148,[3]Define!W:W))</f>
        <v>自己強化</v>
      </c>
      <c r="F148">
        <v>51</v>
      </c>
      <c r="G148">
        <v>1</v>
      </c>
      <c r="H148" t="str">
        <f>INDEX([3]Define!B:B,MATCH(G148,[3]Define!A:A))</f>
        <v>単体</v>
      </c>
      <c r="I148">
        <v>0</v>
      </c>
      <c r="J148">
        <v>200</v>
      </c>
      <c r="K148">
        <v>2</v>
      </c>
      <c r="L148" t="str">
        <f>INDEX([3]Define!E:E,MATCH(K148,[3]Define!D:D))</f>
        <v>雷</v>
      </c>
      <c r="M148">
        <v>5</v>
      </c>
      <c r="N148" t="str">
        <f>INDEX([3]Define!H:H,MATCH(M148,[3]Define!G:G))</f>
        <v>レリック</v>
      </c>
      <c r="O148">
        <v>2</v>
      </c>
      <c r="P148" t="str">
        <f>INDEX([3]Define!K:K,MATCH(O148,[3]Define!J:J))</f>
        <v>味方</v>
      </c>
      <c r="Q148">
        <v>3</v>
      </c>
      <c r="R148" t="str">
        <f>INDEX([3]Define!N:N,MATCH(Q148,[3]Define!M:M))</f>
        <v>全体</v>
      </c>
      <c r="S148">
        <v>2</v>
      </c>
      <c r="T148">
        <v>1</v>
      </c>
      <c r="U148">
        <v>1</v>
      </c>
      <c r="V148">
        <v>0</v>
      </c>
    </row>
    <row r="149" spans="1:22" x14ac:dyDescent="0.2">
      <c r="A149">
        <v>300130</v>
      </c>
      <c r="B149">
        <v>300130</v>
      </c>
      <c r="C149" t="str">
        <f>INDEX([3]TextData!B:B,MATCH(B149,[3]TextData!A:A))</f>
        <v>アタックブレイク</v>
      </c>
      <c r="D149">
        <v>6</v>
      </c>
      <c r="E149" t="str">
        <f>INDEX([3]Define!X:X,MATCH(D149,[3]Define!W:W))</f>
        <v>自己強化</v>
      </c>
      <c r="F149">
        <v>61</v>
      </c>
      <c r="G149">
        <v>1</v>
      </c>
      <c r="H149" t="str">
        <f>INDEX([3]Define!B:B,MATCH(G149,[3]Define!A:A))</f>
        <v>単体</v>
      </c>
      <c r="I149">
        <v>0</v>
      </c>
      <c r="J149">
        <v>200</v>
      </c>
      <c r="K149">
        <v>5</v>
      </c>
      <c r="L149" t="str">
        <f>INDEX([3]Define!E:E,MATCH(K149,[3]Define!D:D))</f>
        <v>闇</v>
      </c>
      <c r="M149">
        <v>5</v>
      </c>
      <c r="N149" t="str">
        <f>INDEX([3]Define!H:H,MATCH(M149,[3]Define!G:G))</f>
        <v>レリック</v>
      </c>
      <c r="O149">
        <v>1</v>
      </c>
      <c r="P149" t="str">
        <f>INDEX([3]Define!K:K,MATCH(O149,[3]Define!J:J))</f>
        <v>相手</v>
      </c>
      <c r="Q149">
        <v>3</v>
      </c>
      <c r="R149" t="str">
        <f>INDEX([3]Define!N:N,MATCH(Q149,[3]Define!M:M))</f>
        <v>全体</v>
      </c>
      <c r="S149">
        <v>2</v>
      </c>
      <c r="T149">
        <v>1</v>
      </c>
      <c r="U149">
        <v>1</v>
      </c>
      <c r="V149">
        <v>0</v>
      </c>
    </row>
    <row r="150" spans="1:22" x14ac:dyDescent="0.2">
      <c r="A150">
        <v>300140</v>
      </c>
      <c r="B150">
        <v>300140</v>
      </c>
      <c r="C150" t="str">
        <f>INDEX([3]TextData!B:B,MATCH(B150,[3]TextData!A:A))</f>
        <v>シールドバニッシュ</v>
      </c>
      <c r="D150">
        <v>6</v>
      </c>
      <c r="E150" t="str">
        <f>INDEX([3]Define!X:X,MATCH(D150,[3]Define!W:W))</f>
        <v>自己強化</v>
      </c>
      <c r="F150">
        <v>61</v>
      </c>
      <c r="G150">
        <v>1</v>
      </c>
      <c r="H150" t="str">
        <f>INDEX([3]Define!B:B,MATCH(G150,[3]Define!A:A))</f>
        <v>単体</v>
      </c>
      <c r="I150">
        <v>0</v>
      </c>
      <c r="J150">
        <v>200</v>
      </c>
      <c r="K150">
        <v>5</v>
      </c>
      <c r="L150" t="str">
        <f>INDEX([3]Define!E:E,MATCH(K150,[3]Define!D:D))</f>
        <v>闇</v>
      </c>
      <c r="M150">
        <v>5</v>
      </c>
      <c r="N150" t="str">
        <f>INDEX([3]Define!H:H,MATCH(M150,[3]Define!G:G))</f>
        <v>レリック</v>
      </c>
      <c r="O150">
        <v>1</v>
      </c>
      <c r="P150" t="str">
        <f>INDEX([3]Define!K:K,MATCH(O150,[3]Define!J:J))</f>
        <v>相手</v>
      </c>
      <c r="Q150">
        <v>3</v>
      </c>
      <c r="R150" t="str">
        <f>INDEX([3]Define!N:N,MATCH(Q150,[3]Define!M:M))</f>
        <v>全体</v>
      </c>
      <c r="S150">
        <v>2</v>
      </c>
      <c r="T150">
        <v>1</v>
      </c>
      <c r="U150">
        <v>1</v>
      </c>
      <c r="V150">
        <v>0</v>
      </c>
    </row>
    <row r="151" spans="1:22" x14ac:dyDescent="0.2">
      <c r="A151">
        <v>300210</v>
      </c>
      <c r="B151">
        <v>300210</v>
      </c>
      <c r="C151" t="str">
        <f>INDEX([3]TextData!B:B,MATCH(B151,[3]TextData!A:A))</f>
        <v>エーテルリチャージ</v>
      </c>
      <c r="D151">
        <v>6</v>
      </c>
      <c r="E151" t="str">
        <f>INDEX([3]Define!X:X,MATCH(D151,[3]Define!W:W))</f>
        <v>自己強化</v>
      </c>
      <c r="F151">
        <v>51</v>
      </c>
      <c r="G151">
        <v>1</v>
      </c>
      <c r="H151" t="str">
        <f>INDEX([3]Define!B:B,MATCH(G151,[3]Define!A:A))</f>
        <v>単体</v>
      </c>
      <c r="I151">
        <v>0</v>
      </c>
      <c r="J151">
        <v>200</v>
      </c>
      <c r="K151">
        <v>1</v>
      </c>
      <c r="L151" t="str">
        <f>INDEX([3]Define!E:E,MATCH(K151,[3]Define!D:D))</f>
        <v>炎</v>
      </c>
      <c r="M151">
        <v>5</v>
      </c>
      <c r="N151" t="str">
        <f>INDEX([3]Define!H:H,MATCH(M151,[3]Define!G:G))</f>
        <v>レリック</v>
      </c>
      <c r="O151">
        <v>2</v>
      </c>
      <c r="P151" t="str">
        <f>INDEX([3]Define!K:K,MATCH(O151,[3]Define!J:J))</f>
        <v>味方</v>
      </c>
      <c r="Q151">
        <v>3</v>
      </c>
      <c r="R151" t="str">
        <f>INDEX([3]Define!N:N,MATCH(Q151,[3]Define!M:M))</f>
        <v>全体</v>
      </c>
      <c r="S151">
        <v>2</v>
      </c>
      <c r="T151">
        <v>1</v>
      </c>
      <c r="U151">
        <v>1</v>
      </c>
      <c r="V151">
        <v>0</v>
      </c>
    </row>
    <row r="152" spans="1:22" x14ac:dyDescent="0.2">
      <c r="A152">
        <v>300220</v>
      </c>
      <c r="B152">
        <v>300220</v>
      </c>
      <c r="C152" t="str">
        <f>INDEX([3]TextData!B:B,MATCH(B152,[3]TextData!A:A))</f>
        <v>リカバリーエンハンス</v>
      </c>
      <c r="D152">
        <v>6</v>
      </c>
      <c r="E152" t="str">
        <f>INDEX([3]Define!X:X,MATCH(D152,[3]Define!W:W))</f>
        <v>自己強化</v>
      </c>
      <c r="F152">
        <v>51</v>
      </c>
      <c r="G152">
        <v>1</v>
      </c>
      <c r="H152" t="str">
        <f>INDEX([3]Define!B:B,MATCH(G152,[3]Define!A:A))</f>
        <v>単体</v>
      </c>
      <c r="I152">
        <v>0</v>
      </c>
      <c r="J152">
        <v>200</v>
      </c>
      <c r="K152">
        <v>4</v>
      </c>
      <c r="L152" t="str">
        <f>INDEX([3]Define!E:E,MATCH(K152,[3]Define!D:D))</f>
        <v>光</v>
      </c>
      <c r="M152">
        <v>5</v>
      </c>
      <c r="N152" t="str">
        <f>INDEX([3]Define!H:H,MATCH(M152,[3]Define!G:G))</f>
        <v>レリック</v>
      </c>
      <c r="O152">
        <v>2</v>
      </c>
      <c r="P152" t="str">
        <f>INDEX([3]Define!K:K,MATCH(O152,[3]Define!J:J))</f>
        <v>味方</v>
      </c>
      <c r="Q152">
        <v>3</v>
      </c>
      <c r="R152" t="str">
        <f>INDEX([3]Define!N:N,MATCH(Q152,[3]Define!M:M))</f>
        <v>全体</v>
      </c>
      <c r="S152">
        <v>2</v>
      </c>
      <c r="T152">
        <v>1</v>
      </c>
      <c r="U152">
        <v>1</v>
      </c>
      <c r="V152">
        <v>0</v>
      </c>
    </row>
    <row r="153" spans="1:22" x14ac:dyDescent="0.2">
      <c r="A153">
        <v>300230</v>
      </c>
      <c r="B153">
        <v>300230</v>
      </c>
      <c r="C153" t="str">
        <f>INDEX([3]TextData!B:B,MATCH(B153,[3]TextData!A:A))</f>
        <v>ヴェンジェンス</v>
      </c>
      <c r="D153">
        <v>6</v>
      </c>
      <c r="E153" t="str">
        <f>INDEX([3]Define!X:X,MATCH(D153,[3]Define!W:W))</f>
        <v>自己強化</v>
      </c>
      <c r="F153">
        <v>51</v>
      </c>
      <c r="G153">
        <v>1</v>
      </c>
      <c r="H153" t="str">
        <f>INDEX([3]Define!B:B,MATCH(G153,[3]Define!A:A))</f>
        <v>単体</v>
      </c>
      <c r="I153">
        <v>0</v>
      </c>
      <c r="J153">
        <v>200</v>
      </c>
      <c r="K153">
        <v>3</v>
      </c>
      <c r="L153" t="str">
        <f>INDEX([3]Define!E:E,MATCH(K153,[3]Define!D:D))</f>
        <v>氷</v>
      </c>
      <c r="M153">
        <v>5</v>
      </c>
      <c r="N153" t="str">
        <f>INDEX([3]Define!H:H,MATCH(M153,[3]Define!G:G))</f>
        <v>レリック</v>
      </c>
      <c r="O153">
        <v>2</v>
      </c>
      <c r="P153" t="str">
        <f>INDEX([3]Define!K:K,MATCH(O153,[3]Define!J:J))</f>
        <v>味方</v>
      </c>
      <c r="Q153">
        <v>3</v>
      </c>
      <c r="R153" t="str">
        <f>INDEX([3]Define!N:N,MATCH(Q153,[3]Define!M:M))</f>
        <v>全体</v>
      </c>
      <c r="S153">
        <v>2</v>
      </c>
      <c r="T153">
        <v>1</v>
      </c>
      <c r="U153">
        <v>1</v>
      </c>
      <c r="V153">
        <v>0</v>
      </c>
    </row>
    <row r="154" spans="1:22" x14ac:dyDescent="0.2">
      <c r="A154">
        <v>301010</v>
      </c>
      <c r="B154">
        <v>301010</v>
      </c>
      <c r="C154" t="str">
        <f>INDEX([3]TextData!B:B,MATCH(B154,[3]TextData!A:A))</f>
        <v>ディケイドリセット</v>
      </c>
      <c r="D154">
        <v>6</v>
      </c>
      <c r="E154" t="str">
        <f>INDEX([3]Define!X:X,MATCH(D154,[3]Define!W:W))</f>
        <v>自己強化</v>
      </c>
      <c r="F154">
        <v>51</v>
      </c>
      <c r="G154">
        <v>1</v>
      </c>
      <c r="H154" t="str">
        <f>INDEX([3]Define!B:B,MATCH(G154,[3]Define!A:A))</f>
        <v>単体</v>
      </c>
      <c r="I154">
        <v>0</v>
      </c>
      <c r="J154">
        <v>210</v>
      </c>
      <c r="K154">
        <v>2</v>
      </c>
      <c r="L154" t="str">
        <f>INDEX([3]Define!E:E,MATCH(K154,[3]Define!D:D))</f>
        <v>雷</v>
      </c>
      <c r="M154">
        <v>5</v>
      </c>
      <c r="N154" t="str">
        <f>INDEX([3]Define!H:H,MATCH(M154,[3]Define!G:G))</f>
        <v>レリック</v>
      </c>
      <c r="O154">
        <v>2</v>
      </c>
      <c r="P154" t="str">
        <f>INDEX([3]Define!K:K,MATCH(O154,[3]Define!J:J))</f>
        <v>味方</v>
      </c>
      <c r="Q154">
        <v>3</v>
      </c>
      <c r="R154" t="str">
        <f>INDEX([3]Define!N:N,MATCH(Q154,[3]Define!M:M))</f>
        <v>全体</v>
      </c>
      <c r="S154">
        <v>2</v>
      </c>
      <c r="T154">
        <v>1</v>
      </c>
      <c r="U154">
        <v>1</v>
      </c>
      <c r="V154">
        <v>0</v>
      </c>
    </row>
    <row r="155" spans="1:22" x14ac:dyDescent="0.2">
      <c r="A155">
        <v>301020</v>
      </c>
      <c r="B155">
        <v>301020</v>
      </c>
      <c r="C155" t="str">
        <f>INDEX([3]TextData!B:B,MATCH(B155,[3]TextData!A:A))</f>
        <v>ウォーリアーブラッド</v>
      </c>
      <c r="D155">
        <v>6</v>
      </c>
      <c r="E155" t="str">
        <f>INDEX([3]Define!X:X,MATCH(D155,[3]Define!W:W))</f>
        <v>自己強化</v>
      </c>
      <c r="F155">
        <v>51</v>
      </c>
      <c r="G155">
        <v>1</v>
      </c>
      <c r="H155" t="str">
        <f>INDEX([3]Define!B:B,MATCH(G155,[3]Define!A:A))</f>
        <v>単体</v>
      </c>
      <c r="I155">
        <v>0</v>
      </c>
      <c r="J155">
        <v>210</v>
      </c>
      <c r="K155">
        <v>5</v>
      </c>
      <c r="L155" t="str">
        <f>INDEX([3]Define!E:E,MATCH(K155,[3]Define!D:D))</f>
        <v>闇</v>
      </c>
      <c r="M155">
        <v>5</v>
      </c>
      <c r="N155" t="str">
        <f>INDEX([3]Define!H:H,MATCH(M155,[3]Define!G:G))</f>
        <v>レリック</v>
      </c>
      <c r="O155">
        <v>2</v>
      </c>
      <c r="P155" t="str">
        <f>INDEX([3]Define!K:K,MATCH(O155,[3]Define!J:J))</f>
        <v>味方</v>
      </c>
      <c r="Q155">
        <v>3</v>
      </c>
      <c r="R155" t="str">
        <f>INDEX([3]Define!N:N,MATCH(Q155,[3]Define!M:M))</f>
        <v>全体</v>
      </c>
      <c r="S155">
        <v>2</v>
      </c>
      <c r="T155">
        <v>1</v>
      </c>
      <c r="U155">
        <v>1</v>
      </c>
      <c r="V155">
        <v>0</v>
      </c>
    </row>
    <row r="156" spans="1:22" x14ac:dyDescent="0.2">
      <c r="A156">
        <v>301030</v>
      </c>
      <c r="B156">
        <v>301030</v>
      </c>
      <c r="C156" t="str">
        <f>INDEX([3]TextData!B:B,MATCH(B156,[3]TextData!A:A))</f>
        <v>トライアングルガード</v>
      </c>
      <c r="D156">
        <v>6</v>
      </c>
      <c r="E156" t="str">
        <f>INDEX([3]Define!X:X,MATCH(D156,[3]Define!W:W))</f>
        <v>自己強化</v>
      </c>
      <c r="F156">
        <v>51</v>
      </c>
      <c r="G156">
        <v>1</v>
      </c>
      <c r="H156" t="str">
        <f>INDEX([3]Define!B:B,MATCH(G156,[3]Define!A:A))</f>
        <v>単体</v>
      </c>
      <c r="I156">
        <v>0</v>
      </c>
      <c r="J156">
        <v>210</v>
      </c>
      <c r="K156">
        <v>3</v>
      </c>
      <c r="L156" t="str">
        <f>INDEX([3]Define!E:E,MATCH(K156,[3]Define!D:D))</f>
        <v>氷</v>
      </c>
      <c r="M156">
        <v>5</v>
      </c>
      <c r="N156" t="str">
        <f>INDEX([3]Define!H:H,MATCH(M156,[3]Define!G:G))</f>
        <v>レリック</v>
      </c>
      <c r="O156">
        <v>2</v>
      </c>
      <c r="P156" t="str">
        <f>INDEX([3]Define!K:K,MATCH(O156,[3]Define!J:J))</f>
        <v>味方</v>
      </c>
      <c r="Q156">
        <v>3</v>
      </c>
      <c r="R156" t="str">
        <f>INDEX([3]Define!N:N,MATCH(Q156,[3]Define!M:M))</f>
        <v>全体</v>
      </c>
      <c r="S156">
        <v>2</v>
      </c>
      <c r="T156">
        <v>1</v>
      </c>
      <c r="U156">
        <v>1</v>
      </c>
      <c r="V156">
        <v>0</v>
      </c>
    </row>
    <row r="157" spans="1:22" x14ac:dyDescent="0.2">
      <c r="A157">
        <v>301040</v>
      </c>
      <c r="B157">
        <v>301040</v>
      </c>
      <c r="C157" t="str">
        <f>INDEX([3]TextData!B:B,MATCH(B157,[3]TextData!A:A))</f>
        <v>セーフティバリア</v>
      </c>
      <c r="D157">
        <v>6</v>
      </c>
      <c r="E157" t="str">
        <f>INDEX([3]Define!X:X,MATCH(D157,[3]Define!W:W))</f>
        <v>自己強化</v>
      </c>
      <c r="F157">
        <v>51</v>
      </c>
      <c r="G157">
        <v>1</v>
      </c>
      <c r="H157" t="str">
        <f>INDEX([3]Define!B:B,MATCH(G157,[3]Define!A:A))</f>
        <v>単体</v>
      </c>
      <c r="I157">
        <v>0</v>
      </c>
      <c r="J157">
        <v>210</v>
      </c>
      <c r="K157">
        <v>3</v>
      </c>
      <c r="L157" t="str">
        <f>INDEX([3]Define!E:E,MATCH(K157,[3]Define!D:D))</f>
        <v>氷</v>
      </c>
      <c r="M157">
        <v>5</v>
      </c>
      <c r="N157" t="str">
        <f>INDEX([3]Define!H:H,MATCH(M157,[3]Define!G:G))</f>
        <v>レリック</v>
      </c>
      <c r="O157">
        <v>2</v>
      </c>
      <c r="P157" t="str">
        <f>INDEX([3]Define!K:K,MATCH(O157,[3]Define!J:J))</f>
        <v>味方</v>
      </c>
      <c r="Q157">
        <v>3</v>
      </c>
      <c r="R157" t="str">
        <f>INDEX([3]Define!N:N,MATCH(Q157,[3]Define!M:M))</f>
        <v>全体</v>
      </c>
      <c r="S157">
        <v>2</v>
      </c>
      <c r="T157">
        <v>1</v>
      </c>
      <c r="U157">
        <v>1</v>
      </c>
      <c r="V157">
        <v>0</v>
      </c>
    </row>
    <row r="158" spans="1:22" x14ac:dyDescent="0.2">
      <c r="A158">
        <v>301050</v>
      </c>
      <c r="B158">
        <v>301050</v>
      </c>
      <c r="C158" t="str">
        <f>INDEX([3]TextData!B:B,MATCH(B158,[3]TextData!A:A))</f>
        <v>ヒロインズハイ</v>
      </c>
      <c r="D158">
        <v>6</v>
      </c>
      <c r="E158" t="str">
        <f>INDEX([3]Define!X:X,MATCH(D158,[3]Define!W:W))</f>
        <v>自己強化</v>
      </c>
      <c r="F158">
        <v>51</v>
      </c>
      <c r="G158">
        <v>1</v>
      </c>
      <c r="H158" t="str">
        <f>INDEX([3]Define!B:B,MATCH(G158,[3]Define!A:A))</f>
        <v>単体</v>
      </c>
      <c r="I158">
        <v>0</v>
      </c>
      <c r="J158">
        <v>210</v>
      </c>
      <c r="K158">
        <v>4</v>
      </c>
      <c r="L158" t="str">
        <f>INDEX([3]Define!E:E,MATCH(K158,[3]Define!D:D))</f>
        <v>光</v>
      </c>
      <c r="M158">
        <v>5</v>
      </c>
      <c r="N158" t="str">
        <f>INDEX([3]Define!H:H,MATCH(M158,[3]Define!G:G))</f>
        <v>レリック</v>
      </c>
      <c r="O158">
        <v>2</v>
      </c>
      <c r="P158" t="str">
        <f>INDEX([3]Define!K:K,MATCH(O158,[3]Define!J:J))</f>
        <v>味方</v>
      </c>
      <c r="Q158">
        <v>3</v>
      </c>
      <c r="R158" t="str">
        <f>INDEX([3]Define!N:N,MATCH(Q158,[3]Define!M:M))</f>
        <v>全体</v>
      </c>
      <c r="S158">
        <v>2</v>
      </c>
      <c r="T158">
        <v>1</v>
      </c>
      <c r="U158">
        <v>1</v>
      </c>
      <c r="V158">
        <v>0</v>
      </c>
    </row>
    <row r="159" spans="1:22" x14ac:dyDescent="0.2">
      <c r="A159">
        <v>301060</v>
      </c>
      <c r="B159">
        <v>301060</v>
      </c>
      <c r="C159" t="str">
        <f>INDEX([3]TextData!B:B,MATCH(B159,[3]TextData!A:A))</f>
        <v>セカンドステージ</v>
      </c>
      <c r="D159">
        <v>6</v>
      </c>
      <c r="E159" t="str">
        <f>INDEX([3]Define!X:X,MATCH(D159,[3]Define!W:W))</f>
        <v>自己強化</v>
      </c>
      <c r="F159">
        <v>51</v>
      </c>
      <c r="G159">
        <v>1</v>
      </c>
      <c r="H159" t="str">
        <f>INDEX([3]Define!B:B,MATCH(G159,[3]Define!A:A))</f>
        <v>単体</v>
      </c>
      <c r="I159">
        <v>0</v>
      </c>
      <c r="J159">
        <v>210</v>
      </c>
      <c r="K159">
        <v>4</v>
      </c>
      <c r="L159" t="str">
        <f>INDEX([3]Define!E:E,MATCH(K159,[3]Define!D:D))</f>
        <v>光</v>
      </c>
      <c r="M159">
        <v>5</v>
      </c>
      <c r="N159" t="str">
        <f>INDEX([3]Define!H:H,MATCH(M159,[3]Define!G:G))</f>
        <v>レリック</v>
      </c>
      <c r="O159">
        <v>2</v>
      </c>
      <c r="P159" t="str">
        <f>INDEX([3]Define!K:K,MATCH(O159,[3]Define!J:J))</f>
        <v>味方</v>
      </c>
      <c r="Q159">
        <v>3</v>
      </c>
      <c r="R159" t="str">
        <f>INDEX([3]Define!N:N,MATCH(Q159,[3]Define!M:M))</f>
        <v>全体</v>
      </c>
      <c r="S159">
        <v>2</v>
      </c>
      <c r="T159">
        <v>1</v>
      </c>
      <c r="U159">
        <v>0</v>
      </c>
      <c r="V159">
        <v>0</v>
      </c>
    </row>
    <row r="160" spans="1:22" x14ac:dyDescent="0.2">
      <c r="A160">
        <v>301070</v>
      </c>
      <c r="B160">
        <v>301070</v>
      </c>
      <c r="C160" t="str">
        <f>INDEX([3]TextData!B:B,MATCH(B160,[3]TextData!A:A))</f>
        <v>ハイヒットポイント</v>
      </c>
      <c r="D160">
        <v>6</v>
      </c>
      <c r="E160" t="str">
        <f>INDEX([3]Define!X:X,MATCH(D160,[3]Define!W:W))</f>
        <v>自己強化</v>
      </c>
      <c r="F160">
        <v>51</v>
      </c>
      <c r="G160">
        <v>1</v>
      </c>
      <c r="H160" t="str">
        <f>INDEX([3]Define!B:B,MATCH(G160,[3]Define!A:A))</f>
        <v>単体</v>
      </c>
      <c r="I160">
        <v>0</v>
      </c>
      <c r="J160">
        <v>210</v>
      </c>
      <c r="K160">
        <v>4</v>
      </c>
      <c r="L160" t="str">
        <f>INDEX([3]Define!E:E,MATCH(K160,[3]Define!D:D))</f>
        <v>光</v>
      </c>
      <c r="M160">
        <v>5</v>
      </c>
      <c r="N160" t="str">
        <f>INDEX([3]Define!H:H,MATCH(M160,[3]Define!G:G))</f>
        <v>レリック</v>
      </c>
      <c r="O160">
        <v>2</v>
      </c>
      <c r="P160" t="str">
        <f>INDEX([3]Define!K:K,MATCH(O160,[3]Define!J:J))</f>
        <v>味方</v>
      </c>
      <c r="Q160">
        <v>3</v>
      </c>
      <c r="R160" t="str">
        <f>INDEX([3]Define!N:N,MATCH(Q160,[3]Define!M:M))</f>
        <v>全体</v>
      </c>
      <c r="S160">
        <v>2</v>
      </c>
      <c r="T160">
        <v>1</v>
      </c>
      <c r="U160">
        <v>1</v>
      </c>
      <c r="V160">
        <v>0</v>
      </c>
    </row>
    <row r="161" spans="1:22" x14ac:dyDescent="0.2">
      <c r="A161">
        <v>301080</v>
      </c>
      <c r="B161">
        <v>301080</v>
      </c>
      <c r="C161" t="str">
        <f>INDEX([3]TextData!B:B,MATCH(B161,[3]TextData!A:A))</f>
        <v>セプタブラスト</v>
      </c>
      <c r="D161">
        <v>6</v>
      </c>
      <c r="E161" t="str">
        <f>INDEX([3]Define!X:X,MATCH(D161,[3]Define!W:W))</f>
        <v>自己強化</v>
      </c>
      <c r="F161">
        <v>101</v>
      </c>
      <c r="G161">
        <v>1</v>
      </c>
      <c r="H161" t="str">
        <f>INDEX([3]Define!B:B,MATCH(G161,[3]Define!A:A))</f>
        <v>単体</v>
      </c>
      <c r="I161">
        <v>0</v>
      </c>
      <c r="J161">
        <v>210</v>
      </c>
      <c r="K161">
        <v>1</v>
      </c>
      <c r="L161" t="str">
        <f>INDEX([3]Define!E:E,MATCH(K161,[3]Define!D:D))</f>
        <v>炎</v>
      </c>
      <c r="M161">
        <v>5</v>
      </c>
      <c r="N161" t="str">
        <f>INDEX([3]Define!H:H,MATCH(M161,[3]Define!G:G))</f>
        <v>レリック</v>
      </c>
      <c r="O161">
        <v>7</v>
      </c>
      <c r="P161" t="str">
        <f>INDEX([3]Define!K:K,MATCH(O161,[3]Define!J:J))</f>
        <v>追撃</v>
      </c>
      <c r="Q161">
        <v>1</v>
      </c>
      <c r="R161" t="str">
        <f>INDEX([3]Define!N:N,MATCH(Q161,[3]Define!M:M))</f>
        <v>単体</v>
      </c>
      <c r="S161">
        <v>2</v>
      </c>
      <c r="T161">
        <v>1</v>
      </c>
      <c r="U161">
        <v>1</v>
      </c>
      <c r="V161">
        <v>0</v>
      </c>
    </row>
    <row r="162" spans="1:22" x14ac:dyDescent="0.2">
      <c r="A162">
        <v>301090</v>
      </c>
      <c r="B162">
        <v>301090</v>
      </c>
      <c r="C162" t="str">
        <f>INDEX([3]TextData!B:B,MATCH(B162,[3]TextData!A:A))</f>
        <v>イニシャルブロッカー</v>
      </c>
      <c r="D162">
        <v>6</v>
      </c>
      <c r="E162" t="str">
        <f>INDEX([3]Define!X:X,MATCH(D162,[3]Define!W:W))</f>
        <v>自己強化</v>
      </c>
      <c r="F162">
        <v>51</v>
      </c>
      <c r="G162">
        <v>1</v>
      </c>
      <c r="H162" t="str">
        <f>INDEX([3]Define!B:B,MATCH(G162,[3]Define!A:A))</f>
        <v>単体</v>
      </c>
      <c r="I162">
        <v>0</v>
      </c>
      <c r="J162">
        <v>210</v>
      </c>
      <c r="K162">
        <v>3</v>
      </c>
      <c r="L162" t="str">
        <f>INDEX([3]Define!E:E,MATCH(K162,[3]Define!D:D))</f>
        <v>氷</v>
      </c>
      <c r="M162">
        <v>5</v>
      </c>
      <c r="N162" t="str">
        <f>INDEX([3]Define!H:H,MATCH(M162,[3]Define!G:G))</f>
        <v>レリック</v>
      </c>
      <c r="O162">
        <v>2</v>
      </c>
      <c r="P162" t="str">
        <f>INDEX([3]Define!K:K,MATCH(O162,[3]Define!J:J))</f>
        <v>味方</v>
      </c>
      <c r="Q162">
        <v>3</v>
      </c>
      <c r="R162" t="str">
        <f>INDEX([3]Define!N:N,MATCH(Q162,[3]Define!M:M))</f>
        <v>全体</v>
      </c>
      <c r="S162">
        <v>2</v>
      </c>
      <c r="T162">
        <v>1</v>
      </c>
      <c r="U162">
        <v>1</v>
      </c>
      <c r="V162">
        <v>0</v>
      </c>
    </row>
    <row r="163" spans="1:22" x14ac:dyDescent="0.2">
      <c r="A163">
        <v>301100</v>
      </c>
      <c r="B163">
        <v>301100</v>
      </c>
      <c r="C163" t="str">
        <f>INDEX([3]TextData!B:B,MATCH(B163,[3]TextData!A:A))</f>
        <v>ファーストテイク</v>
      </c>
      <c r="D163">
        <v>6</v>
      </c>
      <c r="E163" t="str">
        <f>INDEX([3]Define!X:X,MATCH(D163,[3]Define!W:W))</f>
        <v>自己強化</v>
      </c>
      <c r="F163">
        <v>51</v>
      </c>
      <c r="G163">
        <v>1</v>
      </c>
      <c r="H163" t="str">
        <f>INDEX([3]Define!B:B,MATCH(G163,[3]Define!A:A))</f>
        <v>単体</v>
      </c>
      <c r="I163">
        <v>0</v>
      </c>
      <c r="J163">
        <v>210</v>
      </c>
      <c r="K163">
        <v>2</v>
      </c>
      <c r="L163" t="str">
        <f>INDEX([3]Define!E:E,MATCH(K163,[3]Define!D:D))</f>
        <v>雷</v>
      </c>
      <c r="M163">
        <v>5</v>
      </c>
      <c r="N163" t="str">
        <f>INDEX([3]Define!H:H,MATCH(M163,[3]Define!G:G))</f>
        <v>レリック</v>
      </c>
      <c r="O163">
        <v>2</v>
      </c>
      <c r="P163" t="str">
        <f>INDEX([3]Define!K:K,MATCH(O163,[3]Define!J:J))</f>
        <v>味方</v>
      </c>
      <c r="Q163">
        <v>3</v>
      </c>
      <c r="R163" t="str">
        <f>INDEX([3]Define!N:N,MATCH(Q163,[3]Define!M:M))</f>
        <v>全体</v>
      </c>
      <c r="S163">
        <v>2</v>
      </c>
      <c r="T163">
        <v>1</v>
      </c>
      <c r="U163">
        <v>1</v>
      </c>
      <c r="V163">
        <v>0</v>
      </c>
    </row>
    <row r="164" spans="1:22" x14ac:dyDescent="0.2">
      <c r="A164">
        <v>401010</v>
      </c>
      <c r="B164">
        <v>401010</v>
      </c>
      <c r="C164" t="str">
        <f>INDEX([3]TextData!B:B,MATCH(B164,[3]TextData!A:A))</f>
        <v>ファイアボール+</v>
      </c>
      <c r="D164">
        <v>1</v>
      </c>
      <c r="E164" t="str">
        <f>INDEX([3]Define!X:X,MATCH(D164,[3]Define!W:W))</f>
        <v>元素</v>
      </c>
      <c r="F164">
        <v>101</v>
      </c>
      <c r="G164">
        <v>1</v>
      </c>
      <c r="H164" t="str">
        <f>INDEX([3]Define!B:B,MATCH(G164,[3]Define!A:A))</f>
        <v>単体</v>
      </c>
      <c r="I164">
        <v>0</v>
      </c>
      <c r="J164">
        <v>120</v>
      </c>
      <c r="K164">
        <v>1</v>
      </c>
      <c r="L164" t="str">
        <f>INDEX([3]Define!E:E,MATCH(K164,[3]Define!D:D))</f>
        <v>炎</v>
      </c>
      <c r="M164">
        <v>6</v>
      </c>
      <c r="N164" t="str">
        <f>INDEX([3]Define!H:H,MATCH(M164,[3]Define!G:G))</f>
        <v>強化</v>
      </c>
      <c r="O164">
        <v>4</v>
      </c>
      <c r="P164" t="str">
        <f>INDEX([3]Define!K:K,MATCH(O164,[3]Define!J:J))</f>
        <v>自身</v>
      </c>
      <c r="Q164">
        <v>4</v>
      </c>
      <c r="R164" t="str">
        <f>INDEX([3]Define!N:N,MATCH(Q164,[3]Define!M:M))</f>
        <v>自身</v>
      </c>
      <c r="S164">
        <v>1</v>
      </c>
      <c r="T164">
        <v>1</v>
      </c>
      <c r="U164">
        <v>1</v>
      </c>
      <c r="V164">
        <v>0</v>
      </c>
    </row>
    <row r="165" spans="1:22" x14ac:dyDescent="0.2">
      <c r="A165">
        <v>401020</v>
      </c>
      <c r="B165">
        <v>401020</v>
      </c>
      <c r="C165" t="str">
        <f>INDEX([3]TextData!B:B,MATCH(B165,[3]TextData!A:A))</f>
        <v>バーンストーム+</v>
      </c>
      <c r="D165">
        <v>1</v>
      </c>
      <c r="E165" t="str">
        <f>INDEX([3]Define!X:X,MATCH(D165,[3]Define!W:W))</f>
        <v>元素</v>
      </c>
      <c r="F165">
        <v>101</v>
      </c>
      <c r="G165">
        <v>2</v>
      </c>
      <c r="H165" t="str">
        <f>INDEX([3]Define!B:B,MATCH(G165,[3]Define!A:A))</f>
        <v>列</v>
      </c>
      <c r="I165">
        <v>0</v>
      </c>
      <c r="J165">
        <v>120</v>
      </c>
      <c r="K165">
        <v>1</v>
      </c>
      <c r="L165" t="str">
        <f>INDEX([3]Define!E:E,MATCH(K165,[3]Define!D:D))</f>
        <v>炎</v>
      </c>
      <c r="M165">
        <v>6</v>
      </c>
      <c r="N165" t="str">
        <f>INDEX([3]Define!H:H,MATCH(M165,[3]Define!G:G))</f>
        <v>強化</v>
      </c>
      <c r="O165">
        <v>4</v>
      </c>
      <c r="P165" t="str">
        <f>INDEX([3]Define!K:K,MATCH(O165,[3]Define!J:J))</f>
        <v>自身</v>
      </c>
      <c r="Q165">
        <v>4</v>
      </c>
      <c r="R165" t="str">
        <f>INDEX([3]Define!N:N,MATCH(Q165,[3]Define!M:M))</f>
        <v>自身</v>
      </c>
      <c r="S165">
        <v>1</v>
      </c>
      <c r="T165">
        <v>1</v>
      </c>
      <c r="U165">
        <v>1</v>
      </c>
      <c r="V165">
        <v>0</v>
      </c>
    </row>
    <row r="166" spans="1:22" x14ac:dyDescent="0.2">
      <c r="A166">
        <v>401030</v>
      </c>
      <c r="B166">
        <v>401030</v>
      </c>
      <c r="C166" t="str">
        <f>INDEX([3]TextData!B:B,MATCH(B166,[3]TextData!A:A))</f>
        <v>ヒートスタンプ+</v>
      </c>
      <c r="D166">
        <v>2</v>
      </c>
      <c r="E166" t="str">
        <f>INDEX([3]Define!X:X,MATCH(D166,[3]Define!W:W))</f>
        <v>光</v>
      </c>
      <c r="F166">
        <v>21</v>
      </c>
      <c r="G166">
        <v>1</v>
      </c>
      <c r="H166" t="str">
        <f>INDEX([3]Define!B:B,MATCH(G166,[3]Define!A:A))</f>
        <v>単体</v>
      </c>
      <c r="I166">
        <v>0</v>
      </c>
      <c r="J166">
        <v>120</v>
      </c>
      <c r="K166">
        <v>1</v>
      </c>
      <c r="L166" t="str">
        <f>INDEX([3]Define!E:E,MATCH(K166,[3]Define!D:D))</f>
        <v>炎</v>
      </c>
      <c r="M166">
        <v>6</v>
      </c>
      <c r="N166" t="str">
        <f>INDEX([3]Define!H:H,MATCH(M166,[3]Define!G:G))</f>
        <v>強化</v>
      </c>
      <c r="O166">
        <v>4</v>
      </c>
      <c r="P166" t="str">
        <f>INDEX([3]Define!K:K,MATCH(O166,[3]Define!J:J))</f>
        <v>自身</v>
      </c>
      <c r="Q166">
        <v>4</v>
      </c>
      <c r="R166" t="str">
        <f>INDEX([3]Define!N:N,MATCH(Q166,[3]Define!M:M))</f>
        <v>自身</v>
      </c>
      <c r="S166">
        <v>1</v>
      </c>
      <c r="T166">
        <v>1</v>
      </c>
      <c r="U166">
        <v>1</v>
      </c>
      <c r="V166">
        <v>0</v>
      </c>
    </row>
    <row r="167" spans="1:22" x14ac:dyDescent="0.2">
      <c r="A167">
        <v>401040</v>
      </c>
      <c r="B167">
        <v>401040</v>
      </c>
      <c r="C167" t="str">
        <f>INDEX([3]TextData!B:B,MATCH(B167,[3]TextData!A:A))</f>
        <v>ソードアダプト+</v>
      </c>
      <c r="D167">
        <v>4</v>
      </c>
      <c r="E167" t="str">
        <f>INDEX([3]Define!X:X,MATCH(D167,[3]Define!W:W))</f>
        <v>精神</v>
      </c>
      <c r="F167">
        <v>51</v>
      </c>
      <c r="G167">
        <v>1</v>
      </c>
      <c r="H167" t="str">
        <f>INDEX([3]Define!B:B,MATCH(G167,[3]Define!A:A))</f>
        <v>単体</v>
      </c>
      <c r="I167">
        <v>0</v>
      </c>
      <c r="J167">
        <v>120</v>
      </c>
      <c r="K167">
        <v>1</v>
      </c>
      <c r="L167" t="str">
        <f>INDEX([3]Define!E:E,MATCH(K167,[3]Define!D:D))</f>
        <v>炎</v>
      </c>
      <c r="M167">
        <v>6</v>
      </c>
      <c r="N167" t="str">
        <f>INDEX([3]Define!H:H,MATCH(M167,[3]Define!G:G))</f>
        <v>強化</v>
      </c>
      <c r="O167">
        <v>4</v>
      </c>
      <c r="P167" t="str">
        <f>INDEX([3]Define!K:K,MATCH(O167,[3]Define!J:J))</f>
        <v>自身</v>
      </c>
      <c r="Q167">
        <v>4</v>
      </c>
      <c r="R167" t="str">
        <f>INDEX([3]Define!N:N,MATCH(Q167,[3]Define!M:M))</f>
        <v>自身</v>
      </c>
      <c r="S167">
        <v>1</v>
      </c>
      <c r="T167">
        <v>1</v>
      </c>
      <c r="U167">
        <v>1</v>
      </c>
      <c r="V167">
        <v>0</v>
      </c>
    </row>
    <row r="168" spans="1:22" ht="12" customHeight="1" x14ac:dyDescent="0.2">
      <c r="A168">
        <v>401050</v>
      </c>
      <c r="B168">
        <v>401050</v>
      </c>
      <c r="C168" t="str">
        <f>INDEX([3]TextData!B:B,MATCH(B168,[3]TextData!A:A))</f>
        <v>フレイムレイン+</v>
      </c>
      <c r="D168">
        <v>1</v>
      </c>
      <c r="E168" t="str">
        <f>INDEX([3]Define!X:X,MATCH(D168,[3]Define!W:W))</f>
        <v>元素</v>
      </c>
      <c r="F168">
        <v>101</v>
      </c>
      <c r="G168">
        <v>1</v>
      </c>
      <c r="H168" t="str">
        <f>INDEX([3]Define!B:B,MATCH(G168,[3]Define!A:A))</f>
        <v>単体</v>
      </c>
      <c r="I168">
        <v>0</v>
      </c>
      <c r="J168">
        <v>120</v>
      </c>
      <c r="K168">
        <v>1</v>
      </c>
      <c r="L168" t="str">
        <f>INDEX([3]Define!E:E,MATCH(K168,[3]Define!D:D))</f>
        <v>炎</v>
      </c>
      <c r="M168">
        <v>6</v>
      </c>
      <c r="N168" t="str">
        <f>INDEX([3]Define!H:H,MATCH(M168,[3]Define!G:G))</f>
        <v>強化</v>
      </c>
      <c r="O168">
        <v>4</v>
      </c>
      <c r="P168" t="str">
        <f>INDEX([3]Define!K:K,MATCH(O168,[3]Define!J:J))</f>
        <v>自身</v>
      </c>
      <c r="Q168">
        <v>4</v>
      </c>
      <c r="R168" t="str">
        <f>INDEX([3]Define!N:N,MATCH(Q168,[3]Define!M:M))</f>
        <v>自身</v>
      </c>
      <c r="S168">
        <v>1</v>
      </c>
      <c r="T168">
        <v>1</v>
      </c>
      <c r="U168">
        <v>1</v>
      </c>
      <c r="V168">
        <v>0</v>
      </c>
    </row>
    <row r="169" spans="1:22" ht="12" customHeight="1" x14ac:dyDescent="0.2">
      <c r="A169">
        <v>401060</v>
      </c>
      <c r="B169">
        <v>401060</v>
      </c>
      <c r="C169" t="str">
        <f>INDEX([3]TextData!B:B,MATCH(B169,[3]TextData!A:A))</f>
        <v>イクスティンクション+</v>
      </c>
      <c r="D169">
        <v>1</v>
      </c>
      <c r="E169" t="str">
        <f>INDEX([3]Define!X:X,MATCH(D169,[3]Define!W:W))</f>
        <v>元素</v>
      </c>
      <c r="F169">
        <v>101</v>
      </c>
      <c r="G169">
        <v>1</v>
      </c>
      <c r="H169" t="str">
        <f>INDEX([3]Define!B:B,MATCH(G169,[3]Define!A:A))</f>
        <v>単体</v>
      </c>
      <c r="I169">
        <v>0</v>
      </c>
      <c r="J169">
        <v>120</v>
      </c>
      <c r="K169">
        <v>1</v>
      </c>
      <c r="L169" t="str">
        <f>INDEX([3]Define!E:E,MATCH(K169,[3]Define!D:D))</f>
        <v>炎</v>
      </c>
      <c r="M169">
        <v>6</v>
      </c>
      <c r="N169" t="str">
        <f>INDEX([3]Define!H:H,MATCH(M169,[3]Define!G:G))</f>
        <v>強化</v>
      </c>
      <c r="O169">
        <v>4</v>
      </c>
      <c r="P169" t="str">
        <f>INDEX([3]Define!K:K,MATCH(O169,[3]Define!J:J))</f>
        <v>自身</v>
      </c>
      <c r="Q169">
        <v>4</v>
      </c>
      <c r="R169" t="str">
        <f>INDEX([3]Define!N:N,MATCH(Q169,[3]Define!M:M))</f>
        <v>自身</v>
      </c>
      <c r="S169">
        <v>1</v>
      </c>
      <c r="T169">
        <v>1</v>
      </c>
      <c r="U169">
        <v>1</v>
      </c>
      <c r="V169">
        <v>0</v>
      </c>
    </row>
    <row r="170" spans="1:22" ht="12" customHeight="1" x14ac:dyDescent="0.2">
      <c r="A170">
        <v>401070</v>
      </c>
      <c r="B170">
        <v>401070</v>
      </c>
      <c r="C170" t="str">
        <f>INDEX([3]TextData!B:B,MATCH(B170,[3]TextData!A:A))</f>
        <v>バーニングソウル+</v>
      </c>
      <c r="D170">
        <v>2</v>
      </c>
      <c r="E170" t="str">
        <f>INDEX([3]Define!X:X,MATCH(D170,[3]Define!W:W))</f>
        <v>光</v>
      </c>
      <c r="F170">
        <v>101</v>
      </c>
      <c r="G170">
        <v>1</v>
      </c>
      <c r="H170" t="str">
        <f>INDEX([3]Define!B:B,MATCH(G170,[3]Define!A:A))</f>
        <v>単体</v>
      </c>
      <c r="I170">
        <v>0</v>
      </c>
      <c r="J170">
        <v>120</v>
      </c>
      <c r="K170">
        <v>1</v>
      </c>
      <c r="L170" t="str">
        <f>INDEX([3]Define!E:E,MATCH(K170,[3]Define!D:D))</f>
        <v>炎</v>
      </c>
      <c r="M170">
        <v>6</v>
      </c>
      <c r="N170" t="str">
        <f>INDEX([3]Define!H:H,MATCH(M170,[3]Define!G:G))</f>
        <v>強化</v>
      </c>
      <c r="O170">
        <v>4</v>
      </c>
      <c r="P170" t="str">
        <f>INDEX([3]Define!K:K,MATCH(O170,[3]Define!J:J))</f>
        <v>自身</v>
      </c>
      <c r="Q170">
        <v>4</v>
      </c>
      <c r="R170" t="str">
        <f>INDEX([3]Define!N:N,MATCH(Q170,[3]Define!M:M))</f>
        <v>自身</v>
      </c>
      <c r="S170">
        <v>1</v>
      </c>
      <c r="T170">
        <v>1</v>
      </c>
      <c r="U170">
        <v>1</v>
      </c>
      <c r="V170">
        <v>0</v>
      </c>
    </row>
    <row r="171" spans="1:22" ht="12" customHeight="1" x14ac:dyDescent="0.2">
      <c r="A171">
        <v>401080</v>
      </c>
      <c r="B171">
        <v>401080</v>
      </c>
      <c r="C171" t="str">
        <f>INDEX([3]TextData!B:B,MATCH(B171,[3]TextData!A:A))</f>
        <v>レイジングバウンサー+</v>
      </c>
      <c r="D171">
        <v>1</v>
      </c>
      <c r="E171" t="str">
        <f>INDEX([3]Define!X:X,MATCH(D171,[3]Define!W:W))</f>
        <v>元素</v>
      </c>
      <c r="F171">
        <v>51</v>
      </c>
      <c r="G171">
        <v>1</v>
      </c>
      <c r="H171" t="str">
        <f>INDEX([3]Define!B:B,MATCH(G171,[3]Define!A:A))</f>
        <v>単体</v>
      </c>
      <c r="I171">
        <v>0</v>
      </c>
      <c r="J171">
        <v>120</v>
      </c>
      <c r="K171">
        <v>1</v>
      </c>
      <c r="L171" t="str">
        <f>INDEX([3]Define!E:E,MATCH(K171,[3]Define!D:D))</f>
        <v>炎</v>
      </c>
      <c r="M171">
        <v>6</v>
      </c>
      <c r="N171" t="str">
        <f>INDEX([3]Define!H:H,MATCH(M171,[3]Define!G:G))</f>
        <v>強化</v>
      </c>
      <c r="O171">
        <v>4</v>
      </c>
      <c r="P171" t="str">
        <f>INDEX([3]Define!K:K,MATCH(O171,[3]Define!J:J))</f>
        <v>自身</v>
      </c>
      <c r="Q171">
        <v>4</v>
      </c>
      <c r="R171" t="str">
        <f>INDEX([3]Define!N:N,MATCH(Q171,[3]Define!M:M))</f>
        <v>自身</v>
      </c>
      <c r="S171">
        <v>1</v>
      </c>
      <c r="T171">
        <v>1</v>
      </c>
      <c r="U171">
        <v>1</v>
      </c>
      <c r="V171">
        <v>0</v>
      </c>
    </row>
    <row r="172" spans="1:22" x14ac:dyDescent="0.2">
      <c r="A172">
        <v>402010</v>
      </c>
      <c r="B172">
        <v>402010</v>
      </c>
      <c r="C172" t="str">
        <f>INDEX([3]TextData!B:B,MATCH(B172,[3]TextData!A:A))</f>
        <v>ディスチャージ+</v>
      </c>
      <c r="D172">
        <v>1</v>
      </c>
      <c r="E172" t="str">
        <f>INDEX([3]Define!X:X,MATCH(D172,[3]Define!W:W))</f>
        <v>元素</v>
      </c>
      <c r="F172">
        <v>201</v>
      </c>
      <c r="G172">
        <v>1</v>
      </c>
      <c r="H172" t="str">
        <f>INDEX([3]Define!B:B,MATCH(G172,[3]Define!A:A))</f>
        <v>単体</v>
      </c>
      <c r="I172">
        <v>0</v>
      </c>
      <c r="J172">
        <v>120</v>
      </c>
      <c r="K172">
        <v>2</v>
      </c>
      <c r="L172" t="str">
        <f>INDEX([3]Define!E:E,MATCH(K172,[3]Define!D:D))</f>
        <v>雷</v>
      </c>
      <c r="M172">
        <v>6</v>
      </c>
      <c r="N172" t="str">
        <f>INDEX([3]Define!H:H,MATCH(M172,[3]Define!G:G))</f>
        <v>強化</v>
      </c>
      <c r="O172">
        <v>4</v>
      </c>
      <c r="P172" t="str">
        <f>INDEX([3]Define!K:K,MATCH(O172,[3]Define!J:J))</f>
        <v>自身</v>
      </c>
      <c r="Q172">
        <v>4</v>
      </c>
      <c r="R172" t="str">
        <f>INDEX([3]Define!N:N,MATCH(Q172,[3]Define!M:M))</f>
        <v>自身</v>
      </c>
      <c r="S172">
        <v>1</v>
      </c>
      <c r="T172">
        <v>1</v>
      </c>
      <c r="U172">
        <v>1</v>
      </c>
      <c r="V172">
        <v>0</v>
      </c>
    </row>
    <row r="173" spans="1:22" x14ac:dyDescent="0.2">
      <c r="A173">
        <v>402020</v>
      </c>
      <c r="B173">
        <v>402020</v>
      </c>
      <c r="C173" t="str">
        <f>INDEX([3]TextData!B:B,MATCH(B173,[3]TextData!A:A))</f>
        <v>イベイドコード+</v>
      </c>
      <c r="D173">
        <v>4</v>
      </c>
      <c r="E173" t="str">
        <f>INDEX([3]Define!X:X,MATCH(D173,[3]Define!W:W))</f>
        <v>精神</v>
      </c>
      <c r="F173">
        <v>51</v>
      </c>
      <c r="G173">
        <v>1</v>
      </c>
      <c r="H173" t="str">
        <f>INDEX([3]Define!B:B,MATCH(G173,[3]Define!A:A))</f>
        <v>単体</v>
      </c>
      <c r="I173">
        <v>0</v>
      </c>
      <c r="J173">
        <v>120</v>
      </c>
      <c r="K173">
        <v>2</v>
      </c>
      <c r="L173" t="str">
        <f>INDEX([3]Define!E:E,MATCH(K173,[3]Define!D:D))</f>
        <v>雷</v>
      </c>
      <c r="M173">
        <v>6</v>
      </c>
      <c r="N173" t="str">
        <f>INDEX([3]Define!H:H,MATCH(M173,[3]Define!G:G))</f>
        <v>強化</v>
      </c>
      <c r="O173">
        <v>4</v>
      </c>
      <c r="P173" t="str">
        <f>INDEX([3]Define!K:K,MATCH(O173,[3]Define!J:J))</f>
        <v>自身</v>
      </c>
      <c r="Q173">
        <v>4</v>
      </c>
      <c r="R173" t="str">
        <f>INDEX([3]Define!N:N,MATCH(Q173,[3]Define!M:M))</f>
        <v>自身</v>
      </c>
      <c r="S173">
        <v>1</v>
      </c>
      <c r="T173">
        <v>1</v>
      </c>
      <c r="U173">
        <v>1</v>
      </c>
      <c r="V173">
        <v>0</v>
      </c>
    </row>
    <row r="174" spans="1:22" x14ac:dyDescent="0.2">
      <c r="A174">
        <v>402030</v>
      </c>
      <c r="B174">
        <v>402030</v>
      </c>
      <c r="C174" t="str">
        <f>INDEX([3]TextData!B:B,MATCH(B174,[3]TextData!A:A))</f>
        <v>ショックインパルス+</v>
      </c>
      <c r="D174">
        <v>3</v>
      </c>
      <c r="E174" t="str">
        <f>INDEX([3]Define!X:X,MATCH(D174,[3]Define!W:W))</f>
        <v>理術</v>
      </c>
      <c r="F174">
        <v>201</v>
      </c>
      <c r="G174">
        <v>1</v>
      </c>
      <c r="H174" t="str">
        <f>INDEX([3]Define!B:B,MATCH(G174,[3]Define!A:A))</f>
        <v>単体</v>
      </c>
      <c r="I174">
        <v>0</v>
      </c>
      <c r="J174">
        <v>120</v>
      </c>
      <c r="K174">
        <v>2</v>
      </c>
      <c r="L174" t="str">
        <f>INDEX([3]Define!E:E,MATCH(K174,[3]Define!D:D))</f>
        <v>雷</v>
      </c>
      <c r="M174">
        <v>6</v>
      </c>
      <c r="N174" t="str">
        <f>INDEX([3]Define!H:H,MATCH(M174,[3]Define!G:G))</f>
        <v>強化</v>
      </c>
      <c r="O174">
        <v>4</v>
      </c>
      <c r="P174" t="str">
        <f>INDEX([3]Define!K:K,MATCH(O174,[3]Define!J:J))</f>
        <v>自身</v>
      </c>
      <c r="Q174">
        <v>4</v>
      </c>
      <c r="R174" t="str">
        <f>INDEX([3]Define!N:N,MATCH(Q174,[3]Define!M:M))</f>
        <v>自身</v>
      </c>
      <c r="S174">
        <v>1</v>
      </c>
      <c r="T174">
        <v>1</v>
      </c>
      <c r="U174">
        <v>1</v>
      </c>
      <c r="V174">
        <v>0</v>
      </c>
    </row>
    <row r="175" spans="1:22" x14ac:dyDescent="0.2">
      <c r="A175">
        <v>402040</v>
      </c>
      <c r="B175">
        <v>402040</v>
      </c>
      <c r="C175" t="str">
        <f>INDEX([3]TextData!B:B,MATCH(B175,[3]TextData!A:A))</f>
        <v>トラストチェイン+</v>
      </c>
      <c r="D175">
        <v>1</v>
      </c>
      <c r="E175" t="str">
        <f>INDEX([3]Define!X:X,MATCH(D175,[3]Define!W:W))</f>
        <v>元素</v>
      </c>
      <c r="F175">
        <v>51</v>
      </c>
      <c r="G175">
        <v>1</v>
      </c>
      <c r="H175" t="str">
        <f>INDEX([3]Define!B:B,MATCH(G175,[3]Define!A:A))</f>
        <v>単体</v>
      </c>
      <c r="I175">
        <v>0</v>
      </c>
      <c r="J175">
        <v>120</v>
      </c>
      <c r="K175">
        <v>2</v>
      </c>
      <c r="L175" t="str">
        <f>INDEX([3]Define!E:E,MATCH(K175,[3]Define!D:D))</f>
        <v>雷</v>
      </c>
      <c r="M175">
        <v>6</v>
      </c>
      <c r="N175" t="str">
        <f>INDEX([3]Define!H:H,MATCH(M175,[3]Define!G:G))</f>
        <v>強化</v>
      </c>
      <c r="O175">
        <v>4</v>
      </c>
      <c r="P175" t="str">
        <f>INDEX([3]Define!K:K,MATCH(O175,[3]Define!J:J))</f>
        <v>自身</v>
      </c>
      <c r="Q175">
        <v>4</v>
      </c>
      <c r="R175" t="str">
        <f>INDEX([3]Define!N:N,MATCH(Q175,[3]Define!M:M))</f>
        <v>自身</v>
      </c>
      <c r="S175">
        <v>1</v>
      </c>
      <c r="T175">
        <v>1</v>
      </c>
      <c r="U175">
        <v>1</v>
      </c>
      <c r="V175">
        <v>0</v>
      </c>
    </row>
    <row r="176" spans="1:22" x14ac:dyDescent="0.2">
      <c r="A176">
        <v>402050</v>
      </c>
      <c r="B176">
        <v>402050</v>
      </c>
      <c r="C176" t="str">
        <f>INDEX([3]TextData!B:B,MATCH(B176,[3]TextData!A:A))</f>
        <v>スペルバニシング+</v>
      </c>
      <c r="D176">
        <v>1</v>
      </c>
      <c r="E176" t="str">
        <f>INDEX([3]Define!X:X,MATCH(D176,[3]Define!W:W))</f>
        <v>元素</v>
      </c>
      <c r="F176">
        <v>201</v>
      </c>
      <c r="G176">
        <v>1</v>
      </c>
      <c r="H176" t="str">
        <f>INDEX([3]Define!B:B,MATCH(G176,[3]Define!A:A))</f>
        <v>単体</v>
      </c>
      <c r="I176">
        <v>0</v>
      </c>
      <c r="J176">
        <v>120</v>
      </c>
      <c r="K176">
        <v>2</v>
      </c>
      <c r="L176" t="str">
        <f>INDEX([3]Define!E:E,MATCH(K176,[3]Define!D:D))</f>
        <v>雷</v>
      </c>
      <c r="M176">
        <v>6</v>
      </c>
      <c r="N176" t="str">
        <f>INDEX([3]Define!H:H,MATCH(M176,[3]Define!G:G))</f>
        <v>強化</v>
      </c>
      <c r="O176">
        <v>4</v>
      </c>
      <c r="P176" t="str">
        <f>INDEX([3]Define!K:K,MATCH(O176,[3]Define!J:J))</f>
        <v>自身</v>
      </c>
      <c r="Q176">
        <v>4</v>
      </c>
      <c r="R176" t="str">
        <f>INDEX([3]Define!N:N,MATCH(Q176,[3]Define!M:M))</f>
        <v>自身</v>
      </c>
      <c r="S176">
        <v>1</v>
      </c>
      <c r="T176">
        <v>1</v>
      </c>
      <c r="U176">
        <v>1</v>
      </c>
      <c r="V176">
        <v>0</v>
      </c>
    </row>
    <row r="177" spans="1:22" x14ac:dyDescent="0.2">
      <c r="A177">
        <v>402060</v>
      </c>
      <c r="B177">
        <v>402060</v>
      </c>
      <c r="C177" t="str">
        <f>INDEX([3]TextData!B:B,MATCH(B177,[3]TextData!A:A))</f>
        <v>アーテニーストライク+</v>
      </c>
      <c r="D177">
        <v>1</v>
      </c>
      <c r="E177" t="str">
        <f>INDEX([3]Define!X:X,MATCH(D177,[3]Define!W:W))</f>
        <v>元素</v>
      </c>
      <c r="F177">
        <v>201</v>
      </c>
      <c r="G177">
        <v>1</v>
      </c>
      <c r="H177" t="str">
        <f>INDEX([3]Define!B:B,MATCH(G177,[3]Define!A:A))</f>
        <v>単体</v>
      </c>
      <c r="I177">
        <v>0</v>
      </c>
      <c r="J177">
        <v>120</v>
      </c>
      <c r="K177">
        <v>2</v>
      </c>
      <c r="L177" t="str">
        <f>INDEX([3]Define!E:E,MATCH(K177,[3]Define!D:D))</f>
        <v>雷</v>
      </c>
      <c r="M177">
        <v>6</v>
      </c>
      <c r="N177" t="str">
        <f>INDEX([3]Define!H:H,MATCH(M177,[3]Define!G:G))</f>
        <v>強化</v>
      </c>
      <c r="O177">
        <v>4</v>
      </c>
      <c r="P177" t="str">
        <f>INDEX([3]Define!K:K,MATCH(O177,[3]Define!J:J))</f>
        <v>自身</v>
      </c>
      <c r="Q177">
        <v>4</v>
      </c>
      <c r="R177" t="str">
        <f>INDEX([3]Define!N:N,MATCH(Q177,[3]Define!M:M))</f>
        <v>自身</v>
      </c>
      <c r="S177">
        <v>1</v>
      </c>
      <c r="T177">
        <v>1</v>
      </c>
      <c r="U177">
        <v>1</v>
      </c>
      <c r="V177">
        <v>0</v>
      </c>
    </row>
    <row r="178" spans="1:22" x14ac:dyDescent="0.2">
      <c r="A178">
        <v>402070</v>
      </c>
      <c r="B178">
        <v>402070</v>
      </c>
      <c r="C178" t="str">
        <f>INDEX([3]TextData!B:B,MATCH(B178,[3]TextData!A:A))</f>
        <v>コンセントレイト+</v>
      </c>
      <c r="D178">
        <v>3</v>
      </c>
      <c r="E178" t="str">
        <f>INDEX([3]Define!X:X,MATCH(D178,[3]Define!W:W))</f>
        <v>理術</v>
      </c>
      <c r="F178">
        <v>51</v>
      </c>
      <c r="G178">
        <v>1</v>
      </c>
      <c r="H178" t="str">
        <f>INDEX([3]Define!B:B,MATCH(G178,[3]Define!A:A))</f>
        <v>単体</v>
      </c>
      <c r="I178">
        <v>0</v>
      </c>
      <c r="J178">
        <v>120</v>
      </c>
      <c r="K178">
        <v>2</v>
      </c>
      <c r="L178" t="str">
        <f>INDEX([3]Define!E:E,MATCH(K178,[3]Define!D:D))</f>
        <v>雷</v>
      </c>
      <c r="M178">
        <v>6</v>
      </c>
      <c r="N178" t="str">
        <f>INDEX([3]Define!H:H,MATCH(M178,[3]Define!G:G))</f>
        <v>強化</v>
      </c>
      <c r="O178">
        <v>4</v>
      </c>
      <c r="P178" t="str">
        <f>INDEX([3]Define!K:K,MATCH(O178,[3]Define!J:J))</f>
        <v>自身</v>
      </c>
      <c r="Q178">
        <v>4</v>
      </c>
      <c r="R178" t="str">
        <f>INDEX([3]Define!N:N,MATCH(Q178,[3]Define!M:M))</f>
        <v>自身</v>
      </c>
      <c r="S178">
        <v>1</v>
      </c>
      <c r="T178">
        <v>1</v>
      </c>
      <c r="U178">
        <v>1</v>
      </c>
      <c r="V178">
        <v>0</v>
      </c>
    </row>
    <row r="179" spans="1:22" x14ac:dyDescent="0.2">
      <c r="A179">
        <v>402080</v>
      </c>
      <c r="B179">
        <v>402080</v>
      </c>
      <c r="C179" t="str">
        <f>INDEX([3]TextData!B:B,MATCH(B179,[3]TextData!A:A))</f>
        <v>ディレイマジック+</v>
      </c>
      <c r="D179">
        <v>5</v>
      </c>
      <c r="E179" t="str">
        <f>INDEX([3]Define!X:X,MATCH(D179,[3]Define!W:W))</f>
        <v>超次元</v>
      </c>
      <c r="F179">
        <v>201</v>
      </c>
      <c r="G179">
        <v>1</v>
      </c>
      <c r="H179" t="str">
        <f>INDEX([3]Define!B:B,MATCH(G179,[3]Define!A:A))</f>
        <v>単体</v>
      </c>
      <c r="I179">
        <v>0</v>
      </c>
      <c r="J179">
        <v>120</v>
      </c>
      <c r="K179">
        <v>2</v>
      </c>
      <c r="L179" t="str">
        <f>INDEX([3]Define!E:E,MATCH(K179,[3]Define!D:D))</f>
        <v>雷</v>
      </c>
      <c r="M179">
        <v>6</v>
      </c>
      <c r="N179" t="str">
        <f>INDEX([3]Define!H:H,MATCH(M179,[3]Define!G:G))</f>
        <v>強化</v>
      </c>
      <c r="O179">
        <v>4</v>
      </c>
      <c r="P179" t="str">
        <f>INDEX([3]Define!K:K,MATCH(O179,[3]Define!J:J))</f>
        <v>自身</v>
      </c>
      <c r="Q179">
        <v>4</v>
      </c>
      <c r="R179" t="str">
        <f>INDEX([3]Define!N:N,MATCH(Q179,[3]Define!M:M))</f>
        <v>自身</v>
      </c>
      <c r="S179">
        <v>1</v>
      </c>
      <c r="T179">
        <v>1</v>
      </c>
      <c r="U179">
        <v>1</v>
      </c>
      <c r="V179">
        <v>0</v>
      </c>
    </row>
    <row r="180" spans="1:22" x14ac:dyDescent="0.2">
      <c r="A180">
        <v>403010</v>
      </c>
      <c r="B180">
        <v>403010</v>
      </c>
      <c r="C180" t="str">
        <f>INDEX([3]TextData!B:B,MATCH(B180,[3]TextData!A:A))</f>
        <v>アイスブレイド+</v>
      </c>
      <c r="D180">
        <v>1</v>
      </c>
      <c r="E180" t="str">
        <f>INDEX([3]Define!X:X,MATCH(D180,[3]Define!W:W))</f>
        <v>元素</v>
      </c>
      <c r="F180">
        <v>301</v>
      </c>
      <c r="G180">
        <v>1</v>
      </c>
      <c r="H180" t="str">
        <f>INDEX([3]Define!B:B,MATCH(G180,[3]Define!A:A))</f>
        <v>単体</v>
      </c>
      <c r="I180">
        <v>0</v>
      </c>
      <c r="J180">
        <v>120</v>
      </c>
      <c r="K180">
        <v>3</v>
      </c>
      <c r="L180" t="str">
        <f>INDEX([3]Define!E:E,MATCH(K180,[3]Define!D:D))</f>
        <v>氷</v>
      </c>
      <c r="M180">
        <v>6</v>
      </c>
      <c r="N180" t="str">
        <f>INDEX([3]Define!H:H,MATCH(M180,[3]Define!G:G))</f>
        <v>強化</v>
      </c>
      <c r="O180">
        <v>4</v>
      </c>
      <c r="P180" t="str">
        <f>INDEX([3]Define!K:K,MATCH(O180,[3]Define!J:J))</f>
        <v>自身</v>
      </c>
      <c r="Q180">
        <v>4</v>
      </c>
      <c r="R180" t="str">
        <f>INDEX([3]Define!N:N,MATCH(Q180,[3]Define!M:M))</f>
        <v>自身</v>
      </c>
      <c r="S180">
        <v>1</v>
      </c>
      <c r="T180">
        <v>1</v>
      </c>
      <c r="U180">
        <v>1</v>
      </c>
      <c r="V180">
        <v>0</v>
      </c>
    </row>
    <row r="181" spans="1:22" x14ac:dyDescent="0.2">
      <c r="A181">
        <v>403020</v>
      </c>
      <c r="B181">
        <v>403020</v>
      </c>
      <c r="C181" t="str">
        <f>INDEX([3]TextData!B:B,MATCH(B181,[3]TextData!A:A))</f>
        <v>カウンターオーラ+</v>
      </c>
      <c r="D181">
        <v>2</v>
      </c>
      <c r="E181" t="str">
        <f>INDEX([3]Define!X:X,MATCH(D181,[3]Define!W:W))</f>
        <v>光</v>
      </c>
      <c r="F181">
        <v>301</v>
      </c>
      <c r="G181">
        <v>1</v>
      </c>
      <c r="H181" t="str">
        <f>INDEX([3]Define!B:B,MATCH(G181,[3]Define!A:A))</f>
        <v>単体</v>
      </c>
      <c r="I181">
        <v>0</v>
      </c>
      <c r="J181">
        <v>120</v>
      </c>
      <c r="K181">
        <v>3</v>
      </c>
      <c r="L181" t="str">
        <f>INDEX([3]Define!E:E,MATCH(K181,[3]Define!D:D))</f>
        <v>氷</v>
      </c>
      <c r="M181">
        <v>6</v>
      </c>
      <c r="N181" t="str">
        <f>INDEX([3]Define!H:H,MATCH(M181,[3]Define!G:G))</f>
        <v>強化</v>
      </c>
      <c r="O181">
        <v>4</v>
      </c>
      <c r="P181" t="str">
        <f>INDEX([3]Define!K:K,MATCH(O181,[3]Define!J:J))</f>
        <v>自身</v>
      </c>
      <c r="Q181">
        <v>4</v>
      </c>
      <c r="R181" t="str">
        <f>INDEX([3]Define!N:N,MATCH(Q181,[3]Define!M:M))</f>
        <v>自身</v>
      </c>
      <c r="S181">
        <v>1</v>
      </c>
      <c r="T181">
        <v>1</v>
      </c>
      <c r="U181">
        <v>1</v>
      </c>
      <c r="V181">
        <v>0</v>
      </c>
    </row>
    <row r="182" spans="1:22" x14ac:dyDescent="0.2">
      <c r="A182">
        <v>403030</v>
      </c>
      <c r="B182">
        <v>403030</v>
      </c>
      <c r="C182" t="str">
        <f>INDEX([3]TextData!B:B,MATCH(B182,[3]TextData!A:A))</f>
        <v>ラインプロテクト+</v>
      </c>
      <c r="D182">
        <v>4</v>
      </c>
      <c r="E182" t="str">
        <f>INDEX([3]Define!X:X,MATCH(D182,[3]Define!W:W))</f>
        <v>精神</v>
      </c>
      <c r="F182">
        <v>51</v>
      </c>
      <c r="G182">
        <v>1</v>
      </c>
      <c r="H182" t="str">
        <f>INDEX([3]Define!B:B,MATCH(G182,[3]Define!A:A))</f>
        <v>単体</v>
      </c>
      <c r="I182">
        <v>0</v>
      </c>
      <c r="J182">
        <v>120</v>
      </c>
      <c r="K182">
        <v>3</v>
      </c>
      <c r="L182" t="str">
        <f>INDEX([3]Define!E:E,MATCH(K182,[3]Define!D:D))</f>
        <v>氷</v>
      </c>
      <c r="M182">
        <v>6</v>
      </c>
      <c r="N182" t="str">
        <f>INDEX([3]Define!H:H,MATCH(M182,[3]Define!G:G))</f>
        <v>強化</v>
      </c>
      <c r="O182">
        <v>4</v>
      </c>
      <c r="P182" t="str">
        <f>INDEX([3]Define!K:K,MATCH(O182,[3]Define!J:J))</f>
        <v>自身</v>
      </c>
      <c r="Q182">
        <v>4</v>
      </c>
      <c r="R182" t="str">
        <f>INDEX([3]Define!N:N,MATCH(Q182,[3]Define!M:M))</f>
        <v>自身</v>
      </c>
      <c r="S182">
        <v>1</v>
      </c>
      <c r="T182">
        <v>1</v>
      </c>
      <c r="U182">
        <v>1</v>
      </c>
      <c r="V182">
        <v>0</v>
      </c>
    </row>
    <row r="183" spans="1:22" x14ac:dyDescent="0.2">
      <c r="A183">
        <v>403040</v>
      </c>
      <c r="B183">
        <v>403040</v>
      </c>
      <c r="C183" t="str">
        <f>INDEX([3]TextData!B:B,MATCH(B183,[3]TextData!A:A))</f>
        <v>エスコートソール+</v>
      </c>
      <c r="D183">
        <v>3</v>
      </c>
      <c r="E183" t="str">
        <f>INDEX([3]Define!X:X,MATCH(D183,[3]Define!W:W))</f>
        <v>理術</v>
      </c>
      <c r="F183">
        <v>61</v>
      </c>
      <c r="G183">
        <v>1</v>
      </c>
      <c r="H183" t="str">
        <f>INDEX([3]Define!B:B,MATCH(G183,[3]Define!A:A))</f>
        <v>単体</v>
      </c>
      <c r="I183">
        <v>0</v>
      </c>
      <c r="J183">
        <v>120</v>
      </c>
      <c r="K183">
        <v>3</v>
      </c>
      <c r="L183" t="str">
        <f>INDEX([3]Define!E:E,MATCH(K183,[3]Define!D:D))</f>
        <v>氷</v>
      </c>
      <c r="M183">
        <v>6</v>
      </c>
      <c r="N183" t="str">
        <f>INDEX([3]Define!H:H,MATCH(M183,[3]Define!G:G))</f>
        <v>強化</v>
      </c>
      <c r="O183">
        <v>4</v>
      </c>
      <c r="P183" t="str">
        <f>INDEX([3]Define!K:K,MATCH(O183,[3]Define!J:J))</f>
        <v>自身</v>
      </c>
      <c r="Q183">
        <v>4</v>
      </c>
      <c r="R183" t="str">
        <f>INDEX([3]Define!N:N,MATCH(Q183,[3]Define!M:M))</f>
        <v>自身</v>
      </c>
      <c r="S183">
        <v>1</v>
      </c>
      <c r="T183">
        <v>1</v>
      </c>
      <c r="U183">
        <v>1</v>
      </c>
      <c r="V183">
        <v>0</v>
      </c>
    </row>
    <row r="184" spans="1:22" x14ac:dyDescent="0.2">
      <c r="A184">
        <v>403050</v>
      </c>
      <c r="B184">
        <v>403050</v>
      </c>
      <c r="C184" t="str">
        <f>INDEX([3]TextData!B:B,MATCH(B184,[3]TextData!A:A))</f>
        <v>ディープフリーズ+</v>
      </c>
      <c r="D184">
        <v>3</v>
      </c>
      <c r="E184" t="str">
        <f>INDEX([3]Define!X:X,MATCH(D184,[3]Define!W:W))</f>
        <v>理術</v>
      </c>
      <c r="F184">
        <v>301</v>
      </c>
      <c r="G184">
        <v>1</v>
      </c>
      <c r="H184" t="str">
        <f>INDEX([3]Define!B:B,MATCH(G184,[3]Define!A:A))</f>
        <v>単体</v>
      </c>
      <c r="I184">
        <v>0</v>
      </c>
      <c r="J184">
        <v>120</v>
      </c>
      <c r="K184">
        <v>3</v>
      </c>
      <c r="L184" t="str">
        <f>INDEX([3]Define!E:E,MATCH(K184,[3]Define!D:D))</f>
        <v>氷</v>
      </c>
      <c r="M184">
        <v>6</v>
      </c>
      <c r="N184" t="str">
        <f>INDEX([3]Define!H:H,MATCH(M184,[3]Define!G:G))</f>
        <v>強化</v>
      </c>
      <c r="O184">
        <v>4</v>
      </c>
      <c r="P184" t="str">
        <f>INDEX([3]Define!K:K,MATCH(O184,[3]Define!J:J))</f>
        <v>自身</v>
      </c>
      <c r="Q184">
        <v>4</v>
      </c>
      <c r="R184" t="str">
        <f>INDEX([3]Define!N:N,MATCH(Q184,[3]Define!M:M))</f>
        <v>自身</v>
      </c>
      <c r="S184">
        <v>1</v>
      </c>
      <c r="T184">
        <v>1</v>
      </c>
      <c r="U184">
        <v>1</v>
      </c>
      <c r="V184">
        <v>0</v>
      </c>
    </row>
    <row r="185" spans="1:22" x14ac:dyDescent="0.2">
      <c r="A185">
        <v>403060</v>
      </c>
      <c r="B185">
        <v>403060</v>
      </c>
      <c r="C185" t="str">
        <f>INDEX([3]TextData!B:B,MATCH(B185,[3]TextData!A:A))</f>
        <v>バブルブロウ+</v>
      </c>
      <c r="D185">
        <v>3</v>
      </c>
      <c r="E185" t="str">
        <f>INDEX([3]Define!X:X,MATCH(D185,[3]Define!W:W))</f>
        <v>理術</v>
      </c>
      <c r="F185">
        <v>301</v>
      </c>
      <c r="G185">
        <v>1</v>
      </c>
      <c r="H185" t="str">
        <f>INDEX([3]Define!B:B,MATCH(G185,[3]Define!A:A))</f>
        <v>単体</v>
      </c>
      <c r="I185">
        <v>0</v>
      </c>
      <c r="J185">
        <v>120</v>
      </c>
      <c r="K185">
        <v>3</v>
      </c>
      <c r="L185" t="str">
        <f>INDEX([3]Define!E:E,MATCH(K185,[3]Define!D:D))</f>
        <v>氷</v>
      </c>
      <c r="M185">
        <v>6</v>
      </c>
      <c r="N185" t="str">
        <f>INDEX([3]Define!H:H,MATCH(M185,[3]Define!G:G))</f>
        <v>強化</v>
      </c>
      <c r="O185">
        <v>4</v>
      </c>
      <c r="P185" t="str">
        <f>INDEX([3]Define!K:K,MATCH(O185,[3]Define!J:J))</f>
        <v>自身</v>
      </c>
      <c r="Q185">
        <v>4</v>
      </c>
      <c r="R185" t="str">
        <f>INDEX([3]Define!N:N,MATCH(Q185,[3]Define!M:M))</f>
        <v>自身</v>
      </c>
      <c r="S185">
        <v>1</v>
      </c>
      <c r="T185">
        <v>1</v>
      </c>
      <c r="U185">
        <v>1</v>
      </c>
      <c r="V185">
        <v>0</v>
      </c>
    </row>
    <row r="186" spans="1:22" x14ac:dyDescent="0.2">
      <c r="A186">
        <v>403070</v>
      </c>
      <c r="B186">
        <v>403070</v>
      </c>
      <c r="C186" t="str">
        <f>INDEX([3]TextData!B:B,MATCH(B186,[3]TextData!A:A))</f>
        <v>アクアミラージュ+</v>
      </c>
      <c r="D186">
        <v>4</v>
      </c>
      <c r="E186" t="str">
        <f>INDEX([3]Define!X:X,MATCH(D186,[3]Define!W:W))</f>
        <v>精神</v>
      </c>
      <c r="F186">
        <v>51</v>
      </c>
      <c r="G186">
        <v>1</v>
      </c>
      <c r="H186" t="str">
        <f>INDEX([3]Define!B:B,MATCH(G186,[3]Define!A:A))</f>
        <v>単体</v>
      </c>
      <c r="I186">
        <v>0</v>
      </c>
      <c r="J186">
        <v>120</v>
      </c>
      <c r="K186">
        <v>3</v>
      </c>
      <c r="L186" t="str">
        <f>INDEX([3]Define!E:E,MATCH(K186,[3]Define!D:D))</f>
        <v>氷</v>
      </c>
      <c r="M186">
        <v>6</v>
      </c>
      <c r="N186" t="str">
        <f>INDEX([3]Define!H:H,MATCH(M186,[3]Define!G:G))</f>
        <v>強化</v>
      </c>
      <c r="O186">
        <v>4</v>
      </c>
      <c r="P186" t="str">
        <f>INDEX([3]Define!K:K,MATCH(O186,[3]Define!J:J))</f>
        <v>自身</v>
      </c>
      <c r="Q186">
        <v>4</v>
      </c>
      <c r="R186" t="str">
        <f>INDEX([3]Define!N:N,MATCH(Q186,[3]Define!M:M))</f>
        <v>自身</v>
      </c>
      <c r="S186">
        <v>1</v>
      </c>
      <c r="T186">
        <v>1</v>
      </c>
      <c r="U186">
        <v>1</v>
      </c>
      <c r="V186">
        <v>0</v>
      </c>
    </row>
    <row r="187" spans="1:22" x14ac:dyDescent="0.2">
      <c r="A187">
        <v>403080</v>
      </c>
      <c r="B187">
        <v>403080</v>
      </c>
      <c r="C187" t="str">
        <f>INDEX([3]TextData!B:B,MATCH(B187,[3]TextData!A:A))</f>
        <v>フロストシールド+</v>
      </c>
      <c r="D187">
        <v>4</v>
      </c>
      <c r="E187" t="str">
        <f>INDEX([3]Define!X:X,MATCH(D187,[3]Define!W:W))</f>
        <v>精神</v>
      </c>
      <c r="F187">
        <v>51</v>
      </c>
      <c r="G187">
        <v>1</v>
      </c>
      <c r="H187" t="str">
        <f>INDEX([3]Define!B:B,MATCH(G187,[3]Define!A:A))</f>
        <v>単体</v>
      </c>
      <c r="I187">
        <v>0</v>
      </c>
      <c r="J187">
        <v>120</v>
      </c>
      <c r="K187">
        <v>3</v>
      </c>
      <c r="L187" t="str">
        <f>INDEX([3]Define!E:E,MATCH(K187,[3]Define!D:D))</f>
        <v>氷</v>
      </c>
      <c r="M187">
        <v>6</v>
      </c>
      <c r="N187" t="str">
        <f>INDEX([3]Define!H:H,MATCH(M187,[3]Define!G:G))</f>
        <v>強化</v>
      </c>
      <c r="O187">
        <v>4</v>
      </c>
      <c r="P187" t="str">
        <f>INDEX([3]Define!K:K,MATCH(O187,[3]Define!J:J))</f>
        <v>自身</v>
      </c>
      <c r="Q187">
        <v>4</v>
      </c>
      <c r="R187" t="str">
        <f>INDEX([3]Define!N:N,MATCH(Q187,[3]Define!M:M))</f>
        <v>自身</v>
      </c>
      <c r="S187">
        <v>1</v>
      </c>
      <c r="T187">
        <v>1</v>
      </c>
      <c r="U187">
        <v>1</v>
      </c>
      <c r="V187">
        <v>0</v>
      </c>
    </row>
    <row r="188" spans="1:22" ht="12" customHeight="1" x14ac:dyDescent="0.2">
      <c r="A188">
        <v>404010</v>
      </c>
      <c r="B188">
        <v>404010</v>
      </c>
      <c r="C188" t="str">
        <f>INDEX([3]TextData!B:B,MATCH(B188,[3]TextData!A:A))</f>
        <v>セイントレーザー+</v>
      </c>
      <c r="D188">
        <v>1</v>
      </c>
      <c r="E188" t="str">
        <f>INDEX([3]Define!X:X,MATCH(D188,[3]Define!W:W))</f>
        <v>元素</v>
      </c>
      <c r="F188">
        <v>401</v>
      </c>
      <c r="G188">
        <v>1</v>
      </c>
      <c r="H188" t="str">
        <f>INDEX([3]Define!B:B,MATCH(G188,[3]Define!A:A))</f>
        <v>単体</v>
      </c>
      <c r="I188">
        <v>0</v>
      </c>
      <c r="J188">
        <v>120</v>
      </c>
      <c r="K188">
        <v>4</v>
      </c>
      <c r="L188" t="str">
        <f>INDEX([3]Define!E:E,MATCH(K188,[3]Define!D:D))</f>
        <v>光</v>
      </c>
      <c r="M188">
        <v>6</v>
      </c>
      <c r="N188" t="str">
        <f>INDEX([3]Define!H:H,MATCH(M188,[3]Define!G:G))</f>
        <v>強化</v>
      </c>
      <c r="O188">
        <v>4</v>
      </c>
      <c r="P188" t="str">
        <f>INDEX([3]Define!K:K,MATCH(O188,[3]Define!J:J))</f>
        <v>自身</v>
      </c>
      <c r="Q188">
        <v>4</v>
      </c>
      <c r="R188" t="str">
        <f>INDEX([3]Define!N:N,MATCH(Q188,[3]Define!M:M))</f>
        <v>自身</v>
      </c>
      <c r="S188">
        <v>1</v>
      </c>
      <c r="T188">
        <v>1</v>
      </c>
      <c r="U188">
        <v>1</v>
      </c>
      <c r="V188">
        <v>0</v>
      </c>
    </row>
    <row r="189" spans="1:22" ht="12" customHeight="1" x14ac:dyDescent="0.2">
      <c r="A189">
        <v>404020</v>
      </c>
      <c r="B189">
        <v>404020</v>
      </c>
      <c r="C189" t="str">
        <f>INDEX([3]TextData!B:B,MATCH(B189,[3]TextData!A:A))</f>
        <v>ペネトレイト+</v>
      </c>
      <c r="D189">
        <v>1</v>
      </c>
      <c r="E189" t="str">
        <f>INDEX([3]Define!X:X,MATCH(D189,[3]Define!W:W))</f>
        <v>元素</v>
      </c>
      <c r="F189">
        <v>401</v>
      </c>
      <c r="G189">
        <v>1</v>
      </c>
      <c r="H189" t="str">
        <f>INDEX([3]Define!B:B,MATCH(G189,[3]Define!A:A))</f>
        <v>単体</v>
      </c>
      <c r="I189">
        <v>0</v>
      </c>
      <c r="J189">
        <v>120</v>
      </c>
      <c r="K189">
        <v>4</v>
      </c>
      <c r="L189" t="str">
        <f>INDEX([3]Define!E:E,MATCH(K189,[3]Define!D:D))</f>
        <v>光</v>
      </c>
      <c r="M189">
        <v>6</v>
      </c>
      <c r="N189" t="str">
        <f>INDEX([3]Define!H:H,MATCH(M189,[3]Define!G:G))</f>
        <v>強化</v>
      </c>
      <c r="O189">
        <v>4</v>
      </c>
      <c r="P189" t="str">
        <f>INDEX([3]Define!K:K,MATCH(O189,[3]Define!J:J))</f>
        <v>自身</v>
      </c>
      <c r="Q189">
        <v>4</v>
      </c>
      <c r="R189" t="str">
        <f>INDEX([3]Define!N:N,MATCH(Q189,[3]Define!M:M))</f>
        <v>自身</v>
      </c>
      <c r="S189">
        <v>1</v>
      </c>
      <c r="T189">
        <v>1</v>
      </c>
      <c r="U189">
        <v>1</v>
      </c>
      <c r="V189">
        <v>0</v>
      </c>
    </row>
    <row r="190" spans="1:22" ht="12" customHeight="1" x14ac:dyDescent="0.2">
      <c r="A190">
        <v>404030</v>
      </c>
      <c r="B190">
        <v>404030</v>
      </c>
      <c r="C190" t="str">
        <f>INDEX([3]TextData!B:B,MATCH(B190,[3]TextData!A:A))</f>
        <v>ヒーリング+</v>
      </c>
      <c r="D190">
        <v>2</v>
      </c>
      <c r="E190" t="str">
        <f>INDEX([3]Define!X:X,MATCH(D190,[3]Define!W:W))</f>
        <v>光</v>
      </c>
      <c r="F190">
        <v>21</v>
      </c>
      <c r="G190">
        <v>1</v>
      </c>
      <c r="H190" t="str">
        <f>INDEX([3]Define!B:B,MATCH(G190,[3]Define!A:A))</f>
        <v>単体</v>
      </c>
      <c r="I190">
        <v>0</v>
      </c>
      <c r="J190">
        <v>120</v>
      </c>
      <c r="K190">
        <v>4</v>
      </c>
      <c r="L190" t="str">
        <f>INDEX([3]Define!E:E,MATCH(K190,[3]Define!D:D))</f>
        <v>光</v>
      </c>
      <c r="M190">
        <v>6</v>
      </c>
      <c r="N190" t="str">
        <f>INDEX([3]Define!H:H,MATCH(M190,[3]Define!G:G))</f>
        <v>強化</v>
      </c>
      <c r="O190">
        <v>4</v>
      </c>
      <c r="P190" t="str">
        <f>INDEX([3]Define!K:K,MATCH(O190,[3]Define!J:J))</f>
        <v>自身</v>
      </c>
      <c r="Q190">
        <v>4</v>
      </c>
      <c r="R190" t="str">
        <f>INDEX([3]Define!N:N,MATCH(Q190,[3]Define!M:M))</f>
        <v>自身</v>
      </c>
      <c r="S190">
        <v>1</v>
      </c>
      <c r="T190">
        <v>1</v>
      </c>
      <c r="U190">
        <v>1</v>
      </c>
      <c r="V190">
        <v>0</v>
      </c>
    </row>
    <row r="191" spans="1:22" x14ac:dyDescent="0.2">
      <c r="A191">
        <v>404040</v>
      </c>
      <c r="B191">
        <v>404040</v>
      </c>
      <c r="C191" t="str">
        <f>INDEX([3]TextData!B:B,MATCH(B191,[3]TextData!A:A))</f>
        <v>リザイアフォトン+</v>
      </c>
      <c r="D191">
        <v>2</v>
      </c>
      <c r="E191" t="str">
        <f>INDEX([3]Define!X:X,MATCH(D191,[3]Define!W:W))</f>
        <v>光</v>
      </c>
      <c r="F191">
        <v>401</v>
      </c>
      <c r="G191">
        <v>1</v>
      </c>
      <c r="H191" t="str">
        <f>INDEX([3]Define!B:B,MATCH(G191,[3]Define!A:A))</f>
        <v>単体</v>
      </c>
      <c r="I191">
        <v>0</v>
      </c>
      <c r="J191">
        <v>120</v>
      </c>
      <c r="K191">
        <v>4</v>
      </c>
      <c r="L191" t="str">
        <f>INDEX([3]Define!E:E,MATCH(K191,[3]Define!D:D))</f>
        <v>光</v>
      </c>
      <c r="M191">
        <v>6</v>
      </c>
      <c r="N191" t="str">
        <f>INDEX([3]Define!H:H,MATCH(M191,[3]Define!G:G))</f>
        <v>強化</v>
      </c>
      <c r="O191">
        <v>4</v>
      </c>
      <c r="P191" t="str">
        <f>INDEX([3]Define!K:K,MATCH(O191,[3]Define!J:J))</f>
        <v>自身</v>
      </c>
      <c r="Q191">
        <v>4</v>
      </c>
      <c r="R191" t="str">
        <f>INDEX([3]Define!N:N,MATCH(Q191,[3]Define!M:M))</f>
        <v>自身</v>
      </c>
      <c r="S191">
        <v>1</v>
      </c>
      <c r="T191">
        <v>1</v>
      </c>
      <c r="U191">
        <v>1</v>
      </c>
      <c r="V191">
        <v>0</v>
      </c>
    </row>
    <row r="192" spans="1:22" ht="12" customHeight="1" x14ac:dyDescent="0.2">
      <c r="A192">
        <v>404050</v>
      </c>
      <c r="B192">
        <v>404050</v>
      </c>
      <c r="C192" t="str">
        <f>INDEX([3]TextData!B:B,MATCH(B192,[3]TextData!A:A))</f>
        <v>べネディクション+</v>
      </c>
      <c r="D192">
        <v>2</v>
      </c>
      <c r="E192" t="str">
        <f>INDEX([3]Define!X:X,MATCH(D192,[3]Define!W:W))</f>
        <v>光</v>
      </c>
      <c r="F192">
        <v>21</v>
      </c>
      <c r="G192">
        <v>1</v>
      </c>
      <c r="H192" t="str">
        <f>INDEX([3]Define!B:B,MATCH(G192,[3]Define!A:A))</f>
        <v>単体</v>
      </c>
      <c r="I192">
        <v>0</v>
      </c>
      <c r="J192">
        <v>120</v>
      </c>
      <c r="K192">
        <v>4</v>
      </c>
      <c r="L192" t="str">
        <f>INDEX([3]Define!E:E,MATCH(K192,[3]Define!D:D))</f>
        <v>光</v>
      </c>
      <c r="M192">
        <v>6</v>
      </c>
      <c r="N192" t="str">
        <f>INDEX([3]Define!H:H,MATCH(M192,[3]Define!G:G))</f>
        <v>強化</v>
      </c>
      <c r="O192">
        <v>4</v>
      </c>
      <c r="P192" t="str">
        <f>INDEX([3]Define!K:K,MATCH(O192,[3]Define!J:J))</f>
        <v>自身</v>
      </c>
      <c r="Q192">
        <v>4</v>
      </c>
      <c r="R192" t="str">
        <f>INDEX([3]Define!N:N,MATCH(Q192,[3]Define!M:M))</f>
        <v>自身</v>
      </c>
      <c r="S192">
        <v>1</v>
      </c>
      <c r="T192">
        <v>1</v>
      </c>
      <c r="U192">
        <v>1</v>
      </c>
      <c r="V192">
        <v>0</v>
      </c>
    </row>
    <row r="193" spans="1:22" x14ac:dyDescent="0.2">
      <c r="A193">
        <v>404060</v>
      </c>
      <c r="B193">
        <v>404060</v>
      </c>
      <c r="C193" t="str">
        <f>INDEX([3]TextData!B:B,MATCH(B193,[3]TextData!A:A))</f>
        <v>ホーリーグレイス+</v>
      </c>
      <c r="D193">
        <v>2</v>
      </c>
      <c r="E193" t="str">
        <f>INDEX([3]Define!X:X,MATCH(D193,[3]Define!W:W))</f>
        <v>光</v>
      </c>
      <c r="F193">
        <v>21</v>
      </c>
      <c r="G193">
        <v>1</v>
      </c>
      <c r="H193" t="str">
        <f>INDEX([3]Define!B:B,MATCH(G193,[3]Define!A:A))</f>
        <v>単体</v>
      </c>
      <c r="I193">
        <v>0</v>
      </c>
      <c r="J193">
        <v>120</v>
      </c>
      <c r="K193">
        <v>4</v>
      </c>
      <c r="L193" t="str">
        <f>INDEX([3]Define!E:E,MATCH(K193,[3]Define!D:D))</f>
        <v>光</v>
      </c>
      <c r="M193">
        <v>6</v>
      </c>
      <c r="N193" t="str">
        <f>INDEX([3]Define!H:H,MATCH(M193,[3]Define!G:G))</f>
        <v>強化</v>
      </c>
      <c r="O193">
        <v>4</v>
      </c>
      <c r="P193" t="str">
        <f>INDEX([3]Define!K:K,MATCH(O193,[3]Define!J:J))</f>
        <v>自身</v>
      </c>
      <c r="Q193">
        <v>4</v>
      </c>
      <c r="R193" t="str">
        <f>INDEX([3]Define!N:N,MATCH(Q193,[3]Define!M:M))</f>
        <v>自身</v>
      </c>
      <c r="S193">
        <v>1</v>
      </c>
      <c r="T193">
        <v>1</v>
      </c>
      <c r="U193">
        <v>1</v>
      </c>
      <c r="V193">
        <v>0</v>
      </c>
    </row>
    <row r="194" spans="1:22" x14ac:dyDescent="0.2">
      <c r="A194">
        <v>404070</v>
      </c>
      <c r="B194">
        <v>404070</v>
      </c>
      <c r="C194" t="str">
        <f>INDEX([3]TextData!B:B,MATCH(B194,[3]TextData!A:A))</f>
        <v>キュアエール+</v>
      </c>
      <c r="D194">
        <v>2</v>
      </c>
      <c r="E194" t="str">
        <f>INDEX([3]Define!X:X,MATCH(D194,[3]Define!W:W))</f>
        <v>光</v>
      </c>
      <c r="F194">
        <v>21</v>
      </c>
      <c r="G194">
        <v>1</v>
      </c>
      <c r="H194" t="str">
        <f>INDEX([3]Define!B:B,MATCH(G194,[3]Define!A:A))</f>
        <v>単体</v>
      </c>
      <c r="I194">
        <v>0</v>
      </c>
      <c r="J194">
        <v>120</v>
      </c>
      <c r="K194">
        <v>4</v>
      </c>
      <c r="L194" t="str">
        <f>INDEX([3]Define!E:E,MATCH(K194,[3]Define!D:D))</f>
        <v>光</v>
      </c>
      <c r="M194">
        <v>6</v>
      </c>
      <c r="N194" t="str">
        <f>INDEX([3]Define!H:H,MATCH(M194,[3]Define!G:G))</f>
        <v>強化</v>
      </c>
      <c r="O194">
        <v>4</v>
      </c>
      <c r="P194" t="str">
        <f>INDEX([3]Define!K:K,MATCH(O194,[3]Define!J:J))</f>
        <v>自身</v>
      </c>
      <c r="Q194">
        <v>4</v>
      </c>
      <c r="R194" t="str">
        <f>INDEX([3]Define!N:N,MATCH(Q194,[3]Define!M:M))</f>
        <v>自身</v>
      </c>
      <c r="S194">
        <v>1</v>
      </c>
      <c r="T194">
        <v>1</v>
      </c>
      <c r="U194">
        <v>1</v>
      </c>
      <c r="V194">
        <v>0</v>
      </c>
    </row>
    <row r="195" spans="1:22" x14ac:dyDescent="0.2">
      <c r="A195">
        <v>404080</v>
      </c>
      <c r="B195">
        <v>404080</v>
      </c>
      <c r="C195" t="str">
        <f>INDEX([3]TextData!B:B,MATCH(B195,[3]TextData!A:A))</f>
        <v>ラインバリア+</v>
      </c>
      <c r="D195">
        <v>2</v>
      </c>
      <c r="E195" t="str">
        <f>INDEX([3]Define!X:X,MATCH(D195,[3]Define!W:W))</f>
        <v>光</v>
      </c>
      <c r="F195">
        <v>51</v>
      </c>
      <c r="G195">
        <v>1</v>
      </c>
      <c r="H195" t="str">
        <f>INDEX([3]Define!B:B,MATCH(G195,[3]Define!A:A))</f>
        <v>単体</v>
      </c>
      <c r="I195">
        <v>0</v>
      </c>
      <c r="J195">
        <v>120</v>
      </c>
      <c r="K195">
        <v>4</v>
      </c>
      <c r="L195" t="str">
        <f>INDEX([3]Define!E:E,MATCH(K195,[3]Define!D:D))</f>
        <v>光</v>
      </c>
      <c r="M195">
        <v>6</v>
      </c>
      <c r="N195" t="str">
        <f>INDEX([3]Define!H:H,MATCH(M195,[3]Define!G:G))</f>
        <v>強化</v>
      </c>
      <c r="O195">
        <v>4</v>
      </c>
      <c r="P195" t="str">
        <f>INDEX([3]Define!K:K,MATCH(O195,[3]Define!J:J))</f>
        <v>自身</v>
      </c>
      <c r="Q195">
        <v>4</v>
      </c>
      <c r="R195" t="str">
        <f>INDEX([3]Define!N:N,MATCH(Q195,[3]Define!M:M))</f>
        <v>自身</v>
      </c>
      <c r="S195">
        <v>1</v>
      </c>
      <c r="T195">
        <v>1</v>
      </c>
      <c r="U195">
        <v>1</v>
      </c>
      <c r="V195">
        <v>0</v>
      </c>
    </row>
    <row r="196" spans="1:22" ht="12" customHeight="1" x14ac:dyDescent="0.2">
      <c r="A196">
        <v>405010</v>
      </c>
      <c r="B196">
        <v>405010</v>
      </c>
      <c r="C196" t="str">
        <f>INDEX([3]TextData!B:B,MATCH(B196,[3]TextData!A:A))</f>
        <v>ダークプリズン+</v>
      </c>
      <c r="D196">
        <v>5</v>
      </c>
      <c r="E196" t="str">
        <f>INDEX([3]Define!X:X,MATCH(D196,[3]Define!W:W))</f>
        <v>超次元</v>
      </c>
      <c r="F196">
        <v>501</v>
      </c>
      <c r="G196">
        <v>1</v>
      </c>
      <c r="H196" t="str">
        <f>INDEX([3]Define!B:B,MATCH(G196,[3]Define!A:A))</f>
        <v>単体</v>
      </c>
      <c r="I196">
        <v>0</v>
      </c>
      <c r="J196">
        <v>120</v>
      </c>
      <c r="K196">
        <v>5</v>
      </c>
      <c r="L196" t="str">
        <f>INDEX([3]Define!E:E,MATCH(K196,[3]Define!D:D))</f>
        <v>闇</v>
      </c>
      <c r="M196">
        <v>6</v>
      </c>
      <c r="N196" t="str">
        <f>INDEX([3]Define!H:H,MATCH(M196,[3]Define!G:G))</f>
        <v>強化</v>
      </c>
      <c r="O196">
        <v>4</v>
      </c>
      <c r="P196" t="str">
        <f>INDEX([3]Define!K:K,MATCH(O196,[3]Define!J:J))</f>
        <v>自身</v>
      </c>
      <c r="Q196">
        <v>4</v>
      </c>
      <c r="R196" t="str">
        <f>INDEX([3]Define!N:N,MATCH(Q196,[3]Define!M:M))</f>
        <v>自身</v>
      </c>
      <c r="S196">
        <v>1</v>
      </c>
      <c r="T196">
        <v>1</v>
      </c>
      <c r="U196">
        <v>1</v>
      </c>
      <c r="V196">
        <v>0</v>
      </c>
    </row>
    <row r="197" spans="1:22" ht="12" customHeight="1" x14ac:dyDescent="0.2">
      <c r="A197">
        <v>405020</v>
      </c>
      <c r="B197">
        <v>405020</v>
      </c>
      <c r="C197" t="str">
        <f>INDEX([3]TextData!B:B,MATCH(B197,[3]TextData!A:A))</f>
        <v>ユーサネイジア+</v>
      </c>
      <c r="D197">
        <v>5</v>
      </c>
      <c r="E197" t="str">
        <f>INDEX([3]Define!X:X,MATCH(D197,[3]Define!W:W))</f>
        <v>超次元</v>
      </c>
      <c r="F197">
        <v>501</v>
      </c>
      <c r="G197">
        <v>3</v>
      </c>
      <c r="H197" t="str">
        <f>INDEX([3]Define!B:B,MATCH(G197,[3]Define!A:A))</f>
        <v>全体</v>
      </c>
      <c r="I197">
        <v>0</v>
      </c>
      <c r="J197">
        <v>120</v>
      </c>
      <c r="K197">
        <v>5</v>
      </c>
      <c r="L197" t="str">
        <f>INDEX([3]Define!E:E,MATCH(K197,[3]Define!D:D))</f>
        <v>闇</v>
      </c>
      <c r="M197">
        <v>6</v>
      </c>
      <c r="N197" t="str">
        <f>INDEX([3]Define!H:H,MATCH(M197,[3]Define!G:G))</f>
        <v>強化</v>
      </c>
      <c r="O197">
        <v>4</v>
      </c>
      <c r="P197" t="str">
        <f>INDEX([3]Define!K:K,MATCH(O197,[3]Define!J:J))</f>
        <v>自身</v>
      </c>
      <c r="Q197">
        <v>4</v>
      </c>
      <c r="R197" t="str">
        <f>INDEX([3]Define!N:N,MATCH(Q197,[3]Define!M:M))</f>
        <v>自身</v>
      </c>
      <c r="S197">
        <v>1</v>
      </c>
      <c r="T197">
        <v>1</v>
      </c>
      <c r="U197">
        <v>1</v>
      </c>
      <c r="V197">
        <v>0</v>
      </c>
    </row>
    <row r="198" spans="1:22" ht="12" customHeight="1" x14ac:dyDescent="0.2">
      <c r="A198">
        <v>405030</v>
      </c>
      <c r="B198">
        <v>405030</v>
      </c>
      <c r="C198" t="str">
        <f>INDEX([3]TextData!B:B,MATCH(B198,[3]TextData!A:A))</f>
        <v>ドレインヒール+</v>
      </c>
      <c r="D198">
        <v>5</v>
      </c>
      <c r="E198" t="str">
        <f>INDEX([3]Define!X:X,MATCH(D198,[3]Define!W:W))</f>
        <v>超次元</v>
      </c>
      <c r="F198">
        <v>501</v>
      </c>
      <c r="G198">
        <v>1</v>
      </c>
      <c r="H198" t="str">
        <f>INDEX([3]Define!B:B,MATCH(G198,[3]Define!A:A))</f>
        <v>単体</v>
      </c>
      <c r="I198">
        <v>0</v>
      </c>
      <c r="J198">
        <v>120</v>
      </c>
      <c r="K198">
        <v>5</v>
      </c>
      <c r="L198" t="str">
        <f>INDEX([3]Define!E:E,MATCH(K198,[3]Define!D:D))</f>
        <v>闇</v>
      </c>
      <c r="M198">
        <v>6</v>
      </c>
      <c r="N198" t="str">
        <f>INDEX([3]Define!H:H,MATCH(M198,[3]Define!G:G))</f>
        <v>強化</v>
      </c>
      <c r="O198">
        <v>4</v>
      </c>
      <c r="P198" t="str">
        <f>INDEX([3]Define!K:K,MATCH(O198,[3]Define!J:J))</f>
        <v>自身</v>
      </c>
      <c r="Q198">
        <v>4</v>
      </c>
      <c r="R198" t="str">
        <f>INDEX([3]Define!N:N,MATCH(Q198,[3]Define!M:M))</f>
        <v>自身</v>
      </c>
      <c r="S198">
        <v>1</v>
      </c>
      <c r="T198">
        <v>1</v>
      </c>
      <c r="U198">
        <v>1</v>
      </c>
      <c r="V198">
        <v>0</v>
      </c>
    </row>
    <row r="199" spans="1:22" ht="12" customHeight="1" x14ac:dyDescent="0.2">
      <c r="A199">
        <v>405040</v>
      </c>
      <c r="B199">
        <v>405040</v>
      </c>
      <c r="C199" t="str">
        <f>INDEX([3]TextData!B:B,MATCH(B199,[3]TextData!A:A))</f>
        <v>アビサルデスペア+</v>
      </c>
      <c r="D199">
        <v>5</v>
      </c>
      <c r="E199" t="str">
        <f>INDEX([3]Define!X:X,MATCH(D199,[3]Define!W:W))</f>
        <v>超次元</v>
      </c>
      <c r="F199">
        <v>501</v>
      </c>
      <c r="G199">
        <v>1</v>
      </c>
      <c r="H199" t="str">
        <f>INDEX([3]Define!B:B,MATCH(G199,[3]Define!A:A))</f>
        <v>単体</v>
      </c>
      <c r="I199">
        <v>0</v>
      </c>
      <c r="J199">
        <v>120</v>
      </c>
      <c r="K199">
        <v>5</v>
      </c>
      <c r="L199" t="str">
        <f>INDEX([3]Define!E:E,MATCH(K199,[3]Define!D:D))</f>
        <v>闇</v>
      </c>
      <c r="M199">
        <v>6</v>
      </c>
      <c r="N199" t="str">
        <f>INDEX([3]Define!H:H,MATCH(M199,[3]Define!G:G))</f>
        <v>強化</v>
      </c>
      <c r="O199">
        <v>4</v>
      </c>
      <c r="P199" t="str">
        <f>INDEX([3]Define!K:K,MATCH(O199,[3]Define!J:J))</f>
        <v>自身</v>
      </c>
      <c r="Q199">
        <v>4</v>
      </c>
      <c r="R199" t="str">
        <f>INDEX([3]Define!N:N,MATCH(Q199,[3]Define!M:M))</f>
        <v>自身</v>
      </c>
      <c r="S199">
        <v>1</v>
      </c>
      <c r="T199">
        <v>1</v>
      </c>
      <c r="U199">
        <v>1</v>
      </c>
      <c r="V199">
        <v>0</v>
      </c>
    </row>
    <row r="200" spans="1:22" ht="12" customHeight="1" x14ac:dyDescent="0.2">
      <c r="A200">
        <v>405050</v>
      </c>
      <c r="B200">
        <v>405050</v>
      </c>
      <c r="C200" t="str">
        <f>INDEX([3]TextData!B:B,MATCH(B200,[3]TextData!A:A))</f>
        <v>ディプラヴィティ+</v>
      </c>
      <c r="D200">
        <v>3</v>
      </c>
      <c r="E200" t="str">
        <f>INDEX([3]Define!X:X,MATCH(D200,[3]Define!W:W))</f>
        <v>理術</v>
      </c>
      <c r="F200">
        <v>501</v>
      </c>
      <c r="G200">
        <v>1</v>
      </c>
      <c r="H200" t="str">
        <f>INDEX([3]Define!B:B,MATCH(G200,[3]Define!A:A))</f>
        <v>単体</v>
      </c>
      <c r="I200">
        <v>0</v>
      </c>
      <c r="J200">
        <v>120</v>
      </c>
      <c r="K200">
        <v>5</v>
      </c>
      <c r="L200" t="str">
        <f>INDEX([3]Define!E:E,MATCH(K200,[3]Define!D:D))</f>
        <v>闇</v>
      </c>
      <c r="M200">
        <v>6</v>
      </c>
      <c r="N200" t="str">
        <f>INDEX([3]Define!H:H,MATCH(M200,[3]Define!G:G))</f>
        <v>強化</v>
      </c>
      <c r="O200">
        <v>4</v>
      </c>
      <c r="P200" t="str">
        <f>INDEX([3]Define!K:K,MATCH(O200,[3]Define!J:J))</f>
        <v>自身</v>
      </c>
      <c r="Q200">
        <v>4</v>
      </c>
      <c r="R200" t="str">
        <f>INDEX([3]Define!N:N,MATCH(Q200,[3]Define!M:M))</f>
        <v>自身</v>
      </c>
      <c r="S200">
        <v>1</v>
      </c>
      <c r="T200">
        <v>1</v>
      </c>
      <c r="U200">
        <v>1</v>
      </c>
      <c r="V200">
        <v>0</v>
      </c>
    </row>
    <row r="201" spans="1:22" ht="12" customHeight="1" x14ac:dyDescent="0.2">
      <c r="A201">
        <v>405060</v>
      </c>
      <c r="B201">
        <v>405060</v>
      </c>
      <c r="C201" t="str">
        <f>INDEX([3]TextData!B:B,MATCH(B201,[3]TextData!A:A))</f>
        <v>ダークネス+</v>
      </c>
      <c r="D201">
        <v>3</v>
      </c>
      <c r="E201" t="str">
        <f>INDEX([3]Define!X:X,MATCH(D201,[3]Define!W:W))</f>
        <v>理術</v>
      </c>
      <c r="F201">
        <v>61</v>
      </c>
      <c r="G201">
        <v>1</v>
      </c>
      <c r="H201" t="str">
        <f>INDEX([3]Define!B:B,MATCH(G201,[3]Define!A:A))</f>
        <v>単体</v>
      </c>
      <c r="I201">
        <v>0</v>
      </c>
      <c r="J201">
        <v>120</v>
      </c>
      <c r="K201">
        <v>5</v>
      </c>
      <c r="L201" t="str">
        <f>INDEX([3]Define!E:E,MATCH(K201,[3]Define!D:D))</f>
        <v>闇</v>
      </c>
      <c r="M201">
        <v>6</v>
      </c>
      <c r="N201" t="str">
        <f>INDEX([3]Define!H:H,MATCH(M201,[3]Define!G:G))</f>
        <v>強化</v>
      </c>
      <c r="O201">
        <v>4</v>
      </c>
      <c r="P201" t="str">
        <f>INDEX([3]Define!K:K,MATCH(O201,[3]Define!J:J))</f>
        <v>自身</v>
      </c>
      <c r="Q201">
        <v>4</v>
      </c>
      <c r="R201" t="str">
        <f>INDEX([3]Define!N:N,MATCH(Q201,[3]Define!M:M))</f>
        <v>自身</v>
      </c>
      <c r="S201">
        <v>1</v>
      </c>
      <c r="T201">
        <v>1</v>
      </c>
      <c r="U201">
        <v>1</v>
      </c>
      <c r="V201">
        <v>0</v>
      </c>
    </row>
    <row r="202" spans="1:22" ht="12" customHeight="1" x14ac:dyDescent="0.2">
      <c r="A202">
        <v>405070</v>
      </c>
      <c r="B202">
        <v>405070</v>
      </c>
      <c r="C202" t="str">
        <f>INDEX([3]TextData!B:B,MATCH(B202,[3]TextData!A:A))</f>
        <v>シェイディークラウド+</v>
      </c>
      <c r="D202">
        <v>5</v>
      </c>
      <c r="E202" t="str">
        <f>INDEX([3]Define!X:X,MATCH(D202,[3]Define!W:W))</f>
        <v>超次元</v>
      </c>
      <c r="F202">
        <v>61</v>
      </c>
      <c r="G202">
        <v>1</v>
      </c>
      <c r="H202" t="str">
        <f>INDEX([3]Define!B:B,MATCH(G202,[3]Define!A:A))</f>
        <v>単体</v>
      </c>
      <c r="I202">
        <v>0</v>
      </c>
      <c r="J202">
        <v>120</v>
      </c>
      <c r="K202">
        <v>5</v>
      </c>
      <c r="L202" t="str">
        <f>INDEX([3]Define!E:E,MATCH(K202,[3]Define!D:D))</f>
        <v>闇</v>
      </c>
      <c r="M202">
        <v>6</v>
      </c>
      <c r="N202" t="str">
        <f>INDEX([3]Define!H:H,MATCH(M202,[3]Define!G:G))</f>
        <v>強化</v>
      </c>
      <c r="O202">
        <v>4</v>
      </c>
      <c r="P202" t="str">
        <f>INDEX([3]Define!K:K,MATCH(O202,[3]Define!J:J))</f>
        <v>自身</v>
      </c>
      <c r="Q202">
        <v>4</v>
      </c>
      <c r="R202" t="str">
        <f>INDEX([3]Define!N:N,MATCH(Q202,[3]Define!M:M))</f>
        <v>自身</v>
      </c>
      <c r="S202">
        <v>1</v>
      </c>
      <c r="T202">
        <v>1</v>
      </c>
      <c r="U202">
        <v>1</v>
      </c>
      <c r="V202">
        <v>0</v>
      </c>
    </row>
    <row r="203" spans="1:22" ht="12" customHeight="1" x14ac:dyDescent="0.2">
      <c r="A203">
        <v>405080</v>
      </c>
      <c r="B203">
        <v>405080</v>
      </c>
      <c r="C203" t="str">
        <f>INDEX([3]TextData!B:B,MATCH(B203,[3]TextData!A:A))</f>
        <v>ポイズンブロウ+</v>
      </c>
      <c r="D203">
        <v>5</v>
      </c>
      <c r="E203" t="str">
        <f>INDEX([3]Define!X:X,MATCH(D203,[3]Define!W:W))</f>
        <v>超次元</v>
      </c>
      <c r="F203">
        <v>501</v>
      </c>
      <c r="G203">
        <v>1</v>
      </c>
      <c r="H203" t="str">
        <f>INDEX([3]Define!B:B,MATCH(G203,[3]Define!A:A))</f>
        <v>単体</v>
      </c>
      <c r="I203">
        <v>0</v>
      </c>
      <c r="J203">
        <v>120</v>
      </c>
      <c r="K203">
        <v>5</v>
      </c>
      <c r="L203" t="str">
        <f>INDEX([3]Define!E:E,MATCH(K203,[3]Define!D:D))</f>
        <v>闇</v>
      </c>
      <c r="M203">
        <v>6</v>
      </c>
      <c r="N203" t="str">
        <f>INDEX([3]Define!H:H,MATCH(M203,[3]Define!G:G))</f>
        <v>強化</v>
      </c>
      <c r="O203">
        <v>4</v>
      </c>
      <c r="P203" t="str">
        <f>INDEX([3]Define!K:K,MATCH(O203,[3]Define!J:J))</f>
        <v>自身</v>
      </c>
      <c r="Q203">
        <v>4</v>
      </c>
      <c r="R203" t="str">
        <f>INDEX([3]Define!N:N,MATCH(Q203,[3]Define!M:M))</f>
        <v>自身</v>
      </c>
      <c r="S203">
        <v>1</v>
      </c>
      <c r="T203">
        <v>1</v>
      </c>
      <c r="U203">
        <v>1</v>
      </c>
      <c r="V203">
        <v>0</v>
      </c>
    </row>
    <row r="204" spans="1:22" x14ac:dyDescent="0.2">
      <c r="A204">
        <v>411010</v>
      </c>
      <c r="B204">
        <v>411010</v>
      </c>
      <c r="C204" t="str">
        <f>INDEX([3]TextData!B:B,MATCH(B204,[3]TextData!A:A))</f>
        <v>ウルフソウル+</v>
      </c>
      <c r="D204">
        <v>6</v>
      </c>
      <c r="E204" t="str">
        <f>INDEX([3]Define!X:X,MATCH(D204,[3]Define!W:W))</f>
        <v>自己強化</v>
      </c>
      <c r="G204">
        <v>1</v>
      </c>
      <c r="H204" t="str">
        <f>INDEX([3]Define!B:B,MATCH(G204,[3]Define!A:A))</f>
        <v>単体</v>
      </c>
      <c r="I204">
        <v>0</v>
      </c>
      <c r="J204">
        <v>110</v>
      </c>
      <c r="K204">
        <v>1</v>
      </c>
      <c r="L204" t="str">
        <f>INDEX([3]Define!E:E,MATCH(K204,[3]Define!D:D))</f>
        <v>炎</v>
      </c>
      <c r="M204">
        <v>6</v>
      </c>
      <c r="N204" t="str">
        <f>INDEX([3]Define!H:H,MATCH(M204,[3]Define!G:G))</f>
        <v>強化</v>
      </c>
      <c r="O204">
        <v>4</v>
      </c>
      <c r="P204" t="str">
        <f>INDEX([3]Define!K:K,MATCH(O204,[3]Define!J:J))</f>
        <v>自身</v>
      </c>
      <c r="Q204">
        <v>4</v>
      </c>
      <c r="R204" t="str">
        <f>INDEX([3]Define!N:N,MATCH(Q204,[3]Define!M:M))</f>
        <v>自身</v>
      </c>
      <c r="S204">
        <v>1</v>
      </c>
      <c r="T204">
        <v>1</v>
      </c>
      <c r="U204">
        <v>1</v>
      </c>
      <c r="V204">
        <v>0</v>
      </c>
    </row>
    <row r="205" spans="1:22" x14ac:dyDescent="0.2">
      <c r="A205">
        <v>411020</v>
      </c>
      <c r="B205">
        <v>411020</v>
      </c>
      <c r="C205" t="str">
        <f>INDEX([3]TextData!B:B,MATCH(B205,[3]TextData!A:A))</f>
        <v>プリディカメント+</v>
      </c>
      <c r="D205">
        <v>6</v>
      </c>
      <c r="E205" t="str">
        <f>INDEX([3]Define!X:X,MATCH(D205,[3]Define!W:W))</f>
        <v>自己強化</v>
      </c>
      <c r="G205">
        <v>1</v>
      </c>
      <c r="H205" t="str">
        <f>INDEX([3]Define!B:B,MATCH(G205,[3]Define!A:A))</f>
        <v>単体</v>
      </c>
      <c r="I205">
        <v>0</v>
      </c>
      <c r="J205">
        <v>110</v>
      </c>
      <c r="K205">
        <v>1</v>
      </c>
      <c r="L205" t="str">
        <f>INDEX([3]Define!E:E,MATCH(K205,[3]Define!D:D))</f>
        <v>炎</v>
      </c>
      <c r="M205">
        <v>6</v>
      </c>
      <c r="N205" t="str">
        <f>INDEX([3]Define!H:H,MATCH(M205,[3]Define!G:G))</f>
        <v>強化</v>
      </c>
      <c r="O205">
        <v>4</v>
      </c>
      <c r="P205" t="str">
        <f>INDEX([3]Define!K:K,MATCH(O205,[3]Define!J:J))</f>
        <v>自身</v>
      </c>
      <c r="Q205">
        <v>4</v>
      </c>
      <c r="R205" t="str">
        <f>INDEX([3]Define!N:N,MATCH(Q205,[3]Define!M:M))</f>
        <v>自身</v>
      </c>
      <c r="S205">
        <v>1</v>
      </c>
      <c r="T205">
        <v>1</v>
      </c>
      <c r="U205">
        <v>1</v>
      </c>
      <c r="V205">
        <v>0</v>
      </c>
    </row>
    <row r="206" spans="1:22" x14ac:dyDescent="0.2">
      <c r="A206">
        <v>411030</v>
      </c>
      <c r="B206">
        <v>411030</v>
      </c>
      <c r="C206" t="str">
        <f>INDEX([3]TextData!B:B,MATCH(B206,[3]TextData!A:A))</f>
        <v>アサルトシフト+</v>
      </c>
      <c r="D206">
        <v>6</v>
      </c>
      <c r="E206" t="str">
        <f>INDEX([3]Define!X:X,MATCH(D206,[3]Define!W:W))</f>
        <v>自己強化</v>
      </c>
      <c r="G206">
        <v>1</v>
      </c>
      <c r="H206" t="str">
        <f>INDEX([3]Define!B:B,MATCH(G206,[3]Define!A:A))</f>
        <v>単体</v>
      </c>
      <c r="I206">
        <v>0</v>
      </c>
      <c r="J206">
        <v>110</v>
      </c>
      <c r="K206">
        <v>1</v>
      </c>
      <c r="L206" t="str">
        <f>INDEX([3]Define!E:E,MATCH(K206,[3]Define!D:D))</f>
        <v>炎</v>
      </c>
      <c r="M206">
        <v>6</v>
      </c>
      <c r="N206" t="str">
        <f>INDEX([3]Define!H:H,MATCH(M206,[3]Define!G:G))</f>
        <v>強化</v>
      </c>
      <c r="O206">
        <v>4</v>
      </c>
      <c r="P206" t="str">
        <f>INDEX([3]Define!K:K,MATCH(O206,[3]Define!J:J))</f>
        <v>自身</v>
      </c>
      <c r="Q206">
        <v>4</v>
      </c>
      <c r="R206" t="str">
        <f>INDEX([3]Define!N:N,MATCH(Q206,[3]Define!M:M))</f>
        <v>自身</v>
      </c>
      <c r="S206">
        <v>1</v>
      </c>
      <c r="T206">
        <v>1</v>
      </c>
      <c r="U206">
        <v>1</v>
      </c>
      <c r="V206">
        <v>0</v>
      </c>
    </row>
    <row r="207" spans="1:22" x14ac:dyDescent="0.2">
      <c r="A207">
        <v>411040</v>
      </c>
      <c r="B207">
        <v>411040</v>
      </c>
      <c r="C207" t="str">
        <f>INDEX([3]TextData!B:B,MATCH(B207,[3]TextData!A:A))</f>
        <v>アクティブギフト+</v>
      </c>
      <c r="D207">
        <v>6</v>
      </c>
      <c r="E207" t="str">
        <f>INDEX([3]Define!X:X,MATCH(D207,[3]Define!W:W))</f>
        <v>自己強化</v>
      </c>
      <c r="G207">
        <v>1</v>
      </c>
      <c r="H207" t="str">
        <f>INDEX([3]Define!B:B,MATCH(G207,[3]Define!A:A))</f>
        <v>単体</v>
      </c>
      <c r="I207">
        <v>0</v>
      </c>
      <c r="J207">
        <v>110</v>
      </c>
      <c r="K207">
        <v>1</v>
      </c>
      <c r="L207" t="str">
        <f>INDEX([3]Define!E:E,MATCH(K207,[3]Define!D:D))</f>
        <v>炎</v>
      </c>
      <c r="M207">
        <v>6</v>
      </c>
      <c r="N207" t="str">
        <f>INDEX([3]Define!H:H,MATCH(M207,[3]Define!G:G))</f>
        <v>強化</v>
      </c>
      <c r="O207">
        <v>4</v>
      </c>
      <c r="P207" t="str">
        <f>INDEX([3]Define!K:K,MATCH(O207,[3]Define!J:J))</f>
        <v>自身</v>
      </c>
      <c r="Q207">
        <v>4</v>
      </c>
      <c r="R207" t="str">
        <f>INDEX([3]Define!N:N,MATCH(Q207,[3]Define!M:M))</f>
        <v>自身</v>
      </c>
      <c r="S207">
        <v>1</v>
      </c>
      <c r="T207">
        <v>1</v>
      </c>
      <c r="U207">
        <v>1</v>
      </c>
      <c r="V207">
        <v>0</v>
      </c>
    </row>
    <row r="208" spans="1:22" x14ac:dyDescent="0.2">
      <c r="A208">
        <v>411050</v>
      </c>
      <c r="B208">
        <v>411050</v>
      </c>
      <c r="C208" t="str">
        <f>INDEX([3]TextData!B:B,MATCH(B208,[3]TextData!A:A))</f>
        <v>イグナイテッド+</v>
      </c>
      <c r="D208">
        <v>6</v>
      </c>
      <c r="E208" t="str">
        <f>INDEX([3]Define!X:X,MATCH(D208,[3]Define!W:W))</f>
        <v>自己強化</v>
      </c>
      <c r="G208">
        <v>1</v>
      </c>
      <c r="H208" t="str">
        <f>INDEX([3]Define!B:B,MATCH(G208,[3]Define!A:A))</f>
        <v>単体</v>
      </c>
      <c r="I208">
        <v>0</v>
      </c>
      <c r="J208">
        <v>110</v>
      </c>
      <c r="K208">
        <v>1</v>
      </c>
      <c r="L208" t="str">
        <f>INDEX([3]Define!E:E,MATCH(K208,[3]Define!D:D))</f>
        <v>炎</v>
      </c>
      <c r="M208">
        <v>6</v>
      </c>
      <c r="N208" t="str">
        <f>INDEX([3]Define!H:H,MATCH(M208,[3]Define!G:G))</f>
        <v>強化</v>
      </c>
      <c r="O208">
        <v>4</v>
      </c>
      <c r="P208" t="str">
        <f>INDEX([3]Define!K:K,MATCH(O208,[3]Define!J:J))</f>
        <v>自身</v>
      </c>
      <c r="Q208">
        <v>4</v>
      </c>
      <c r="R208" t="str">
        <f>INDEX([3]Define!N:N,MATCH(Q208,[3]Define!M:M))</f>
        <v>自身</v>
      </c>
      <c r="S208">
        <v>1</v>
      </c>
      <c r="T208">
        <v>1</v>
      </c>
      <c r="U208">
        <v>1</v>
      </c>
      <c r="V208">
        <v>0</v>
      </c>
    </row>
    <row r="209" spans="1:22" x14ac:dyDescent="0.2">
      <c r="A209">
        <v>411060</v>
      </c>
      <c r="B209">
        <v>411060</v>
      </c>
      <c r="C209" t="str">
        <f>INDEX([3]TextData!B:B,MATCH(B209,[3]TextData!A:A))</f>
        <v>ライジングファイア+</v>
      </c>
      <c r="D209">
        <v>6</v>
      </c>
      <c r="E209" t="str">
        <f>INDEX([3]Define!X:X,MATCH(D209,[3]Define!W:W))</f>
        <v>自己強化</v>
      </c>
      <c r="G209">
        <v>1</v>
      </c>
      <c r="H209" t="str">
        <f>INDEX([3]Define!B:B,MATCH(G209,[3]Define!A:A))</f>
        <v>単体</v>
      </c>
      <c r="I209">
        <v>0</v>
      </c>
      <c r="J209">
        <v>120</v>
      </c>
      <c r="K209">
        <v>1</v>
      </c>
      <c r="L209" t="str">
        <f>INDEX([3]Define!E:E,MATCH(K209,[3]Define!D:D))</f>
        <v>炎</v>
      </c>
      <c r="M209">
        <v>6</v>
      </c>
      <c r="N209" t="str">
        <f>INDEX([3]Define!H:H,MATCH(M209,[3]Define!G:G))</f>
        <v>強化</v>
      </c>
      <c r="O209">
        <v>4</v>
      </c>
      <c r="P209" t="str">
        <f>INDEX([3]Define!K:K,MATCH(O209,[3]Define!J:J))</f>
        <v>自身</v>
      </c>
      <c r="Q209">
        <v>4</v>
      </c>
      <c r="R209" t="str">
        <f>INDEX([3]Define!N:N,MATCH(Q209,[3]Define!M:M))</f>
        <v>自身</v>
      </c>
      <c r="S209">
        <v>1</v>
      </c>
      <c r="T209">
        <v>1</v>
      </c>
      <c r="U209">
        <v>1</v>
      </c>
      <c r="V209">
        <v>0</v>
      </c>
    </row>
    <row r="210" spans="1:22" x14ac:dyDescent="0.2">
      <c r="A210">
        <v>411070</v>
      </c>
      <c r="B210">
        <v>411070</v>
      </c>
      <c r="C210" t="str">
        <f>INDEX([3]TextData!B:B,MATCH(B210,[3]TextData!A:A))</f>
        <v>ルージュバック+</v>
      </c>
      <c r="D210">
        <v>6</v>
      </c>
      <c r="E210" t="str">
        <f>INDEX([3]Define!X:X,MATCH(D210,[3]Define!W:W))</f>
        <v>自己強化</v>
      </c>
      <c r="G210">
        <v>1</v>
      </c>
      <c r="H210" t="str">
        <f>INDEX([3]Define!B:B,MATCH(G210,[3]Define!A:A))</f>
        <v>単体</v>
      </c>
      <c r="I210">
        <v>0</v>
      </c>
      <c r="J210">
        <v>120</v>
      </c>
      <c r="K210">
        <v>1</v>
      </c>
      <c r="L210" t="str">
        <f>INDEX([3]Define!E:E,MATCH(K210,[3]Define!D:D))</f>
        <v>炎</v>
      </c>
      <c r="M210">
        <v>6</v>
      </c>
      <c r="N210" t="str">
        <f>INDEX([3]Define!H:H,MATCH(M210,[3]Define!G:G))</f>
        <v>強化</v>
      </c>
      <c r="O210">
        <v>4</v>
      </c>
      <c r="P210" t="str">
        <f>INDEX([3]Define!K:K,MATCH(O210,[3]Define!J:J))</f>
        <v>自身</v>
      </c>
      <c r="Q210">
        <v>4</v>
      </c>
      <c r="R210" t="str">
        <f>INDEX([3]Define!N:N,MATCH(Q210,[3]Define!M:M))</f>
        <v>自身</v>
      </c>
      <c r="S210">
        <v>1</v>
      </c>
      <c r="T210">
        <v>1</v>
      </c>
      <c r="U210">
        <v>1</v>
      </c>
      <c r="V210">
        <v>0</v>
      </c>
    </row>
    <row r="211" spans="1:22" x14ac:dyDescent="0.2">
      <c r="A211">
        <v>411080</v>
      </c>
      <c r="B211">
        <v>411080</v>
      </c>
      <c r="C211" t="str">
        <f>INDEX([3]TextData!B:B,MATCH(B211,[3]TextData!A:A))</f>
        <v>パワーエール+</v>
      </c>
      <c r="D211">
        <v>6</v>
      </c>
      <c r="E211" t="str">
        <f>INDEX([3]Define!X:X,MATCH(D211,[3]Define!W:W))</f>
        <v>自己強化</v>
      </c>
      <c r="G211">
        <v>1</v>
      </c>
      <c r="H211" t="str">
        <f>INDEX([3]Define!B:B,MATCH(G211,[3]Define!A:A))</f>
        <v>単体</v>
      </c>
      <c r="I211">
        <v>0</v>
      </c>
      <c r="J211">
        <v>120</v>
      </c>
      <c r="K211">
        <v>1</v>
      </c>
      <c r="L211" t="str">
        <f>INDEX([3]Define!E:E,MATCH(K211,[3]Define!D:D))</f>
        <v>炎</v>
      </c>
      <c r="M211">
        <v>6</v>
      </c>
      <c r="N211" t="str">
        <f>INDEX([3]Define!H:H,MATCH(M211,[3]Define!G:G))</f>
        <v>強化</v>
      </c>
      <c r="O211">
        <v>4</v>
      </c>
      <c r="P211" t="str">
        <f>INDEX([3]Define!K:K,MATCH(O211,[3]Define!J:J))</f>
        <v>自身</v>
      </c>
      <c r="Q211">
        <v>4</v>
      </c>
      <c r="R211" t="str">
        <f>INDEX([3]Define!N:N,MATCH(Q211,[3]Define!M:M))</f>
        <v>自身</v>
      </c>
      <c r="S211">
        <v>1</v>
      </c>
      <c r="T211">
        <v>1</v>
      </c>
      <c r="U211">
        <v>1</v>
      </c>
      <c r="V211">
        <v>0</v>
      </c>
    </row>
    <row r="212" spans="1:22" x14ac:dyDescent="0.2">
      <c r="A212">
        <v>411090</v>
      </c>
      <c r="B212">
        <v>411090</v>
      </c>
      <c r="C212" t="str">
        <f>INDEX([3]TextData!B:B,MATCH(B212,[3]TextData!A:A))</f>
        <v>スレイプニル+</v>
      </c>
      <c r="D212">
        <v>6</v>
      </c>
      <c r="E212" t="str">
        <f>INDEX([3]Define!X:X,MATCH(D212,[3]Define!W:W))</f>
        <v>自己強化</v>
      </c>
      <c r="G212">
        <v>1</v>
      </c>
      <c r="H212" t="str">
        <f>INDEX([3]Define!B:B,MATCH(G212,[3]Define!A:A))</f>
        <v>単体</v>
      </c>
      <c r="I212">
        <v>0</v>
      </c>
      <c r="J212">
        <v>120</v>
      </c>
      <c r="K212">
        <v>1</v>
      </c>
      <c r="L212" t="str">
        <f>INDEX([3]Define!E:E,MATCH(K212,[3]Define!D:D))</f>
        <v>炎</v>
      </c>
      <c r="M212">
        <v>6</v>
      </c>
      <c r="N212" t="str">
        <f>INDEX([3]Define!H:H,MATCH(M212,[3]Define!G:G))</f>
        <v>強化</v>
      </c>
      <c r="O212">
        <v>4</v>
      </c>
      <c r="P212" t="str">
        <f>INDEX([3]Define!K:K,MATCH(O212,[3]Define!J:J))</f>
        <v>自身</v>
      </c>
      <c r="Q212">
        <v>4</v>
      </c>
      <c r="R212" t="str">
        <f>INDEX([3]Define!N:N,MATCH(Q212,[3]Define!M:M))</f>
        <v>自身</v>
      </c>
      <c r="S212">
        <v>1</v>
      </c>
      <c r="T212">
        <v>1</v>
      </c>
      <c r="U212">
        <v>1</v>
      </c>
      <c r="V212">
        <v>0</v>
      </c>
    </row>
    <row r="213" spans="1:22" x14ac:dyDescent="0.2">
      <c r="A213">
        <v>412010</v>
      </c>
      <c r="B213">
        <v>412010</v>
      </c>
      <c r="C213" t="str">
        <f>INDEX([3]TextData!B:B,MATCH(B213,[3]TextData!A:A))</f>
        <v>エクステンション+</v>
      </c>
      <c r="D213">
        <v>6</v>
      </c>
      <c r="E213" t="str">
        <f>INDEX([3]Define!X:X,MATCH(D213,[3]Define!W:W))</f>
        <v>自己強化</v>
      </c>
      <c r="G213">
        <v>1</v>
      </c>
      <c r="H213" t="str">
        <f>INDEX([3]Define!B:B,MATCH(G213,[3]Define!A:A))</f>
        <v>単体</v>
      </c>
      <c r="I213">
        <v>0</v>
      </c>
      <c r="J213">
        <v>110</v>
      </c>
      <c r="K213">
        <v>2</v>
      </c>
      <c r="L213" t="str">
        <f>INDEX([3]Define!E:E,MATCH(K213,[3]Define!D:D))</f>
        <v>雷</v>
      </c>
      <c r="M213">
        <v>6</v>
      </c>
      <c r="N213" t="str">
        <f>INDEX([3]Define!H:H,MATCH(M213,[3]Define!G:G))</f>
        <v>強化</v>
      </c>
      <c r="O213">
        <v>4</v>
      </c>
      <c r="P213" t="str">
        <f>INDEX([3]Define!K:K,MATCH(O213,[3]Define!J:J))</f>
        <v>自身</v>
      </c>
      <c r="Q213">
        <v>4</v>
      </c>
      <c r="R213" t="str">
        <f>INDEX([3]Define!N:N,MATCH(Q213,[3]Define!M:M))</f>
        <v>自身</v>
      </c>
      <c r="S213">
        <v>1</v>
      </c>
      <c r="T213">
        <v>1</v>
      </c>
      <c r="U213">
        <v>1</v>
      </c>
      <c r="V213">
        <v>0</v>
      </c>
    </row>
    <row r="214" spans="1:22" x14ac:dyDescent="0.2">
      <c r="A214">
        <v>412020</v>
      </c>
      <c r="B214">
        <v>412020</v>
      </c>
      <c r="C214" t="str">
        <f>INDEX([3]TextData!B:B,MATCH(B214,[3]TextData!A:A))</f>
        <v>ヘブンリーラック+</v>
      </c>
      <c r="D214">
        <v>6</v>
      </c>
      <c r="E214" t="str">
        <f>INDEX([3]Define!X:X,MATCH(D214,[3]Define!W:W))</f>
        <v>自己強化</v>
      </c>
      <c r="G214">
        <v>1</v>
      </c>
      <c r="H214" t="str">
        <f>INDEX([3]Define!B:B,MATCH(G214,[3]Define!A:A))</f>
        <v>単体</v>
      </c>
      <c r="I214">
        <v>0</v>
      </c>
      <c r="J214">
        <v>110</v>
      </c>
      <c r="K214">
        <v>2</v>
      </c>
      <c r="L214" t="str">
        <f>INDEX([3]Define!E:E,MATCH(K214,[3]Define!D:D))</f>
        <v>雷</v>
      </c>
      <c r="M214">
        <v>6</v>
      </c>
      <c r="N214" t="str">
        <f>INDEX([3]Define!H:H,MATCH(M214,[3]Define!G:G))</f>
        <v>強化</v>
      </c>
      <c r="O214">
        <v>4</v>
      </c>
      <c r="P214" t="str">
        <f>INDEX([3]Define!K:K,MATCH(O214,[3]Define!J:J))</f>
        <v>自身</v>
      </c>
      <c r="Q214">
        <v>4</v>
      </c>
      <c r="R214" t="str">
        <f>INDEX([3]Define!N:N,MATCH(Q214,[3]Define!M:M))</f>
        <v>自身</v>
      </c>
      <c r="S214">
        <v>1</v>
      </c>
      <c r="T214">
        <v>1</v>
      </c>
      <c r="U214">
        <v>1</v>
      </c>
      <c r="V214">
        <v>0</v>
      </c>
    </row>
    <row r="215" spans="1:22" x14ac:dyDescent="0.2">
      <c r="A215">
        <v>412030</v>
      </c>
      <c r="B215">
        <v>412030</v>
      </c>
      <c r="C215" t="str">
        <f>INDEX([3]TextData!B:B,MATCH(B215,[3]TextData!A:A))</f>
        <v>スウィフトカレント+</v>
      </c>
      <c r="D215">
        <v>6</v>
      </c>
      <c r="E215" t="str">
        <f>INDEX([3]Define!X:X,MATCH(D215,[3]Define!W:W))</f>
        <v>自己強化</v>
      </c>
      <c r="G215">
        <v>1</v>
      </c>
      <c r="H215" t="str">
        <f>INDEX([3]Define!B:B,MATCH(G215,[3]Define!A:A))</f>
        <v>単体</v>
      </c>
      <c r="I215">
        <v>0</v>
      </c>
      <c r="J215">
        <v>110</v>
      </c>
      <c r="K215">
        <v>2</v>
      </c>
      <c r="L215" t="str">
        <f>INDEX([3]Define!E:E,MATCH(K215,[3]Define!D:D))</f>
        <v>雷</v>
      </c>
      <c r="M215">
        <v>6</v>
      </c>
      <c r="N215" t="str">
        <f>INDEX([3]Define!H:H,MATCH(M215,[3]Define!G:G))</f>
        <v>強化</v>
      </c>
      <c r="O215">
        <v>4</v>
      </c>
      <c r="P215" t="str">
        <f>INDEX([3]Define!K:K,MATCH(O215,[3]Define!J:J))</f>
        <v>自身</v>
      </c>
      <c r="Q215">
        <v>4</v>
      </c>
      <c r="R215" t="str">
        <f>INDEX([3]Define!N:N,MATCH(Q215,[3]Define!M:M))</f>
        <v>自身</v>
      </c>
      <c r="S215">
        <v>1</v>
      </c>
      <c r="T215">
        <v>1</v>
      </c>
      <c r="U215">
        <v>1</v>
      </c>
      <c r="V215">
        <v>0</v>
      </c>
    </row>
    <row r="216" spans="1:22" x14ac:dyDescent="0.2">
      <c r="A216">
        <v>412040</v>
      </c>
      <c r="B216">
        <v>412040</v>
      </c>
      <c r="C216" t="str">
        <f>INDEX([3]TextData!B:B,MATCH(B216,[3]TextData!A:A))</f>
        <v>イヴェイドオール+</v>
      </c>
      <c r="D216">
        <v>6</v>
      </c>
      <c r="E216" t="str">
        <f>INDEX([3]Define!X:X,MATCH(D216,[3]Define!W:W))</f>
        <v>自己強化</v>
      </c>
      <c r="G216">
        <v>1</v>
      </c>
      <c r="H216" t="str">
        <f>INDEX([3]Define!B:B,MATCH(G216,[3]Define!A:A))</f>
        <v>単体</v>
      </c>
      <c r="I216">
        <v>0</v>
      </c>
      <c r="J216">
        <v>110</v>
      </c>
      <c r="K216">
        <v>2</v>
      </c>
      <c r="L216" t="str">
        <f>INDEX([3]Define!E:E,MATCH(K216,[3]Define!D:D))</f>
        <v>雷</v>
      </c>
      <c r="M216">
        <v>6</v>
      </c>
      <c r="N216" t="str">
        <f>INDEX([3]Define!H:H,MATCH(M216,[3]Define!G:G))</f>
        <v>強化</v>
      </c>
      <c r="O216">
        <v>4</v>
      </c>
      <c r="P216" t="str">
        <f>INDEX([3]Define!K:K,MATCH(O216,[3]Define!J:J))</f>
        <v>自身</v>
      </c>
      <c r="Q216">
        <v>4</v>
      </c>
      <c r="R216" t="str">
        <f>INDEX([3]Define!N:N,MATCH(Q216,[3]Define!M:M))</f>
        <v>自身</v>
      </c>
      <c r="S216">
        <v>1</v>
      </c>
      <c r="T216">
        <v>1</v>
      </c>
      <c r="U216">
        <v>1</v>
      </c>
      <c r="V216">
        <v>0</v>
      </c>
    </row>
    <row r="217" spans="1:22" x14ac:dyDescent="0.2">
      <c r="A217">
        <v>412050</v>
      </c>
      <c r="B217">
        <v>412050</v>
      </c>
      <c r="C217" t="str">
        <f>INDEX([3]TextData!B:B,MATCH(B217,[3]TextData!A:A))</f>
        <v>クイックムーブ+</v>
      </c>
      <c r="D217">
        <v>6</v>
      </c>
      <c r="E217" t="str">
        <f>INDEX([3]Define!X:X,MATCH(D217,[3]Define!W:W))</f>
        <v>自己強化</v>
      </c>
      <c r="G217">
        <v>1</v>
      </c>
      <c r="H217" t="str">
        <f>INDEX([3]Define!B:B,MATCH(G217,[3]Define!A:A))</f>
        <v>単体</v>
      </c>
      <c r="I217">
        <v>0</v>
      </c>
      <c r="J217">
        <v>110</v>
      </c>
      <c r="K217">
        <v>2</v>
      </c>
      <c r="L217" t="str">
        <f>INDEX([3]Define!E:E,MATCH(K217,[3]Define!D:D))</f>
        <v>雷</v>
      </c>
      <c r="M217">
        <v>6</v>
      </c>
      <c r="N217" t="str">
        <f>INDEX([3]Define!H:H,MATCH(M217,[3]Define!G:G))</f>
        <v>強化</v>
      </c>
      <c r="O217">
        <v>4</v>
      </c>
      <c r="P217" t="str">
        <f>INDEX([3]Define!K:K,MATCH(O217,[3]Define!J:J))</f>
        <v>自身</v>
      </c>
      <c r="Q217">
        <v>4</v>
      </c>
      <c r="R217" t="str">
        <f>INDEX([3]Define!N:N,MATCH(Q217,[3]Define!M:M))</f>
        <v>自身</v>
      </c>
      <c r="S217">
        <v>1</v>
      </c>
      <c r="T217">
        <v>1</v>
      </c>
      <c r="U217">
        <v>1</v>
      </c>
      <c r="V217">
        <v>0</v>
      </c>
    </row>
    <row r="218" spans="1:22" x14ac:dyDescent="0.2">
      <c r="A218">
        <v>412060</v>
      </c>
      <c r="B218">
        <v>412060</v>
      </c>
      <c r="C218" t="str">
        <f>INDEX([3]TextData!B:B,MATCH(B218,[3]TextData!A:A))</f>
        <v>チェイスマジック+</v>
      </c>
      <c r="D218">
        <v>6</v>
      </c>
      <c r="E218" t="str">
        <f>INDEX([3]Define!X:X,MATCH(D218,[3]Define!W:W))</f>
        <v>自己強化</v>
      </c>
      <c r="G218">
        <v>1</v>
      </c>
      <c r="H218" t="str">
        <f>INDEX([3]Define!B:B,MATCH(G218,[3]Define!A:A))</f>
        <v>単体</v>
      </c>
      <c r="I218">
        <v>0</v>
      </c>
      <c r="J218">
        <v>120</v>
      </c>
      <c r="K218">
        <v>2</v>
      </c>
      <c r="L218" t="str">
        <f>INDEX([3]Define!E:E,MATCH(K218,[3]Define!D:D))</f>
        <v>雷</v>
      </c>
      <c r="M218">
        <v>6</v>
      </c>
      <c r="N218" t="str">
        <f>INDEX([3]Define!H:H,MATCH(M218,[3]Define!G:G))</f>
        <v>強化</v>
      </c>
      <c r="O218">
        <v>4</v>
      </c>
      <c r="P218" t="str">
        <f>INDEX([3]Define!K:K,MATCH(O218,[3]Define!J:J))</f>
        <v>自身</v>
      </c>
      <c r="Q218">
        <v>4</v>
      </c>
      <c r="R218" t="str">
        <f>INDEX([3]Define!N:N,MATCH(Q218,[3]Define!M:M))</f>
        <v>自身</v>
      </c>
      <c r="S218">
        <v>1</v>
      </c>
      <c r="T218">
        <v>1</v>
      </c>
      <c r="U218">
        <v>1</v>
      </c>
      <c r="V218">
        <v>0</v>
      </c>
    </row>
    <row r="219" spans="1:22" x14ac:dyDescent="0.2">
      <c r="A219">
        <v>412070</v>
      </c>
      <c r="B219">
        <v>412070</v>
      </c>
      <c r="C219" t="str">
        <f>INDEX([3]TextData!B:B,MATCH(B219,[3]TextData!A:A))</f>
        <v>ソーサリーコネクト+</v>
      </c>
      <c r="D219">
        <v>6</v>
      </c>
      <c r="E219" t="str">
        <f>INDEX([3]Define!X:X,MATCH(D219,[3]Define!W:W))</f>
        <v>自己強化</v>
      </c>
      <c r="G219">
        <v>1</v>
      </c>
      <c r="H219" t="str">
        <f>INDEX([3]Define!B:B,MATCH(G219,[3]Define!A:A))</f>
        <v>単体</v>
      </c>
      <c r="I219">
        <v>0</v>
      </c>
      <c r="J219">
        <v>120</v>
      </c>
      <c r="K219">
        <v>2</v>
      </c>
      <c r="L219" t="str">
        <f>INDEX([3]Define!E:E,MATCH(K219,[3]Define!D:D))</f>
        <v>雷</v>
      </c>
      <c r="M219">
        <v>6</v>
      </c>
      <c r="N219" t="str">
        <f>INDEX([3]Define!H:H,MATCH(M219,[3]Define!G:G))</f>
        <v>強化</v>
      </c>
      <c r="O219">
        <v>4</v>
      </c>
      <c r="P219" t="str">
        <f>INDEX([3]Define!K:K,MATCH(O219,[3]Define!J:J))</f>
        <v>自身</v>
      </c>
      <c r="Q219">
        <v>4</v>
      </c>
      <c r="R219" t="str">
        <f>INDEX([3]Define!N:N,MATCH(Q219,[3]Define!M:M))</f>
        <v>自身</v>
      </c>
      <c r="S219">
        <v>1</v>
      </c>
      <c r="T219">
        <v>1</v>
      </c>
      <c r="U219">
        <v>1</v>
      </c>
      <c r="V219">
        <v>0</v>
      </c>
    </row>
    <row r="220" spans="1:22" x14ac:dyDescent="0.2">
      <c r="A220">
        <v>412080</v>
      </c>
      <c r="B220">
        <v>412080</v>
      </c>
      <c r="C220" t="str">
        <f>INDEX([3]TextData!B:B,MATCH(B220,[3]TextData!A:A))</f>
        <v>ウィンドライズ+</v>
      </c>
      <c r="D220">
        <v>6</v>
      </c>
      <c r="E220" t="str">
        <f>INDEX([3]Define!X:X,MATCH(D220,[3]Define!W:W))</f>
        <v>自己強化</v>
      </c>
      <c r="G220">
        <v>1</v>
      </c>
      <c r="H220" t="str">
        <f>INDEX([3]Define!B:B,MATCH(G220,[3]Define!A:A))</f>
        <v>単体</v>
      </c>
      <c r="I220">
        <v>0</v>
      </c>
      <c r="J220">
        <v>120</v>
      </c>
      <c r="K220">
        <v>2</v>
      </c>
      <c r="L220" t="str">
        <f>INDEX([3]Define!E:E,MATCH(K220,[3]Define!D:D))</f>
        <v>雷</v>
      </c>
      <c r="M220">
        <v>6</v>
      </c>
      <c r="N220" t="str">
        <f>INDEX([3]Define!H:H,MATCH(M220,[3]Define!G:G))</f>
        <v>強化</v>
      </c>
      <c r="O220">
        <v>4</v>
      </c>
      <c r="P220" t="str">
        <f>INDEX([3]Define!K:K,MATCH(O220,[3]Define!J:J))</f>
        <v>自身</v>
      </c>
      <c r="Q220">
        <v>4</v>
      </c>
      <c r="R220" t="str">
        <f>INDEX([3]Define!N:N,MATCH(Q220,[3]Define!M:M))</f>
        <v>自身</v>
      </c>
      <c r="S220">
        <v>1</v>
      </c>
      <c r="T220">
        <v>1</v>
      </c>
      <c r="U220">
        <v>1</v>
      </c>
      <c r="V220">
        <v>0</v>
      </c>
    </row>
    <row r="221" spans="1:22" x14ac:dyDescent="0.2">
      <c r="A221">
        <v>412090</v>
      </c>
      <c r="B221">
        <v>412090</v>
      </c>
      <c r="C221" t="str">
        <f>INDEX([3]TextData!B:B,MATCH(B221,[3]TextData!A:A))</f>
        <v>アウトオブオーダー+</v>
      </c>
      <c r="D221">
        <v>6</v>
      </c>
      <c r="E221" t="str">
        <f>INDEX([3]Define!X:X,MATCH(D221,[3]Define!W:W))</f>
        <v>自己強化</v>
      </c>
      <c r="G221">
        <v>1</v>
      </c>
      <c r="H221" t="str">
        <f>INDEX([3]Define!B:B,MATCH(G221,[3]Define!A:A))</f>
        <v>単体</v>
      </c>
      <c r="I221">
        <v>0</v>
      </c>
      <c r="J221">
        <v>120</v>
      </c>
      <c r="K221">
        <v>2</v>
      </c>
      <c r="L221" t="str">
        <f>INDEX([3]Define!E:E,MATCH(K221,[3]Define!D:D))</f>
        <v>雷</v>
      </c>
      <c r="M221">
        <v>6</v>
      </c>
      <c r="N221" t="str">
        <f>INDEX([3]Define!H:H,MATCH(M221,[3]Define!G:G))</f>
        <v>強化</v>
      </c>
      <c r="O221">
        <v>4</v>
      </c>
      <c r="P221" t="str">
        <f>INDEX([3]Define!K:K,MATCH(O221,[3]Define!J:J))</f>
        <v>自身</v>
      </c>
      <c r="Q221">
        <v>4</v>
      </c>
      <c r="R221" t="str">
        <f>INDEX([3]Define!N:N,MATCH(Q221,[3]Define!M:M))</f>
        <v>自身</v>
      </c>
      <c r="S221">
        <v>1</v>
      </c>
      <c r="T221">
        <v>1</v>
      </c>
      <c r="U221">
        <v>1</v>
      </c>
      <c r="V221">
        <v>0</v>
      </c>
    </row>
    <row r="222" spans="1:22" x14ac:dyDescent="0.2">
      <c r="A222">
        <v>413010</v>
      </c>
      <c r="B222">
        <v>413010</v>
      </c>
      <c r="C222" t="str">
        <f>INDEX([3]TextData!B:B,MATCH(B222,[3]TextData!A:A))</f>
        <v>アーマーコード+</v>
      </c>
      <c r="D222">
        <v>6</v>
      </c>
      <c r="E222" t="str">
        <f>INDEX([3]Define!X:X,MATCH(D222,[3]Define!W:W))</f>
        <v>自己強化</v>
      </c>
      <c r="G222">
        <v>1</v>
      </c>
      <c r="H222" t="str">
        <f>INDEX([3]Define!B:B,MATCH(G222,[3]Define!A:A))</f>
        <v>単体</v>
      </c>
      <c r="I222">
        <v>0</v>
      </c>
      <c r="J222">
        <v>110</v>
      </c>
      <c r="K222">
        <v>3</v>
      </c>
      <c r="L222" t="str">
        <f>INDEX([3]Define!E:E,MATCH(K222,[3]Define!D:D))</f>
        <v>氷</v>
      </c>
      <c r="M222">
        <v>6</v>
      </c>
      <c r="N222" t="str">
        <f>INDEX([3]Define!H:H,MATCH(M222,[3]Define!G:G))</f>
        <v>強化</v>
      </c>
      <c r="O222">
        <v>4</v>
      </c>
      <c r="P222" t="str">
        <f>INDEX([3]Define!K:K,MATCH(O222,[3]Define!J:J))</f>
        <v>自身</v>
      </c>
      <c r="Q222">
        <v>4</v>
      </c>
      <c r="R222" t="str">
        <f>INDEX([3]Define!N:N,MATCH(Q222,[3]Define!M:M))</f>
        <v>自身</v>
      </c>
      <c r="S222">
        <v>1</v>
      </c>
      <c r="T222">
        <v>1</v>
      </c>
      <c r="U222">
        <v>1</v>
      </c>
      <c r="V222">
        <v>0</v>
      </c>
    </row>
    <row r="223" spans="1:22" ht="12" customHeight="1" x14ac:dyDescent="0.2">
      <c r="A223">
        <v>413020</v>
      </c>
      <c r="B223">
        <v>413020</v>
      </c>
      <c r="C223" t="str">
        <f>INDEX([3]TextData!B:B,MATCH(B223,[3]TextData!A:A))</f>
        <v>クイックバリア+</v>
      </c>
      <c r="D223">
        <v>6</v>
      </c>
      <c r="E223" t="str">
        <f>INDEX([3]Define!X:X,MATCH(D223,[3]Define!W:W))</f>
        <v>自己強化</v>
      </c>
      <c r="G223">
        <v>1</v>
      </c>
      <c r="H223" t="str">
        <f>INDEX([3]Define!B:B,MATCH(G223,[3]Define!A:A))</f>
        <v>単体</v>
      </c>
      <c r="I223">
        <v>0</v>
      </c>
      <c r="J223">
        <v>110</v>
      </c>
      <c r="K223">
        <v>3</v>
      </c>
      <c r="L223" t="str">
        <f>INDEX([3]Define!E:E,MATCH(K223,[3]Define!D:D))</f>
        <v>氷</v>
      </c>
      <c r="M223">
        <v>6</v>
      </c>
      <c r="N223" t="str">
        <f>INDEX([3]Define!H:H,MATCH(M223,[3]Define!G:G))</f>
        <v>強化</v>
      </c>
      <c r="O223">
        <v>4</v>
      </c>
      <c r="P223" t="str">
        <f>INDEX([3]Define!K:K,MATCH(O223,[3]Define!J:J))</f>
        <v>自身</v>
      </c>
      <c r="Q223">
        <v>4</v>
      </c>
      <c r="R223" t="str">
        <f>INDEX([3]Define!N:N,MATCH(Q223,[3]Define!M:M))</f>
        <v>自身</v>
      </c>
      <c r="S223">
        <v>1</v>
      </c>
      <c r="T223">
        <v>1</v>
      </c>
      <c r="U223">
        <v>1</v>
      </c>
      <c r="V223">
        <v>0</v>
      </c>
    </row>
    <row r="224" spans="1:22" ht="12" customHeight="1" x14ac:dyDescent="0.2">
      <c r="A224">
        <v>413030</v>
      </c>
      <c r="B224">
        <v>413030</v>
      </c>
      <c r="C224" t="str">
        <f>INDEX([3]TextData!B:B,MATCH(B224,[3]TextData!A:A))</f>
        <v>クイックキュア+</v>
      </c>
      <c r="D224">
        <v>6</v>
      </c>
      <c r="E224" t="str">
        <f>INDEX([3]Define!X:X,MATCH(D224,[3]Define!W:W))</f>
        <v>自己強化</v>
      </c>
      <c r="G224">
        <v>1</v>
      </c>
      <c r="H224" t="str">
        <f>INDEX([3]Define!B:B,MATCH(G224,[3]Define!A:A))</f>
        <v>単体</v>
      </c>
      <c r="I224">
        <v>0</v>
      </c>
      <c r="J224">
        <v>110</v>
      </c>
      <c r="K224">
        <v>3</v>
      </c>
      <c r="L224" t="str">
        <f>INDEX([3]Define!E:E,MATCH(K224,[3]Define!D:D))</f>
        <v>氷</v>
      </c>
      <c r="M224">
        <v>6</v>
      </c>
      <c r="N224" t="str">
        <f>INDEX([3]Define!H:H,MATCH(M224,[3]Define!G:G))</f>
        <v>強化</v>
      </c>
      <c r="O224">
        <v>4</v>
      </c>
      <c r="P224" t="str">
        <f>INDEX([3]Define!K:K,MATCH(O224,[3]Define!J:J))</f>
        <v>自身</v>
      </c>
      <c r="Q224">
        <v>4</v>
      </c>
      <c r="R224" t="str">
        <f>INDEX([3]Define!N:N,MATCH(Q224,[3]Define!M:M))</f>
        <v>自身</v>
      </c>
      <c r="S224">
        <v>1</v>
      </c>
      <c r="T224">
        <v>1</v>
      </c>
      <c r="U224">
        <v>1</v>
      </c>
      <c r="V224">
        <v>0</v>
      </c>
    </row>
    <row r="225" spans="1:22" x14ac:dyDescent="0.2">
      <c r="A225">
        <v>413040</v>
      </c>
      <c r="B225">
        <v>413040</v>
      </c>
      <c r="C225" t="str">
        <f>INDEX([3]TextData!B:B,MATCH(B225,[3]TextData!A:A))</f>
        <v>セルフシールド+</v>
      </c>
      <c r="D225">
        <v>6</v>
      </c>
      <c r="E225" t="str">
        <f>INDEX([3]Define!X:X,MATCH(D225,[3]Define!W:W))</f>
        <v>自己強化</v>
      </c>
      <c r="G225">
        <v>1</v>
      </c>
      <c r="H225" t="str">
        <f>INDEX([3]Define!B:B,MATCH(G225,[3]Define!A:A))</f>
        <v>単体</v>
      </c>
      <c r="I225">
        <v>0</v>
      </c>
      <c r="J225">
        <v>110</v>
      </c>
      <c r="K225">
        <v>3</v>
      </c>
      <c r="L225" t="str">
        <f>INDEX([3]Define!E:E,MATCH(K225,[3]Define!D:D))</f>
        <v>氷</v>
      </c>
      <c r="M225">
        <v>6</v>
      </c>
      <c r="N225" t="str">
        <f>INDEX([3]Define!H:H,MATCH(M225,[3]Define!G:G))</f>
        <v>強化</v>
      </c>
      <c r="O225">
        <v>4</v>
      </c>
      <c r="P225" t="str">
        <f>INDEX([3]Define!K:K,MATCH(O225,[3]Define!J:J))</f>
        <v>自身</v>
      </c>
      <c r="Q225">
        <v>4</v>
      </c>
      <c r="R225" t="str">
        <f>INDEX([3]Define!N:N,MATCH(Q225,[3]Define!M:M))</f>
        <v>自身</v>
      </c>
      <c r="S225">
        <v>1</v>
      </c>
      <c r="T225">
        <v>1</v>
      </c>
      <c r="U225">
        <v>1</v>
      </c>
      <c r="V225">
        <v>0</v>
      </c>
    </row>
    <row r="226" spans="1:22" x14ac:dyDescent="0.2">
      <c r="A226">
        <v>413050</v>
      </c>
      <c r="B226">
        <v>413050</v>
      </c>
      <c r="C226" t="str">
        <f>INDEX([3]TextData!B:B,MATCH(B226,[3]TextData!A:A))</f>
        <v>パッシブジャミング+</v>
      </c>
      <c r="D226">
        <v>6</v>
      </c>
      <c r="E226" t="str">
        <f>INDEX([3]Define!X:X,MATCH(D226,[3]Define!W:W))</f>
        <v>自己強化</v>
      </c>
      <c r="G226">
        <v>1</v>
      </c>
      <c r="H226" t="str">
        <f>INDEX([3]Define!B:B,MATCH(G226,[3]Define!A:A))</f>
        <v>単体</v>
      </c>
      <c r="I226">
        <v>0</v>
      </c>
      <c r="J226">
        <v>110</v>
      </c>
      <c r="K226">
        <v>3</v>
      </c>
      <c r="L226" t="str">
        <f>INDEX([3]Define!E:E,MATCH(K226,[3]Define!D:D))</f>
        <v>氷</v>
      </c>
      <c r="M226">
        <v>6</v>
      </c>
      <c r="N226" t="str">
        <f>INDEX([3]Define!H:H,MATCH(M226,[3]Define!G:G))</f>
        <v>強化</v>
      </c>
      <c r="O226">
        <v>4</v>
      </c>
      <c r="P226" t="str">
        <f>INDEX([3]Define!K:K,MATCH(O226,[3]Define!J:J))</f>
        <v>自身</v>
      </c>
      <c r="Q226">
        <v>4</v>
      </c>
      <c r="R226" t="str">
        <f>INDEX([3]Define!N:N,MATCH(Q226,[3]Define!M:M))</f>
        <v>自身</v>
      </c>
      <c r="S226">
        <v>1</v>
      </c>
      <c r="T226">
        <v>1</v>
      </c>
      <c r="U226">
        <v>1</v>
      </c>
      <c r="V226">
        <v>0</v>
      </c>
    </row>
    <row r="227" spans="1:22" x14ac:dyDescent="0.2">
      <c r="A227">
        <v>413060</v>
      </c>
      <c r="B227">
        <v>413060</v>
      </c>
      <c r="C227" t="str">
        <f>INDEX([3]TextData!B:B,MATCH(B227,[3]TextData!A:A))</f>
        <v>サプライカバー+</v>
      </c>
      <c r="D227">
        <v>6</v>
      </c>
      <c r="E227" t="str">
        <f>INDEX([3]Define!X:X,MATCH(D227,[3]Define!W:W))</f>
        <v>自己強化</v>
      </c>
      <c r="G227">
        <v>1</v>
      </c>
      <c r="H227" t="str">
        <f>INDEX([3]Define!B:B,MATCH(G227,[3]Define!A:A))</f>
        <v>単体</v>
      </c>
      <c r="I227">
        <v>0</v>
      </c>
      <c r="J227">
        <v>120</v>
      </c>
      <c r="K227">
        <v>3</v>
      </c>
      <c r="L227" t="str">
        <f>INDEX([3]Define!E:E,MATCH(K227,[3]Define!D:D))</f>
        <v>氷</v>
      </c>
      <c r="M227">
        <v>6</v>
      </c>
      <c r="N227" t="str">
        <f>INDEX([3]Define!H:H,MATCH(M227,[3]Define!G:G))</f>
        <v>強化</v>
      </c>
      <c r="O227">
        <v>4</v>
      </c>
      <c r="P227" t="str">
        <f>INDEX([3]Define!K:K,MATCH(O227,[3]Define!J:J))</f>
        <v>自身</v>
      </c>
      <c r="Q227">
        <v>4</v>
      </c>
      <c r="R227" t="str">
        <f>INDEX([3]Define!N:N,MATCH(Q227,[3]Define!M:M))</f>
        <v>自身</v>
      </c>
      <c r="S227">
        <v>1</v>
      </c>
      <c r="T227">
        <v>1</v>
      </c>
      <c r="U227">
        <v>1</v>
      </c>
      <c r="V227">
        <v>0</v>
      </c>
    </row>
    <row r="228" spans="1:22" x14ac:dyDescent="0.2">
      <c r="A228">
        <v>413070</v>
      </c>
      <c r="B228">
        <v>413070</v>
      </c>
      <c r="C228" t="str">
        <f>INDEX([3]TextData!B:B,MATCH(B228,[3]TextData!A:A))</f>
        <v>アシッドラッシュ+</v>
      </c>
      <c r="D228">
        <v>6</v>
      </c>
      <c r="E228" t="str">
        <f>INDEX([3]Define!X:X,MATCH(D228,[3]Define!W:W))</f>
        <v>自己強化</v>
      </c>
      <c r="G228">
        <v>1</v>
      </c>
      <c r="H228" t="str">
        <f>INDEX([3]Define!B:B,MATCH(G228,[3]Define!A:A))</f>
        <v>単体</v>
      </c>
      <c r="I228">
        <v>0</v>
      </c>
      <c r="J228">
        <v>120</v>
      </c>
      <c r="K228">
        <v>3</v>
      </c>
      <c r="L228" t="str">
        <f>INDEX([3]Define!E:E,MATCH(K228,[3]Define!D:D))</f>
        <v>氷</v>
      </c>
      <c r="M228">
        <v>6</v>
      </c>
      <c r="N228" t="str">
        <f>INDEX([3]Define!H:H,MATCH(M228,[3]Define!G:G))</f>
        <v>強化</v>
      </c>
      <c r="O228">
        <v>4</v>
      </c>
      <c r="P228" t="str">
        <f>INDEX([3]Define!K:K,MATCH(O228,[3]Define!J:J))</f>
        <v>自身</v>
      </c>
      <c r="Q228">
        <v>4</v>
      </c>
      <c r="R228" t="str">
        <f>INDEX([3]Define!N:N,MATCH(Q228,[3]Define!M:M))</f>
        <v>自身</v>
      </c>
      <c r="S228">
        <v>1</v>
      </c>
      <c r="T228">
        <v>1</v>
      </c>
      <c r="U228">
        <v>1</v>
      </c>
      <c r="V228">
        <v>0</v>
      </c>
    </row>
    <row r="229" spans="1:22" x14ac:dyDescent="0.2">
      <c r="A229">
        <v>413080</v>
      </c>
      <c r="B229">
        <v>413080</v>
      </c>
      <c r="C229" t="str">
        <f>INDEX([3]TextData!B:B,MATCH(B229,[3]TextData!A:A))</f>
        <v>ライフスティール+</v>
      </c>
      <c r="D229">
        <v>6</v>
      </c>
      <c r="E229" t="str">
        <f>INDEX([3]Define!X:X,MATCH(D229,[3]Define!W:W))</f>
        <v>自己強化</v>
      </c>
      <c r="G229">
        <v>1</v>
      </c>
      <c r="H229" t="str">
        <f>INDEX([3]Define!B:B,MATCH(G229,[3]Define!A:A))</f>
        <v>単体</v>
      </c>
      <c r="I229">
        <v>0</v>
      </c>
      <c r="J229">
        <v>120</v>
      </c>
      <c r="K229">
        <v>3</v>
      </c>
      <c r="L229" t="str">
        <f>INDEX([3]Define!E:E,MATCH(K229,[3]Define!D:D))</f>
        <v>氷</v>
      </c>
      <c r="M229">
        <v>6</v>
      </c>
      <c r="N229" t="str">
        <f>INDEX([3]Define!H:H,MATCH(M229,[3]Define!G:G))</f>
        <v>強化</v>
      </c>
      <c r="O229">
        <v>4</v>
      </c>
      <c r="P229" t="str">
        <f>INDEX([3]Define!K:K,MATCH(O229,[3]Define!J:J))</f>
        <v>自身</v>
      </c>
      <c r="Q229">
        <v>4</v>
      </c>
      <c r="R229" t="str">
        <f>INDEX([3]Define!N:N,MATCH(Q229,[3]Define!M:M))</f>
        <v>自身</v>
      </c>
      <c r="S229">
        <v>1</v>
      </c>
      <c r="T229">
        <v>1</v>
      </c>
      <c r="U229">
        <v>1</v>
      </c>
      <c r="V229">
        <v>0</v>
      </c>
    </row>
    <row r="230" spans="1:22" x14ac:dyDescent="0.2">
      <c r="A230">
        <v>413090</v>
      </c>
      <c r="B230">
        <v>413090</v>
      </c>
      <c r="C230" t="str">
        <f>INDEX([3]TextData!B:B,MATCH(B230,[3]TextData!A:A))</f>
        <v>アイスセイバー+</v>
      </c>
      <c r="D230">
        <v>6</v>
      </c>
      <c r="E230" t="str">
        <f>INDEX([3]Define!X:X,MATCH(D230,[3]Define!W:W))</f>
        <v>自己強化</v>
      </c>
      <c r="G230">
        <v>1</v>
      </c>
      <c r="H230" t="str">
        <f>INDEX([3]Define!B:B,MATCH(G230,[3]Define!A:A))</f>
        <v>単体</v>
      </c>
      <c r="I230">
        <v>0</v>
      </c>
      <c r="J230">
        <v>120</v>
      </c>
      <c r="K230">
        <v>3</v>
      </c>
      <c r="L230" t="str">
        <f>INDEX([3]Define!E:E,MATCH(K230,[3]Define!D:D))</f>
        <v>氷</v>
      </c>
      <c r="M230">
        <v>6</v>
      </c>
      <c r="N230" t="str">
        <f>INDEX([3]Define!H:H,MATCH(M230,[3]Define!G:G))</f>
        <v>強化</v>
      </c>
      <c r="O230">
        <v>4</v>
      </c>
      <c r="P230" t="str">
        <f>INDEX([3]Define!K:K,MATCH(O230,[3]Define!J:J))</f>
        <v>自身</v>
      </c>
      <c r="Q230">
        <v>4</v>
      </c>
      <c r="R230" t="str">
        <f>INDEX([3]Define!N:N,MATCH(Q230,[3]Define!M:M))</f>
        <v>自身</v>
      </c>
      <c r="S230">
        <v>1</v>
      </c>
      <c r="T230">
        <v>1</v>
      </c>
      <c r="U230">
        <v>1</v>
      </c>
      <c r="V230">
        <v>0</v>
      </c>
    </row>
    <row r="231" spans="1:22" ht="12" customHeight="1" x14ac:dyDescent="0.2">
      <c r="A231">
        <v>414010</v>
      </c>
      <c r="B231">
        <v>414010</v>
      </c>
      <c r="C231" t="str">
        <f>INDEX([3]TextData!B:B,MATCH(B231,[3]TextData!A:A))</f>
        <v>ディバインシールド+</v>
      </c>
      <c r="D231">
        <v>6</v>
      </c>
      <c r="E231" t="str">
        <f>INDEX([3]Define!X:X,MATCH(D231,[3]Define!W:W))</f>
        <v>自己強化</v>
      </c>
      <c r="G231">
        <v>1</v>
      </c>
      <c r="H231" t="str">
        <f>INDEX([3]Define!B:B,MATCH(G231,[3]Define!A:A))</f>
        <v>単体</v>
      </c>
      <c r="I231">
        <v>0</v>
      </c>
      <c r="J231">
        <v>110</v>
      </c>
      <c r="K231">
        <v>4</v>
      </c>
      <c r="L231" t="str">
        <f>INDEX([3]Define!E:E,MATCH(K231,[3]Define!D:D))</f>
        <v>光</v>
      </c>
      <c r="M231">
        <v>6</v>
      </c>
      <c r="N231" t="str">
        <f>INDEX([3]Define!H:H,MATCH(M231,[3]Define!G:G))</f>
        <v>強化</v>
      </c>
      <c r="O231">
        <v>4</v>
      </c>
      <c r="P231" t="str">
        <f>INDEX([3]Define!K:K,MATCH(O231,[3]Define!J:J))</f>
        <v>自身</v>
      </c>
      <c r="Q231">
        <v>4</v>
      </c>
      <c r="R231" t="str">
        <f>INDEX([3]Define!N:N,MATCH(Q231,[3]Define!M:M))</f>
        <v>自身</v>
      </c>
      <c r="S231">
        <v>1</v>
      </c>
      <c r="T231">
        <v>1</v>
      </c>
      <c r="U231">
        <v>1</v>
      </c>
      <c r="V231">
        <v>0</v>
      </c>
    </row>
    <row r="232" spans="1:22" ht="12" customHeight="1" x14ac:dyDescent="0.2">
      <c r="A232">
        <v>414020</v>
      </c>
      <c r="B232">
        <v>414020</v>
      </c>
      <c r="C232" t="str">
        <f>INDEX([3]TextData!B:B,MATCH(B232,[3]TextData!A:A))</f>
        <v>ライフディバイド+</v>
      </c>
      <c r="D232">
        <v>6</v>
      </c>
      <c r="E232" t="str">
        <f>INDEX([3]Define!X:X,MATCH(D232,[3]Define!W:W))</f>
        <v>自己強化</v>
      </c>
      <c r="G232">
        <v>1</v>
      </c>
      <c r="H232" t="str">
        <f>INDEX([3]Define!B:B,MATCH(G232,[3]Define!A:A))</f>
        <v>単体</v>
      </c>
      <c r="I232">
        <v>0</v>
      </c>
      <c r="J232">
        <v>110</v>
      </c>
      <c r="K232">
        <v>4</v>
      </c>
      <c r="L232" t="str">
        <f>INDEX([3]Define!E:E,MATCH(K232,[3]Define!D:D))</f>
        <v>光</v>
      </c>
      <c r="M232">
        <v>6</v>
      </c>
      <c r="N232" t="str">
        <f>INDEX([3]Define!H:H,MATCH(M232,[3]Define!G:G))</f>
        <v>強化</v>
      </c>
      <c r="O232">
        <v>4</v>
      </c>
      <c r="P232" t="str">
        <f>INDEX([3]Define!K:K,MATCH(O232,[3]Define!J:J))</f>
        <v>自身</v>
      </c>
      <c r="Q232">
        <v>4</v>
      </c>
      <c r="R232" t="str">
        <f>INDEX([3]Define!N:N,MATCH(Q232,[3]Define!M:M))</f>
        <v>自身</v>
      </c>
      <c r="S232">
        <v>1</v>
      </c>
      <c r="T232">
        <v>1</v>
      </c>
      <c r="U232">
        <v>1</v>
      </c>
      <c r="V232">
        <v>0</v>
      </c>
    </row>
    <row r="233" spans="1:22" ht="12" customHeight="1" x14ac:dyDescent="0.2">
      <c r="A233">
        <v>414030</v>
      </c>
      <c r="B233">
        <v>414030</v>
      </c>
      <c r="C233" t="str">
        <f>INDEX([3]TextData!B:B,MATCH(B233,[3]TextData!A:A))</f>
        <v>エイミングスコープ+</v>
      </c>
      <c r="D233">
        <v>6</v>
      </c>
      <c r="E233" t="str">
        <f>INDEX([3]Define!X:X,MATCH(D233,[3]Define!W:W))</f>
        <v>自己強化</v>
      </c>
      <c r="G233">
        <v>1</v>
      </c>
      <c r="H233" t="str">
        <f>INDEX([3]Define!B:B,MATCH(G233,[3]Define!A:A))</f>
        <v>単体</v>
      </c>
      <c r="I233">
        <v>0</v>
      </c>
      <c r="J233">
        <v>110</v>
      </c>
      <c r="K233">
        <v>4</v>
      </c>
      <c r="L233" t="str">
        <f>INDEX([3]Define!E:E,MATCH(K233,[3]Define!D:D))</f>
        <v>光</v>
      </c>
      <c r="M233">
        <v>6</v>
      </c>
      <c r="N233" t="str">
        <f>INDEX([3]Define!H:H,MATCH(M233,[3]Define!G:G))</f>
        <v>強化</v>
      </c>
      <c r="O233">
        <v>4</v>
      </c>
      <c r="P233" t="str">
        <f>INDEX([3]Define!K:K,MATCH(O233,[3]Define!J:J))</f>
        <v>自身</v>
      </c>
      <c r="Q233">
        <v>4</v>
      </c>
      <c r="R233" t="str">
        <f>INDEX([3]Define!N:N,MATCH(Q233,[3]Define!M:M))</f>
        <v>自身</v>
      </c>
      <c r="S233">
        <v>1</v>
      </c>
      <c r="T233">
        <v>1</v>
      </c>
      <c r="U233">
        <v>1</v>
      </c>
      <c r="V233">
        <v>0</v>
      </c>
    </row>
    <row r="234" spans="1:22" ht="12" customHeight="1" x14ac:dyDescent="0.2">
      <c r="A234">
        <v>414040</v>
      </c>
      <c r="B234">
        <v>414040</v>
      </c>
      <c r="C234" t="str">
        <f>INDEX([3]TextData!B:B,MATCH(B234,[3]TextData!A:A))</f>
        <v>リジェネレーション+</v>
      </c>
      <c r="D234">
        <v>6</v>
      </c>
      <c r="E234" t="str">
        <f>INDEX([3]Define!X:X,MATCH(D234,[3]Define!W:W))</f>
        <v>自己強化</v>
      </c>
      <c r="G234">
        <v>1</v>
      </c>
      <c r="H234" t="str">
        <f>INDEX([3]Define!B:B,MATCH(G234,[3]Define!A:A))</f>
        <v>単体</v>
      </c>
      <c r="I234">
        <v>0</v>
      </c>
      <c r="J234">
        <v>110</v>
      </c>
      <c r="K234">
        <v>4</v>
      </c>
      <c r="L234" t="str">
        <f>INDEX([3]Define!E:E,MATCH(K234,[3]Define!D:D))</f>
        <v>光</v>
      </c>
      <c r="M234">
        <v>6</v>
      </c>
      <c r="N234" t="str">
        <f>INDEX([3]Define!H:H,MATCH(M234,[3]Define!G:G))</f>
        <v>強化</v>
      </c>
      <c r="O234">
        <v>4</v>
      </c>
      <c r="P234" t="str">
        <f>INDEX([3]Define!K:K,MATCH(O234,[3]Define!J:J))</f>
        <v>自身</v>
      </c>
      <c r="Q234">
        <v>4</v>
      </c>
      <c r="R234" t="str">
        <f>INDEX([3]Define!N:N,MATCH(Q234,[3]Define!M:M))</f>
        <v>自身</v>
      </c>
      <c r="S234">
        <v>1</v>
      </c>
      <c r="T234">
        <v>1</v>
      </c>
      <c r="U234">
        <v>1</v>
      </c>
      <c r="V234">
        <v>0</v>
      </c>
    </row>
    <row r="235" spans="1:22" ht="12" customHeight="1" x14ac:dyDescent="0.2">
      <c r="A235">
        <v>414050</v>
      </c>
      <c r="B235">
        <v>414050</v>
      </c>
      <c r="C235" t="str">
        <f>INDEX([3]TextData!B:B,MATCH(B235,[3]TextData!A:A))</f>
        <v>ホープフルアイリス+</v>
      </c>
      <c r="D235">
        <v>6</v>
      </c>
      <c r="E235" t="str">
        <f>INDEX([3]Define!X:X,MATCH(D235,[3]Define!W:W))</f>
        <v>自己強化</v>
      </c>
      <c r="G235">
        <v>1</v>
      </c>
      <c r="H235" t="str">
        <f>INDEX([3]Define!B:B,MATCH(G235,[3]Define!A:A))</f>
        <v>単体</v>
      </c>
      <c r="I235">
        <v>0</v>
      </c>
      <c r="J235">
        <v>110</v>
      </c>
      <c r="K235">
        <v>4</v>
      </c>
      <c r="L235" t="str">
        <f>INDEX([3]Define!E:E,MATCH(K235,[3]Define!D:D))</f>
        <v>光</v>
      </c>
      <c r="M235">
        <v>6</v>
      </c>
      <c r="N235" t="str">
        <f>INDEX([3]Define!H:H,MATCH(M235,[3]Define!G:G))</f>
        <v>強化</v>
      </c>
      <c r="O235">
        <v>4</v>
      </c>
      <c r="P235" t="str">
        <f>INDEX([3]Define!K:K,MATCH(O235,[3]Define!J:J))</f>
        <v>自身</v>
      </c>
      <c r="Q235">
        <v>4</v>
      </c>
      <c r="R235" t="str">
        <f>INDEX([3]Define!N:N,MATCH(Q235,[3]Define!M:M))</f>
        <v>自身</v>
      </c>
      <c r="S235">
        <v>1</v>
      </c>
      <c r="T235">
        <v>1</v>
      </c>
      <c r="U235">
        <v>1</v>
      </c>
      <c r="V235">
        <v>0</v>
      </c>
    </row>
    <row r="236" spans="1:22" ht="12" customHeight="1" x14ac:dyDescent="0.2">
      <c r="A236">
        <v>414060</v>
      </c>
      <c r="B236">
        <v>414060</v>
      </c>
      <c r="C236" t="str">
        <f>INDEX([3]TextData!B:B,MATCH(B236,[3]TextData!A:A))</f>
        <v>パッシブサプライ+</v>
      </c>
      <c r="D236">
        <v>6</v>
      </c>
      <c r="E236" t="str">
        <f>INDEX([3]Define!X:X,MATCH(D236,[3]Define!W:W))</f>
        <v>自己強化</v>
      </c>
      <c r="G236">
        <v>1</v>
      </c>
      <c r="H236" t="str">
        <f>INDEX([3]Define!B:B,MATCH(G236,[3]Define!A:A))</f>
        <v>単体</v>
      </c>
      <c r="I236">
        <v>0</v>
      </c>
      <c r="J236">
        <v>120</v>
      </c>
      <c r="K236">
        <v>4</v>
      </c>
      <c r="L236" t="str">
        <f>INDEX([3]Define!E:E,MATCH(K236,[3]Define!D:D))</f>
        <v>光</v>
      </c>
      <c r="M236">
        <v>6</v>
      </c>
      <c r="N236" t="str">
        <f>INDEX([3]Define!H:H,MATCH(M236,[3]Define!G:G))</f>
        <v>強化</v>
      </c>
      <c r="O236">
        <v>4</v>
      </c>
      <c r="P236" t="str">
        <f>INDEX([3]Define!K:K,MATCH(O236,[3]Define!J:J))</f>
        <v>自身</v>
      </c>
      <c r="Q236">
        <v>4</v>
      </c>
      <c r="R236" t="str">
        <f>INDEX([3]Define!N:N,MATCH(Q236,[3]Define!M:M))</f>
        <v>自身</v>
      </c>
      <c r="S236">
        <v>1</v>
      </c>
      <c r="T236">
        <v>1</v>
      </c>
      <c r="U236">
        <v>1</v>
      </c>
      <c r="V236">
        <v>0</v>
      </c>
    </row>
    <row r="237" spans="1:22" ht="12" customHeight="1" x14ac:dyDescent="0.2">
      <c r="A237">
        <v>414070</v>
      </c>
      <c r="B237">
        <v>414070</v>
      </c>
      <c r="C237" t="str">
        <f>INDEX([3]TextData!B:B,MATCH(B237,[3]TextData!A:A))</f>
        <v>ホーミングクルセイド+</v>
      </c>
      <c r="D237">
        <v>6</v>
      </c>
      <c r="E237" t="str">
        <f>INDEX([3]Define!X:X,MATCH(D237,[3]Define!W:W))</f>
        <v>自己強化</v>
      </c>
      <c r="G237">
        <v>1</v>
      </c>
      <c r="H237" t="str">
        <f>INDEX([3]Define!B:B,MATCH(G237,[3]Define!A:A))</f>
        <v>単体</v>
      </c>
      <c r="I237">
        <v>0</v>
      </c>
      <c r="J237">
        <v>120</v>
      </c>
      <c r="K237">
        <v>4</v>
      </c>
      <c r="L237" t="str">
        <f>INDEX([3]Define!E:E,MATCH(K237,[3]Define!D:D))</f>
        <v>光</v>
      </c>
      <c r="M237">
        <v>6</v>
      </c>
      <c r="N237" t="str">
        <f>INDEX([3]Define!H:H,MATCH(M237,[3]Define!G:G))</f>
        <v>強化</v>
      </c>
      <c r="O237">
        <v>4</v>
      </c>
      <c r="P237" t="str">
        <f>INDEX([3]Define!K:K,MATCH(O237,[3]Define!J:J))</f>
        <v>自身</v>
      </c>
      <c r="Q237">
        <v>4</v>
      </c>
      <c r="R237" t="str">
        <f>INDEX([3]Define!N:N,MATCH(Q237,[3]Define!M:M))</f>
        <v>自身</v>
      </c>
      <c r="S237">
        <v>1</v>
      </c>
      <c r="T237">
        <v>1</v>
      </c>
      <c r="U237">
        <v>1</v>
      </c>
      <c r="V237">
        <v>0</v>
      </c>
    </row>
    <row r="238" spans="1:22" ht="12" customHeight="1" x14ac:dyDescent="0.2">
      <c r="A238">
        <v>414080</v>
      </c>
      <c r="B238">
        <v>414080</v>
      </c>
      <c r="C238" t="str">
        <f>INDEX([3]TextData!B:B,MATCH(B238,[3]TextData!A:A))</f>
        <v>クイックヒール+</v>
      </c>
      <c r="D238">
        <v>6</v>
      </c>
      <c r="E238" t="str">
        <f>INDEX([3]Define!X:X,MATCH(D238,[3]Define!W:W))</f>
        <v>自己強化</v>
      </c>
      <c r="G238">
        <v>1</v>
      </c>
      <c r="H238" t="str">
        <f>INDEX([3]Define!B:B,MATCH(G238,[3]Define!A:A))</f>
        <v>単体</v>
      </c>
      <c r="I238">
        <v>0</v>
      </c>
      <c r="J238">
        <v>120</v>
      </c>
      <c r="K238">
        <v>4</v>
      </c>
      <c r="L238" t="str">
        <f>INDEX([3]Define!E:E,MATCH(K238,[3]Define!D:D))</f>
        <v>光</v>
      </c>
      <c r="M238">
        <v>6</v>
      </c>
      <c r="N238" t="str">
        <f>INDEX([3]Define!H:H,MATCH(M238,[3]Define!G:G))</f>
        <v>強化</v>
      </c>
      <c r="O238">
        <v>4</v>
      </c>
      <c r="P238" t="str">
        <f>INDEX([3]Define!K:K,MATCH(O238,[3]Define!J:J))</f>
        <v>自身</v>
      </c>
      <c r="Q238">
        <v>4</v>
      </c>
      <c r="R238" t="str">
        <f>INDEX([3]Define!N:N,MATCH(Q238,[3]Define!M:M))</f>
        <v>自身</v>
      </c>
      <c r="S238">
        <v>1</v>
      </c>
      <c r="T238">
        <v>1</v>
      </c>
      <c r="U238">
        <v>1</v>
      </c>
      <c r="V238">
        <v>0</v>
      </c>
    </row>
    <row r="239" spans="1:22" ht="12" customHeight="1" x14ac:dyDescent="0.2">
      <c r="A239">
        <v>414090</v>
      </c>
      <c r="B239">
        <v>414090</v>
      </c>
      <c r="C239" t="str">
        <f>INDEX([3]TextData!B:B,MATCH(B239,[3]TextData!A:A))</f>
        <v>リレイズ+</v>
      </c>
      <c r="D239">
        <v>6</v>
      </c>
      <c r="E239" t="str">
        <f>INDEX([3]Define!X:X,MATCH(D239,[3]Define!W:W))</f>
        <v>自己強化</v>
      </c>
      <c r="G239">
        <v>1</v>
      </c>
      <c r="H239" t="str">
        <f>INDEX([3]Define!B:B,MATCH(G239,[3]Define!A:A))</f>
        <v>単体</v>
      </c>
      <c r="I239">
        <v>0</v>
      </c>
      <c r="J239">
        <v>120</v>
      </c>
      <c r="K239">
        <v>4</v>
      </c>
      <c r="L239" t="str">
        <f>INDEX([3]Define!E:E,MATCH(K239,[3]Define!D:D))</f>
        <v>光</v>
      </c>
      <c r="M239">
        <v>6</v>
      </c>
      <c r="N239" t="str">
        <f>INDEX([3]Define!H:H,MATCH(M239,[3]Define!G:G))</f>
        <v>強化</v>
      </c>
      <c r="O239">
        <v>4</v>
      </c>
      <c r="P239" t="str">
        <f>INDEX([3]Define!K:K,MATCH(O239,[3]Define!J:J))</f>
        <v>自身</v>
      </c>
      <c r="Q239">
        <v>4</v>
      </c>
      <c r="R239" t="str">
        <f>INDEX([3]Define!N:N,MATCH(Q239,[3]Define!M:M))</f>
        <v>自身</v>
      </c>
      <c r="S239">
        <v>1</v>
      </c>
      <c r="T239">
        <v>1</v>
      </c>
      <c r="U239">
        <v>1</v>
      </c>
      <c r="V239">
        <v>0</v>
      </c>
    </row>
    <row r="240" spans="1:22" ht="12" customHeight="1" x14ac:dyDescent="0.2">
      <c r="A240">
        <v>415010</v>
      </c>
      <c r="B240">
        <v>415010</v>
      </c>
      <c r="C240" t="str">
        <f>INDEX([3]TextData!B:B,MATCH(B240,[3]TextData!A:A))</f>
        <v>イーグルアイ+</v>
      </c>
      <c r="D240">
        <v>6</v>
      </c>
      <c r="E240" t="str">
        <f>INDEX([3]Define!X:X,MATCH(D240,[3]Define!W:W))</f>
        <v>自己強化</v>
      </c>
      <c r="G240">
        <v>1</v>
      </c>
      <c r="H240" t="str">
        <f>INDEX([3]Define!B:B,MATCH(G240,[3]Define!A:A))</f>
        <v>単体</v>
      </c>
      <c r="I240">
        <v>0</v>
      </c>
      <c r="J240">
        <v>110</v>
      </c>
      <c r="K240">
        <v>5</v>
      </c>
      <c r="L240" t="str">
        <f>INDEX([3]Define!E:E,MATCH(K240,[3]Define!D:D))</f>
        <v>闇</v>
      </c>
      <c r="M240">
        <v>6</v>
      </c>
      <c r="N240" t="str">
        <f>INDEX([3]Define!H:H,MATCH(M240,[3]Define!G:G))</f>
        <v>強化</v>
      </c>
      <c r="O240">
        <v>4</v>
      </c>
      <c r="P240" t="str">
        <f>INDEX([3]Define!K:K,MATCH(O240,[3]Define!J:J))</f>
        <v>自身</v>
      </c>
      <c r="Q240">
        <v>4</v>
      </c>
      <c r="R240" t="str">
        <f>INDEX([3]Define!N:N,MATCH(Q240,[3]Define!M:M))</f>
        <v>自身</v>
      </c>
      <c r="S240">
        <v>1</v>
      </c>
      <c r="T240">
        <v>1</v>
      </c>
      <c r="U240">
        <v>1</v>
      </c>
      <c r="V240">
        <v>0</v>
      </c>
    </row>
    <row r="241" spans="1:22" ht="12" customHeight="1" x14ac:dyDescent="0.2">
      <c r="A241">
        <v>415020</v>
      </c>
      <c r="B241">
        <v>415020</v>
      </c>
      <c r="C241" t="str">
        <f>INDEX([3]TextData!B:B,MATCH(B241,[3]TextData!A:A))</f>
        <v>ネヴァーエンド+</v>
      </c>
      <c r="D241">
        <v>6</v>
      </c>
      <c r="E241" t="str">
        <f>INDEX([3]Define!X:X,MATCH(D241,[3]Define!W:W))</f>
        <v>自己強化</v>
      </c>
      <c r="G241">
        <v>1</v>
      </c>
      <c r="H241" t="str">
        <f>INDEX([3]Define!B:B,MATCH(G241,[3]Define!A:A))</f>
        <v>単体</v>
      </c>
      <c r="I241">
        <v>0</v>
      </c>
      <c r="J241">
        <v>110</v>
      </c>
      <c r="K241">
        <v>5</v>
      </c>
      <c r="L241" t="str">
        <f>INDEX([3]Define!E:E,MATCH(K241,[3]Define!D:D))</f>
        <v>闇</v>
      </c>
      <c r="M241">
        <v>6</v>
      </c>
      <c r="N241" t="str">
        <f>INDEX([3]Define!H:H,MATCH(M241,[3]Define!G:G))</f>
        <v>強化</v>
      </c>
      <c r="O241">
        <v>4</v>
      </c>
      <c r="P241" t="str">
        <f>INDEX([3]Define!K:K,MATCH(O241,[3]Define!J:J))</f>
        <v>自身</v>
      </c>
      <c r="Q241">
        <v>4</v>
      </c>
      <c r="R241" t="str">
        <f>INDEX([3]Define!N:N,MATCH(Q241,[3]Define!M:M))</f>
        <v>自身</v>
      </c>
      <c r="S241">
        <v>1</v>
      </c>
      <c r="T241">
        <v>1</v>
      </c>
      <c r="U241">
        <v>1</v>
      </c>
      <c r="V241">
        <v>0</v>
      </c>
    </row>
    <row r="242" spans="1:22" ht="12" customHeight="1" x14ac:dyDescent="0.2">
      <c r="A242">
        <v>415030</v>
      </c>
      <c r="B242">
        <v>415030</v>
      </c>
      <c r="C242" t="str">
        <f>INDEX([3]TextData!B:B,MATCH(B242,[3]TextData!A:A))</f>
        <v>グレイブアクト+</v>
      </c>
      <c r="D242">
        <v>6</v>
      </c>
      <c r="E242" t="str">
        <f>INDEX([3]Define!X:X,MATCH(D242,[3]Define!W:W))</f>
        <v>自己強化</v>
      </c>
      <c r="G242">
        <v>1</v>
      </c>
      <c r="H242" t="str">
        <f>INDEX([3]Define!B:B,MATCH(G242,[3]Define!A:A))</f>
        <v>単体</v>
      </c>
      <c r="I242">
        <v>0</v>
      </c>
      <c r="J242">
        <v>110</v>
      </c>
      <c r="K242">
        <v>5</v>
      </c>
      <c r="L242" t="str">
        <f>INDEX([3]Define!E:E,MATCH(K242,[3]Define!D:D))</f>
        <v>闇</v>
      </c>
      <c r="M242">
        <v>6</v>
      </c>
      <c r="N242" t="str">
        <f>INDEX([3]Define!H:H,MATCH(M242,[3]Define!G:G))</f>
        <v>強化</v>
      </c>
      <c r="O242">
        <v>4</v>
      </c>
      <c r="P242" t="str">
        <f>INDEX([3]Define!K:K,MATCH(O242,[3]Define!J:J))</f>
        <v>自身</v>
      </c>
      <c r="Q242">
        <v>4</v>
      </c>
      <c r="R242" t="str">
        <f>INDEX([3]Define!N:N,MATCH(Q242,[3]Define!M:M))</f>
        <v>自身</v>
      </c>
      <c r="S242">
        <v>1</v>
      </c>
      <c r="T242">
        <v>1</v>
      </c>
      <c r="U242">
        <v>1</v>
      </c>
      <c r="V242">
        <v>0</v>
      </c>
    </row>
    <row r="243" spans="1:22" ht="12" customHeight="1" x14ac:dyDescent="0.2">
      <c r="A243">
        <v>415040</v>
      </c>
      <c r="B243">
        <v>415040</v>
      </c>
      <c r="C243" t="str">
        <f>INDEX([3]TextData!B:B,MATCH(B243,[3]TextData!A:A))</f>
        <v>スカルグラッジ+</v>
      </c>
      <c r="D243">
        <v>6</v>
      </c>
      <c r="E243" t="str">
        <f>INDEX([3]Define!X:X,MATCH(D243,[3]Define!W:W))</f>
        <v>自己強化</v>
      </c>
      <c r="G243">
        <v>1</v>
      </c>
      <c r="H243" t="str">
        <f>INDEX([3]Define!B:B,MATCH(G243,[3]Define!A:A))</f>
        <v>単体</v>
      </c>
      <c r="I243">
        <v>0</v>
      </c>
      <c r="J243">
        <v>110</v>
      </c>
      <c r="K243">
        <v>5</v>
      </c>
      <c r="L243" t="str">
        <f>INDEX([3]Define!E:E,MATCH(K243,[3]Define!D:D))</f>
        <v>闇</v>
      </c>
      <c r="M243">
        <v>6</v>
      </c>
      <c r="N243" t="str">
        <f>INDEX([3]Define!H:H,MATCH(M243,[3]Define!G:G))</f>
        <v>強化</v>
      </c>
      <c r="O243">
        <v>4</v>
      </c>
      <c r="P243" t="str">
        <f>INDEX([3]Define!K:K,MATCH(O243,[3]Define!J:J))</f>
        <v>自身</v>
      </c>
      <c r="Q243">
        <v>4</v>
      </c>
      <c r="R243" t="str">
        <f>INDEX([3]Define!N:N,MATCH(Q243,[3]Define!M:M))</f>
        <v>自身</v>
      </c>
      <c r="S243">
        <v>1</v>
      </c>
      <c r="T243">
        <v>1</v>
      </c>
      <c r="U243">
        <v>1</v>
      </c>
      <c r="V243">
        <v>0</v>
      </c>
    </row>
    <row r="244" spans="1:22" ht="12" customHeight="1" x14ac:dyDescent="0.2">
      <c r="A244">
        <v>415050</v>
      </c>
      <c r="B244">
        <v>415050</v>
      </c>
      <c r="C244" t="str">
        <f>INDEX([3]TextData!B:B,MATCH(B244,[3]TextData!A:A))</f>
        <v>ネガティブドレイン+</v>
      </c>
      <c r="D244">
        <v>6</v>
      </c>
      <c r="E244" t="str">
        <f>INDEX([3]Define!X:X,MATCH(D244,[3]Define!W:W))</f>
        <v>自己強化</v>
      </c>
      <c r="G244">
        <v>1</v>
      </c>
      <c r="H244" t="str">
        <f>INDEX([3]Define!B:B,MATCH(G244,[3]Define!A:A))</f>
        <v>単体</v>
      </c>
      <c r="I244">
        <v>0</v>
      </c>
      <c r="J244">
        <v>110</v>
      </c>
      <c r="K244">
        <v>5</v>
      </c>
      <c r="L244" t="str">
        <f>INDEX([3]Define!E:E,MATCH(K244,[3]Define!D:D))</f>
        <v>闇</v>
      </c>
      <c r="M244">
        <v>6</v>
      </c>
      <c r="N244" t="str">
        <f>INDEX([3]Define!H:H,MATCH(M244,[3]Define!G:G))</f>
        <v>強化</v>
      </c>
      <c r="O244">
        <v>4</v>
      </c>
      <c r="P244" t="str">
        <f>INDEX([3]Define!K:K,MATCH(O244,[3]Define!J:J))</f>
        <v>自身</v>
      </c>
      <c r="Q244">
        <v>4</v>
      </c>
      <c r="R244" t="str">
        <f>INDEX([3]Define!N:N,MATCH(Q244,[3]Define!M:M))</f>
        <v>自身</v>
      </c>
      <c r="S244">
        <v>1</v>
      </c>
      <c r="T244">
        <v>1</v>
      </c>
      <c r="U244">
        <v>1</v>
      </c>
      <c r="V244">
        <v>0</v>
      </c>
    </row>
    <row r="245" spans="1:22" ht="12" customHeight="1" x14ac:dyDescent="0.2">
      <c r="A245">
        <v>415060</v>
      </c>
      <c r="B245">
        <v>415060</v>
      </c>
      <c r="C245" t="str">
        <f>INDEX([3]TextData!B:B,MATCH(B245,[3]TextData!A:A))</f>
        <v>アンデッドペイン+</v>
      </c>
      <c r="D245">
        <v>6</v>
      </c>
      <c r="E245" t="str">
        <f>INDEX([3]Define!X:X,MATCH(D245,[3]Define!W:W))</f>
        <v>自己強化</v>
      </c>
      <c r="G245">
        <v>1</v>
      </c>
      <c r="H245" t="str">
        <f>INDEX([3]Define!B:B,MATCH(G245,[3]Define!A:A))</f>
        <v>単体</v>
      </c>
      <c r="I245">
        <v>0</v>
      </c>
      <c r="J245">
        <v>120</v>
      </c>
      <c r="K245">
        <v>5</v>
      </c>
      <c r="L245" t="str">
        <f>INDEX([3]Define!E:E,MATCH(K245,[3]Define!D:D))</f>
        <v>闇</v>
      </c>
      <c r="M245">
        <v>6</v>
      </c>
      <c r="N245" t="str">
        <f>INDEX([3]Define!H:H,MATCH(M245,[3]Define!G:G))</f>
        <v>強化</v>
      </c>
      <c r="O245">
        <v>4</v>
      </c>
      <c r="P245" t="str">
        <f>INDEX([3]Define!K:K,MATCH(O245,[3]Define!J:J))</f>
        <v>自身</v>
      </c>
      <c r="Q245">
        <v>4</v>
      </c>
      <c r="R245" t="str">
        <f>INDEX([3]Define!N:N,MATCH(Q245,[3]Define!M:M))</f>
        <v>自身</v>
      </c>
      <c r="S245">
        <v>1</v>
      </c>
      <c r="T245">
        <v>1</v>
      </c>
      <c r="U245">
        <v>1</v>
      </c>
      <c r="V245">
        <v>0</v>
      </c>
    </row>
    <row r="246" spans="1:22" ht="12" customHeight="1" x14ac:dyDescent="0.2">
      <c r="A246">
        <v>415070</v>
      </c>
      <c r="B246">
        <v>415070</v>
      </c>
      <c r="C246" t="str">
        <f>INDEX([3]TextData!B:B,MATCH(B246,[3]TextData!A:A))</f>
        <v>ジャックポッド+</v>
      </c>
      <c r="D246">
        <v>6</v>
      </c>
      <c r="E246" t="str">
        <f>INDEX([3]Define!X:X,MATCH(D246,[3]Define!W:W))</f>
        <v>自己強化</v>
      </c>
      <c r="G246">
        <v>1</v>
      </c>
      <c r="H246" t="str">
        <f>INDEX([3]Define!B:B,MATCH(G246,[3]Define!A:A))</f>
        <v>単体</v>
      </c>
      <c r="I246">
        <v>0</v>
      </c>
      <c r="J246">
        <v>120</v>
      </c>
      <c r="K246">
        <v>5</v>
      </c>
      <c r="L246" t="str">
        <f>INDEX([3]Define!E:E,MATCH(K246,[3]Define!D:D))</f>
        <v>闇</v>
      </c>
      <c r="M246">
        <v>6</v>
      </c>
      <c r="N246" t="str">
        <f>INDEX([3]Define!H:H,MATCH(M246,[3]Define!G:G))</f>
        <v>強化</v>
      </c>
      <c r="O246">
        <v>4</v>
      </c>
      <c r="P246" t="str">
        <f>INDEX([3]Define!K:K,MATCH(O246,[3]Define!J:J))</f>
        <v>自身</v>
      </c>
      <c r="Q246">
        <v>4</v>
      </c>
      <c r="R246" t="str">
        <f>INDEX([3]Define!N:N,MATCH(Q246,[3]Define!M:M))</f>
        <v>自身</v>
      </c>
      <c r="S246">
        <v>1</v>
      </c>
      <c r="T246">
        <v>1</v>
      </c>
      <c r="U246">
        <v>1</v>
      </c>
      <c r="V246">
        <v>0</v>
      </c>
    </row>
    <row r="247" spans="1:22" ht="12" customHeight="1" x14ac:dyDescent="0.2">
      <c r="A247">
        <v>415080</v>
      </c>
      <c r="B247">
        <v>415080</v>
      </c>
      <c r="C247" t="str">
        <f>INDEX([3]TextData!B:B,MATCH(B247,[3]TextData!A:A))</f>
        <v>ヒールハント+</v>
      </c>
      <c r="D247">
        <v>6</v>
      </c>
      <c r="E247" t="str">
        <f>INDEX([3]Define!X:X,MATCH(D247,[3]Define!W:W))</f>
        <v>自己強化</v>
      </c>
      <c r="G247">
        <v>1</v>
      </c>
      <c r="H247" t="str">
        <f>INDEX([3]Define!B:B,MATCH(G247,[3]Define!A:A))</f>
        <v>単体</v>
      </c>
      <c r="I247">
        <v>0</v>
      </c>
      <c r="J247">
        <v>120</v>
      </c>
      <c r="K247">
        <v>5</v>
      </c>
      <c r="L247" t="str">
        <f>INDEX([3]Define!E:E,MATCH(K247,[3]Define!D:D))</f>
        <v>闇</v>
      </c>
      <c r="M247">
        <v>6</v>
      </c>
      <c r="N247" t="str">
        <f>INDEX([3]Define!H:H,MATCH(M247,[3]Define!G:G))</f>
        <v>強化</v>
      </c>
      <c r="O247">
        <v>4</v>
      </c>
      <c r="P247" t="str">
        <f>INDEX([3]Define!K:K,MATCH(O247,[3]Define!J:J))</f>
        <v>自身</v>
      </c>
      <c r="Q247">
        <v>4</v>
      </c>
      <c r="R247" t="str">
        <f>INDEX([3]Define!N:N,MATCH(Q247,[3]Define!M:M))</f>
        <v>自身</v>
      </c>
      <c r="S247">
        <v>1</v>
      </c>
      <c r="T247">
        <v>1</v>
      </c>
      <c r="U247">
        <v>1</v>
      </c>
      <c r="V247">
        <v>0</v>
      </c>
    </row>
    <row r="248" spans="1:22" ht="12" customHeight="1" x14ac:dyDescent="0.2">
      <c r="A248">
        <v>415090</v>
      </c>
      <c r="B248">
        <v>415090</v>
      </c>
      <c r="C248" t="str">
        <f>INDEX([3]TextData!B:B,MATCH(B248,[3]TextData!A:A))</f>
        <v>クイックカース+</v>
      </c>
      <c r="D248">
        <v>6</v>
      </c>
      <c r="E248" t="str">
        <f>INDEX([3]Define!X:X,MATCH(D248,[3]Define!W:W))</f>
        <v>自己強化</v>
      </c>
      <c r="G248">
        <v>1</v>
      </c>
      <c r="H248" t="str">
        <f>INDEX([3]Define!B:B,MATCH(G248,[3]Define!A:A))</f>
        <v>単体</v>
      </c>
      <c r="I248">
        <v>0</v>
      </c>
      <c r="J248">
        <v>120</v>
      </c>
      <c r="K248">
        <v>5</v>
      </c>
      <c r="L248" t="str">
        <f>INDEX([3]Define!E:E,MATCH(K248,[3]Define!D:D))</f>
        <v>闇</v>
      </c>
      <c r="M248">
        <v>6</v>
      </c>
      <c r="N248" t="str">
        <f>INDEX([3]Define!H:H,MATCH(M248,[3]Define!G:G))</f>
        <v>強化</v>
      </c>
      <c r="O248">
        <v>4</v>
      </c>
      <c r="P248" t="str">
        <f>INDEX([3]Define!K:K,MATCH(O248,[3]Define!J:J))</f>
        <v>自身</v>
      </c>
      <c r="Q248">
        <v>4</v>
      </c>
      <c r="R248" t="str">
        <f>INDEX([3]Define!N:N,MATCH(Q248,[3]Define!M:M))</f>
        <v>自身</v>
      </c>
      <c r="S248">
        <v>1</v>
      </c>
      <c r="T248">
        <v>1</v>
      </c>
      <c r="U248">
        <v>1</v>
      </c>
      <c r="V248">
        <v>0</v>
      </c>
    </row>
  </sheetData>
  <autoFilter ref="F1:F9" xr:uid="{00000000-0009-0000-0000-000000000000}"/>
  <phoneticPr fontId="2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6"/>
  <sheetViews>
    <sheetView topLeftCell="A305" workbookViewId="0">
      <selection activeCell="A584" sqref="A317:XFD584"/>
    </sheetView>
  </sheetViews>
  <sheetFormatPr defaultColWidth="8.7265625" defaultRowHeight="13" x14ac:dyDescent="0.2"/>
  <cols>
    <col min="2" max="2" width="20" customWidth="1"/>
    <col min="3" max="3" width="12.36328125" customWidth="1"/>
    <col min="4" max="4" width="55.36328125" customWidth="1"/>
  </cols>
  <sheetData>
    <row r="1" spans="1:9" x14ac:dyDescent="0.2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9" x14ac:dyDescent="0.2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9" x14ac:dyDescent="0.2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 x14ac:dyDescent="0.2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INDEX([2]TextData!B:B,MATCH(E4,[2]TextData!A:A))</f>
        <v>覚醒</v>
      </c>
    </row>
    <row r="5" spans="1:9" x14ac:dyDescent="0.2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INDEX([2]TextData!B:B,MATCH(E5,[2]TextData!A:A))</f>
        <v>覚醒</v>
      </c>
    </row>
    <row r="6" spans="1:9" x14ac:dyDescent="0.2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 x14ac:dyDescent="0.2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9" x14ac:dyDescent="0.2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INDEX([2]TextData!B:B,MATCH(E8,[2]TextData!A:A))</f>
        <v>暗闇</v>
      </c>
    </row>
    <row r="9" spans="1:9" x14ac:dyDescent="0.2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9" x14ac:dyDescent="0.2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9" x14ac:dyDescent="0.2">
      <c r="A11">
        <v>1010</v>
      </c>
      <c r="B11" t="str">
        <f>INDEX([3]TextData!B:B,MATCH(A11,[3]TextData!A:A))</f>
        <v>ファイアボール</v>
      </c>
      <c r="C11">
        <v>1010</v>
      </c>
      <c r="D11" t="str">
        <f>INDEX([3]Define!Q:Q,MATCH(C11,[3]Define!P:P))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9" x14ac:dyDescent="0.2">
      <c r="A12">
        <v>1020</v>
      </c>
      <c r="B12" t="str">
        <f>INDEX([3]TextData!B:B,MATCH(A12,[3]TextData!A:A))</f>
        <v>バーンストーム</v>
      </c>
      <c r="C12">
        <v>1010</v>
      </c>
      <c r="D12" t="str">
        <f>INDEX([3]Define!Q:Q,MATCH(C12,[3]Define!P:P))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9" x14ac:dyDescent="0.2">
      <c r="A13">
        <v>1030</v>
      </c>
      <c r="B13" t="str">
        <f>INDEX([3]TextData!B:B,MATCH(A13,[3]TextData!A:A))</f>
        <v>ヒートスタンプ</v>
      </c>
      <c r="C13">
        <v>4020</v>
      </c>
      <c r="D13" t="str">
        <f>INDEX([3]Define!Q:Q,MATCH(C13,[3]Define!P:P))</f>
        <v>Ct回復</v>
      </c>
      <c r="E13">
        <v>1</v>
      </c>
      <c r="F13">
        <v>0</v>
      </c>
      <c r="G13">
        <v>0</v>
      </c>
      <c r="H13">
        <v>100</v>
      </c>
    </row>
    <row r="14" spans="1:9" x14ac:dyDescent="0.2">
      <c r="A14">
        <v>1040</v>
      </c>
      <c r="B14" t="str">
        <f>INDEX([3]TextData!B:B,MATCH(A14,[3]TextData!A:A))</f>
        <v>ソードアダプト</v>
      </c>
      <c r="C14">
        <v>3010</v>
      </c>
      <c r="D14" t="str">
        <f>INDEX([3]Define!Q:Q,MATCH(C14,[3]Define!P:P))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9" x14ac:dyDescent="0.2">
      <c r="A15">
        <v>1050</v>
      </c>
      <c r="B15" t="str">
        <f>INDEX([3]TextData!B:B,MATCH(A15,[3]TextData!A:A))</f>
        <v>フレイムレイン</v>
      </c>
      <c r="C15">
        <v>1010</v>
      </c>
      <c r="D15" t="str">
        <f>INDEX([3]Define!Q:Q,MATCH(C15,[3]Define!P:P))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9" x14ac:dyDescent="0.2">
      <c r="A16">
        <v>1060</v>
      </c>
      <c r="B16" t="str">
        <f>INDEX([3]TextData!B:B,MATCH(A16,[3]TextData!A:A))</f>
        <v>イクスティンクション</v>
      </c>
      <c r="C16">
        <v>1010</v>
      </c>
      <c r="D16" t="str">
        <f>INDEX([3]Define!Q:Q,MATCH(C16,[3]Define!P:P))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9" x14ac:dyDescent="0.2">
      <c r="A17">
        <v>1070</v>
      </c>
      <c r="B17" t="str">
        <f>INDEX([3]TextData!B:B,MATCH(A17,[3]TextData!A:A))</f>
        <v>バーニングソウル</v>
      </c>
      <c r="C17">
        <v>3060</v>
      </c>
      <c r="D17" t="str">
        <f>INDEX([3]Define!Q:Q,MATCH(C17,[3]Define!P:P))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 x14ac:dyDescent="0.2">
      <c r="A18">
        <v>1080</v>
      </c>
      <c r="B18" t="str">
        <f>INDEX([3]TextData!B:B,MATCH(A18,[3]TextData!A:A))</f>
        <v>レイジングバウンサー</v>
      </c>
      <c r="C18">
        <v>3040</v>
      </c>
      <c r="D18" t="str">
        <f>INDEX([3]Define!Q:Q,MATCH(C18,[3]Define!P:P))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9" x14ac:dyDescent="0.2">
      <c r="A19">
        <v>1080</v>
      </c>
      <c r="B19" t="str">
        <f>INDEX([3]TextData!B:B,MATCH(A19,[3]TextData!A:A))</f>
        <v>レイジングバウンサー</v>
      </c>
      <c r="C19">
        <v>5030</v>
      </c>
      <c r="D19" t="str">
        <f>INDEX([3]Define!Q:Q,MATCH(C19,[3]Define!P:P))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9" x14ac:dyDescent="0.2">
      <c r="A20">
        <v>2010</v>
      </c>
      <c r="B20" t="str">
        <f>INDEX([3]TextData!B:B,MATCH(A20,[3]TextData!A:A))</f>
        <v>ディスチャージ</v>
      </c>
      <c r="C20">
        <v>1010</v>
      </c>
      <c r="D20" t="str">
        <f>INDEX([3]Define!Q:Q,MATCH(C20,[3]Define!P:P))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 x14ac:dyDescent="0.2">
      <c r="A21">
        <v>2020</v>
      </c>
      <c r="B21" t="str">
        <f>INDEX([3]TextData!B:B,MATCH(A21,[3]TextData!A:A))</f>
        <v>イベイドコード</v>
      </c>
      <c r="C21">
        <v>3010</v>
      </c>
      <c r="D21" t="str">
        <f>INDEX([3]Define!Q:Q,MATCH(C21,[3]Define!P:P))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9" x14ac:dyDescent="0.2">
      <c r="A22">
        <v>2030</v>
      </c>
      <c r="B22" t="str">
        <f>INDEX([3]TextData!B:B,MATCH(A22,[3]TextData!A:A))</f>
        <v>ショックインパルス</v>
      </c>
      <c r="C22">
        <v>1010</v>
      </c>
      <c r="D22" t="str">
        <f>INDEX([3]Define!Q:Q,MATCH(C22,[3]Define!P:P))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 x14ac:dyDescent="0.2">
      <c r="A23">
        <v>2030</v>
      </c>
      <c r="B23" t="str">
        <f>INDEX([3]TextData!B:B,MATCH(A23,[3]TextData!A:A))</f>
        <v>ショックインパルス</v>
      </c>
      <c r="C23">
        <v>3010</v>
      </c>
      <c r="D23" t="str">
        <f>INDEX([3]Define!Q:Q,MATCH(C23,[3]Define!P:P))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9" x14ac:dyDescent="0.2">
      <c r="A24">
        <v>2040</v>
      </c>
      <c r="B24" t="str">
        <f>INDEX([3]TextData!B:B,MATCH(A24,[3]TextData!A:A))</f>
        <v>トラストチェイン</v>
      </c>
      <c r="C24">
        <v>5020</v>
      </c>
      <c r="D24" t="str">
        <f>INDEX([3]Define!Q:Q,MATCH(C24,[3]Define!P:P))</f>
        <v>Ap回復</v>
      </c>
      <c r="E24">
        <v>400</v>
      </c>
      <c r="F24">
        <v>0</v>
      </c>
      <c r="G24">
        <v>0</v>
      </c>
      <c r="H24">
        <v>100</v>
      </c>
    </row>
    <row r="25" spans="1:9" x14ac:dyDescent="0.2">
      <c r="A25">
        <v>2050</v>
      </c>
      <c r="B25" t="str">
        <f>INDEX([3]TextData!B:B,MATCH(A25,[3]TextData!A:A))</f>
        <v>スペルバニシング</v>
      </c>
      <c r="C25">
        <v>1010</v>
      </c>
      <c r="D25" t="str">
        <f>INDEX([3]Define!Q:Q,MATCH(C25,[3]Define!P:P))</f>
        <v>Hpダメージ</v>
      </c>
      <c r="E25">
        <v>150</v>
      </c>
      <c r="F25">
        <v>0</v>
      </c>
      <c r="G25">
        <v>0</v>
      </c>
      <c r="H25">
        <v>100</v>
      </c>
    </row>
    <row r="26" spans="1:9" ht="12" customHeight="1" x14ac:dyDescent="0.2">
      <c r="A26">
        <v>2050</v>
      </c>
      <c r="B26" t="str">
        <f>INDEX([3]TextData!B:B,MATCH(A26,[3]TextData!A:A))</f>
        <v>スペルバニシング</v>
      </c>
      <c r="C26">
        <v>3010</v>
      </c>
      <c r="D26" t="str">
        <f>INDEX([3]Define!Q:Q,MATCH(C26,[3]Define!P:P))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9" x14ac:dyDescent="0.2">
      <c r="A27">
        <v>2060</v>
      </c>
      <c r="B27" t="str">
        <f>INDEX([3]TextData!B:B,MATCH(A27,[3]TextData!A:A))</f>
        <v>アーテニーストライク</v>
      </c>
      <c r="C27">
        <v>1010</v>
      </c>
      <c r="D27" t="str">
        <f>INDEX([3]Define!Q:Q,MATCH(C27,[3]Define!P:P))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9" x14ac:dyDescent="0.2">
      <c r="A28">
        <v>2060</v>
      </c>
      <c r="B28" t="str">
        <f>INDEX([3]TextData!B:B,MATCH(A28,[3]TextData!A:A))</f>
        <v>アーテニーストライク</v>
      </c>
      <c r="C28">
        <v>11010</v>
      </c>
      <c r="D28" t="str">
        <f>INDEX([3]Define!Q:Q,MATCH(C28,[3]Define!P:P))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9" x14ac:dyDescent="0.2">
      <c r="A29">
        <v>2060</v>
      </c>
      <c r="B29" t="str">
        <f>INDEX([3]TextData!B:B,MATCH(A29,[3]TextData!A:A))</f>
        <v>アーテニーストライク</v>
      </c>
      <c r="C29">
        <v>7020</v>
      </c>
      <c r="D29" t="str">
        <f>INDEX([3]Define!Q:Q,MATCH(C29,[3]Define!P:P))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9" x14ac:dyDescent="0.2">
      <c r="A30">
        <v>2060</v>
      </c>
      <c r="B30" t="str">
        <f>INDEX([3]TextData!B:B,MATCH(A30,[3]TextData!A:A))</f>
        <v>アーテニーストライク</v>
      </c>
      <c r="C30">
        <v>5011</v>
      </c>
      <c r="D30" t="str">
        <f>INDEX([3]Define!Q:Q,MATCH(C30,[3]Define!P:P))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9" x14ac:dyDescent="0.2">
      <c r="A31">
        <v>2061</v>
      </c>
      <c r="B31" t="str">
        <f>INDEX([3]TextData!B:B,MATCH(A31,[3]TextData!A:A))</f>
        <v>アーテニーストライク</v>
      </c>
      <c r="C31">
        <v>4020</v>
      </c>
      <c r="D31" t="str">
        <f>INDEX([3]Define!Q:Q,MATCH(C31,[3]Define!P:P))</f>
        <v>Ct回復</v>
      </c>
      <c r="E31">
        <v>2</v>
      </c>
      <c r="F31">
        <v>0</v>
      </c>
      <c r="G31">
        <v>0</v>
      </c>
      <c r="H31">
        <v>100</v>
      </c>
    </row>
    <row r="32" spans="1:9" x14ac:dyDescent="0.2">
      <c r="A32">
        <v>2070</v>
      </c>
      <c r="B32" t="str">
        <f>INDEX([3]TextData!B:B,MATCH(A32,[3]TextData!A:A))</f>
        <v>コンセントレイト</v>
      </c>
      <c r="C32">
        <v>3040</v>
      </c>
      <c r="D32" t="str">
        <f>INDEX([3]Define!Q:Q,MATCH(C32,[3]Define!P:P))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 x14ac:dyDescent="0.2">
      <c r="A33">
        <v>2070</v>
      </c>
      <c r="B33" t="str">
        <f>INDEX([3]TextData!B:B,MATCH(A33,[3]TextData!A:A))</f>
        <v>コンセントレイト</v>
      </c>
      <c r="C33">
        <v>3040</v>
      </c>
      <c r="D33" t="str">
        <f>INDEX([3]Define!Q:Q,MATCH(C33,[3]Define!P:P))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9" x14ac:dyDescent="0.2">
      <c r="A34">
        <v>2070</v>
      </c>
      <c r="B34" t="str">
        <f>INDEX([3]TextData!B:B,MATCH(A34,[3]TextData!A:A))</f>
        <v>コンセントレイト</v>
      </c>
      <c r="C34">
        <v>5030</v>
      </c>
      <c r="D34" t="str">
        <f>INDEX([3]Define!Q:Q,MATCH(C34,[3]Define!P:P))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9" x14ac:dyDescent="0.2">
      <c r="A35">
        <v>2080</v>
      </c>
      <c r="B35" t="str">
        <f>INDEX([3]TextData!B:B,MATCH(A35,[3]TextData!A:A))</f>
        <v>ディレイマジック</v>
      </c>
      <c r="C35">
        <v>1010</v>
      </c>
      <c r="D35" t="str">
        <f>INDEX([3]Define!Q:Q,MATCH(C35,[3]Define!P:P))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9" x14ac:dyDescent="0.2">
      <c r="A36">
        <v>2080</v>
      </c>
      <c r="B36" t="str">
        <f>INDEX([3]TextData!B:B,MATCH(A36,[3]TextData!A:A))</f>
        <v>ディレイマジック</v>
      </c>
      <c r="C36">
        <v>4010</v>
      </c>
      <c r="D36" t="str">
        <f>INDEX([3]Define!Q:Q,MATCH(C36,[3]Define!P:P))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9" x14ac:dyDescent="0.2">
      <c r="A37">
        <v>3010</v>
      </c>
      <c r="B37" t="str">
        <f>INDEX([3]TextData!B:B,MATCH(A37,[3]TextData!A:A))</f>
        <v>アイスブレイド</v>
      </c>
      <c r="C37">
        <v>1010</v>
      </c>
      <c r="D37" t="str">
        <f>INDEX([3]Define!Q:Q,MATCH(C37,[3]Define!P:P))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 x14ac:dyDescent="0.2">
      <c r="A38">
        <v>3020</v>
      </c>
      <c r="B38" t="str">
        <f>INDEX([3]TextData!B:B,MATCH(A38,[3]TextData!A:A))</f>
        <v>カウンターオーラ</v>
      </c>
      <c r="C38">
        <v>3010</v>
      </c>
      <c r="D38" t="str">
        <f>INDEX([3]Define!Q:Q,MATCH(C38,[3]Define!P:P))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 x14ac:dyDescent="0.2">
      <c r="A39">
        <v>3030</v>
      </c>
      <c r="B39" t="str">
        <f>INDEX([3]TextData!B:B,MATCH(A39,[3]TextData!A:A))</f>
        <v>ラインプロテクト</v>
      </c>
      <c r="C39">
        <v>3010</v>
      </c>
      <c r="D39" t="str">
        <f>INDEX([3]Define!Q:Q,MATCH(C39,[3]Define!P:P))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 x14ac:dyDescent="0.2">
      <c r="A40">
        <v>3040</v>
      </c>
      <c r="B40" t="str">
        <f>INDEX([3]TextData!B:B,MATCH(A40,[3]TextData!A:A))</f>
        <v>エスコートソール</v>
      </c>
      <c r="C40">
        <v>3010</v>
      </c>
      <c r="D40" t="str">
        <f>INDEX([3]Define!Q:Q,MATCH(C40,[3]Define!P:P))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 x14ac:dyDescent="0.2">
      <c r="A41">
        <v>3050</v>
      </c>
      <c r="B41" t="str">
        <f>INDEX([3]TextData!B:B,MATCH(A41,[3]TextData!A:A))</f>
        <v>ディープフリーズ</v>
      </c>
      <c r="C41">
        <v>3010</v>
      </c>
      <c r="D41" t="str">
        <f>INDEX([3]Define!Q:Q,MATCH(C41,[3]Define!P:P))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9" x14ac:dyDescent="0.2">
      <c r="A42">
        <v>3060</v>
      </c>
      <c r="B42" t="str">
        <f>INDEX([3]TextData!B:B,MATCH(A42,[3]TextData!A:A))</f>
        <v>バブルブロウ</v>
      </c>
      <c r="C42">
        <v>1010</v>
      </c>
      <c r="D42" t="str">
        <f>INDEX([3]Define!Q:Q,MATCH(C42,[3]Define!P:P))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 x14ac:dyDescent="0.2">
      <c r="A43">
        <v>3060</v>
      </c>
      <c r="B43" t="str">
        <f>INDEX([3]TextData!B:B,MATCH(A43,[3]TextData!A:A))</f>
        <v>バブルブロウ</v>
      </c>
      <c r="C43">
        <v>3010</v>
      </c>
      <c r="D43" t="str">
        <f>INDEX([3]Define!Q:Q,MATCH(C43,[3]Define!P:P))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 x14ac:dyDescent="0.2">
      <c r="A44">
        <v>3070</v>
      </c>
      <c r="B44" t="str">
        <f>INDEX([3]TextData!B:B,MATCH(A44,[3]TextData!A:A))</f>
        <v>アクアミラージュ</v>
      </c>
      <c r="C44">
        <v>3010</v>
      </c>
      <c r="D44" t="str">
        <f>INDEX([3]Define!Q:Q,MATCH(C44,[3]Define!P:P))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 x14ac:dyDescent="0.2">
      <c r="A45">
        <v>3080</v>
      </c>
      <c r="B45" t="str">
        <f>INDEX([3]TextData!B:B,MATCH(A45,[3]TextData!A:A))</f>
        <v>フロストシールド</v>
      </c>
      <c r="C45">
        <v>3010</v>
      </c>
      <c r="D45" t="str">
        <f>INDEX([3]Define!Q:Q,MATCH(C45,[3]Define!P:P))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9" x14ac:dyDescent="0.2">
      <c r="A46">
        <v>4010</v>
      </c>
      <c r="B46" t="str">
        <f>INDEX([3]TextData!B:B,MATCH(A46,[3]TextData!A:A))</f>
        <v>セイントレーザー</v>
      </c>
      <c r="C46">
        <v>1010</v>
      </c>
      <c r="D46" t="str">
        <f>INDEX([3]Define!Q:Q,MATCH(C46,[3]Define!P:P))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9" x14ac:dyDescent="0.2">
      <c r="A47">
        <v>4010</v>
      </c>
      <c r="B47" t="str">
        <f>INDEX([3]TextData!B:B,MATCH(A47,[3]TextData!A:A))</f>
        <v>セイントレーザー</v>
      </c>
      <c r="C47">
        <v>8020</v>
      </c>
      <c r="D47" t="str">
        <f>INDEX([3]Define!Q:Q,MATCH(C47,[3]Define!P:P))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9" x14ac:dyDescent="0.2">
      <c r="A48">
        <v>4020</v>
      </c>
      <c r="B48" t="str">
        <f>INDEX([3]TextData!B:B,MATCH(A48,[3]TextData!A:A))</f>
        <v>ペネトレイト</v>
      </c>
      <c r="C48">
        <v>1040</v>
      </c>
      <c r="D48" t="str">
        <f>INDEX([3]Define!Q:Q,MATCH(C48,[3]Define!P:P))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9" x14ac:dyDescent="0.2">
      <c r="A49">
        <v>4020</v>
      </c>
      <c r="B49" t="str">
        <f>INDEX([3]TextData!B:B,MATCH(A49,[3]TextData!A:A))</f>
        <v>ペネトレイト</v>
      </c>
      <c r="C49">
        <v>8020</v>
      </c>
      <c r="D49" t="str">
        <f>INDEX([3]Define!Q:Q,MATCH(C49,[3]Define!P:P))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9" x14ac:dyDescent="0.2">
      <c r="A50">
        <v>4030</v>
      </c>
      <c r="B50" t="str">
        <f>INDEX([3]TextData!B:B,MATCH(A50,[3]TextData!A:A))</f>
        <v>ヒーリング</v>
      </c>
      <c r="C50">
        <v>2010</v>
      </c>
      <c r="D50" t="str">
        <f>INDEX([3]Define!Q:Q,MATCH(C50,[3]Define!P:P))</f>
        <v>Hp回復</v>
      </c>
      <c r="E50">
        <v>25</v>
      </c>
      <c r="F50">
        <v>0</v>
      </c>
      <c r="G50">
        <v>0</v>
      </c>
      <c r="H50">
        <v>100</v>
      </c>
    </row>
    <row r="51" spans="1:9" x14ac:dyDescent="0.2">
      <c r="A51">
        <v>4030</v>
      </c>
      <c r="B51" t="str">
        <f>INDEX([3]TextData!B:B,MATCH(A51,[3]TextData!A:A))</f>
        <v>ヒーリング</v>
      </c>
      <c r="C51">
        <v>8010</v>
      </c>
      <c r="D51" t="str">
        <f>INDEX([3]Define!Q:Q,MATCH(C51,[3]Define!P:P))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9" x14ac:dyDescent="0.2">
      <c r="A52">
        <v>4030</v>
      </c>
      <c r="B52" t="str">
        <f>INDEX([3]TextData!B:B,MATCH(A52,[3]TextData!A:A))</f>
        <v>ヒーリング</v>
      </c>
      <c r="C52">
        <v>8020</v>
      </c>
      <c r="D52" t="str">
        <f>INDEX([3]Define!Q:Q,MATCH(C52,[3]Define!P:P))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9" x14ac:dyDescent="0.2">
      <c r="A53">
        <v>4040</v>
      </c>
      <c r="B53" t="str">
        <f>INDEX([3]TextData!B:B,MATCH(A53,[3]TextData!A:A))</f>
        <v>リザイアフォトン</v>
      </c>
      <c r="C53">
        <v>1010</v>
      </c>
      <c r="D53" t="str">
        <f>INDEX([3]Define!Q:Q,MATCH(C53,[3]Define!P:P))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9" x14ac:dyDescent="0.2">
      <c r="A54">
        <v>4040</v>
      </c>
      <c r="B54" t="str">
        <f>INDEX([3]TextData!B:B,MATCH(A54,[3]TextData!A:A))</f>
        <v>リザイアフォトン</v>
      </c>
      <c r="C54">
        <v>2130</v>
      </c>
      <c r="D54" t="str">
        <f>INDEX([3]Define!Q:Q,MATCH(C54,[3]Define!P:P))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9" x14ac:dyDescent="0.2">
      <c r="A55">
        <v>4050</v>
      </c>
      <c r="B55" t="str">
        <f>INDEX([3]TextData!B:B,MATCH(A55,[3]TextData!A:A))</f>
        <v>べネディクション</v>
      </c>
      <c r="C55">
        <v>2010</v>
      </c>
      <c r="D55" t="str">
        <f>INDEX([3]Define!Q:Q,MATCH(C55,[3]Define!P:P))</f>
        <v>Hp回復</v>
      </c>
      <c r="E55">
        <v>10</v>
      </c>
      <c r="F55">
        <v>0</v>
      </c>
      <c r="G55">
        <v>0</v>
      </c>
      <c r="H55">
        <v>100</v>
      </c>
    </row>
    <row r="56" spans="1:9" x14ac:dyDescent="0.2">
      <c r="A56">
        <v>4060</v>
      </c>
      <c r="B56" t="str">
        <f>INDEX([3]TextData!B:B,MATCH(A56,[3]TextData!A:A))</f>
        <v>ホーリーグレイス</v>
      </c>
      <c r="C56">
        <v>3020</v>
      </c>
      <c r="D56" t="str">
        <f>INDEX([3]Define!Q:Q,MATCH(C56,[3]Define!P:P))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9" x14ac:dyDescent="0.2">
      <c r="A57">
        <v>4060</v>
      </c>
      <c r="B57" t="str">
        <f>INDEX([3]TextData!B:B,MATCH(A57,[3]TextData!A:A))</f>
        <v>ホーリーグレイス</v>
      </c>
      <c r="C57">
        <v>2010</v>
      </c>
      <c r="D57" t="str">
        <f>INDEX([3]Define!Q:Q,MATCH(C57,[3]Define!P:P))</f>
        <v>Hp回復</v>
      </c>
      <c r="E57">
        <v>25</v>
      </c>
      <c r="F57">
        <v>0</v>
      </c>
      <c r="G57">
        <v>0</v>
      </c>
      <c r="H57">
        <v>100</v>
      </c>
    </row>
    <row r="58" spans="1:9" x14ac:dyDescent="0.2">
      <c r="A58">
        <v>4070</v>
      </c>
      <c r="B58" t="str">
        <f>INDEX([3]TextData!B:B,MATCH(A58,[3]TextData!A:A))</f>
        <v>キュアエール</v>
      </c>
      <c r="C58">
        <v>2010</v>
      </c>
      <c r="D58" t="str">
        <f>INDEX([3]Define!Q:Q,MATCH(C58,[3]Define!P:P))</f>
        <v>Hp回復</v>
      </c>
      <c r="E58">
        <v>15</v>
      </c>
      <c r="F58">
        <v>0</v>
      </c>
      <c r="G58">
        <v>0</v>
      </c>
      <c r="H58">
        <v>100</v>
      </c>
    </row>
    <row r="59" spans="1:9" x14ac:dyDescent="0.2">
      <c r="A59">
        <v>4070</v>
      </c>
      <c r="B59" t="str">
        <f>INDEX([3]TextData!B:B,MATCH(A59,[3]TextData!A:A))</f>
        <v>キュアエール</v>
      </c>
      <c r="C59">
        <v>3030</v>
      </c>
      <c r="D59" t="str">
        <f>INDEX([3]Define!Q:Q,MATCH(C59,[3]Define!P:P))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 x14ac:dyDescent="0.2">
      <c r="A60">
        <v>4080</v>
      </c>
      <c r="B60" t="str">
        <f>INDEX([3]TextData!B:B,MATCH(A60,[3]TextData!A:A))</f>
        <v>ラインバリア</v>
      </c>
      <c r="C60">
        <v>3010</v>
      </c>
      <c r="D60" t="str">
        <f>INDEX([3]Define!Q:Q,MATCH(C60,[3]Define!P:P))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9" x14ac:dyDescent="0.2">
      <c r="A61">
        <v>5010</v>
      </c>
      <c r="B61" t="str">
        <f>INDEX([3]TextData!B:B,MATCH(A61,[3]TextData!A:A))</f>
        <v>ダークプリズン</v>
      </c>
      <c r="C61">
        <v>1010</v>
      </c>
      <c r="D61" t="str">
        <f>INDEX([3]Define!Q:Q,MATCH(C61,[3]Define!P:P))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9" x14ac:dyDescent="0.2">
      <c r="A62">
        <v>5020</v>
      </c>
      <c r="B62" t="str">
        <f>INDEX([3]TextData!B:B,MATCH(A62,[3]TextData!A:A))</f>
        <v>ユーサネイジア</v>
      </c>
      <c r="C62">
        <v>1010</v>
      </c>
      <c r="D62" t="str">
        <f>INDEX([3]Define!Q:Q,MATCH(C62,[3]Define!P:P))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9" x14ac:dyDescent="0.2">
      <c r="A63">
        <v>5030</v>
      </c>
      <c r="B63" t="str">
        <f>INDEX([3]TextData!B:B,MATCH(A63,[3]TextData!A:A))</f>
        <v>ドレインヒール</v>
      </c>
      <c r="C63">
        <v>1020</v>
      </c>
      <c r="D63" t="str">
        <f>INDEX([3]Define!Q:Q,MATCH(C63,[3]Define!P:P))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9" x14ac:dyDescent="0.2">
      <c r="A64">
        <v>5040</v>
      </c>
      <c r="B64" t="str">
        <f>INDEX([3]TextData!B:B,MATCH(A64,[3]TextData!A:A))</f>
        <v>アビサルデスペア</v>
      </c>
      <c r="C64">
        <v>1010</v>
      </c>
      <c r="D64" t="str">
        <f>INDEX([3]Define!Q:Q,MATCH(C64,[3]Define!P:P))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 x14ac:dyDescent="0.2">
      <c r="A65">
        <v>5040</v>
      </c>
      <c r="B65" t="str">
        <f>INDEX([3]TextData!B:B,MATCH(A65,[3]TextData!A:A))</f>
        <v>アビサルデスペア</v>
      </c>
      <c r="C65">
        <v>3010</v>
      </c>
      <c r="D65" t="str">
        <f>INDEX([3]Define!Q:Q,MATCH(C65,[3]Define!P:P))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9" x14ac:dyDescent="0.2">
      <c r="A66">
        <v>5050</v>
      </c>
      <c r="B66" t="str">
        <f>INDEX([3]TextData!B:B,MATCH(A66,[3]TextData!A:A))</f>
        <v>ディプラヴィティ</v>
      </c>
      <c r="C66">
        <v>1010</v>
      </c>
      <c r="D66" t="str">
        <f>INDEX([3]Define!Q:Q,MATCH(C66,[3]Define!P:P))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9" x14ac:dyDescent="0.2">
      <c r="A67">
        <v>5050</v>
      </c>
      <c r="B67" t="str">
        <f>INDEX([3]TextData!B:B,MATCH(A67,[3]TextData!A:A))</f>
        <v>ディプラヴィティ</v>
      </c>
      <c r="C67">
        <v>4010</v>
      </c>
      <c r="D67" t="str">
        <f>INDEX([3]Define!Q:Q,MATCH(C67,[3]Define!P:P))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 x14ac:dyDescent="0.2">
      <c r="A68">
        <v>5060</v>
      </c>
      <c r="B68" t="str">
        <f>INDEX([3]TextData!B:B,MATCH(A68,[3]TextData!A:A))</f>
        <v>ダークネス</v>
      </c>
      <c r="C68">
        <v>3010</v>
      </c>
      <c r="D68" t="str">
        <f>INDEX([3]Define!Q:Q,MATCH(C68,[3]Define!P:P))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 x14ac:dyDescent="0.2">
      <c r="A69">
        <v>5070</v>
      </c>
      <c r="B69" t="str">
        <f>INDEX([3]TextData!B:B,MATCH(A69,[3]TextData!A:A))</f>
        <v>シェイディークラウド</v>
      </c>
      <c r="C69">
        <v>3010</v>
      </c>
      <c r="D69" t="str">
        <f>INDEX([3]Define!Q:Q,MATCH(C69,[3]Define!P:P))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9" x14ac:dyDescent="0.2">
      <c r="A70">
        <v>5080</v>
      </c>
      <c r="B70" t="str">
        <f>INDEX([3]TextData!B:B,MATCH(A70,[3]TextData!A:A))</f>
        <v>ポイズンブロウ</v>
      </c>
      <c r="C70">
        <v>1010</v>
      </c>
      <c r="D70" t="str">
        <f>INDEX([3]Define!Q:Q,MATCH(C70,[3]Define!P:P))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 x14ac:dyDescent="0.2">
      <c r="A71">
        <v>5080</v>
      </c>
      <c r="B71" t="str">
        <f>INDEX([3]TextData!B:B,MATCH(A71,[3]TextData!A:A))</f>
        <v>ポイズンブロウ</v>
      </c>
      <c r="C71">
        <v>3010</v>
      </c>
      <c r="D71" t="str">
        <f>INDEX([3]Define!Q:Q,MATCH(C71,[3]Define!P:P))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9" x14ac:dyDescent="0.2">
      <c r="A72">
        <v>10010</v>
      </c>
      <c r="B72" t="str">
        <f>INDEX([3]TextData!B:B,MATCH(A72,[3]TextData!A:A))</f>
        <v>アンデッド</v>
      </c>
      <c r="C72">
        <v>3010</v>
      </c>
      <c r="D72" t="str">
        <f>INDEX([3]Define!Q:Q,MATCH(C72,[3]Define!P:P))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INDEX([4]TextData!B:B,MATCH(E72,[4]TextData!A:A))</f>
        <v>アンデッド</v>
      </c>
    </row>
    <row r="73" spans="1:9" x14ac:dyDescent="0.2">
      <c r="A73">
        <v>10020</v>
      </c>
      <c r="B73" t="str">
        <f>INDEX([3]TextData!B:B,MATCH(A73,[3]TextData!A:A))</f>
        <v>エアリアル</v>
      </c>
      <c r="C73">
        <v>3010</v>
      </c>
      <c r="D73" t="str">
        <f>INDEX([3]Define!Q:Q,MATCH(C73,[3]Define!P:P))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INDEX([4]TextData!B:B,MATCH(E73,[4]TextData!A:A))</f>
        <v>対象範囲延長</v>
      </c>
    </row>
    <row r="74" spans="1:9" x14ac:dyDescent="0.2">
      <c r="A74">
        <v>10030</v>
      </c>
      <c r="B74" t="str">
        <f>INDEX([3]TextData!B:B,MATCH(A74,[3]TextData!A:A))</f>
        <v>悪魔</v>
      </c>
      <c r="C74">
        <v>3010</v>
      </c>
      <c r="D74" t="str">
        <f>INDEX([3]Define!Q:Q,MATCH(C74,[3]Define!P:P))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INDEX([4]TextData!B:B,MATCH(E74,[4]TextData!A:A))</f>
        <v>最大Mpアップ</v>
      </c>
    </row>
    <row r="75" spans="1:9" x14ac:dyDescent="0.2">
      <c r="A75">
        <v>10040</v>
      </c>
      <c r="B75" t="str">
        <f>INDEX([3]TextData!B:B,MATCH(A75,[3]TextData!A:A))</f>
        <v>クリーチャー</v>
      </c>
      <c r="C75">
        <v>3010</v>
      </c>
      <c r="D75" t="str">
        <f>INDEX([3]Define!Q:Q,MATCH(C75,[3]Define!P:P))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INDEX([4]TextData!B:B,MATCH(E75,[4]TextData!A:A))</f>
        <v>最大Hpアップ</v>
      </c>
    </row>
    <row r="76" spans="1:9" x14ac:dyDescent="0.2">
      <c r="A76">
        <v>10050</v>
      </c>
      <c r="B76" t="str">
        <f>INDEX([3]TextData!B:B,MATCH(A76,[3]TextData!A:A))</f>
        <v>野生の記憶</v>
      </c>
      <c r="C76">
        <v>3010</v>
      </c>
      <c r="D76" t="str">
        <f>INDEX([3]Define!Q:Q,MATCH(C76,[3]Define!P:P))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INDEX([4]TextData!B:B,MATCH(E76,[4]TextData!A:A))</f>
        <v>攻撃アップ</v>
      </c>
    </row>
    <row r="77" spans="1:9" x14ac:dyDescent="0.2">
      <c r="A77">
        <v>10060</v>
      </c>
      <c r="B77" t="str">
        <f>INDEX([3]TextData!B:B,MATCH(A77,[3]TextData!A:A))</f>
        <v>変異生物</v>
      </c>
      <c r="C77">
        <v>3010</v>
      </c>
      <c r="D77" t="str">
        <f>INDEX([3]Define!Q:Q,MATCH(C77,[3]Define!P:P))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INDEX([4]TextData!B:B,MATCH(E77,[4]TextData!A:A))</f>
        <v>防御アップ</v>
      </c>
    </row>
    <row r="78" spans="1:9" x14ac:dyDescent="0.2">
      <c r="A78">
        <v>11010</v>
      </c>
      <c r="B78" t="str">
        <f>INDEX([3]TextData!B:B,MATCH(A78,[3]TextData!A:A))</f>
        <v>ウルフソウル</v>
      </c>
      <c r="C78">
        <v>3010</v>
      </c>
      <c r="D78" t="str">
        <f>INDEX([3]Define!Q:Q,MATCH(C78,[3]Define!P:P))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 x14ac:dyDescent="0.2">
      <c r="A79">
        <v>11020</v>
      </c>
      <c r="B79" t="str">
        <f>INDEX([3]TextData!B:B,MATCH(A79,[3]TextData!A:A))</f>
        <v>プリディカメント</v>
      </c>
      <c r="C79">
        <v>3010</v>
      </c>
      <c r="D79" t="str">
        <f>INDEX([3]Define!Q:Q,MATCH(C79,[3]Define!P:P))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INDEX([4]TextData!B:B,MATCH(E79,[4]TextData!A:A))</f>
        <v>攻撃アップ</v>
      </c>
    </row>
    <row r="80" spans="1:9" x14ac:dyDescent="0.2">
      <c r="A80">
        <v>11030</v>
      </c>
      <c r="B80" t="str">
        <f>INDEX([3]TextData!B:B,MATCH(A80,[3]TextData!A:A))</f>
        <v>アサルトシフト</v>
      </c>
      <c r="C80">
        <v>3010</v>
      </c>
      <c r="D80" t="str">
        <f>INDEX([3]Define!Q:Q,MATCH(C80,[3]Define!P:P))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 x14ac:dyDescent="0.2">
      <c r="A81">
        <v>11030</v>
      </c>
      <c r="B81" t="str">
        <f>INDEX([3]TextData!B:B,MATCH(A81,[3]TextData!A:A))</f>
        <v>アサルトシフト</v>
      </c>
      <c r="C81">
        <v>3010</v>
      </c>
      <c r="D81" t="str">
        <f>INDEX([3]Define!Q:Q,MATCH(C81,[3]Define!P:P))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INDEX([4]TextData!B:B,MATCH(E81,[4]TextData!A:A))</f>
        <v>防御ダウン</v>
      </c>
    </row>
    <row r="82" spans="1:9" x14ac:dyDescent="0.2">
      <c r="A82">
        <v>11040</v>
      </c>
      <c r="B82" t="str">
        <f>INDEX([3]TextData!B:B,MATCH(A82,[3]TextData!A:A))</f>
        <v>アクティブギフト</v>
      </c>
      <c r="C82">
        <v>4020</v>
      </c>
      <c r="D82" t="str">
        <f>INDEX([3]Define!Q:Q,MATCH(C82,[3]Define!P:P))</f>
        <v>Ct回復</v>
      </c>
      <c r="E82">
        <v>1</v>
      </c>
      <c r="F82">
        <v>0</v>
      </c>
      <c r="G82">
        <v>0</v>
      </c>
      <c r="H82">
        <v>100</v>
      </c>
    </row>
    <row r="83" spans="1:9" x14ac:dyDescent="0.2">
      <c r="A83">
        <v>11050</v>
      </c>
      <c r="B83" t="str">
        <f>INDEX([3]TextData!B:B,MATCH(A83,[3]TextData!A:A))</f>
        <v>イグナイテッド</v>
      </c>
      <c r="C83">
        <v>4020</v>
      </c>
      <c r="D83" t="str">
        <f>INDEX([3]Define!Q:Q,MATCH(C83,[3]Define!P:P))</f>
        <v>Ct回復</v>
      </c>
      <c r="E83">
        <v>3</v>
      </c>
      <c r="F83">
        <v>1</v>
      </c>
      <c r="G83">
        <v>0</v>
      </c>
      <c r="H83">
        <v>100</v>
      </c>
    </row>
    <row r="84" spans="1:9" x14ac:dyDescent="0.2">
      <c r="A84">
        <v>11060</v>
      </c>
      <c r="B84" t="str">
        <f>INDEX([3]TextData!B:B,MATCH(A84,[3]TextData!A:A))</f>
        <v>ライジングファイア</v>
      </c>
      <c r="C84">
        <v>4020</v>
      </c>
      <c r="D84" t="str">
        <f>INDEX([3]Define!Q:Q,MATCH(C84,[3]Define!P:P))</f>
        <v>Ct回復</v>
      </c>
      <c r="E84">
        <v>1</v>
      </c>
      <c r="F84">
        <v>0</v>
      </c>
      <c r="G84">
        <v>0</v>
      </c>
      <c r="H84">
        <v>100</v>
      </c>
    </row>
    <row r="85" spans="1:9" x14ac:dyDescent="0.2">
      <c r="A85">
        <v>11070</v>
      </c>
      <c r="B85" t="str">
        <f>INDEX([3]TextData!B:B,MATCH(A85,[3]TextData!A:A))</f>
        <v>ルージュバック</v>
      </c>
      <c r="C85">
        <v>3010</v>
      </c>
      <c r="D85" t="str">
        <f>INDEX([3]Define!Q:Q,MATCH(C85,[3]Define!P:P))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INDEX([4]TextData!B:B,MATCH(E85,[4]TextData!A:A))</f>
        <v>攻撃アップ</v>
      </c>
    </row>
    <row r="86" spans="1:9" x14ac:dyDescent="0.2">
      <c r="A86">
        <v>11080</v>
      </c>
      <c r="B86" t="str">
        <f>INDEX([3]TextData!B:B,MATCH(A86,[3]TextData!A:A))</f>
        <v>パワーエール</v>
      </c>
      <c r="C86">
        <v>3010</v>
      </c>
      <c r="D86" t="str">
        <f>INDEX([3]Define!Q:Q,MATCH(C86,[3]Define!P:P))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INDEX([4]TextData!B:B,MATCH(E86,[4]TextData!A:A))</f>
        <v>攻撃アップ</v>
      </c>
    </row>
    <row r="87" spans="1:9" x14ac:dyDescent="0.2">
      <c r="A87">
        <v>11090</v>
      </c>
      <c r="B87" t="str">
        <f>INDEX([3]TextData!B:B,MATCH(A87,[3]TextData!A:A))</f>
        <v>スレイプニル</v>
      </c>
      <c r="C87">
        <v>3010</v>
      </c>
      <c r="D87" t="str">
        <f>INDEX([3]Define!Q:Q,MATCH(C87,[3]Define!P:P))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INDEX([4]TextData!B:B,MATCH(E87,[4]TextData!A:A))</f>
        <v>貫通</v>
      </c>
    </row>
    <row r="88" spans="1:9" x14ac:dyDescent="0.2">
      <c r="A88">
        <v>12010</v>
      </c>
      <c r="B88" t="str">
        <f>INDEX([3]TextData!B:B,MATCH(A88,[3]TextData!A:A))</f>
        <v>エクステンション</v>
      </c>
      <c r="C88">
        <v>3010</v>
      </c>
      <c r="D88" t="str">
        <f>INDEX([3]Define!Q:Q,MATCH(C88,[3]Define!P:P))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INDEX([4]TextData!B:B,MATCH(E88,[4]TextData!A:A))</f>
        <v>対象範囲延長</v>
      </c>
    </row>
    <row r="89" spans="1:9" x14ac:dyDescent="0.2">
      <c r="A89">
        <v>12020</v>
      </c>
      <c r="B89" t="str">
        <f>INDEX([3]TextData!B:B,MATCH(A89,[3]TextData!A:A))</f>
        <v>ヘブンリーラック</v>
      </c>
      <c r="C89">
        <v>3010</v>
      </c>
      <c r="D89" t="str">
        <f>INDEX([3]Define!Q:Q,MATCH(C89,[3]Define!P:P))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INDEX([4]TextData!B:B,MATCH(E89,[4]TextData!A:A))</f>
        <v>回避アップ</v>
      </c>
    </row>
    <row r="90" spans="1:9" x14ac:dyDescent="0.2">
      <c r="A90">
        <v>12030</v>
      </c>
      <c r="B90" t="str">
        <f>INDEX([3]TextData!B:B,MATCH(A90,[3]TextData!A:A))</f>
        <v>スウィフトカレント</v>
      </c>
      <c r="C90">
        <v>3010</v>
      </c>
      <c r="D90" t="str">
        <f>INDEX([3]Define!Q:Q,MATCH(C90,[3]Define!P:P))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INDEX([4]TextData!B:B,MATCH(E90,[4]TextData!A:A))</f>
        <v>速度アップ</v>
      </c>
    </row>
    <row r="91" spans="1:9" x14ac:dyDescent="0.2">
      <c r="A91">
        <v>12040</v>
      </c>
      <c r="B91" t="str">
        <f>INDEX([3]TextData!B:B,MATCH(A91,[3]TextData!A:A))</f>
        <v>イヴェイドオール</v>
      </c>
      <c r="C91">
        <v>3010</v>
      </c>
      <c r="D91" t="str">
        <f>INDEX([3]Define!Q:Q,MATCH(C91,[3]Define!P:P))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INDEX([4]TextData!B:B,MATCH(E91,[4]TextData!A:A))</f>
        <v>回避アップ</v>
      </c>
    </row>
    <row r="92" spans="1:9" x14ac:dyDescent="0.2">
      <c r="A92">
        <v>12050</v>
      </c>
      <c r="B92" t="str">
        <f>INDEX([3]TextData!B:B,MATCH(A92,[3]TextData!A:A))</f>
        <v>クイックムーブ</v>
      </c>
      <c r="C92">
        <v>5020</v>
      </c>
      <c r="D92" t="str">
        <f>INDEX([3]Define!Q:Q,MATCH(C92,[3]Define!P:P))</f>
        <v>Ap回復</v>
      </c>
      <c r="E92">
        <v>200</v>
      </c>
      <c r="F92">
        <v>0</v>
      </c>
      <c r="G92">
        <v>0</v>
      </c>
      <c r="H92">
        <v>100</v>
      </c>
    </row>
    <row r="93" spans="1:9" x14ac:dyDescent="0.2">
      <c r="A93">
        <v>12060</v>
      </c>
      <c r="B93" t="str">
        <f>INDEX([3]TextData!B:B,MATCH(A93,[3]TextData!A:A))</f>
        <v>チェイスマジック</v>
      </c>
      <c r="C93">
        <v>1010</v>
      </c>
      <c r="D93" t="str">
        <f>INDEX([3]Define!Q:Q,MATCH(C93,[3]Define!P:P))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 x14ac:dyDescent="0.2">
      <c r="A94">
        <v>12070</v>
      </c>
      <c r="B94" t="str">
        <f>INDEX([3]TextData!B:B,MATCH(A94,[3]TextData!A:A))</f>
        <v>ソーサリーコネクト</v>
      </c>
      <c r="C94">
        <v>3010</v>
      </c>
      <c r="D94" t="str">
        <f>INDEX([3]Define!Q:Q,MATCH(C94,[3]Define!P:P))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INDEX([4]TextData!B:B,MATCH(E94,[4]TextData!A:A))</f>
        <v>攻撃アップ</v>
      </c>
    </row>
    <row r="95" spans="1:9" x14ac:dyDescent="0.2">
      <c r="A95">
        <v>12070</v>
      </c>
      <c r="B95" t="str">
        <f>INDEX([3]TextData!B:B,MATCH(A95,[3]TextData!A:A))</f>
        <v>ソーサリーコネクト</v>
      </c>
      <c r="C95">
        <v>7010</v>
      </c>
      <c r="D95" t="str">
        <f>INDEX([3]Define!Q:Q,MATCH(C95,[3]Define!P:P))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 x14ac:dyDescent="0.2">
      <c r="A96">
        <v>12071</v>
      </c>
      <c r="B96" t="str">
        <f>INDEX([3]TextData!B:B,MATCH(A96,[3]TextData!A:A))</f>
        <v>ソーサリーコネクト</v>
      </c>
      <c r="C96">
        <v>3010</v>
      </c>
      <c r="D96" t="str">
        <f>INDEX([3]Define!Q:Q,MATCH(C96,[3]Define!P:P))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INDEX([4]TextData!B:B,MATCH(E96,[4]TextData!A:A))</f>
        <v>攻撃ダウン</v>
      </c>
    </row>
    <row r="97" spans="1:9" x14ac:dyDescent="0.2">
      <c r="A97">
        <v>12080</v>
      </c>
      <c r="B97" t="str">
        <f>INDEX([3]TextData!B:B,MATCH(A97,[3]TextData!A:A))</f>
        <v>ウィンドライズ</v>
      </c>
      <c r="C97">
        <v>1010</v>
      </c>
      <c r="D97" t="str">
        <f>INDEX([3]Define!Q:Q,MATCH(C97,[3]Define!P:P))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9" x14ac:dyDescent="0.2">
      <c r="A98">
        <v>12090</v>
      </c>
      <c r="B98" t="str">
        <f>INDEX([3]TextData!B:B,MATCH(A98,[3]TextData!A:A))</f>
        <v>アウトオブオーダー</v>
      </c>
      <c r="C98">
        <v>5020</v>
      </c>
      <c r="D98" t="str">
        <f>INDEX([3]Define!Q:Q,MATCH(C98,[3]Define!P:P))</f>
        <v>Ap回復</v>
      </c>
      <c r="E98">
        <v>200</v>
      </c>
      <c r="F98">
        <v>0</v>
      </c>
      <c r="G98">
        <v>0</v>
      </c>
      <c r="H98">
        <v>100</v>
      </c>
    </row>
    <row r="99" spans="1:9" x14ac:dyDescent="0.2">
      <c r="A99">
        <v>13010</v>
      </c>
      <c r="B99" t="str">
        <f>INDEX([3]TextData!B:B,MATCH(A99,[3]TextData!A:A))</f>
        <v>アーマーコード</v>
      </c>
      <c r="C99">
        <v>3010</v>
      </c>
      <c r="D99" t="str">
        <f>INDEX([3]Define!Q:Q,MATCH(C99,[3]Define!P:P))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INDEX([4]TextData!B:B,MATCH(E99,[4]TextData!A:A))</f>
        <v>防御アップ</v>
      </c>
    </row>
    <row r="100" spans="1:9" x14ac:dyDescent="0.2">
      <c r="A100">
        <v>13020</v>
      </c>
      <c r="B100" t="str">
        <f>INDEX([3]TextData!B:B,MATCH(A100,[3]TextData!A:A))</f>
        <v>クイックバリア</v>
      </c>
      <c r="C100">
        <v>3010</v>
      </c>
      <c r="D100" t="str">
        <f>INDEX([3]Define!Q:Q,MATCH(C100,[3]Define!P:P))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INDEX([4]TextData!B:B,MATCH(E100,[4]TextData!A:A))</f>
        <v>ダメージカット</v>
      </c>
    </row>
    <row r="101" spans="1:9" x14ac:dyDescent="0.2">
      <c r="A101">
        <v>13030</v>
      </c>
      <c r="B101" t="str">
        <f>INDEX([3]TextData!B:B,MATCH(A101,[3]TextData!A:A))</f>
        <v>クイックキュア</v>
      </c>
      <c r="C101">
        <v>3030</v>
      </c>
      <c r="D101" t="str">
        <f>INDEX([3]Define!Q:Q,MATCH(C101,[3]Define!P:P))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 x14ac:dyDescent="0.2">
      <c r="A102">
        <v>13040</v>
      </c>
      <c r="B102" t="str">
        <f>INDEX([3]TextData!B:B,MATCH(A102,[3]TextData!A:A))</f>
        <v>セルフシールド</v>
      </c>
      <c r="C102">
        <v>3010</v>
      </c>
      <c r="D102" t="str">
        <f>INDEX([3]Define!Q:Q,MATCH(C102,[3]Define!P:P))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9" x14ac:dyDescent="0.2">
      <c r="A103">
        <v>13050</v>
      </c>
      <c r="B103" t="str">
        <f>INDEX([3]TextData!B:B,MATCH(A103,[3]TextData!A:A))</f>
        <v>パッシブジャミング</v>
      </c>
      <c r="C103">
        <v>3010</v>
      </c>
      <c r="D103" t="str">
        <f>INDEX([3]Define!Q:Q,MATCH(C103,[3]Define!P:P))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INDEX([4]TextData!B:B,MATCH(E103,[4]TextData!A:A))</f>
        <v>パッシブ封じ</v>
      </c>
    </row>
    <row r="104" spans="1:9" x14ac:dyDescent="0.2">
      <c r="A104">
        <v>13060</v>
      </c>
      <c r="B104" t="str">
        <f>INDEX([3]TextData!B:B,MATCH(A104,[3]TextData!A:A))</f>
        <v>サプライカバー</v>
      </c>
      <c r="C104">
        <v>3010</v>
      </c>
      <c r="D104" t="str">
        <f>INDEX([3]Define!Q:Q,MATCH(C104,[3]Define!P:P))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INDEX([4]TextData!B:B,MATCH(E104,[4]TextData!A:A))</f>
        <v>かばう</v>
      </c>
    </row>
    <row r="105" spans="1:9" x14ac:dyDescent="0.2">
      <c r="A105">
        <v>13070</v>
      </c>
      <c r="B105" t="str">
        <f>INDEX([3]TextData!B:B,MATCH(A105,[3]TextData!A:A))</f>
        <v>アシッドラッシュ</v>
      </c>
      <c r="C105">
        <v>5050</v>
      </c>
      <c r="D105" t="str">
        <f>INDEX([3]Define!Q:Q,MATCH(C105,[3]Define!P:P))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 x14ac:dyDescent="0.2">
      <c r="A106">
        <v>13080</v>
      </c>
      <c r="B106" t="str">
        <f>INDEX([3]TextData!B:B,MATCH(A106,[3]TextData!A:A))</f>
        <v>ライフスティール</v>
      </c>
      <c r="C106">
        <v>3010</v>
      </c>
      <c r="D106" t="str">
        <f>INDEX([3]Define!Q:Q,MATCH(C106,[3]Define!P:P))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INDEX([4]TextData!B:B,MATCH(E106,[4]TextData!A:A))</f>
        <v>ドレイン</v>
      </c>
    </row>
    <row r="107" spans="1:9" x14ac:dyDescent="0.2">
      <c r="A107">
        <v>13090</v>
      </c>
      <c r="B107" t="str">
        <f>INDEX([3]TextData!B:B,MATCH(A107,[3]TextData!A:A))</f>
        <v>アイスセイバー</v>
      </c>
      <c r="C107">
        <v>3010</v>
      </c>
      <c r="D107" t="str">
        <f>INDEX([3]Define!Q:Q,MATCH(C107,[3]Define!P:P))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INDEX([4]TextData!B:B,MATCH(E107,[4]TextData!A:A))</f>
        <v>凍結</v>
      </c>
    </row>
    <row r="108" spans="1:9" x14ac:dyDescent="0.2">
      <c r="A108">
        <v>14010</v>
      </c>
      <c r="B108" t="str">
        <f>INDEX([3]TextData!B:B,MATCH(A108,[3]TextData!A:A))</f>
        <v>ディバインシールド</v>
      </c>
      <c r="C108">
        <v>3010</v>
      </c>
      <c r="D108" t="str">
        <f>INDEX([3]Define!Q:Q,MATCH(C108,[3]Define!P:P))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INDEX([4]TextData!B:B,MATCH(E108,[4]TextData!A:A))</f>
        <v>状態異常回避</v>
      </c>
    </row>
    <row r="109" spans="1:9" x14ac:dyDescent="0.2">
      <c r="A109">
        <v>14020</v>
      </c>
      <c r="B109" t="str">
        <f>INDEX([3]TextData!B:B,MATCH(A109,[3]TextData!A:A))</f>
        <v>ライフディバイド</v>
      </c>
      <c r="C109">
        <v>2040</v>
      </c>
      <c r="D109" t="str">
        <f>INDEX([3]Define!Q:Q,MATCH(C109,[3]Define!P:P))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 x14ac:dyDescent="0.2">
      <c r="A110">
        <v>14030</v>
      </c>
      <c r="B110" t="str">
        <f>INDEX([3]TextData!B:B,MATCH(A110,[3]TextData!A:A))</f>
        <v>エイミングスコープ</v>
      </c>
      <c r="C110">
        <v>3010</v>
      </c>
      <c r="D110" t="str">
        <f>INDEX([3]Define!Q:Q,MATCH(C110,[3]Define!P:P))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INDEX([4]TextData!B:B,MATCH(E110,[4]TextData!A:A))</f>
        <v>命中アップ</v>
      </c>
    </row>
    <row r="111" spans="1:9" x14ac:dyDescent="0.2">
      <c r="A111">
        <v>14040</v>
      </c>
      <c r="B111" t="str">
        <f>INDEX([3]TextData!B:B,MATCH(A111,[3]TextData!A:A))</f>
        <v>リジェネレーション</v>
      </c>
      <c r="C111">
        <v>3010</v>
      </c>
      <c r="D111" t="str">
        <f>INDEX([3]Define!Q:Q,MATCH(C111,[3]Define!P:P))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INDEX([4]TextData!B:B,MATCH(E111,[4]TextData!A:A))</f>
        <v>リジェネ</v>
      </c>
    </row>
    <row r="112" spans="1:9" x14ac:dyDescent="0.2">
      <c r="A112">
        <v>14050</v>
      </c>
      <c r="B112" t="str">
        <f>INDEX([3]TextData!B:B,MATCH(A112,[3]TextData!A:A))</f>
        <v>ホープフルアイリス</v>
      </c>
      <c r="C112">
        <v>3010</v>
      </c>
      <c r="D112" t="str">
        <f>INDEX([3]Define!Q:Q,MATCH(C112,[3]Define!P:P))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INDEX([4]TextData!B:B,MATCH(E112,[4]TextData!A:A))</f>
        <v>最大Hpアップ</v>
      </c>
    </row>
    <row r="113" spans="1:9" x14ac:dyDescent="0.2">
      <c r="A113">
        <v>14060</v>
      </c>
      <c r="B113" t="str">
        <f>INDEX([3]TextData!B:B,MATCH(A113,[3]TextData!A:A))</f>
        <v>パッシブサプライ</v>
      </c>
      <c r="C113">
        <v>4020</v>
      </c>
      <c r="D113" t="str">
        <f>INDEX([3]Define!Q:Q,MATCH(C113,[3]Define!P:P))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 x14ac:dyDescent="0.2">
      <c r="A114">
        <v>14070</v>
      </c>
      <c r="B114" t="str">
        <f>INDEX([3]TextData!B:B,MATCH(A114,[3]TextData!A:A))</f>
        <v>ホーミングクルセイド</v>
      </c>
      <c r="C114">
        <v>3010</v>
      </c>
      <c r="D114" t="str">
        <f>INDEX([3]Define!Q:Q,MATCH(C114,[3]Define!P:P))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INDEX([4]TextData!B:B,MATCH(E114,[4]TextData!A:A))</f>
        <v>必中</v>
      </c>
    </row>
    <row r="115" spans="1:9" x14ac:dyDescent="0.2">
      <c r="A115">
        <v>14080</v>
      </c>
      <c r="B115" t="str">
        <f>INDEX([3]TextData!B:B,MATCH(A115,[3]TextData!A:A))</f>
        <v>クイックヒール</v>
      </c>
      <c r="C115">
        <v>2010</v>
      </c>
      <c r="D115" t="str">
        <f>INDEX([3]Define!Q:Q,MATCH(C115,[3]Define!P:P))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 x14ac:dyDescent="0.2">
      <c r="A116">
        <v>14090</v>
      </c>
      <c r="B116" t="str">
        <f>INDEX([3]TextData!B:B,MATCH(A116,[3]TextData!A:A))</f>
        <v>リレイズ</v>
      </c>
      <c r="C116">
        <v>3010</v>
      </c>
      <c r="D116" t="str">
        <f>INDEX([3]Define!Q:Q,MATCH(C116,[3]Define!P:P))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INDEX([4]TextData!B:B,MATCH(E116,[4]TextData!A:A))</f>
        <v>不死</v>
      </c>
    </row>
    <row r="117" spans="1:9" x14ac:dyDescent="0.2">
      <c r="A117">
        <v>15010</v>
      </c>
      <c r="B117" t="str">
        <f>INDEX([3]TextData!B:B,MATCH(A117,[3]TextData!A:A))</f>
        <v>イーグルアイ</v>
      </c>
      <c r="C117">
        <v>3010</v>
      </c>
      <c r="D117" t="str">
        <f>INDEX([3]Define!Q:Q,MATCH(C117,[3]Define!P:P))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INDEX([4]TextData!B:B,MATCH(E117,[4]TextData!A:A))</f>
        <v>会心率アップ</v>
      </c>
    </row>
    <row r="118" spans="1:9" x14ac:dyDescent="0.2">
      <c r="A118">
        <v>15020</v>
      </c>
      <c r="B118" t="str">
        <f>INDEX([3]TextData!B:B,MATCH(A118,[3]TextData!A:A))</f>
        <v>ネヴァーエンド</v>
      </c>
      <c r="C118">
        <v>3010</v>
      </c>
      <c r="D118" t="str">
        <f>INDEX([3]Define!Q:Q,MATCH(C118,[3]Define!P:P))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INDEX([4]TextData!B:B,MATCH(E118,[4]TextData!A:A))</f>
        <v>会心率アップ</v>
      </c>
    </row>
    <row r="119" spans="1:9" x14ac:dyDescent="0.2">
      <c r="A119">
        <v>15030</v>
      </c>
      <c r="B119" t="str">
        <f>INDEX([3]TextData!B:B,MATCH(A119,[3]TextData!A:A))</f>
        <v>グレイブアクト</v>
      </c>
      <c r="C119">
        <v>4020</v>
      </c>
      <c r="D119" t="str">
        <f>INDEX([3]Define!Q:Q,MATCH(C119,[3]Define!P:P))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 x14ac:dyDescent="0.2">
      <c r="A120">
        <v>15040</v>
      </c>
      <c r="B120" t="str">
        <f>INDEX([3]TextData!B:B,MATCH(A120,[3]TextData!A:A))</f>
        <v>スカルグラッジ</v>
      </c>
      <c r="C120">
        <v>3010</v>
      </c>
      <c r="D120" t="str">
        <f>INDEX([3]Define!Q:Q,MATCH(C120,[3]Define!P:P))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INDEX([4]TextData!B:B,MATCH(E120,[4]TextData!A:A))</f>
        <v>即死付与</v>
      </c>
    </row>
    <row r="121" spans="1:9" x14ac:dyDescent="0.2">
      <c r="A121">
        <v>15050</v>
      </c>
      <c r="B121" t="str">
        <f>INDEX([3]TextData!B:B,MATCH(A121,[3]TextData!A:A))</f>
        <v>ネガティブドレイン</v>
      </c>
      <c r="C121">
        <v>3010</v>
      </c>
      <c r="D121" t="str">
        <f>INDEX([3]Define!Q:Q,MATCH(C121,[3]Define!P:P))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INDEX([4]TextData!B:B,MATCH(E121,[4]TextData!A:A))</f>
        <v>ドレイン</v>
      </c>
    </row>
    <row r="122" spans="1:9" x14ac:dyDescent="0.2">
      <c r="A122">
        <v>15060</v>
      </c>
      <c r="B122" t="str">
        <f>INDEX([3]TextData!B:B,MATCH(A122,[3]TextData!A:A))</f>
        <v>アンデッドペイン</v>
      </c>
      <c r="C122">
        <v>3010</v>
      </c>
      <c r="D122" t="str">
        <f>INDEX([3]Define!Q:Q,MATCH(C122,[3]Define!P:P))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INDEX([4]TextData!B:B,MATCH(E122,[4]TextData!A:A))</f>
        <v>アンデッド</v>
      </c>
    </row>
    <row r="123" spans="1:9" x14ac:dyDescent="0.2">
      <c r="A123">
        <v>15070</v>
      </c>
      <c r="B123" t="str">
        <f>INDEX([3]TextData!B:B,MATCH(A123,[3]TextData!A:A))</f>
        <v>ジャックポッド</v>
      </c>
      <c r="C123">
        <v>3010</v>
      </c>
      <c r="D123" t="str">
        <f>INDEX([3]Define!Q:Q,MATCH(C123,[3]Define!P:P))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INDEX([4]TextData!B:B,MATCH(E123,[4]TextData!A:A))</f>
        <v>会心率アップ</v>
      </c>
    </row>
    <row r="124" spans="1:9" x14ac:dyDescent="0.2">
      <c r="A124">
        <v>15070</v>
      </c>
      <c r="B124" t="str">
        <f>INDEX([3]TextData!B:B,MATCH(A124,[3]TextData!A:A))</f>
        <v>ジャックポッド</v>
      </c>
      <c r="C124">
        <v>3010</v>
      </c>
      <c r="D124" t="str">
        <f>INDEX([3]Define!Q:Q,MATCH(C124,[3]Define!P:P))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INDEX([4]TextData!B:B,MATCH(E124,[4]TextData!A:A))</f>
        <v>命中ダウン</v>
      </c>
    </row>
    <row r="125" spans="1:9" x14ac:dyDescent="0.2">
      <c r="A125">
        <v>15080</v>
      </c>
      <c r="B125" t="str">
        <f>INDEX([3]TextData!B:B,MATCH(A125,[3]TextData!A:A))</f>
        <v>ヒールハント</v>
      </c>
      <c r="C125">
        <v>1100</v>
      </c>
      <c r="D125" t="str">
        <f>INDEX([3]Define!Q:Q,MATCH(C125,[3]Define!P:P))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 x14ac:dyDescent="0.2">
      <c r="A126">
        <v>15090</v>
      </c>
      <c r="B126" t="str">
        <f>INDEX([3]TextData!B:B,MATCH(A126,[3]TextData!A:A))</f>
        <v>クイックカース</v>
      </c>
      <c r="C126">
        <v>3010</v>
      </c>
      <c r="D126" t="str">
        <f>INDEX([3]Define!Q:Q,MATCH(C126,[3]Define!P:P))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INDEX([4]TextData!B:B,MATCH(E126,[4]TextData!A:A))</f>
        <v>攻撃%ダウン</v>
      </c>
    </row>
    <row r="127" spans="1:9" x14ac:dyDescent="0.2">
      <c r="A127">
        <v>100110</v>
      </c>
      <c r="B127" t="str">
        <f>INDEX([3]TextData!B:B,MATCH(A127,[3]TextData!A:A))</f>
        <v>ソーイングアームド</v>
      </c>
      <c r="C127">
        <v>3010</v>
      </c>
      <c r="D127" t="str">
        <f>INDEX([3]Define!Q:Q,MATCH(C127,[3]Define!P:P))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INDEX([4]TextData!B:B,MATCH(E127,[4]TextData!A:A))</f>
        <v>貫通</v>
      </c>
    </row>
    <row r="128" spans="1:9" x14ac:dyDescent="0.2">
      <c r="A128">
        <v>100110</v>
      </c>
      <c r="B128" t="str">
        <f>INDEX([3]TextData!B:B,MATCH(A128,[3]TextData!A:A))</f>
        <v>ソーイングアームド</v>
      </c>
      <c r="C128">
        <v>7010</v>
      </c>
      <c r="D128" t="str">
        <f>INDEX([3]Define!Q:Q,MATCH(C128,[3]Define!P:P))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9" x14ac:dyDescent="0.2">
      <c r="A129">
        <v>100120</v>
      </c>
      <c r="B129" t="str">
        <f>INDEX([3]TextData!B:B,MATCH(A129,[3]TextData!A:A))</f>
        <v>エターナルロンド</v>
      </c>
      <c r="C129">
        <v>1010</v>
      </c>
      <c r="D129" t="str">
        <f>INDEX([3]Define!Q:Q,MATCH(C129,[3]Define!P:P))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9" x14ac:dyDescent="0.2">
      <c r="A130">
        <v>100120</v>
      </c>
      <c r="B130" t="str">
        <f>INDEX([3]TextData!B:B,MATCH(A130,[3]TextData!A:A))</f>
        <v>エターナルロンド</v>
      </c>
      <c r="C130">
        <v>7010</v>
      </c>
      <c r="D130" t="str">
        <f>INDEX([3]Define!Q:Q,MATCH(C130,[3]Define!P:P))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 x14ac:dyDescent="0.2">
      <c r="A131">
        <v>100210</v>
      </c>
      <c r="B131" t="str">
        <f>INDEX([3]TextData!B:B,MATCH(A131,[3]TextData!A:A))</f>
        <v>アブソリュートパリィ</v>
      </c>
      <c r="C131">
        <v>3010</v>
      </c>
      <c r="D131" t="str">
        <f>INDEX([3]Define!Q:Q,MATCH(C131,[3]Define!P:P))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INDEX([4]TextData!B:B,MATCH(E131,[4]TextData!A:A))</f>
        <v>回避アップ</v>
      </c>
    </row>
    <row r="132" spans="1:9" x14ac:dyDescent="0.2">
      <c r="A132">
        <v>100210</v>
      </c>
      <c r="B132" t="str">
        <f>INDEX([3]TextData!B:B,MATCH(A132,[3]TextData!A:A))</f>
        <v>アブソリュートパリィ</v>
      </c>
      <c r="C132">
        <v>7010</v>
      </c>
      <c r="D132" t="str">
        <f>INDEX([3]Define!Q:Q,MATCH(C132,[3]Define!P:P))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9" x14ac:dyDescent="0.2">
      <c r="A133">
        <v>100220</v>
      </c>
      <c r="B133" t="str">
        <f>INDEX([3]TextData!B:B,MATCH(A133,[3]TextData!A:A))</f>
        <v>レヴェリー</v>
      </c>
      <c r="C133">
        <v>1010</v>
      </c>
      <c r="D133" t="str">
        <f>INDEX([3]Define!Q:Q,MATCH(C133,[3]Define!P:P))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9" x14ac:dyDescent="0.2">
      <c r="A134">
        <v>100220</v>
      </c>
      <c r="B134" t="str">
        <f>INDEX([3]TextData!B:B,MATCH(A134,[3]TextData!A:A))</f>
        <v>レヴェリー</v>
      </c>
      <c r="C134">
        <v>7010</v>
      </c>
      <c r="D134" t="str">
        <f>INDEX([3]Define!Q:Q,MATCH(C134,[3]Define!P:P))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 x14ac:dyDescent="0.2">
      <c r="A135">
        <v>100310</v>
      </c>
      <c r="B135" t="str">
        <f>INDEX([3]TextData!B:B,MATCH(A135,[3]TextData!A:A))</f>
        <v>セイクリッドバリア</v>
      </c>
      <c r="C135">
        <v>3010</v>
      </c>
      <c r="D135" t="str">
        <f>INDEX([3]Define!Q:Q,MATCH(C135,[3]Define!P:P))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INDEX([4]TextData!B:B,MATCH(E135,[4]TextData!A:A))</f>
        <v>攻撃無効</v>
      </c>
    </row>
    <row r="136" spans="1:9" x14ac:dyDescent="0.2">
      <c r="A136">
        <v>100310</v>
      </c>
      <c r="B136" t="str">
        <f>INDEX([3]TextData!B:B,MATCH(A136,[3]TextData!A:A))</f>
        <v>セイクリッドバリア</v>
      </c>
      <c r="C136">
        <v>7010</v>
      </c>
      <c r="D136" t="str">
        <f>INDEX([3]Define!Q:Q,MATCH(C136,[3]Define!P:P))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9" x14ac:dyDescent="0.2">
      <c r="A137">
        <v>100320</v>
      </c>
      <c r="B137" t="str">
        <f>INDEX([3]TextData!B:B,MATCH(A137,[3]TextData!A:A))</f>
        <v>リベンジニードル</v>
      </c>
      <c r="C137">
        <v>1090</v>
      </c>
      <c r="D137" t="str">
        <f>INDEX([3]Define!Q:Q,MATCH(C137,[3]Define!P:P))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9" x14ac:dyDescent="0.2">
      <c r="A138">
        <v>100320</v>
      </c>
      <c r="B138" t="str">
        <f>INDEX([3]TextData!B:B,MATCH(A138,[3]TextData!A:A))</f>
        <v>リベンジニードル</v>
      </c>
      <c r="C138">
        <v>7010</v>
      </c>
      <c r="D138" t="str">
        <f>INDEX([3]Define!Q:Q,MATCH(C138,[3]Define!P:P))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 x14ac:dyDescent="0.2">
      <c r="A139">
        <v>100410</v>
      </c>
      <c r="B139" t="str">
        <f>INDEX([3]TextData!B:B,MATCH(A139,[3]TextData!A:A))</f>
        <v>アバンデンス</v>
      </c>
      <c r="C139">
        <v>3020</v>
      </c>
      <c r="D139" t="str">
        <f>INDEX([3]Define!Q:Q,MATCH(C139,[3]Define!P:P))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INDEX([4]TextData!B:B,MATCH(E139,[4]TextData!A:A))</f>
        <v>戦闘不能</v>
      </c>
    </row>
    <row r="140" spans="1:9" x14ac:dyDescent="0.2">
      <c r="A140">
        <v>100410</v>
      </c>
      <c r="B140" t="str">
        <f>INDEX([3]TextData!B:B,MATCH(A140,[3]TextData!A:A))</f>
        <v>アバンデンス</v>
      </c>
      <c r="C140">
        <v>2010</v>
      </c>
      <c r="D140" t="str">
        <f>INDEX([3]Define!Q:Q,MATCH(C140,[3]Define!P:P))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9" x14ac:dyDescent="0.2">
      <c r="A141">
        <v>100410</v>
      </c>
      <c r="B141" t="str">
        <f>INDEX([3]TextData!B:B,MATCH(A141,[3]TextData!A:A))</f>
        <v>アバンデンス</v>
      </c>
      <c r="C141">
        <v>7010</v>
      </c>
      <c r="D141" t="str">
        <f>INDEX([3]Define!Q:Q,MATCH(C141,[3]Define!P:P))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 x14ac:dyDescent="0.2">
      <c r="A142">
        <v>100420</v>
      </c>
      <c r="B142" t="str">
        <f>INDEX([3]TextData!B:B,MATCH(A142,[3]TextData!A:A))</f>
        <v>ハーヴェスト</v>
      </c>
      <c r="C142">
        <v>3010</v>
      </c>
      <c r="D142" t="str">
        <f>INDEX([3]Define!Q:Q,MATCH(C142,[3]Define!P:P))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INDEX([4]TextData!B:B,MATCH(E142,[4]TextData!A:A))</f>
        <v>リジェネ</v>
      </c>
    </row>
    <row r="143" spans="1:9" x14ac:dyDescent="0.2">
      <c r="A143">
        <v>100420</v>
      </c>
      <c r="B143" t="str">
        <f>INDEX([3]TextData!B:B,MATCH(A143,[3]TextData!A:A))</f>
        <v>ハーヴェスト</v>
      </c>
      <c r="C143">
        <v>7010</v>
      </c>
      <c r="D143" t="str">
        <f>INDEX([3]Define!Q:Q,MATCH(C143,[3]Define!P:P))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 x14ac:dyDescent="0.2">
      <c r="A144">
        <v>100510</v>
      </c>
      <c r="B144" t="str">
        <f>INDEX([3]TextData!B:B,MATCH(A144,[3]TextData!A:A))</f>
        <v>カースドブレイク</v>
      </c>
      <c r="C144">
        <v>3010</v>
      </c>
      <c r="D144" t="str">
        <f>INDEX([3]Define!Q:Q,MATCH(C144,[3]Define!P:P))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INDEX([4]TextData!B:B,MATCH(E144,[4]TextData!A:A))</f>
        <v>呪詛</v>
      </c>
    </row>
    <row r="145" spans="1:9" x14ac:dyDescent="0.2">
      <c r="A145">
        <v>100510</v>
      </c>
      <c r="B145" t="str">
        <f>INDEX([3]TextData!B:B,MATCH(A145,[3]TextData!A:A))</f>
        <v>カースドブレイク</v>
      </c>
      <c r="C145">
        <v>7010</v>
      </c>
      <c r="D145" t="str">
        <f>INDEX([3]Define!Q:Q,MATCH(C145,[3]Define!P:P))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 x14ac:dyDescent="0.2">
      <c r="A146">
        <v>100520</v>
      </c>
      <c r="B146" t="str">
        <f>INDEX([3]TextData!B:B,MATCH(A146,[3]TextData!A:A))</f>
        <v>ムーンライトレイ</v>
      </c>
      <c r="C146">
        <v>3010</v>
      </c>
      <c r="D146" t="str">
        <f>INDEX([3]Define!Q:Q,MATCH(C146,[3]Define!P:P))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INDEX([4]TextData!B:B,MATCH(E146,[4]TextData!A:A))</f>
        <v>毒</v>
      </c>
    </row>
    <row r="147" spans="1:9" x14ac:dyDescent="0.2">
      <c r="A147">
        <v>100520</v>
      </c>
      <c r="B147" t="str">
        <f>INDEX([3]TextData!B:B,MATCH(A147,[3]TextData!A:A))</f>
        <v>ムーンライトレイ</v>
      </c>
      <c r="C147">
        <v>7010</v>
      </c>
      <c r="D147" t="str">
        <f>INDEX([3]Define!Q:Q,MATCH(C147,[3]Define!P:P))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 x14ac:dyDescent="0.2">
      <c r="A148">
        <v>100610</v>
      </c>
      <c r="B148" t="str">
        <f>INDEX([3]TextData!B:B,MATCH(A148,[3]TextData!A:A))</f>
        <v>サンフレイム</v>
      </c>
      <c r="C148">
        <v>4020</v>
      </c>
      <c r="D148" t="str">
        <f>INDEX([3]Define!Q:Q,MATCH(C148,[3]Define!P:P))</f>
        <v>Ct回復</v>
      </c>
      <c r="E148">
        <v>5</v>
      </c>
      <c r="F148">
        <v>0</v>
      </c>
      <c r="G148">
        <v>0</v>
      </c>
      <c r="H148">
        <v>100</v>
      </c>
    </row>
    <row r="149" spans="1:9" x14ac:dyDescent="0.2">
      <c r="A149">
        <v>100610</v>
      </c>
      <c r="B149" t="str">
        <f>INDEX([3]TextData!B:B,MATCH(A149,[3]TextData!A:A))</f>
        <v>サンフレイム</v>
      </c>
      <c r="C149">
        <v>7010</v>
      </c>
      <c r="D149" t="str">
        <f>INDEX([3]Define!Q:Q,MATCH(C149,[3]Define!P:P))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9" x14ac:dyDescent="0.2">
      <c r="A150">
        <v>100620</v>
      </c>
      <c r="B150" t="str">
        <f>INDEX([3]TextData!B:B,MATCH(A150,[3]TextData!A:A))</f>
        <v>フレイムタン</v>
      </c>
      <c r="C150">
        <v>1010</v>
      </c>
      <c r="D150" t="str">
        <f>INDEX([3]Define!Q:Q,MATCH(C150,[3]Define!P:P))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9" x14ac:dyDescent="0.2">
      <c r="A151">
        <v>100620</v>
      </c>
      <c r="B151" t="str">
        <f>INDEX([3]TextData!B:B,MATCH(A151,[3]TextData!A:A))</f>
        <v>フレイムタン</v>
      </c>
      <c r="C151">
        <v>4010</v>
      </c>
      <c r="D151" t="str">
        <f>INDEX([3]Define!Q:Q,MATCH(C151,[3]Define!P:P))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9" x14ac:dyDescent="0.2">
      <c r="A152">
        <v>100620</v>
      </c>
      <c r="B152" t="str">
        <f>INDEX([3]TextData!B:B,MATCH(A152,[3]TextData!A:A))</f>
        <v>フレイムタン</v>
      </c>
      <c r="C152">
        <v>7010</v>
      </c>
      <c r="D152" t="str">
        <f>INDEX([3]Define!Q:Q,MATCH(C152,[3]Define!P:P))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 x14ac:dyDescent="0.2">
      <c r="A153">
        <v>100710</v>
      </c>
      <c r="B153" t="str">
        <f>INDEX([3]TextData!B:B,MATCH(A153,[3]TextData!A:A))</f>
        <v>ライズザフラッグ</v>
      </c>
      <c r="C153">
        <v>3010</v>
      </c>
      <c r="D153" t="str">
        <f>INDEX([3]Define!Q:Q,MATCH(C153,[3]Define!P:P))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INDEX([4]TextData!B:B,MATCH(E153,[4]TextData!A:A))</f>
        <v>フォロー</v>
      </c>
    </row>
    <row r="154" spans="1:9" x14ac:dyDescent="0.2">
      <c r="A154">
        <v>100710</v>
      </c>
      <c r="B154" t="str">
        <f>INDEX([3]TextData!B:B,MATCH(A154,[3]TextData!A:A))</f>
        <v>ライズザフラッグ</v>
      </c>
      <c r="C154">
        <v>7010</v>
      </c>
      <c r="D154" t="str">
        <f>INDEX([3]Define!Q:Q,MATCH(C154,[3]Define!P:P))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 x14ac:dyDescent="0.2">
      <c r="A155">
        <v>100720</v>
      </c>
      <c r="B155" t="str">
        <f>INDEX([3]TextData!B:B,MATCH(A155,[3]TextData!A:A))</f>
        <v>オーバーリミット</v>
      </c>
      <c r="C155">
        <v>3010</v>
      </c>
      <c r="D155" t="str">
        <f>INDEX([3]Define!Q:Q,MATCH(C155,[3]Define!P:P))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INDEX([4]TextData!B:B,MATCH(E155,[4]TextData!A:A))</f>
        <v>攻撃アップ</v>
      </c>
    </row>
    <row r="156" spans="1:9" x14ac:dyDescent="0.2">
      <c r="A156">
        <v>100720</v>
      </c>
      <c r="B156" t="str">
        <f>INDEX([3]TextData!B:B,MATCH(A156,[3]TextData!A:A))</f>
        <v>オーバーリミット</v>
      </c>
      <c r="C156">
        <v>3010</v>
      </c>
      <c r="D156" t="str">
        <f>INDEX([3]Define!Q:Q,MATCH(C156,[3]Define!P:P))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INDEX([4]TextData!B:B,MATCH(E156,[4]TextData!A:A))</f>
        <v>防御アップ</v>
      </c>
    </row>
    <row r="157" spans="1:9" x14ac:dyDescent="0.2">
      <c r="A157">
        <v>100720</v>
      </c>
      <c r="B157" t="str">
        <f>INDEX([3]TextData!B:B,MATCH(A157,[3]TextData!A:A))</f>
        <v>オーバーリミット</v>
      </c>
      <c r="C157">
        <v>7010</v>
      </c>
      <c r="D157" t="str">
        <f>INDEX([3]Define!Q:Q,MATCH(C157,[3]Define!P:P))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 x14ac:dyDescent="0.2">
      <c r="A158">
        <v>100810</v>
      </c>
      <c r="B158" t="str">
        <f>INDEX([3]TextData!B:B,MATCH(A158,[3]TextData!A:A))</f>
        <v>テンパランス</v>
      </c>
      <c r="C158">
        <v>3010</v>
      </c>
      <c r="D158" t="str">
        <f>INDEX([3]Define!Q:Q,MATCH(C158,[3]Define!P:P))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 x14ac:dyDescent="0.2">
      <c r="A159">
        <v>100810</v>
      </c>
      <c r="B159" t="str">
        <f>INDEX([3]TextData!B:B,MATCH(A159,[3]TextData!A:A))</f>
        <v>テンパランス</v>
      </c>
      <c r="C159">
        <v>3010</v>
      </c>
      <c r="D159" t="str">
        <f>INDEX([3]Define!Q:Q,MATCH(C159,[3]Define!P:P))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9" x14ac:dyDescent="0.2">
      <c r="A160">
        <v>100810</v>
      </c>
      <c r="B160" t="str">
        <f>INDEX([3]TextData!B:B,MATCH(A160,[3]TextData!A:A))</f>
        <v>テンパランス</v>
      </c>
      <c r="C160">
        <v>7010</v>
      </c>
      <c r="D160" t="str">
        <f>INDEX([3]Define!Q:Q,MATCH(C160,[3]Define!P:P))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 x14ac:dyDescent="0.2">
      <c r="A161">
        <v>100820</v>
      </c>
      <c r="B161" t="str">
        <f>INDEX([3]TextData!B:B,MATCH(A161,[3]TextData!A:A))</f>
        <v>シエルクルセイダー</v>
      </c>
      <c r="C161">
        <v>1010</v>
      </c>
      <c r="D161" t="str">
        <f>INDEX([3]Define!Q:Q,MATCH(C161,[3]Define!P:P))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9" x14ac:dyDescent="0.2">
      <c r="A162">
        <v>100820</v>
      </c>
      <c r="B162" t="str">
        <f>INDEX([3]TextData!B:B,MATCH(A162,[3]TextData!A:A))</f>
        <v>シエルクルセイダー</v>
      </c>
      <c r="C162">
        <v>7010</v>
      </c>
      <c r="D162" t="str">
        <f>INDEX([3]Define!Q:Q,MATCH(C162,[3]Define!P:P))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 x14ac:dyDescent="0.2">
      <c r="A163">
        <v>100910</v>
      </c>
      <c r="B163" t="str">
        <f>INDEX([3]TextData!B:B,MATCH(A163,[3]TextData!A:A))</f>
        <v>バーニングカウンター</v>
      </c>
      <c r="C163">
        <v>1010</v>
      </c>
      <c r="D163" t="str">
        <f>INDEX([3]Define!Q:Q,MATCH(C163,[3]Define!P:P))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9" x14ac:dyDescent="0.2">
      <c r="A164">
        <v>100910</v>
      </c>
      <c r="B164" t="str">
        <f>INDEX([3]TextData!B:B,MATCH(A164,[3]TextData!A:A))</f>
        <v>バーニングカウンター</v>
      </c>
      <c r="C164">
        <v>7010</v>
      </c>
      <c r="D164" t="str">
        <f>INDEX([3]Define!Q:Q,MATCH(C164,[3]Define!P:P))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9" x14ac:dyDescent="0.2">
      <c r="A165">
        <v>100911</v>
      </c>
      <c r="B165" t="str">
        <f>INDEX([3]TextData!B:B,MATCH(A165,[3]TextData!A:A))</f>
        <v>バーニングカウンター</v>
      </c>
      <c r="C165">
        <v>7010</v>
      </c>
      <c r="D165" t="str">
        <f>INDEX([3]Define!Q:Q,MATCH(C165,[3]Define!P:P))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9" x14ac:dyDescent="0.2">
      <c r="A166">
        <v>100920</v>
      </c>
      <c r="B166" t="str">
        <f>INDEX([3]TextData!B:B,MATCH(A166,[3]TextData!A:A))</f>
        <v>プロミネンス</v>
      </c>
      <c r="C166">
        <v>1010</v>
      </c>
      <c r="D166" t="str">
        <f>INDEX([3]Define!Q:Q,MATCH(C166,[3]Define!P:P))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9" x14ac:dyDescent="0.2">
      <c r="A167">
        <v>100920</v>
      </c>
      <c r="B167" t="str">
        <f>INDEX([3]TextData!B:B,MATCH(A167,[3]TextData!A:A))</f>
        <v>プロミネンス</v>
      </c>
      <c r="C167">
        <v>7010</v>
      </c>
      <c r="D167" t="str">
        <f>INDEX([3]Define!Q:Q,MATCH(C167,[3]Define!P:P))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 x14ac:dyDescent="0.2">
      <c r="A168">
        <v>100921</v>
      </c>
      <c r="B168" t="str">
        <f>INDEX([3]TextData!B:B,MATCH(A168,[3]TextData!A:A))</f>
        <v>プロミネンス</v>
      </c>
      <c r="C168">
        <v>3010</v>
      </c>
      <c r="D168" t="str">
        <f>INDEX([3]Define!Q:Q,MATCH(C168,[3]Define!P:P))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INDEX([4]TextData!B:B,MATCH(E168,[4]TextData!A:A))</f>
        <v>会心率アップ</v>
      </c>
    </row>
    <row r="169" spans="1:9" x14ac:dyDescent="0.2">
      <c r="A169">
        <v>100921</v>
      </c>
      <c r="B169" t="str">
        <f>INDEX([3]TextData!B:B,MATCH(A169,[3]TextData!A:A))</f>
        <v>プロミネンス</v>
      </c>
      <c r="C169">
        <v>7010</v>
      </c>
      <c r="D169" t="str">
        <f>INDEX([3]Define!Q:Q,MATCH(C169,[3]Define!P:P))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9" x14ac:dyDescent="0.2">
      <c r="A170">
        <v>101010</v>
      </c>
      <c r="B170" t="str">
        <f>INDEX([3]TextData!B:B,MATCH(A170,[3]TextData!A:A))</f>
        <v>エウロス</v>
      </c>
      <c r="C170">
        <v>12010</v>
      </c>
      <c r="D170" t="str">
        <f>INDEX([3]Define!Q:Q,MATCH(C170,[3]Define!P:P))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9" x14ac:dyDescent="0.2">
      <c r="A171">
        <v>101010</v>
      </c>
      <c r="B171" t="str">
        <f>INDEX([3]TextData!B:B,MATCH(A171,[3]TextData!A:A))</f>
        <v>エウロス</v>
      </c>
      <c r="C171">
        <v>13010</v>
      </c>
      <c r="D171" t="str">
        <f>INDEX([3]Define!Q:Q,MATCH(C171,[3]Define!P:P))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9" x14ac:dyDescent="0.2">
      <c r="A172">
        <v>101010</v>
      </c>
      <c r="B172" t="str">
        <f>INDEX([3]TextData!B:B,MATCH(A172,[3]TextData!A:A))</f>
        <v>エウロス</v>
      </c>
      <c r="C172">
        <v>7010</v>
      </c>
      <c r="D172" t="str">
        <f>INDEX([3]Define!Q:Q,MATCH(C172,[3]Define!P:P))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9" x14ac:dyDescent="0.2">
      <c r="A173">
        <v>101020</v>
      </c>
      <c r="B173" t="str">
        <f>INDEX([3]TextData!B:B,MATCH(A173,[3]TextData!A:A))</f>
        <v>ボレアス</v>
      </c>
      <c r="C173">
        <v>1010</v>
      </c>
      <c r="D173" t="str">
        <f>INDEX([3]Define!Q:Q,MATCH(C173,[3]Define!P:P))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9" x14ac:dyDescent="0.2">
      <c r="A174">
        <v>101020</v>
      </c>
      <c r="B174" t="str">
        <f>INDEX([3]TextData!B:B,MATCH(A174,[3]TextData!A:A))</f>
        <v>ボレアス</v>
      </c>
      <c r="C174">
        <v>7010</v>
      </c>
      <c r="D174" t="str">
        <f>INDEX([3]Define!Q:Q,MATCH(C174,[3]Define!P:P))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 x14ac:dyDescent="0.2">
      <c r="A175">
        <v>101110</v>
      </c>
      <c r="B175" t="str">
        <f>INDEX([3]TextData!B:B,MATCH(A175,[3]TextData!A:A))</f>
        <v>アバランシュ</v>
      </c>
      <c r="C175">
        <v>3070</v>
      </c>
      <c r="D175" t="str">
        <f>INDEX([3]Define!Q:Q,MATCH(C175,[3]Define!P:P))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INDEX([4]TextData!B:B,MATCH(E175,[4]TextData!A:A))</f>
        <v>凍結</v>
      </c>
    </row>
    <row r="176" spans="1:9" x14ac:dyDescent="0.2">
      <c r="A176">
        <v>101110</v>
      </c>
      <c r="B176" t="str">
        <f>INDEX([3]TextData!B:B,MATCH(A176,[3]TextData!A:A))</f>
        <v>アバランシュ</v>
      </c>
      <c r="C176">
        <v>7010</v>
      </c>
      <c r="D176" t="str">
        <f>INDEX([3]Define!Q:Q,MATCH(C176,[3]Define!P:P))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9" x14ac:dyDescent="0.2">
      <c r="A177">
        <v>101120</v>
      </c>
      <c r="B177" t="str">
        <f>INDEX([3]TextData!B:B,MATCH(A177,[3]TextData!A:A))</f>
        <v>ブリザードコフィン</v>
      </c>
      <c r="C177">
        <v>1040</v>
      </c>
      <c r="D177" t="str">
        <f>INDEX([3]Define!Q:Q,MATCH(C177,[3]Define!P:P))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9" x14ac:dyDescent="0.2">
      <c r="A178">
        <v>101120</v>
      </c>
      <c r="B178" t="str">
        <f>INDEX([3]TextData!B:B,MATCH(A178,[3]TextData!A:A))</f>
        <v>ブリザードコフィン</v>
      </c>
      <c r="C178">
        <v>7010</v>
      </c>
      <c r="D178" t="str">
        <f>INDEX([3]Define!Q:Q,MATCH(C178,[3]Define!P:P))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9" ht="11" customHeight="1" x14ac:dyDescent="0.2">
      <c r="A179">
        <v>200210</v>
      </c>
      <c r="B179" t="str">
        <f>INDEX([3]TextData!B:B,MATCH(A179,[3]TextData!A:A))</f>
        <v>マイトレインフォース</v>
      </c>
      <c r="C179">
        <v>3010</v>
      </c>
      <c r="D179" t="str">
        <f>INDEX([3]Define!Q:Q,MATCH(C179,[3]Define!P:P))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INDEX([4]TextData!B:B,MATCH(E179,[4]TextData!A:A))</f>
        <v>攻撃アップ</v>
      </c>
    </row>
    <row r="180" spans="1:9" x14ac:dyDescent="0.2">
      <c r="A180">
        <v>200210</v>
      </c>
      <c r="B180" t="str">
        <f>INDEX([3]TextData!B:B,MATCH(A180,[3]TextData!A:A))</f>
        <v>マイトレインフォース</v>
      </c>
      <c r="C180">
        <v>7010</v>
      </c>
      <c r="D180" t="str">
        <f>INDEX([3]Define!Q:Q,MATCH(C180,[3]Define!P:P))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9" x14ac:dyDescent="0.2">
      <c r="A181">
        <v>200220</v>
      </c>
      <c r="B181" t="str">
        <f>INDEX([3]TextData!B:B,MATCH(A181,[3]TextData!A:A))</f>
        <v>カタストロフィ</v>
      </c>
      <c r="C181">
        <v>1010</v>
      </c>
      <c r="D181" t="str">
        <f>INDEX([3]Define!Q:Q,MATCH(C181,[3]Define!P:P))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9" x14ac:dyDescent="0.2">
      <c r="A182">
        <v>200220</v>
      </c>
      <c r="B182" t="str">
        <f>INDEX([3]TextData!B:B,MATCH(A182,[3]TextData!A:A))</f>
        <v>カタストロフィ</v>
      </c>
      <c r="C182">
        <v>7010</v>
      </c>
      <c r="D182" t="str">
        <f>INDEX([3]Define!Q:Q,MATCH(C182,[3]Define!P:P))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 x14ac:dyDescent="0.2">
      <c r="A183">
        <v>200230</v>
      </c>
      <c r="B183" t="str">
        <f>INDEX([3]TextData!B:B,MATCH(A183,[3]TextData!A:A))</f>
        <v>悪魔(ベリト)</v>
      </c>
      <c r="C183">
        <v>3010</v>
      </c>
      <c r="D183" t="str">
        <f>INDEX([3]Define!Q:Q,MATCH(C183,[3]Define!P:P))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9" x14ac:dyDescent="0.2">
      <c r="A184">
        <v>200310</v>
      </c>
      <c r="B184" t="str">
        <f>INDEX([3]TextData!B:B,MATCH(A184,[3]TextData!A:A))</f>
        <v>プルガシオン</v>
      </c>
      <c r="C184">
        <v>3010</v>
      </c>
      <c r="D184" t="str">
        <f>INDEX([3]Define!Q:Q,MATCH(C184,[3]Define!P:P))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INDEX([4]TextData!B:B,MATCH(E184,[4]TextData!A:A))</f>
        <v>リジェネ</v>
      </c>
    </row>
    <row r="185" spans="1:9" x14ac:dyDescent="0.2">
      <c r="A185">
        <v>200310</v>
      </c>
      <c r="B185" t="str">
        <f>INDEX([3]TextData!B:B,MATCH(A185,[3]TextData!A:A))</f>
        <v>プルガシオン</v>
      </c>
      <c r="C185">
        <v>7010</v>
      </c>
      <c r="D185" t="str">
        <f>INDEX([3]Define!Q:Q,MATCH(C185,[3]Define!P:P))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 x14ac:dyDescent="0.2">
      <c r="A186">
        <v>200320</v>
      </c>
      <c r="B186" t="str">
        <f>INDEX([3]TextData!B:B,MATCH(A186,[3]TextData!A:A))</f>
        <v>プリエステス</v>
      </c>
      <c r="C186">
        <v>3010</v>
      </c>
      <c r="D186" t="str">
        <f>INDEX([3]Define!Q:Q,MATCH(C186,[3]Define!P:P))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INDEX([4]TextData!B:B,MATCH(E186,[4]TextData!A:A))</f>
        <v>カウンタ</v>
      </c>
    </row>
    <row r="187" spans="1:9" x14ac:dyDescent="0.2">
      <c r="A187">
        <v>200320</v>
      </c>
      <c r="B187" t="str">
        <f>INDEX([3]TextData!B:B,MATCH(A187,[3]TextData!A:A))</f>
        <v>プリエステス</v>
      </c>
      <c r="C187">
        <v>7010</v>
      </c>
      <c r="D187" t="str">
        <f>INDEX([3]Define!Q:Q,MATCH(C187,[3]Define!P:P))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 x14ac:dyDescent="0.2">
      <c r="A188">
        <v>200330</v>
      </c>
      <c r="B188" t="str">
        <f>INDEX([3]TextData!B:B,MATCH(A188,[3]TextData!A:A))</f>
        <v>悪魔(パイモン)</v>
      </c>
      <c r="C188">
        <v>3010</v>
      </c>
      <c r="D188" t="str">
        <f>INDEX([3]Define!Q:Q,MATCH(C188,[3]Define!P:P))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INDEX([4]TextData!B:B,MATCH(E188,[4]TextData!A:A))</f>
        <v>対象列化</v>
      </c>
    </row>
    <row r="189" spans="1:9" x14ac:dyDescent="0.2">
      <c r="A189">
        <v>200330</v>
      </c>
      <c r="B189" t="str">
        <f>INDEX([3]TextData!B:B,MATCH(A189,[3]TextData!A:A))</f>
        <v>悪魔(パイモン)</v>
      </c>
      <c r="C189">
        <v>3010</v>
      </c>
      <c r="D189" t="str">
        <f>INDEX([3]Define!Q:Q,MATCH(C189,[3]Define!P:P))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INDEX([4]TextData!B:B,MATCH(E189,[4]TextData!A:A))</f>
        <v>対象範囲延長</v>
      </c>
    </row>
    <row r="190" spans="1:9" x14ac:dyDescent="0.2">
      <c r="A190">
        <v>200410</v>
      </c>
      <c r="B190" t="str">
        <f>INDEX([3]TextData!B:B,MATCH(A190,[3]TextData!A:A))</f>
        <v>コウソクテンショウ</v>
      </c>
      <c r="C190">
        <v>1010</v>
      </c>
      <c r="D190" t="str">
        <f>INDEX([3]Define!Q:Q,MATCH(C190,[3]Define!P:P))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9" x14ac:dyDescent="0.2">
      <c r="A191">
        <v>200410</v>
      </c>
      <c r="B191" t="str">
        <f>INDEX([3]TextData!B:B,MATCH(A191,[3]TextData!A:A))</f>
        <v>コウソクテンショウ</v>
      </c>
      <c r="C191">
        <v>7010</v>
      </c>
      <c r="D191" t="str">
        <f>INDEX([3]Define!Q:Q,MATCH(C191,[3]Define!P:P))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 x14ac:dyDescent="0.2">
      <c r="A192">
        <v>200411</v>
      </c>
      <c r="B192" t="str">
        <f>INDEX([3]TextData!B:B,MATCH(A192,[3]TextData!A:A))</f>
        <v>コウソクテンショウ</v>
      </c>
      <c r="C192">
        <v>3010</v>
      </c>
      <c r="D192" t="str">
        <f>INDEX([3]Define!Q:Q,MATCH(C192,[3]Define!P:P))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INDEX([4]TextData!B:B,MATCH(E192,[4]TextData!A:A))</f>
        <v>ドレイン</v>
      </c>
    </row>
    <row r="193" spans="1:9" x14ac:dyDescent="0.2">
      <c r="A193">
        <v>200411</v>
      </c>
      <c r="B193" t="str">
        <f>INDEX([3]TextData!B:B,MATCH(A193,[3]TextData!A:A))</f>
        <v>コウソクテンショウ</v>
      </c>
      <c r="C193">
        <v>7010</v>
      </c>
      <c r="D193" t="str">
        <f>INDEX([3]Define!Q:Q,MATCH(C193,[3]Define!P:P))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9" x14ac:dyDescent="0.2">
      <c r="A194">
        <v>200420</v>
      </c>
      <c r="B194" t="str">
        <f>INDEX([3]TextData!B:B,MATCH(A194,[3]TextData!A:A))</f>
        <v>アンチバフ</v>
      </c>
      <c r="C194">
        <v>3050</v>
      </c>
      <c r="D194" t="str">
        <f>INDEX([3]Define!Q:Q,MATCH(C194,[3]Define!P:P))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9" x14ac:dyDescent="0.2">
      <c r="A195">
        <v>200420</v>
      </c>
      <c r="B195" t="str">
        <f>INDEX([3]TextData!B:B,MATCH(A195,[3]TextData!A:A))</f>
        <v>アンチバフ</v>
      </c>
      <c r="C195">
        <v>7010</v>
      </c>
      <c r="D195" t="str">
        <f>INDEX([3]Define!Q:Q,MATCH(C195,[3]Define!P:P))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 x14ac:dyDescent="0.2">
      <c r="A196">
        <v>200430</v>
      </c>
      <c r="B196" t="str">
        <f>INDEX([3]TextData!B:B,MATCH(A196,[3]TextData!A:A))</f>
        <v>悪魔(アンドラス)</v>
      </c>
      <c r="C196">
        <v>6100</v>
      </c>
      <c r="D196" t="str">
        <f>INDEX([3]Define!Q:Q,MATCH(C196,[3]Define!P:P))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 x14ac:dyDescent="0.2">
      <c r="A197">
        <v>200510</v>
      </c>
      <c r="B197" t="str">
        <f>INDEX([3]TextData!B:B,MATCH(A197,[3]TextData!A:A))</f>
        <v>カウントダウン</v>
      </c>
      <c r="C197">
        <v>3010</v>
      </c>
      <c r="D197" t="str">
        <f>INDEX([3]Define!Q:Q,MATCH(C197,[3]Define!P:P))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INDEX([4]TextData!B:B,MATCH(E197,[4]TextData!A:A))</f>
        <v>攻撃無効</v>
      </c>
    </row>
    <row r="198" spans="1:9" x14ac:dyDescent="0.2">
      <c r="A198">
        <v>200510</v>
      </c>
      <c r="B198" t="str">
        <f>INDEX([3]TextData!B:B,MATCH(A198,[3]TextData!A:A))</f>
        <v>カウントダウン</v>
      </c>
      <c r="C198">
        <v>7010</v>
      </c>
      <c r="D198" t="str">
        <f>INDEX([3]Define!Q:Q,MATCH(C198,[3]Define!P:P))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 x14ac:dyDescent="0.2">
      <c r="A199">
        <v>200520</v>
      </c>
      <c r="B199" t="str">
        <f>INDEX([3]TextData!B:B,MATCH(A199,[3]TextData!A:A))</f>
        <v>グラウンドゼロ</v>
      </c>
      <c r="C199">
        <v>3010</v>
      </c>
      <c r="D199" t="str">
        <f>INDEX([3]Define!Q:Q,MATCH(C199,[3]Define!P:P))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INDEX([4]TextData!B:B,MATCH(E199,[4]TextData!A:A))</f>
        <v>戦闘不能</v>
      </c>
    </row>
    <row r="200" spans="1:9" x14ac:dyDescent="0.2">
      <c r="A200">
        <v>200520</v>
      </c>
      <c r="B200" t="str">
        <f>INDEX([3]TextData!B:B,MATCH(A200,[3]TextData!A:A))</f>
        <v>グラウンドゼロ</v>
      </c>
      <c r="C200">
        <v>11010</v>
      </c>
      <c r="D200" t="str">
        <f>INDEX([3]Define!Q:Q,MATCH(C200,[3]Define!P:P))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9" x14ac:dyDescent="0.2">
      <c r="A201">
        <v>200520</v>
      </c>
      <c r="B201" t="str">
        <f>INDEX([3]TextData!B:B,MATCH(A201,[3]TextData!A:A))</f>
        <v>グラウンドゼロ</v>
      </c>
      <c r="C201">
        <v>7010</v>
      </c>
      <c r="D201" t="str">
        <f>INDEX([3]Define!Q:Q,MATCH(C201,[3]Define!P:P))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 x14ac:dyDescent="0.2">
      <c r="A202">
        <v>200530</v>
      </c>
      <c r="B202" t="str">
        <f>INDEX([3]TextData!B:B,MATCH(A202,[3]TextData!A:A))</f>
        <v>悪魔(ビフロンス)</v>
      </c>
      <c r="C202">
        <v>3010</v>
      </c>
      <c r="D202" t="str">
        <f>INDEX([3]Define!Q:Q,MATCH(C202,[3]Define!P:P))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INDEX([4]TextData!B:B,MATCH(E202,[4]TextData!A:A))</f>
        <v>シールド</v>
      </c>
    </row>
    <row r="203" spans="1:9" x14ac:dyDescent="0.2">
      <c r="A203">
        <v>201010</v>
      </c>
      <c r="B203" t="str">
        <f>INDEX([3]TextData!B:B,MATCH(A203,[3]TextData!A:A))</f>
        <v>カオスペイン</v>
      </c>
      <c r="C203">
        <v>3010</v>
      </c>
      <c r="D203" t="str">
        <f>INDEX([3]Define!Q:Q,MATCH(C203,[3]Define!P:P))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INDEX([4]TextData!B:B,MATCH(E203,[4]TextData!A:A))</f>
        <v>毒</v>
      </c>
    </row>
    <row r="204" spans="1:9" x14ac:dyDescent="0.2">
      <c r="A204">
        <v>201010</v>
      </c>
      <c r="B204" t="str">
        <f>INDEX([3]TextData!B:B,MATCH(A204,[3]TextData!A:A))</f>
        <v>カオスペイン</v>
      </c>
      <c r="C204">
        <v>7010</v>
      </c>
      <c r="D204" t="str">
        <f>INDEX([3]Define!Q:Q,MATCH(C204,[3]Define!P:P))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9" x14ac:dyDescent="0.2">
      <c r="A205">
        <v>201020</v>
      </c>
      <c r="B205" t="str">
        <f>INDEX([3]TextData!B:B,MATCH(A205,[3]TextData!A:A))</f>
        <v>フォールンワン</v>
      </c>
      <c r="C205">
        <v>2030</v>
      </c>
      <c r="D205" t="str">
        <f>INDEX([3]Define!Q:Q,MATCH(C205,[3]Define!P:P))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9" x14ac:dyDescent="0.2">
      <c r="A206">
        <v>201020</v>
      </c>
      <c r="B206" t="str">
        <f>INDEX([3]TextData!B:B,MATCH(A206,[3]TextData!A:A))</f>
        <v>フォールンワン</v>
      </c>
      <c r="C206">
        <v>11010</v>
      </c>
      <c r="D206" t="str">
        <f>INDEX([3]Define!Q:Q,MATCH(C206,[3]Define!P:P))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9" x14ac:dyDescent="0.2">
      <c r="A207">
        <v>201020</v>
      </c>
      <c r="B207" t="str">
        <f>INDEX([3]TextData!B:B,MATCH(A207,[3]TextData!A:A))</f>
        <v>フォールンワン</v>
      </c>
      <c r="C207">
        <v>7010</v>
      </c>
      <c r="D207" t="str">
        <f>INDEX([3]Define!Q:Q,MATCH(C207,[3]Define!P:P))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 x14ac:dyDescent="0.2">
      <c r="A208">
        <v>201030</v>
      </c>
      <c r="B208" t="str">
        <f>INDEX([3]TextData!B:B,MATCH(A208,[3]TextData!A:A))</f>
        <v>アンリマユ</v>
      </c>
      <c r="C208">
        <v>3010</v>
      </c>
      <c r="D208" t="str">
        <f>INDEX([3]Define!Q:Q,MATCH(C208,[3]Define!P:P))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INDEX([4]TextData!B:B,MATCH(E208,[4]TextData!A:A))</f>
        <v>攻撃無効</v>
      </c>
    </row>
    <row r="209" spans="1:9" x14ac:dyDescent="0.2">
      <c r="A209">
        <v>300010</v>
      </c>
      <c r="B209" t="str">
        <f>INDEX([3]TextData!B:B,MATCH(A209,[3]TextData!A:A))</f>
        <v>ライフブースト</v>
      </c>
      <c r="C209">
        <v>3010</v>
      </c>
      <c r="D209" t="str">
        <f>INDEX([3]Define!Q:Q,MATCH(C209,[3]Define!P:P))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INDEX([4]TextData!B:B,MATCH(E209,[4]TextData!A:A))</f>
        <v>最大Hpアップ</v>
      </c>
    </row>
    <row r="210" spans="1:9" x14ac:dyDescent="0.2">
      <c r="A210">
        <v>300020</v>
      </c>
      <c r="B210" t="str">
        <f>INDEX([3]TextData!B:B,MATCH(A210,[3]TextData!A:A))</f>
        <v>スピリットチャージ</v>
      </c>
      <c r="C210">
        <v>4040</v>
      </c>
      <c r="D210" t="str">
        <f>INDEX([3]Define!Q:Q,MATCH(C210,[3]Define!P:P))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 x14ac:dyDescent="0.2">
      <c r="A211">
        <v>300030</v>
      </c>
      <c r="B211" t="str">
        <f>INDEX([3]TextData!B:B,MATCH(A211,[3]TextData!A:A))</f>
        <v>フォースライズ</v>
      </c>
      <c r="C211">
        <v>3010</v>
      </c>
      <c r="D211" t="str">
        <f>INDEX([3]Define!Q:Q,MATCH(C211,[3]Define!P:P))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INDEX([4]TextData!B:B,MATCH(E211,[4]TextData!A:A))</f>
        <v>攻撃アップ</v>
      </c>
    </row>
    <row r="212" spans="1:9" x14ac:dyDescent="0.2">
      <c r="A212">
        <v>300040</v>
      </c>
      <c r="B212" t="str">
        <f>INDEX([3]TextData!B:B,MATCH(A212,[3]TextData!A:A))</f>
        <v>ディフェンスオーラ</v>
      </c>
      <c r="C212">
        <v>3010</v>
      </c>
      <c r="D212" t="str">
        <f>INDEX([3]Define!Q:Q,MATCH(C212,[3]Define!P:P))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INDEX([4]TextData!B:B,MATCH(E212,[4]TextData!A:A))</f>
        <v>防御アップ</v>
      </c>
    </row>
    <row r="213" spans="1:9" x14ac:dyDescent="0.2">
      <c r="A213">
        <v>300050</v>
      </c>
      <c r="B213" t="str">
        <f>INDEX([3]TextData!B:B,MATCH(A213,[3]TextData!A:A))</f>
        <v>ラピッドムーブ</v>
      </c>
      <c r="C213">
        <v>3010</v>
      </c>
      <c r="D213" t="str">
        <f>INDEX([3]Define!Q:Q,MATCH(C213,[3]Define!P:P))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INDEX([4]TextData!B:B,MATCH(E213,[4]TextData!A:A))</f>
        <v>速度アップ</v>
      </c>
    </row>
    <row r="214" spans="1:9" x14ac:dyDescent="0.2">
      <c r="A214">
        <v>300130</v>
      </c>
      <c r="B214" t="str">
        <f>INDEX([3]TextData!B:B,MATCH(A214,[3]TextData!A:A))</f>
        <v>アタックブレイク</v>
      </c>
      <c r="C214">
        <v>3010</v>
      </c>
      <c r="D214" t="str">
        <f>INDEX([3]Define!Q:Q,MATCH(C214,[3]Define!P:P))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INDEX([4]TextData!B:B,MATCH(E214,[4]TextData!A:A))</f>
        <v>攻撃ダウン</v>
      </c>
    </row>
    <row r="215" spans="1:9" x14ac:dyDescent="0.2">
      <c r="A215">
        <v>300140</v>
      </c>
      <c r="B215" t="str">
        <f>INDEX([3]TextData!B:B,MATCH(A215,[3]TextData!A:A))</f>
        <v>シールドバニッシュ</v>
      </c>
      <c r="C215">
        <v>3010</v>
      </c>
      <c r="D215" t="str">
        <f>INDEX([3]Define!Q:Q,MATCH(C215,[3]Define!P:P))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INDEX([4]TextData!B:B,MATCH(E215,[4]TextData!A:A))</f>
        <v>防御ダウン</v>
      </c>
    </row>
    <row r="216" spans="1:9" x14ac:dyDescent="0.2">
      <c r="A216">
        <v>300210</v>
      </c>
      <c r="B216" t="str">
        <f>INDEX([3]TextData!B:B,MATCH(A216,[3]TextData!A:A))</f>
        <v>エーテルリチャージ</v>
      </c>
      <c r="C216">
        <v>4020</v>
      </c>
      <c r="D216" t="str">
        <f>INDEX([3]Define!Q:Q,MATCH(C216,[3]Define!P:P))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 x14ac:dyDescent="0.2">
      <c r="A217">
        <v>300220</v>
      </c>
      <c r="B217" t="str">
        <f>INDEX([3]TextData!B:B,MATCH(A217,[3]TextData!A:A))</f>
        <v>リカバリーエンハンス</v>
      </c>
      <c r="C217">
        <v>3010</v>
      </c>
      <c r="D217" t="str">
        <f>INDEX([3]Define!Q:Q,MATCH(C217,[3]Define!P:P))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INDEX([4]TextData!B:B,MATCH(E217,[4]TextData!A:A))</f>
        <v>Hp回復効果アップ</v>
      </c>
    </row>
    <row r="218" spans="1:9" x14ac:dyDescent="0.2">
      <c r="A218">
        <v>300230</v>
      </c>
      <c r="B218" t="str">
        <f>INDEX([3]TextData!B:B,MATCH(A218,[3]TextData!A:A))</f>
        <v>ヴェンジェンス</v>
      </c>
      <c r="C218">
        <v>3010</v>
      </c>
      <c r="D218" t="str">
        <f>INDEX([3]Define!Q:Q,MATCH(C218,[3]Define!P:P))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INDEX([4]TextData!B:B,MATCH(E218,[4]TextData!A:A))</f>
        <v>カウンタ</v>
      </c>
    </row>
    <row r="219" spans="1:9" x14ac:dyDescent="0.2">
      <c r="A219">
        <v>301010</v>
      </c>
      <c r="B219" t="str">
        <f>INDEX([3]TextData!B:B,MATCH(A219,[3]TextData!A:A))</f>
        <v>ディケイドリセット</v>
      </c>
      <c r="C219">
        <v>5012</v>
      </c>
      <c r="D219" t="str">
        <f>INDEX([3]Define!Q:Q,MATCH(C219,[3]Define!P:P))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 x14ac:dyDescent="0.2">
      <c r="A220">
        <v>301020</v>
      </c>
      <c r="B220" t="str">
        <f>INDEX([3]TextData!B:B,MATCH(A220,[3]TextData!A:A))</f>
        <v>ウォーリアーブラッド</v>
      </c>
      <c r="C220">
        <v>3010</v>
      </c>
      <c r="D220" t="str">
        <f>INDEX([3]Define!Q:Q,MATCH(C220,[3]Define!P:P))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INDEX([4]TextData!B:B,MATCH(E220,[4]TextData!A:A))</f>
        <v>攻撃アップ</v>
      </c>
    </row>
    <row r="221" spans="1:9" x14ac:dyDescent="0.2">
      <c r="A221">
        <v>301030</v>
      </c>
      <c r="B221" t="str">
        <f>INDEX([3]TextData!B:B,MATCH(A221,[3]TextData!A:A))</f>
        <v>トライアングルガード</v>
      </c>
      <c r="C221">
        <v>3010</v>
      </c>
      <c r="D221" t="str">
        <f>INDEX([3]Define!Q:Q,MATCH(C221,[3]Define!P:P))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INDEX([4]TextData!B:B,MATCH(E221,[4]TextData!A:A))</f>
        <v>ダメージカット</v>
      </c>
    </row>
    <row r="222" spans="1:9" x14ac:dyDescent="0.2">
      <c r="A222">
        <v>301040</v>
      </c>
      <c r="B222" t="str">
        <f>INDEX([3]TextData!B:B,MATCH(A222,[3]TextData!A:A))</f>
        <v>セーフティバリア</v>
      </c>
      <c r="C222">
        <v>3010</v>
      </c>
      <c r="D222" t="str">
        <f>INDEX([3]Define!Q:Q,MATCH(C222,[3]Define!P:P))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INDEX([4]TextData!B:B,MATCH(E222,[4]TextData!A:A))</f>
        <v>攻撃無効</v>
      </c>
    </row>
    <row r="223" spans="1:9" x14ac:dyDescent="0.2">
      <c r="A223">
        <v>301050</v>
      </c>
      <c r="B223" t="str">
        <f>INDEX([3]TextData!B:B,MATCH(A223,[3]TextData!A:A))</f>
        <v>ヒロインズハイ</v>
      </c>
      <c r="C223">
        <v>3010</v>
      </c>
      <c r="D223" t="str">
        <f>INDEX([3]Define!Q:Q,MATCH(C223,[3]Define!P:P))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INDEX([4]TextData!B:B,MATCH(E223,[4]TextData!A:A))</f>
        <v>最大Hpアップ</v>
      </c>
    </row>
    <row r="224" spans="1:9" x14ac:dyDescent="0.2">
      <c r="A224">
        <v>301060</v>
      </c>
      <c r="B224" t="str">
        <f>INDEX([3]TextData!B:B,MATCH(A224,[3]TextData!A:A))</f>
        <v>セカンドステージ</v>
      </c>
      <c r="C224">
        <v>3020</v>
      </c>
      <c r="D224" t="str">
        <f>INDEX([3]Define!Q:Q,MATCH(C224,[3]Define!P:P))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INDEX([4]TextData!B:B,MATCH(E224,[4]TextData!A:A))</f>
        <v>戦闘不能</v>
      </c>
    </row>
    <row r="225" spans="1:9" x14ac:dyDescent="0.2">
      <c r="A225">
        <v>301060</v>
      </c>
      <c r="B225" t="str">
        <f>INDEX([3]TextData!B:B,MATCH(A225,[3]TextData!A:A))</f>
        <v>セカンドステージ</v>
      </c>
      <c r="C225">
        <v>2030</v>
      </c>
      <c r="D225" t="str">
        <f>INDEX([3]Define!Q:Q,MATCH(C225,[3]Define!P:P))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9" x14ac:dyDescent="0.2">
      <c r="A226">
        <v>301060</v>
      </c>
      <c r="B226" t="str">
        <f>INDEX([3]TextData!B:B,MATCH(A226,[3]TextData!A:A))</f>
        <v>セカンドステージ</v>
      </c>
      <c r="C226">
        <v>2010</v>
      </c>
      <c r="D226" t="str">
        <f>INDEX([3]Define!Q:Q,MATCH(C226,[3]Define!P:P))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 x14ac:dyDescent="0.2">
      <c r="A227">
        <v>301070</v>
      </c>
      <c r="B227" t="str">
        <f>INDEX([3]TextData!B:B,MATCH(A227,[3]TextData!A:A))</f>
        <v>ハイヒットポイント</v>
      </c>
      <c r="C227">
        <v>3010</v>
      </c>
      <c r="D227" t="str">
        <f>INDEX([3]Define!Q:Q,MATCH(C227,[3]Define!P:P))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INDEX([4]TextData!B:B,MATCH(E227,[4]TextData!A:A))</f>
        <v>最大Hpアップ</v>
      </c>
    </row>
    <row r="228" spans="1:9" x14ac:dyDescent="0.2">
      <c r="A228">
        <v>301080</v>
      </c>
      <c r="B228" t="str">
        <f>INDEX([3]TextData!B:B,MATCH(A228,[3]TextData!A:A))</f>
        <v>セプタブラスト</v>
      </c>
      <c r="C228">
        <v>1030</v>
      </c>
      <c r="D228" t="str">
        <f>INDEX([3]Define!Q:Q,MATCH(C228,[3]Define!P:P))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 x14ac:dyDescent="0.2">
      <c r="A229">
        <v>301090</v>
      </c>
      <c r="B229" t="str">
        <f>INDEX([3]TextData!B:B,MATCH(A229,[3]TextData!A:A))</f>
        <v>イニシャルブロッカー</v>
      </c>
      <c r="C229">
        <v>3010</v>
      </c>
      <c r="D229" t="str">
        <f>INDEX([3]Define!Q:Q,MATCH(C229,[3]Define!P:P))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INDEX([4]TextData!B:B,MATCH(E229,[4]TextData!A:A))</f>
        <v>シールド</v>
      </c>
    </row>
    <row r="230" spans="1:9" x14ac:dyDescent="0.2">
      <c r="A230">
        <v>301100</v>
      </c>
      <c r="B230" t="str">
        <f>INDEX([3]TextData!B:B,MATCH(A230,[3]TextData!A:A))</f>
        <v>ファーストテイク</v>
      </c>
      <c r="C230">
        <v>5020</v>
      </c>
      <c r="D230" t="str">
        <f>INDEX([3]Define!Q:Q,MATCH(C230,[3]Define!P:P))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9" x14ac:dyDescent="0.2">
      <c r="A231">
        <v>401010</v>
      </c>
      <c r="B231" t="str">
        <f>INDEX([3]TextData!B:B,MATCH(A231,[3]TextData!A:A))</f>
        <v>ファイアボール+</v>
      </c>
      <c r="C231">
        <v>6010</v>
      </c>
      <c r="D231" t="str">
        <f>INDEX([3]Define!Q:Q,MATCH(C231,[3]Define!P:P))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9" x14ac:dyDescent="0.2">
      <c r="A232">
        <v>401020</v>
      </c>
      <c r="B232" t="str">
        <f>INDEX([3]TextData!B:B,MATCH(A232,[3]TextData!A:A))</f>
        <v>バーンストーム+</v>
      </c>
      <c r="C232">
        <v>6010</v>
      </c>
      <c r="D232" t="str">
        <f>INDEX([3]Define!Q:Q,MATCH(C232,[3]Define!P:P))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9" x14ac:dyDescent="0.2">
      <c r="A233">
        <v>401030</v>
      </c>
      <c r="B233" t="str">
        <f>INDEX([3]TextData!B:B,MATCH(A233,[3]TextData!A:A))</f>
        <v>ヒートスタンプ+</v>
      </c>
      <c r="C233">
        <v>6010</v>
      </c>
      <c r="D233" t="str">
        <f>INDEX([3]Define!Q:Q,MATCH(C233,[3]Define!P:P))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9" x14ac:dyDescent="0.2">
      <c r="A234">
        <v>401040</v>
      </c>
      <c r="B234" t="str">
        <f>INDEX([3]TextData!B:B,MATCH(A234,[3]TextData!A:A))</f>
        <v>ソードアダプト+</v>
      </c>
      <c r="C234">
        <v>6010</v>
      </c>
      <c r="D234" t="str">
        <f>INDEX([3]Define!Q:Q,MATCH(C234,[3]Define!P:P))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9" x14ac:dyDescent="0.2">
      <c r="A235">
        <v>401050</v>
      </c>
      <c r="B235" t="str">
        <f>INDEX([3]TextData!B:B,MATCH(A235,[3]TextData!A:A))</f>
        <v>フレイムレイン+</v>
      </c>
      <c r="C235">
        <v>6010</v>
      </c>
      <c r="D235" t="str">
        <f>INDEX([3]Define!Q:Q,MATCH(C235,[3]Define!P:P))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9" x14ac:dyDescent="0.2">
      <c r="A236">
        <v>401060</v>
      </c>
      <c r="B236" t="str">
        <f>INDEX([3]TextData!B:B,MATCH(A236,[3]TextData!A:A))</f>
        <v>イクスティンクション+</v>
      </c>
      <c r="C236">
        <v>6010</v>
      </c>
      <c r="D236" t="str">
        <f>INDEX([3]Define!Q:Q,MATCH(C236,[3]Define!P:P))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9" x14ac:dyDescent="0.2">
      <c r="A237">
        <v>401070</v>
      </c>
      <c r="B237" t="str">
        <f>INDEX([3]TextData!B:B,MATCH(A237,[3]TextData!A:A))</f>
        <v>バーニングソウル+</v>
      </c>
      <c r="C237">
        <v>6080</v>
      </c>
      <c r="D237" t="str">
        <f>INDEX([3]Define!Q:Q,MATCH(C237,[3]Define!P:P))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9" x14ac:dyDescent="0.2">
      <c r="A238">
        <v>401080</v>
      </c>
      <c r="B238" t="str">
        <f>INDEX([3]TextData!B:B,MATCH(A238,[3]TextData!A:A))</f>
        <v>レイジングバウンサー+</v>
      </c>
      <c r="C238">
        <v>6030</v>
      </c>
      <c r="D238" t="str">
        <f>INDEX([3]Define!Q:Q,MATCH(C238,[3]Define!P:P))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9" x14ac:dyDescent="0.2">
      <c r="A239">
        <v>402010</v>
      </c>
      <c r="B239" t="str">
        <f>INDEX([3]TextData!B:B,MATCH(A239,[3]TextData!A:A))</f>
        <v>ディスチャージ+</v>
      </c>
      <c r="C239">
        <v>6010</v>
      </c>
      <c r="D239" t="str">
        <f>INDEX([3]Define!Q:Q,MATCH(C239,[3]Define!P:P))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9" x14ac:dyDescent="0.2">
      <c r="A240">
        <v>402020</v>
      </c>
      <c r="B240" t="str">
        <f>INDEX([3]TextData!B:B,MATCH(A240,[3]TextData!A:A))</f>
        <v>イベイドコード+</v>
      </c>
      <c r="C240">
        <v>6030</v>
      </c>
      <c r="D240" t="str">
        <f>INDEX([3]Define!Q:Q,MATCH(C240,[3]Define!P:P))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 x14ac:dyDescent="0.2">
      <c r="A241">
        <v>402030</v>
      </c>
      <c r="B241" t="str">
        <f>INDEX([3]TextData!B:B,MATCH(A241,[3]TextData!A:A))</f>
        <v>ショックインパルス+</v>
      </c>
      <c r="C241">
        <v>6080</v>
      </c>
      <c r="D241" t="str">
        <f>INDEX([3]Define!Q:Q,MATCH(C241,[3]Define!P:P))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 x14ac:dyDescent="0.2">
      <c r="A242">
        <v>402040</v>
      </c>
      <c r="B242" t="str">
        <f>INDEX([3]TextData!B:B,MATCH(A242,[3]TextData!A:A))</f>
        <v>トラストチェイン+</v>
      </c>
      <c r="C242">
        <v>6010</v>
      </c>
      <c r="D242" t="str">
        <f>INDEX([3]Define!Q:Q,MATCH(C242,[3]Define!P:P))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 x14ac:dyDescent="0.2">
      <c r="A243">
        <v>402050</v>
      </c>
      <c r="B243" t="str">
        <f>INDEX([3]TextData!B:B,MATCH(A243,[3]TextData!A:A))</f>
        <v>スペルバニシング+</v>
      </c>
      <c r="C243">
        <v>6080</v>
      </c>
      <c r="D243" t="str">
        <f>INDEX([3]Define!Q:Q,MATCH(C243,[3]Define!P:P))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 x14ac:dyDescent="0.2">
      <c r="A244">
        <v>402060</v>
      </c>
      <c r="B244" t="str">
        <f>INDEX([3]TextData!B:B,MATCH(A244,[3]TextData!A:A))</f>
        <v>アーテニーストライク+</v>
      </c>
      <c r="C244">
        <v>6010</v>
      </c>
      <c r="D244" t="str">
        <f>INDEX([3]Define!Q:Q,MATCH(C244,[3]Define!P:P))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 x14ac:dyDescent="0.2">
      <c r="A245">
        <v>402070</v>
      </c>
      <c r="B245" t="str">
        <f>INDEX([3]TextData!B:B,MATCH(A245,[3]TextData!A:A))</f>
        <v>コンセントレイト+</v>
      </c>
      <c r="C245">
        <v>6030</v>
      </c>
      <c r="D245" t="str">
        <f>INDEX([3]Define!Q:Q,MATCH(C245,[3]Define!P:P))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 x14ac:dyDescent="0.2">
      <c r="A246">
        <v>402080</v>
      </c>
      <c r="B246" t="str">
        <f>INDEX([3]TextData!B:B,MATCH(A246,[3]TextData!A:A))</f>
        <v>ディレイマジック+</v>
      </c>
      <c r="C246">
        <v>6010</v>
      </c>
      <c r="D246" t="str">
        <f>INDEX([3]Define!Q:Q,MATCH(C246,[3]Define!P:P))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 x14ac:dyDescent="0.2">
      <c r="A247">
        <v>403010</v>
      </c>
      <c r="B247" t="str">
        <f>INDEX([3]TextData!B:B,MATCH(A247,[3]TextData!A:A))</f>
        <v>アイスブレイド+</v>
      </c>
      <c r="C247">
        <v>6010</v>
      </c>
      <c r="D247" t="str">
        <f>INDEX([3]Define!Q:Q,MATCH(C247,[3]Define!P:P))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 x14ac:dyDescent="0.2">
      <c r="A248">
        <v>403020</v>
      </c>
      <c r="B248" t="str">
        <f>INDEX([3]TextData!B:B,MATCH(A248,[3]TextData!A:A))</f>
        <v>カウンターオーラ+</v>
      </c>
      <c r="C248">
        <v>6030</v>
      </c>
      <c r="D248" t="str">
        <f>INDEX([3]Define!Q:Q,MATCH(C248,[3]Define!P:P))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 x14ac:dyDescent="0.2">
      <c r="A249">
        <v>403030</v>
      </c>
      <c r="B249" t="str">
        <f>INDEX([3]TextData!B:B,MATCH(A249,[3]TextData!A:A))</f>
        <v>ラインプロテクト+</v>
      </c>
      <c r="C249">
        <v>6030</v>
      </c>
      <c r="D249" t="str">
        <f>INDEX([3]Define!Q:Q,MATCH(C249,[3]Define!P:P))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 x14ac:dyDescent="0.2">
      <c r="A250">
        <v>403040</v>
      </c>
      <c r="B250" t="str">
        <f>INDEX([3]TextData!B:B,MATCH(A250,[3]TextData!A:A))</f>
        <v>エスコートソール+</v>
      </c>
      <c r="C250">
        <v>6030</v>
      </c>
      <c r="D250" t="str">
        <f>INDEX([3]Define!Q:Q,MATCH(C250,[3]Define!P:P))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 x14ac:dyDescent="0.2">
      <c r="A251">
        <v>403050</v>
      </c>
      <c r="B251" t="str">
        <f>INDEX([3]TextData!B:B,MATCH(A251,[3]TextData!A:A))</f>
        <v>ディープフリーズ+</v>
      </c>
      <c r="C251">
        <v>6030</v>
      </c>
      <c r="D251" t="str">
        <f>INDEX([3]Define!Q:Q,MATCH(C251,[3]Define!P:P))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 x14ac:dyDescent="0.2">
      <c r="A252">
        <v>403060</v>
      </c>
      <c r="B252" t="str">
        <f>INDEX([3]TextData!B:B,MATCH(A252,[3]TextData!A:A))</f>
        <v>バブルブロウ+</v>
      </c>
      <c r="C252">
        <v>6030</v>
      </c>
      <c r="D252" t="str">
        <f>INDEX([3]Define!Q:Q,MATCH(C252,[3]Define!P:P))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 x14ac:dyDescent="0.2">
      <c r="A253">
        <v>403070</v>
      </c>
      <c r="B253" t="str">
        <f>INDEX([3]TextData!B:B,MATCH(A253,[3]TextData!A:A))</f>
        <v>アクアミラージュ+</v>
      </c>
      <c r="C253">
        <v>6020</v>
      </c>
      <c r="D253" t="str">
        <f>INDEX([3]Define!Q:Q,MATCH(C253,[3]Define!P:P))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 x14ac:dyDescent="0.2">
      <c r="A254">
        <v>403080</v>
      </c>
      <c r="B254" t="str">
        <f>INDEX([3]TextData!B:B,MATCH(A254,[3]TextData!A:A))</f>
        <v>フロストシールド+</v>
      </c>
      <c r="C254">
        <v>6030</v>
      </c>
      <c r="D254" t="str">
        <f>INDEX([3]Define!Q:Q,MATCH(C254,[3]Define!P:P))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 x14ac:dyDescent="0.2">
      <c r="A255">
        <v>404010</v>
      </c>
      <c r="B255" t="str">
        <f>INDEX([3]TextData!B:B,MATCH(A255,[3]TextData!A:A))</f>
        <v>セイントレーザー+</v>
      </c>
      <c r="C255">
        <v>6010</v>
      </c>
      <c r="D255" t="str">
        <f>INDEX([3]Define!Q:Q,MATCH(C255,[3]Define!P:P))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 x14ac:dyDescent="0.2">
      <c r="A256">
        <v>404020</v>
      </c>
      <c r="B256" t="str">
        <f>INDEX([3]TextData!B:B,MATCH(A256,[3]TextData!A:A))</f>
        <v>ペネトレイト+</v>
      </c>
      <c r="C256">
        <v>6010</v>
      </c>
      <c r="D256" t="str">
        <f>INDEX([3]Define!Q:Q,MATCH(C256,[3]Define!P:P))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 x14ac:dyDescent="0.2">
      <c r="A257">
        <v>404030</v>
      </c>
      <c r="B257" t="str">
        <f>INDEX([3]TextData!B:B,MATCH(A257,[3]TextData!A:A))</f>
        <v>ヒーリング+</v>
      </c>
      <c r="C257">
        <v>6210</v>
      </c>
      <c r="D257" t="str">
        <f>INDEX([3]Define!Q:Q,MATCH(C257,[3]Define!P:P))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 x14ac:dyDescent="0.2">
      <c r="A258">
        <v>404040</v>
      </c>
      <c r="B258" t="str">
        <f>INDEX([3]TextData!B:B,MATCH(A258,[3]TextData!A:A))</f>
        <v>リザイアフォトン+</v>
      </c>
      <c r="C258">
        <v>6030</v>
      </c>
      <c r="D258" t="str">
        <f>INDEX([3]Define!Q:Q,MATCH(C258,[3]Define!P:P))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 x14ac:dyDescent="0.2">
      <c r="A259">
        <v>404050</v>
      </c>
      <c r="B259" t="str">
        <f>INDEX([3]TextData!B:B,MATCH(A259,[3]TextData!A:A))</f>
        <v>べネディクション+</v>
      </c>
      <c r="C259">
        <v>6080</v>
      </c>
      <c r="D259" t="str">
        <f>INDEX([3]Define!Q:Q,MATCH(C259,[3]Define!P:P))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 x14ac:dyDescent="0.2">
      <c r="A260">
        <v>404060</v>
      </c>
      <c r="B260" t="str">
        <f>INDEX([3]TextData!B:B,MATCH(A260,[3]TextData!A:A))</f>
        <v>ホーリーグレイス+</v>
      </c>
      <c r="C260">
        <v>6080</v>
      </c>
      <c r="D260" t="str">
        <f>INDEX([3]Define!Q:Q,MATCH(C260,[3]Define!P:P))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 x14ac:dyDescent="0.2">
      <c r="A261">
        <v>404070</v>
      </c>
      <c r="B261" t="str">
        <f>INDEX([3]TextData!B:B,MATCH(A261,[3]TextData!A:A))</f>
        <v>キュアエール+</v>
      </c>
      <c r="C261">
        <v>6030</v>
      </c>
      <c r="D261" t="str">
        <f>INDEX([3]Define!Q:Q,MATCH(C261,[3]Define!P:P))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 x14ac:dyDescent="0.2">
      <c r="A262">
        <v>404080</v>
      </c>
      <c r="B262" t="str">
        <f>INDEX([3]TextData!B:B,MATCH(A262,[3]TextData!A:A))</f>
        <v>ラインバリア+</v>
      </c>
      <c r="C262">
        <v>6080</v>
      </c>
      <c r="D262" t="str">
        <f>INDEX([3]Define!Q:Q,MATCH(C262,[3]Define!P:P))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 x14ac:dyDescent="0.2">
      <c r="A263">
        <v>405010</v>
      </c>
      <c r="B263" t="str">
        <f>INDEX([3]TextData!B:B,MATCH(A263,[3]TextData!A:A))</f>
        <v>ダークプリズン+</v>
      </c>
      <c r="C263">
        <v>6010</v>
      </c>
      <c r="D263" t="str">
        <f>INDEX([3]Define!Q:Q,MATCH(C263,[3]Define!P:P))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 x14ac:dyDescent="0.2">
      <c r="A264">
        <v>405020</v>
      </c>
      <c r="B264" t="str">
        <f>INDEX([3]TextData!B:B,MATCH(A264,[3]TextData!A:A))</f>
        <v>ユーサネイジア+</v>
      </c>
      <c r="C264">
        <v>6010</v>
      </c>
      <c r="D264" t="str">
        <f>INDEX([3]Define!Q:Q,MATCH(C264,[3]Define!P:P))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 x14ac:dyDescent="0.2">
      <c r="A265">
        <v>405030</v>
      </c>
      <c r="B265" t="str">
        <f>INDEX([3]TextData!B:B,MATCH(A265,[3]TextData!A:A))</f>
        <v>ドレインヒール+</v>
      </c>
      <c r="C265">
        <v>6030</v>
      </c>
      <c r="D265" t="str">
        <f>INDEX([3]Define!Q:Q,MATCH(C265,[3]Define!P:P))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 x14ac:dyDescent="0.2">
      <c r="A266">
        <v>405040</v>
      </c>
      <c r="B266" t="str">
        <f>INDEX([3]TextData!B:B,MATCH(A266,[3]TextData!A:A))</f>
        <v>アビサルデスペア+</v>
      </c>
      <c r="C266">
        <v>6020</v>
      </c>
      <c r="D266" t="str">
        <f>INDEX([3]Define!Q:Q,MATCH(C266,[3]Define!P:P))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 x14ac:dyDescent="0.2">
      <c r="A267">
        <v>405050</v>
      </c>
      <c r="B267" t="str">
        <f>INDEX([3]TextData!B:B,MATCH(A267,[3]TextData!A:A))</f>
        <v>ディプラヴィティ+</v>
      </c>
      <c r="C267">
        <v>6030</v>
      </c>
      <c r="D267" t="str">
        <f>INDEX([3]Define!Q:Q,MATCH(C267,[3]Define!P:P))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 x14ac:dyDescent="0.2">
      <c r="A268">
        <v>405060</v>
      </c>
      <c r="B268" t="str">
        <f>INDEX([3]TextData!B:B,MATCH(A268,[3]TextData!A:A))</f>
        <v>ダークネス+</v>
      </c>
      <c r="C268">
        <v>6030</v>
      </c>
      <c r="D268" t="str">
        <f>INDEX([3]Define!Q:Q,MATCH(C268,[3]Define!P:P))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 x14ac:dyDescent="0.2">
      <c r="A269">
        <v>405070</v>
      </c>
      <c r="B269" t="str">
        <f>INDEX([3]TextData!B:B,MATCH(A269,[3]TextData!A:A))</f>
        <v>シェイディークラウド+</v>
      </c>
      <c r="C269">
        <v>6030</v>
      </c>
      <c r="D269" t="str">
        <f>INDEX([3]Define!Q:Q,MATCH(C269,[3]Define!P:P))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 x14ac:dyDescent="0.2">
      <c r="A270">
        <v>405080</v>
      </c>
      <c r="B270" t="str">
        <f>INDEX([3]TextData!B:B,MATCH(A270,[3]TextData!A:A))</f>
        <v>ポイズンブロウ+</v>
      </c>
      <c r="C270">
        <v>6030</v>
      </c>
      <c r="D270" t="str">
        <f>INDEX([3]Define!Q:Q,MATCH(C270,[3]Define!P:P))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 x14ac:dyDescent="0.2">
      <c r="A271">
        <v>411010</v>
      </c>
      <c r="B271" t="str">
        <f>INDEX([3]TextData!B:B,MATCH(A271,[3]TextData!A:A))</f>
        <v>ウルフソウル+</v>
      </c>
      <c r="C271">
        <v>6030</v>
      </c>
      <c r="D271" t="str">
        <f>INDEX([3]Define!Q:Q,MATCH(C271,[3]Define!P:P))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 x14ac:dyDescent="0.2">
      <c r="A272">
        <v>411020</v>
      </c>
      <c r="B272" t="str">
        <f>INDEX([3]TextData!B:B,MATCH(A272,[3]TextData!A:A))</f>
        <v>プリディカメント+</v>
      </c>
      <c r="C272">
        <v>6030</v>
      </c>
      <c r="D272" t="str">
        <f>INDEX([3]Define!Q:Q,MATCH(C272,[3]Define!P:P))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 x14ac:dyDescent="0.2">
      <c r="A273">
        <v>411030</v>
      </c>
      <c r="B273" t="str">
        <f>INDEX([3]TextData!B:B,MATCH(A273,[3]TextData!A:A))</f>
        <v>アサルトシフト+</v>
      </c>
      <c r="C273">
        <v>6030</v>
      </c>
      <c r="D273" t="str">
        <f>INDEX([3]Define!Q:Q,MATCH(C273,[3]Define!P:P))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 x14ac:dyDescent="0.2">
      <c r="A274">
        <v>411030</v>
      </c>
      <c r="B274" t="str">
        <f>INDEX([3]TextData!B:B,MATCH(A274,[3]TextData!A:A))</f>
        <v>アサルトシフト+</v>
      </c>
      <c r="C274">
        <v>6030</v>
      </c>
      <c r="D274" t="str">
        <f>INDEX([3]Define!Q:Q,MATCH(C274,[3]Define!P:P))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 x14ac:dyDescent="0.2">
      <c r="A275">
        <v>411040</v>
      </c>
      <c r="B275" t="str">
        <f>INDEX([3]TextData!B:B,MATCH(A275,[3]TextData!A:A))</f>
        <v>アクティブギフト+</v>
      </c>
      <c r="C275">
        <v>6080</v>
      </c>
      <c r="D275" t="str">
        <f>INDEX([3]Define!Q:Q,MATCH(C275,[3]Define!P:P))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 x14ac:dyDescent="0.2">
      <c r="A276">
        <v>411050</v>
      </c>
      <c r="B276" t="str">
        <f>INDEX([3]TextData!B:B,MATCH(A276,[3]TextData!A:A))</f>
        <v>イグナイテッド+</v>
      </c>
      <c r="C276">
        <v>6010</v>
      </c>
      <c r="D276" t="str">
        <f>INDEX([3]Define!Q:Q,MATCH(C276,[3]Define!P:P))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 x14ac:dyDescent="0.2">
      <c r="A277">
        <v>411060</v>
      </c>
      <c r="B277" t="str">
        <f>INDEX([3]TextData!B:B,MATCH(A277,[3]TextData!A:A))</f>
        <v>ライジングファイア+</v>
      </c>
      <c r="C277">
        <v>6010</v>
      </c>
      <c r="D277" t="str">
        <f>INDEX([3]Define!Q:Q,MATCH(C277,[3]Define!P:P))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 x14ac:dyDescent="0.2">
      <c r="A278">
        <v>411070</v>
      </c>
      <c r="B278" t="str">
        <f>INDEX([3]TextData!B:B,MATCH(A278,[3]TextData!A:A))</f>
        <v>ルージュバック+</v>
      </c>
      <c r="C278">
        <v>6030</v>
      </c>
      <c r="D278" t="str">
        <f>INDEX([3]Define!Q:Q,MATCH(C278,[3]Define!P:P))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 x14ac:dyDescent="0.2">
      <c r="A279">
        <v>411080</v>
      </c>
      <c r="B279" t="str">
        <f>INDEX([3]TextData!B:B,MATCH(A279,[3]TextData!A:A))</f>
        <v>パワーエール+</v>
      </c>
      <c r="C279">
        <v>6030</v>
      </c>
      <c r="D279" t="str">
        <f>INDEX([3]Define!Q:Q,MATCH(C279,[3]Define!P:P))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 x14ac:dyDescent="0.2">
      <c r="A280">
        <v>411090</v>
      </c>
      <c r="B280" t="str">
        <f>INDEX([3]TextData!B:B,MATCH(A280,[3]TextData!A:A))</f>
        <v>スレイプニル+</v>
      </c>
      <c r="C280">
        <v>6030</v>
      </c>
      <c r="D280" t="str">
        <f>INDEX([3]Define!Q:Q,MATCH(C280,[3]Define!P:P))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 x14ac:dyDescent="0.2">
      <c r="A281">
        <v>412010</v>
      </c>
      <c r="B281" t="str">
        <f>INDEX([3]TextData!B:B,MATCH(A281,[3]TextData!A:A))</f>
        <v>エクステンション+</v>
      </c>
      <c r="C281">
        <v>6210</v>
      </c>
      <c r="D281" t="str">
        <f>INDEX([3]Define!Q:Q,MATCH(C281,[3]Define!P:P))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 x14ac:dyDescent="0.2">
      <c r="A282">
        <v>412020</v>
      </c>
      <c r="B282" t="str">
        <f>INDEX([3]TextData!B:B,MATCH(A282,[3]TextData!A:A))</f>
        <v>ヘブンリーラック+</v>
      </c>
      <c r="C282">
        <v>6030</v>
      </c>
      <c r="D282" t="str">
        <f>INDEX([3]Define!Q:Q,MATCH(C282,[3]Define!P:P))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 x14ac:dyDescent="0.2">
      <c r="A283">
        <v>412030</v>
      </c>
      <c r="B283" t="str">
        <f>INDEX([3]TextData!B:B,MATCH(A283,[3]TextData!A:A))</f>
        <v>スウィフトカレント+</v>
      </c>
      <c r="C283">
        <v>6030</v>
      </c>
      <c r="D283" t="str">
        <f>INDEX([3]Define!Q:Q,MATCH(C283,[3]Define!P:P))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 x14ac:dyDescent="0.2">
      <c r="A284">
        <v>412040</v>
      </c>
      <c r="B284" t="str">
        <f>INDEX([3]TextData!B:B,MATCH(A284,[3]TextData!A:A))</f>
        <v>イヴェイドオール+</v>
      </c>
      <c r="C284">
        <v>6030</v>
      </c>
      <c r="D284" t="str">
        <f>INDEX([3]Define!Q:Q,MATCH(C284,[3]Define!P:P))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 x14ac:dyDescent="0.2">
      <c r="A285">
        <v>412050</v>
      </c>
      <c r="B285" t="str">
        <f>INDEX([3]TextData!B:B,MATCH(A285,[3]TextData!A:A))</f>
        <v>クイックムーブ+</v>
      </c>
      <c r="C285">
        <v>6010</v>
      </c>
      <c r="D285" t="str">
        <f>INDEX([3]Define!Q:Q,MATCH(C285,[3]Define!P:P))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 x14ac:dyDescent="0.2">
      <c r="A286">
        <v>412060</v>
      </c>
      <c r="B286" t="str">
        <f>INDEX([3]TextData!B:B,MATCH(A286,[3]TextData!A:A))</f>
        <v>チェイスマジック+</v>
      </c>
      <c r="C286">
        <v>6010</v>
      </c>
      <c r="D286" t="str">
        <f>INDEX([3]Define!Q:Q,MATCH(C286,[3]Define!P:P))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 x14ac:dyDescent="0.2">
      <c r="A287">
        <v>412070</v>
      </c>
      <c r="B287" t="str">
        <f>INDEX([3]TextData!B:B,MATCH(A287,[3]TextData!A:A))</f>
        <v>ソーサリーコネクト+</v>
      </c>
      <c r="C287">
        <v>6030</v>
      </c>
      <c r="D287" t="str">
        <f>INDEX([3]Define!Q:Q,MATCH(C287,[3]Define!P:P))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 x14ac:dyDescent="0.2">
      <c r="A288">
        <v>412080</v>
      </c>
      <c r="B288" t="str">
        <f>INDEX([3]TextData!B:B,MATCH(A288,[3]TextData!A:A))</f>
        <v>ウィンドライズ+</v>
      </c>
      <c r="C288">
        <v>6010</v>
      </c>
      <c r="D288" t="str">
        <f>INDEX([3]Define!Q:Q,MATCH(C288,[3]Define!P:P))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 x14ac:dyDescent="0.2">
      <c r="A289">
        <v>412090</v>
      </c>
      <c r="B289" t="str">
        <f>INDEX([3]TextData!B:B,MATCH(A289,[3]TextData!A:A))</f>
        <v>アウトオブオーダー+</v>
      </c>
      <c r="C289">
        <v>6010</v>
      </c>
      <c r="D289" t="str">
        <f>INDEX([3]Define!Q:Q,MATCH(C289,[3]Define!P:P))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 x14ac:dyDescent="0.2">
      <c r="A290">
        <v>413010</v>
      </c>
      <c r="B290" t="str">
        <f>INDEX([3]TextData!B:B,MATCH(A290,[3]TextData!A:A))</f>
        <v>アーマーコード+</v>
      </c>
      <c r="C290">
        <v>6030</v>
      </c>
      <c r="D290" t="str">
        <f>INDEX([3]Define!Q:Q,MATCH(C290,[3]Define!P:P))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 x14ac:dyDescent="0.2">
      <c r="A291">
        <v>413020</v>
      </c>
      <c r="B291" t="str">
        <f>INDEX([3]TextData!B:B,MATCH(A291,[3]TextData!A:A))</f>
        <v>クイックバリア+</v>
      </c>
      <c r="C291">
        <v>6030</v>
      </c>
      <c r="D291" t="str">
        <f>INDEX([3]Define!Q:Q,MATCH(C291,[3]Define!P:P))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 x14ac:dyDescent="0.2">
      <c r="A292">
        <v>413030</v>
      </c>
      <c r="B292" t="str">
        <f>INDEX([3]TextData!B:B,MATCH(A292,[3]TextData!A:A))</f>
        <v>クイックキュア+</v>
      </c>
      <c r="C292">
        <v>6080</v>
      </c>
      <c r="D292" t="str">
        <f>INDEX([3]Define!Q:Q,MATCH(C292,[3]Define!P:P))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 x14ac:dyDescent="0.2">
      <c r="A293">
        <v>413040</v>
      </c>
      <c r="B293" t="str">
        <f>INDEX([3]TextData!B:B,MATCH(A293,[3]TextData!A:A))</f>
        <v>セルフシールド+</v>
      </c>
      <c r="C293">
        <v>6030</v>
      </c>
      <c r="D293" t="str">
        <f>INDEX([3]Define!Q:Q,MATCH(C293,[3]Define!P:P))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 x14ac:dyDescent="0.2">
      <c r="A294">
        <v>413050</v>
      </c>
      <c r="B294" t="str">
        <f>INDEX([3]TextData!B:B,MATCH(A294,[3]TextData!A:A))</f>
        <v>パッシブジャミング+</v>
      </c>
      <c r="C294">
        <v>6080</v>
      </c>
      <c r="D294" t="str">
        <f>INDEX([3]Define!Q:Q,MATCH(C294,[3]Define!P:P))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 x14ac:dyDescent="0.2">
      <c r="A295">
        <v>413060</v>
      </c>
      <c r="B295" t="str">
        <f>INDEX([3]TextData!B:B,MATCH(A295,[3]TextData!A:A))</f>
        <v>サプライカバー+</v>
      </c>
      <c r="C295">
        <v>6080</v>
      </c>
      <c r="D295" t="str">
        <f>INDEX([3]Define!Q:Q,MATCH(C295,[3]Define!P:P))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 x14ac:dyDescent="0.2">
      <c r="A296">
        <v>413070</v>
      </c>
      <c r="B296" t="str">
        <f>INDEX([3]TextData!B:B,MATCH(A296,[3]TextData!A:A))</f>
        <v>アシッドラッシュ+</v>
      </c>
      <c r="C296">
        <v>6010</v>
      </c>
      <c r="D296" t="str">
        <f>INDEX([3]Define!Q:Q,MATCH(C296,[3]Define!P:P))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 x14ac:dyDescent="0.2">
      <c r="A297">
        <v>413080</v>
      </c>
      <c r="B297" t="str">
        <f>INDEX([3]TextData!B:B,MATCH(A297,[3]TextData!A:A))</f>
        <v>ライフスティール+</v>
      </c>
      <c r="C297">
        <v>6030</v>
      </c>
      <c r="D297" t="str">
        <f>INDEX([3]Define!Q:Q,MATCH(C297,[3]Define!P:P))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 x14ac:dyDescent="0.2">
      <c r="A298">
        <v>413090</v>
      </c>
      <c r="B298" t="str">
        <f>INDEX([3]TextData!B:B,MATCH(A298,[3]TextData!A:A))</f>
        <v>アイスセイバー+</v>
      </c>
      <c r="C298">
        <v>6030</v>
      </c>
      <c r="D298" t="str">
        <f>INDEX([3]Define!Q:Q,MATCH(C298,[3]Define!P:P))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 x14ac:dyDescent="0.2">
      <c r="A299">
        <v>414010</v>
      </c>
      <c r="B299" t="str">
        <f>INDEX([3]TextData!B:B,MATCH(A299,[3]TextData!A:A))</f>
        <v>ディバインシールド+</v>
      </c>
      <c r="C299">
        <v>6020</v>
      </c>
      <c r="D299" t="str">
        <f>INDEX([3]Define!Q:Q,MATCH(C299,[3]Define!P:P))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 x14ac:dyDescent="0.2">
      <c r="A300">
        <v>414020</v>
      </c>
      <c r="B300" t="str">
        <f>INDEX([3]TextData!B:B,MATCH(A300,[3]TextData!A:A))</f>
        <v>ライフディバイド+</v>
      </c>
      <c r="C300">
        <v>6010</v>
      </c>
      <c r="D300" t="str">
        <f>INDEX([3]Define!Q:Q,MATCH(C300,[3]Define!P:P))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 x14ac:dyDescent="0.2">
      <c r="A301">
        <v>414030</v>
      </c>
      <c r="B301" t="str">
        <f>INDEX([3]TextData!B:B,MATCH(A301,[3]TextData!A:A))</f>
        <v>エイミングスコープ+</v>
      </c>
      <c r="C301">
        <v>6030</v>
      </c>
      <c r="D301" t="str">
        <f>INDEX([3]Define!Q:Q,MATCH(C301,[3]Define!P:P))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 x14ac:dyDescent="0.2">
      <c r="A302">
        <v>414040</v>
      </c>
      <c r="B302" t="str">
        <f>INDEX([3]TextData!B:B,MATCH(A302,[3]TextData!A:A))</f>
        <v>リジェネレーション+</v>
      </c>
      <c r="C302">
        <v>6030</v>
      </c>
      <c r="D302" t="str">
        <f>INDEX([3]Define!Q:Q,MATCH(C302,[3]Define!P:P))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 x14ac:dyDescent="0.2">
      <c r="A303">
        <v>414050</v>
      </c>
      <c r="B303" t="str">
        <f>INDEX([3]TextData!B:B,MATCH(A303,[3]TextData!A:A))</f>
        <v>ホープフルアイリス+</v>
      </c>
      <c r="C303">
        <v>6030</v>
      </c>
      <c r="D303" t="str">
        <f>INDEX([3]Define!Q:Q,MATCH(C303,[3]Define!P:P))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 x14ac:dyDescent="0.2">
      <c r="A304">
        <v>414060</v>
      </c>
      <c r="B304" t="str">
        <f>INDEX([3]TextData!B:B,MATCH(A304,[3]TextData!A:A))</f>
        <v>パッシブサプライ+</v>
      </c>
      <c r="C304">
        <v>6010</v>
      </c>
      <c r="D304" t="str">
        <f>INDEX([3]Define!Q:Q,MATCH(C304,[3]Define!P:P))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 x14ac:dyDescent="0.2">
      <c r="A305">
        <v>414070</v>
      </c>
      <c r="B305" t="str">
        <f>INDEX([3]TextData!B:B,MATCH(A305,[3]TextData!A:A))</f>
        <v>ホーミングクルセイド+</v>
      </c>
      <c r="C305">
        <v>6020</v>
      </c>
      <c r="D305" t="str">
        <f>INDEX([3]Define!Q:Q,MATCH(C305,[3]Define!P:P))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 x14ac:dyDescent="0.2">
      <c r="A306">
        <v>414080</v>
      </c>
      <c r="B306" t="str">
        <f>INDEX([3]TextData!B:B,MATCH(A306,[3]TextData!A:A))</f>
        <v>クイックヒール+</v>
      </c>
      <c r="C306">
        <v>6010</v>
      </c>
      <c r="D306" t="str">
        <f>INDEX([3]Define!Q:Q,MATCH(C306,[3]Define!P:P))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 x14ac:dyDescent="0.2">
      <c r="A307">
        <v>414090</v>
      </c>
      <c r="B307" t="str">
        <f>INDEX([3]TextData!B:B,MATCH(A307,[3]TextData!A:A))</f>
        <v>リレイズ+</v>
      </c>
      <c r="C307">
        <v>6080</v>
      </c>
      <c r="D307" t="str">
        <f>INDEX([3]Define!Q:Q,MATCH(C307,[3]Define!P:P))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 x14ac:dyDescent="0.2">
      <c r="A308">
        <v>415010</v>
      </c>
      <c r="B308" t="str">
        <f>INDEX([3]TextData!B:B,MATCH(A308,[3]TextData!A:A))</f>
        <v>イーグルアイ+</v>
      </c>
      <c r="C308">
        <v>6030</v>
      </c>
      <c r="D308" t="str">
        <f>INDEX([3]Define!Q:Q,MATCH(C308,[3]Define!P:P))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 x14ac:dyDescent="0.2">
      <c r="A309">
        <v>415020</v>
      </c>
      <c r="B309" t="str">
        <f>INDEX([3]TextData!B:B,MATCH(A309,[3]TextData!A:A))</f>
        <v>ネヴァーエンド+</v>
      </c>
      <c r="C309">
        <v>6030</v>
      </c>
      <c r="D309" t="str">
        <f>INDEX([3]Define!Q:Q,MATCH(C309,[3]Define!P:P))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 x14ac:dyDescent="0.2">
      <c r="A310">
        <v>415030</v>
      </c>
      <c r="B310" t="str">
        <f>INDEX([3]TextData!B:B,MATCH(A310,[3]TextData!A:A))</f>
        <v>グレイブアクト+</v>
      </c>
      <c r="C310">
        <v>6010</v>
      </c>
      <c r="D310" t="str">
        <f>INDEX([3]Define!Q:Q,MATCH(C310,[3]Define!P:P))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 x14ac:dyDescent="0.2">
      <c r="A311">
        <v>415040</v>
      </c>
      <c r="B311" t="str">
        <f>INDEX([3]TextData!B:B,MATCH(A311,[3]TextData!A:A))</f>
        <v>スカルグラッジ+</v>
      </c>
      <c r="C311">
        <v>6030</v>
      </c>
      <c r="D311" t="str">
        <f>INDEX([3]Define!Q:Q,MATCH(C311,[3]Define!P:P))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 x14ac:dyDescent="0.2">
      <c r="A312">
        <v>415050</v>
      </c>
      <c r="B312" t="str">
        <f>INDEX([3]TextData!B:B,MATCH(A312,[3]TextData!A:A))</f>
        <v>ネガティブドレイン+</v>
      </c>
      <c r="C312">
        <v>6030</v>
      </c>
      <c r="D312" t="str">
        <f>INDEX([3]Define!Q:Q,MATCH(C312,[3]Define!P:P))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 x14ac:dyDescent="0.2">
      <c r="A313">
        <v>415060</v>
      </c>
      <c r="B313" t="str">
        <f>INDEX([3]TextData!B:B,MATCH(A313,[3]TextData!A:A))</f>
        <v>アンデッドペイン+</v>
      </c>
      <c r="C313">
        <v>6030</v>
      </c>
      <c r="D313" t="str">
        <f>INDEX([3]Define!Q:Q,MATCH(C313,[3]Define!P:P))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 x14ac:dyDescent="0.2">
      <c r="A314">
        <v>415070</v>
      </c>
      <c r="B314" t="str">
        <f>INDEX([3]TextData!B:B,MATCH(A314,[3]TextData!A:A))</f>
        <v>ジャックポッド+</v>
      </c>
      <c r="C314">
        <v>6030</v>
      </c>
      <c r="D314" t="str">
        <f>INDEX([3]Define!Q:Q,MATCH(C314,[3]Define!P:P))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 x14ac:dyDescent="0.2">
      <c r="A315">
        <v>415080</v>
      </c>
      <c r="B315" t="str">
        <f>INDEX([3]TextData!B:B,MATCH(A315,[3]TextData!A:A))</f>
        <v>ヒールハント+</v>
      </c>
      <c r="C315">
        <v>6030</v>
      </c>
      <c r="D315" t="str">
        <f>INDEX([3]Define!Q:Q,MATCH(C315,[3]Define!P:P))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 x14ac:dyDescent="0.2">
      <c r="A316">
        <v>415090</v>
      </c>
      <c r="B316" t="str">
        <f>INDEX([3]TextData!B:B,MATCH(A316,[3]TextData!A:A))</f>
        <v>クイックカース+</v>
      </c>
      <c r="C316">
        <v>6030</v>
      </c>
      <c r="D316" t="str">
        <f>INDEX([3]Define!Q:Q,MATCH(C316,[3]Define!P:P))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9"/>
  <sheetViews>
    <sheetView tabSelected="1" topLeftCell="A108" workbookViewId="0">
      <selection activeCell="A225" sqref="A120:XFD225"/>
    </sheetView>
  </sheetViews>
  <sheetFormatPr defaultColWidth="8.7265625" defaultRowHeight="13" x14ac:dyDescent="0.2"/>
  <cols>
    <col min="2" max="2" width="19.7265625" customWidth="1"/>
    <col min="4" max="4" width="39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2101</v>
      </c>
      <c r="B2" t="str">
        <f>INDEX([3]Skills!C:C,MATCH(A2,[3]Skills!A:A))</f>
        <v>ディレイマジック</v>
      </c>
      <c r="C2">
        <v>20140</v>
      </c>
      <c r="D2" t="str">
        <f>INDEX([3]Define!V:V,MATCH(C2,[3]Define!U:U))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 x14ac:dyDescent="0.2">
      <c r="A3">
        <v>3021</v>
      </c>
      <c r="B3" t="str">
        <f>INDEX([3]Skills!C:C,MATCH(A3,[3]Skills!A:A))</f>
        <v>カウンターオーラ</v>
      </c>
      <c r="C3">
        <v>6010</v>
      </c>
      <c r="D3" t="str">
        <f>INDEX([3]Define!V:V,MATCH(C3,[3]Define!U:U))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 x14ac:dyDescent="0.2">
      <c r="A4">
        <v>10010</v>
      </c>
      <c r="B4" t="str">
        <f>INDEX([3]Skills!C:C,MATCH(A4,[3]Skills!A:A))</f>
        <v>アンデッド</v>
      </c>
      <c r="C4">
        <v>0</v>
      </c>
      <c r="D4" t="str">
        <f>INDEX([3]Define!V:V,MATCH(C4,[3]Define!U:U))</f>
        <v>なし</v>
      </c>
      <c r="E4">
        <v>4</v>
      </c>
      <c r="F4">
        <v>0</v>
      </c>
      <c r="G4">
        <v>0</v>
      </c>
      <c r="H4">
        <v>0</v>
      </c>
    </row>
    <row r="5" spans="1:8" x14ac:dyDescent="0.2">
      <c r="A5">
        <v>10020</v>
      </c>
      <c r="B5" t="str">
        <f>INDEX([3]Skills!C:C,MATCH(A5,[3]Skills!A:A))</f>
        <v>エアリアル</v>
      </c>
      <c r="C5">
        <v>14410</v>
      </c>
      <c r="D5" t="str">
        <f>INDEX([3]Define!V:V,MATCH(C5,[3]Define!U:U))</f>
        <v>Lvが〇以上</v>
      </c>
      <c r="E5">
        <v>4</v>
      </c>
      <c r="F5">
        <v>20</v>
      </c>
      <c r="G5">
        <v>0</v>
      </c>
      <c r="H5">
        <v>0</v>
      </c>
    </row>
    <row r="6" spans="1:8" x14ac:dyDescent="0.2">
      <c r="A6">
        <v>10030</v>
      </c>
      <c r="B6" t="str">
        <f>INDEX([3]Skills!C:C,MATCH(A6,[3]Skills!A:A))</f>
        <v>悪魔</v>
      </c>
      <c r="C6">
        <v>0</v>
      </c>
      <c r="D6" t="str">
        <f>INDEX([3]Define!V:V,MATCH(C6,[3]Define!U:U))</f>
        <v>なし</v>
      </c>
      <c r="E6">
        <v>4</v>
      </c>
      <c r="F6">
        <v>0</v>
      </c>
      <c r="G6">
        <v>0</v>
      </c>
      <c r="H6">
        <v>0</v>
      </c>
    </row>
    <row r="7" spans="1:8" x14ac:dyDescent="0.2">
      <c r="A7">
        <v>10040</v>
      </c>
      <c r="B7" t="str">
        <f>INDEX([3]Skills!C:C,MATCH(A7,[3]Skills!A:A))</f>
        <v>クリーチャー</v>
      </c>
      <c r="C7">
        <v>14410</v>
      </c>
      <c r="D7" t="str">
        <f>INDEX([3]Define!V:V,MATCH(C7,[3]Define!U:U))</f>
        <v>Lvが〇以上</v>
      </c>
      <c r="E7">
        <v>4</v>
      </c>
      <c r="F7">
        <v>20</v>
      </c>
      <c r="G7">
        <v>0</v>
      </c>
      <c r="H7">
        <v>0</v>
      </c>
    </row>
    <row r="8" spans="1:8" x14ac:dyDescent="0.2">
      <c r="A8">
        <v>10050</v>
      </c>
      <c r="B8" t="str">
        <f>INDEX([3]Skills!C:C,MATCH(A8,[3]Skills!A:A))</f>
        <v>野生の記憶</v>
      </c>
      <c r="C8">
        <v>14410</v>
      </c>
      <c r="D8" t="str">
        <f>INDEX([3]Define!V:V,MATCH(C8,[3]Define!U:U))</f>
        <v>Lvが〇以上</v>
      </c>
      <c r="E8">
        <v>4</v>
      </c>
      <c r="F8">
        <v>20</v>
      </c>
      <c r="G8">
        <v>0</v>
      </c>
      <c r="H8">
        <v>0</v>
      </c>
    </row>
    <row r="9" spans="1:8" x14ac:dyDescent="0.2">
      <c r="A9">
        <v>10060</v>
      </c>
      <c r="B9" t="str">
        <f>INDEX([3]Skills!C:C,MATCH(A9,[3]Skills!A:A))</f>
        <v>変異生物</v>
      </c>
      <c r="C9">
        <v>14410</v>
      </c>
      <c r="D9" t="str">
        <f>INDEX([3]Define!V:V,MATCH(C9,[3]Define!U:U))</f>
        <v>Lvが〇以上</v>
      </c>
      <c r="E9">
        <v>4</v>
      </c>
      <c r="F9">
        <v>20</v>
      </c>
      <c r="G9">
        <v>0</v>
      </c>
      <c r="H9">
        <v>0</v>
      </c>
    </row>
    <row r="10" spans="1:8" x14ac:dyDescent="0.2">
      <c r="A10">
        <v>11010</v>
      </c>
      <c r="B10" t="str">
        <f>INDEX([3]Skills!C:C,MATCH(A10,[3]Skills!A:A))</f>
        <v>ウルフソウル</v>
      </c>
      <c r="C10">
        <v>0</v>
      </c>
      <c r="D10" t="str">
        <f>INDEX([3]Define!V:V,MATCH(C10,[3]Define!U:U))</f>
        <v>なし</v>
      </c>
      <c r="E10">
        <v>4</v>
      </c>
      <c r="F10">
        <v>0</v>
      </c>
      <c r="G10">
        <v>0</v>
      </c>
      <c r="H10">
        <v>0</v>
      </c>
    </row>
    <row r="11" spans="1:8" x14ac:dyDescent="0.2">
      <c r="A11">
        <v>11020</v>
      </c>
      <c r="B11" t="str">
        <f>INDEX([3]Skills!C:C,MATCH(A11,[3]Skills!A:A))</f>
        <v>プリディカメント</v>
      </c>
      <c r="C11">
        <v>1010</v>
      </c>
      <c r="D11" t="str">
        <f>INDEX([3]Define!V:V,MATCH(C11,[3]Define!U:U))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 x14ac:dyDescent="0.2">
      <c r="A12">
        <v>11030</v>
      </c>
      <c r="B12" t="str">
        <f>INDEX([3]Skills!C:C,MATCH(A12,[3]Skills!A:A))</f>
        <v>アサルトシフト</v>
      </c>
      <c r="C12">
        <v>0</v>
      </c>
      <c r="D12" t="str">
        <f>INDEX([3]Define!V:V,MATCH(C12,[3]Define!U:U))</f>
        <v>なし</v>
      </c>
      <c r="E12">
        <v>4</v>
      </c>
      <c r="F12">
        <v>0</v>
      </c>
      <c r="G12">
        <v>0</v>
      </c>
      <c r="H12">
        <v>0</v>
      </c>
    </row>
    <row r="13" spans="1:8" x14ac:dyDescent="0.2">
      <c r="A13">
        <v>11040</v>
      </c>
      <c r="B13" t="str">
        <f>INDEX([3]Skills!C:C,MATCH(A13,[3]Skills!A:A))</f>
        <v>アクティブギフト</v>
      </c>
      <c r="C13">
        <v>15011</v>
      </c>
      <c r="D13" t="str">
        <f>INDEX([3]Define!V:V,MATCH(C13,[3]Define!U:U))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 x14ac:dyDescent="0.2">
      <c r="A14">
        <v>11050</v>
      </c>
      <c r="B14" t="str">
        <f>INDEX([3]Skills!C:C,MATCH(A14,[3]Skills!A:A))</f>
        <v>イグナイテッド</v>
      </c>
      <c r="C14">
        <v>6010</v>
      </c>
      <c r="D14" t="str">
        <f>INDEX([3]Define!V:V,MATCH(C14,[3]Define!U:U))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 x14ac:dyDescent="0.2">
      <c r="A15">
        <v>11050</v>
      </c>
      <c r="B15" t="str">
        <f>INDEX([3]Skills!C:C,MATCH(A15,[3]Skills!A:A))</f>
        <v>イグナイテッド</v>
      </c>
      <c r="C15">
        <v>11010</v>
      </c>
      <c r="D15" t="str">
        <f>INDEX([3]Define!V:V,MATCH(C15,[3]Define!U:U))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 x14ac:dyDescent="0.2">
      <c r="A16">
        <v>11060</v>
      </c>
      <c r="B16" t="str">
        <f>INDEX([3]Skills!C:C,MATCH(A16,[3]Skills!A:A))</f>
        <v>ライジングファイア</v>
      </c>
      <c r="C16">
        <v>20140</v>
      </c>
      <c r="D16" t="str">
        <f>INDEX([3]Define!V:V,MATCH(C16,[3]Define!U:U))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 x14ac:dyDescent="0.2">
      <c r="A17">
        <v>11070</v>
      </c>
      <c r="B17" t="str">
        <f>INDEX([3]Skills!C:C,MATCH(A17,[3]Skills!A:A))</f>
        <v>ルージュバック</v>
      </c>
      <c r="C17">
        <v>12060</v>
      </c>
      <c r="D17" t="str">
        <f>INDEX([3]Define!V:V,MATCH(C17,[3]Define!U:U))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 x14ac:dyDescent="0.2">
      <c r="A18">
        <v>11080</v>
      </c>
      <c r="B18" t="str">
        <f>INDEX([3]Skills!C:C,MATCH(A18,[3]Skills!A:A))</f>
        <v>パワーエール</v>
      </c>
      <c r="C18">
        <v>15011</v>
      </c>
      <c r="D18" t="str">
        <f>INDEX([3]Define!V:V,MATCH(C18,[3]Define!U:U))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 x14ac:dyDescent="0.2">
      <c r="A19">
        <v>11090</v>
      </c>
      <c r="B19" t="str">
        <f>INDEX([3]Skills!C:C,MATCH(A19,[3]Skills!A:A))</f>
        <v>スレイプニル</v>
      </c>
      <c r="C19">
        <v>15010</v>
      </c>
      <c r="D19" t="str">
        <f>INDEX([3]Define!V:V,MATCH(C19,[3]Define!U:U))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 x14ac:dyDescent="0.2">
      <c r="A20">
        <v>12010</v>
      </c>
      <c r="B20" t="str">
        <f>INDEX([3]Skills!C:C,MATCH(A20,[3]Skills!A:A))</f>
        <v>エクステンション</v>
      </c>
      <c r="C20">
        <v>0</v>
      </c>
      <c r="D20" t="str">
        <f>INDEX([3]Define!V:V,MATCH(C20,[3]Define!U:U))</f>
        <v>なし</v>
      </c>
      <c r="E20">
        <v>4</v>
      </c>
      <c r="F20">
        <v>0</v>
      </c>
      <c r="G20">
        <v>0</v>
      </c>
      <c r="H20">
        <v>0</v>
      </c>
    </row>
    <row r="21" spans="1:8" x14ac:dyDescent="0.2">
      <c r="A21">
        <v>12020</v>
      </c>
      <c r="B21" t="str">
        <f>INDEX([3]Skills!C:C,MATCH(A21,[3]Skills!A:A))</f>
        <v>ヘブンリーラック</v>
      </c>
      <c r="C21">
        <v>0</v>
      </c>
      <c r="D21" t="str">
        <f>INDEX([3]Define!V:V,MATCH(C21,[3]Define!U:U))</f>
        <v>なし</v>
      </c>
      <c r="E21">
        <v>4</v>
      </c>
      <c r="F21">
        <v>0</v>
      </c>
      <c r="G21">
        <v>0</v>
      </c>
      <c r="H21">
        <v>0</v>
      </c>
    </row>
    <row r="22" spans="1:8" x14ac:dyDescent="0.2">
      <c r="A22">
        <v>12030</v>
      </c>
      <c r="B22" t="str">
        <f>INDEX([3]Skills!C:C,MATCH(A22,[3]Skills!A:A))</f>
        <v>スウィフトカレント</v>
      </c>
      <c r="C22">
        <v>0</v>
      </c>
      <c r="D22" t="str">
        <f>INDEX([3]Define!V:V,MATCH(C22,[3]Define!U:U))</f>
        <v>なし</v>
      </c>
      <c r="E22">
        <v>4</v>
      </c>
      <c r="F22">
        <v>0</v>
      </c>
      <c r="G22">
        <v>0</v>
      </c>
      <c r="H22">
        <v>0</v>
      </c>
    </row>
    <row r="23" spans="1:8" x14ac:dyDescent="0.2">
      <c r="A23">
        <v>12040</v>
      </c>
      <c r="B23" t="str">
        <f>INDEX([3]Skills!C:C,MATCH(A23,[3]Skills!A:A))</f>
        <v>イヴェイドオール</v>
      </c>
      <c r="C23">
        <v>0</v>
      </c>
      <c r="D23" t="str">
        <f>INDEX([3]Define!V:V,MATCH(C23,[3]Define!U:U))</f>
        <v>なし</v>
      </c>
      <c r="E23">
        <v>4</v>
      </c>
      <c r="F23">
        <v>0</v>
      </c>
      <c r="G23">
        <v>0</v>
      </c>
      <c r="H23">
        <v>0</v>
      </c>
    </row>
    <row r="24" spans="1:8" x14ac:dyDescent="0.2">
      <c r="A24">
        <v>12050</v>
      </c>
      <c r="B24" t="str">
        <f>INDEX([3]Skills!C:C,MATCH(A24,[3]Skills!A:A))</f>
        <v>クイックムーブ</v>
      </c>
      <c r="C24">
        <v>0</v>
      </c>
      <c r="D24" t="str">
        <f>INDEX([3]Define!V:V,MATCH(C24,[3]Define!U:U))</f>
        <v>なし</v>
      </c>
      <c r="E24">
        <v>4</v>
      </c>
      <c r="F24">
        <v>0</v>
      </c>
      <c r="G24">
        <v>0</v>
      </c>
      <c r="H24">
        <v>0</v>
      </c>
    </row>
    <row r="25" spans="1:8" x14ac:dyDescent="0.2">
      <c r="A25">
        <v>12060</v>
      </c>
      <c r="B25" t="str">
        <f>INDEX([3]Skills!C:C,MATCH(A25,[3]Skills!A:A))</f>
        <v>チェイスマジック</v>
      </c>
      <c r="C25">
        <v>12071</v>
      </c>
      <c r="D25" t="str">
        <f>INDEX([3]Define!V:V,MATCH(C25,[3]Define!U:U))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 x14ac:dyDescent="0.2">
      <c r="A26">
        <v>12070</v>
      </c>
      <c r="B26" t="str">
        <f>INDEX([3]Skills!C:C,MATCH(A26,[3]Skills!A:A))</f>
        <v>ソーサリーコネクト</v>
      </c>
      <c r="C26">
        <v>15011</v>
      </c>
      <c r="D26" t="str">
        <f>INDEX([3]Define!V:V,MATCH(C26,[3]Define!U:U))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 x14ac:dyDescent="0.2">
      <c r="A27">
        <v>12080</v>
      </c>
      <c r="B27" t="str">
        <f>INDEX([3]Skills!C:C,MATCH(A27,[3]Skills!A:A))</f>
        <v>ウィンドライズ</v>
      </c>
      <c r="C27">
        <v>23010</v>
      </c>
      <c r="D27" t="str">
        <f>INDEX([3]Define!V:V,MATCH(C27,[3]Define!U:U))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 x14ac:dyDescent="0.2">
      <c r="A28">
        <v>12090</v>
      </c>
      <c r="B28" t="str">
        <f>INDEX([3]Skills!C:C,MATCH(A28,[3]Skills!A:A))</f>
        <v>アウトオブオーダー</v>
      </c>
      <c r="C28">
        <v>0</v>
      </c>
      <c r="D28" t="str">
        <f>INDEX([3]Define!V:V,MATCH(C28,[3]Define!U:U))</f>
        <v>なし</v>
      </c>
      <c r="E28">
        <v>4</v>
      </c>
      <c r="F28">
        <v>0</v>
      </c>
      <c r="G28">
        <v>0</v>
      </c>
      <c r="H28">
        <v>0</v>
      </c>
    </row>
    <row r="29" spans="1:8" x14ac:dyDescent="0.2">
      <c r="A29">
        <v>13010</v>
      </c>
      <c r="B29" t="str">
        <f>INDEX([3]Skills!C:C,MATCH(A29,[3]Skills!A:A))</f>
        <v>アーマーコード</v>
      </c>
      <c r="C29">
        <v>0</v>
      </c>
      <c r="D29" t="str">
        <f>INDEX([3]Define!V:V,MATCH(C29,[3]Define!U:U))</f>
        <v>なし</v>
      </c>
      <c r="E29">
        <v>4</v>
      </c>
      <c r="F29">
        <v>0</v>
      </c>
      <c r="G29">
        <v>0</v>
      </c>
      <c r="H29">
        <v>0</v>
      </c>
    </row>
    <row r="30" spans="1:8" x14ac:dyDescent="0.2">
      <c r="A30">
        <v>13020</v>
      </c>
      <c r="B30" t="str">
        <f>INDEX([3]Skills!C:C,MATCH(A30,[3]Skills!A:A))</f>
        <v>クイックバリア</v>
      </c>
      <c r="C30">
        <v>12060</v>
      </c>
      <c r="D30" t="str">
        <f>INDEX([3]Define!V:V,MATCH(C30,[3]Define!U:U))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 x14ac:dyDescent="0.2">
      <c r="A31">
        <v>13030</v>
      </c>
      <c r="B31" t="str">
        <f>INDEX([3]Skills!C:C,MATCH(A31,[3]Skills!A:A))</f>
        <v>クイックキュア</v>
      </c>
      <c r="C31">
        <v>12042</v>
      </c>
      <c r="D31" t="str">
        <f>INDEX([3]Define!V:V,MATCH(C31,[3]Define!U:U))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spans="1:8" ht="12" customHeight="1" x14ac:dyDescent="0.2">
      <c r="A32">
        <v>13040</v>
      </c>
      <c r="B32" t="str">
        <f>INDEX([3]Skills!C:C,MATCH(A32,[3]Skills!A:A))</f>
        <v>セルフシールド</v>
      </c>
      <c r="C32">
        <v>12060</v>
      </c>
      <c r="D32" t="str">
        <f>INDEX([3]Define!V:V,MATCH(C32,[3]Define!U:U))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 x14ac:dyDescent="0.2">
      <c r="A33">
        <v>13050</v>
      </c>
      <c r="B33" t="str">
        <f>INDEX([3]Skills!C:C,MATCH(A33,[3]Skills!A:A))</f>
        <v>パッシブジャミング</v>
      </c>
      <c r="C33">
        <v>15022</v>
      </c>
      <c r="D33" t="str">
        <f>INDEX([3]Define!V:V,MATCH(C33,[3]Define!U:U))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 x14ac:dyDescent="0.2">
      <c r="A34">
        <v>13060</v>
      </c>
      <c r="B34" t="str">
        <f>INDEX([3]Skills!C:C,MATCH(A34,[3]Skills!A:A))</f>
        <v>サプライカバー</v>
      </c>
      <c r="C34">
        <v>12060</v>
      </c>
      <c r="D34" t="str">
        <f>INDEX([3]Define!V:V,MATCH(C34,[3]Define!U:U))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 x14ac:dyDescent="0.2">
      <c r="A35">
        <v>13070</v>
      </c>
      <c r="B35" t="str">
        <f>INDEX([3]Skills!C:C,MATCH(A35,[3]Skills!A:A))</f>
        <v>アシッドラッシュ</v>
      </c>
      <c r="C35">
        <v>10010</v>
      </c>
      <c r="D35" t="str">
        <f>INDEX([3]Define!V:V,MATCH(C35,[3]Define!U:U))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 x14ac:dyDescent="0.2">
      <c r="A36">
        <v>13080</v>
      </c>
      <c r="B36" t="str">
        <f>INDEX([3]Skills!C:C,MATCH(A36,[3]Skills!A:A))</f>
        <v>ライフスティール</v>
      </c>
      <c r="C36">
        <v>15010</v>
      </c>
      <c r="D36" t="str">
        <f>INDEX([3]Define!V:V,MATCH(C36,[3]Define!U:U))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 x14ac:dyDescent="0.2">
      <c r="A37">
        <v>13090</v>
      </c>
      <c r="B37" t="str">
        <f>INDEX([3]Skills!C:C,MATCH(A37,[3]Skills!A:A))</f>
        <v>アイスセイバー</v>
      </c>
      <c r="C37">
        <v>10110</v>
      </c>
      <c r="D37" t="str">
        <f>INDEX([3]Define!V:V,MATCH(C37,[3]Define!U:U))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 x14ac:dyDescent="0.2">
      <c r="A38">
        <v>14010</v>
      </c>
      <c r="B38" t="str">
        <f>INDEX([3]Skills!C:C,MATCH(A38,[3]Skills!A:A))</f>
        <v>ディバインシールド</v>
      </c>
      <c r="C38">
        <v>0</v>
      </c>
      <c r="D38" t="str">
        <f>INDEX([3]Define!V:V,MATCH(C38,[3]Define!U:U))</f>
        <v>なし</v>
      </c>
      <c r="E38">
        <v>4</v>
      </c>
      <c r="F38">
        <v>0</v>
      </c>
      <c r="G38">
        <v>0</v>
      </c>
      <c r="H38">
        <v>0</v>
      </c>
    </row>
    <row r="39" spans="1:8" x14ac:dyDescent="0.2">
      <c r="A39">
        <v>14020</v>
      </c>
      <c r="B39" t="str">
        <f>INDEX([3]Skills!C:C,MATCH(A39,[3]Skills!A:A))</f>
        <v>ライフディバイド</v>
      </c>
      <c r="C39">
        <v>12040</v>
      </c>
      <c r="D39" t="str">
        <f>INDEX([3]Define!V:V,MATCH(C39,[3]Define!U:U))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 x14ac:dyDescent="0.2">
      <c r="A40">
        <v>14020</v>
      </c>
      <c r="B40" t="str">
        <f>INDEX([3]Skills!C:C,MATCH(A40,[3]Skills!A:A))</f>
        <v>ライフディバイド</v>
      </c>
      <c r="C40">
        <v>1020</v>
      </c>
      <c r="D40" t="str">
        <f>INDEX([3]Define!V:V,MATCH(C40,[3]Define!U:U))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 x14ac:dyDescent="0.2">
      <c r="A41">
        <v>14020</v>
      </c>
      <c r="B41" t="str">
        <f>INDEX([3]Skills!C:C,MATCH(A41,[3]Skills!A:A))</f>
        <v>ライフディバイド</v>
      </c>
      <c r="C41">
        <v>9120</v>
      </c>
      <c r="D41" t="str">
        <f>INDEX([3]Define!V:V,MATCH(C41,[3]Define!U:U))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 x14ac:dyDescent="0.2">
      <c r="A42">
        <v>14030</v>
      </c>
      <c r="B42" t="str">
        <f>INDEX([3]Skills!C:C,MATCH(A42,[3]Skills!A:A))</f>
        <v>エイミングスコープ</v>
      </c>
      <c r="C42">
        <v>0</v>
      </c>
      <c r="D42" t="str">
        <f>INDEX([3]Define!V:V,MATCH(C42,[3]Define!U:U))</f>
        <v>なし</v>
      </c>
      <c r="E42">
        <v>4</v>
      </c>
      <c r="F42">
        <v>0</v>
      </c>
      <c r="G42">
        <v>0</v>
      </c>
      <c r="H42">
        <v>0</v>
      </c>
    </row>
    <row r="43" spans="1:8" x14ac:dyDescent="0.2">
      <c r="A43">
        <v>14040</v>
      </c>
      <c r="B43" t="str">
        <f>INDEX([3]Skills!C:C,MATCH(A43,[3]Skills!A:A))</f>
        <v>リジェネレーション</v>
      </c>
      <c r="C43">
        <v>0</v>
      </c>
      <c r="D43" t="str">
        <f>INDEX([3]Define!V:V,MATCH(C43,[3]Define!U:U))</f>
        <v>なし</v>
      </c>
      <c r="E43">
        <v>4</v>
      </c>
      <c r="F43">
        <v>0</v>
      </c>
      <c r="G43">
        <v>0</v>
      </c>
      <c r="H43">
        <v>0</v>
      </c>
    </row>
    <row r="44" spans="1:8" x14ac:dyDescent="0.2">
      <c r="A44">
        <v>14050</v>
      </c>
      <c r="B44" t="str">
        <f>INDEX([3]Skills!C:C,MATCH(A44,[3]Skills!A:A))</f>
        <v>ホープフルアイリス</v>
      </c>
      <c r="C44">
        <v>0</v>
      </c>
      <c r="D44" t="str">
        <f>INDEX([3]Define!V:V,MATCH(C44,[3]Define!U:U))</f>
        <v>なし</v>
      </c>
      <c r="E44">
        <v>4</v>
      </c>
      <c r="F44">
        <v>0</v>
      </c>
      <c r="G44">
        <v>0</v>
      </c>
      <c r="H44">
        <v>0</v>
      </c>
    </row>
    <row r="45" spans="1:8" x14ac:dyDescent="0.2">
      <c r="A45">
        <v>14060</v>
      </c>
      <c r="B45" t="str">
        <f>INDEX([3]Skills!C:C,MATCH(A45,[3]Skills!A:A))</f>
        <v>パッシブサプライ</v>
      </c>
      <c r="C45">
        <v>12066</v>
      </c>
      <c r="D45" t="str">
        <f>INDEX([3]Define!V:V,MATCH(C45,[3]Define!U:U))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 x14ac:dyDescent="0.2">
      <c r="A46">
        <v>14060</v>
      </c>
      <c r="B46" t="str">
        <f>INDEX([3]Skills!C:C,MATCH(A46,[3]Skills!A:A))</f>
        <v>パッシブサプライ</v>
      </c>
      <c r="C46">
        <v>11020</v>
      </c>
      <c r="D46" t="str">
        <f>INDEX([3]Define!V:V,MATCH(C46,[3]Define!U:U))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 x14ac:dyDescent="0.2">
      <c r="A47">
        <v>14070</v>
      </c>
      <c r="B47" t="str">
        <f>INDEX([3]Skills!C:C,MATCH(A47,[3]Skills!A:A))</f>
        <v>ホーミングクルセイド</v>
      </c>
      <c r="C47">
        <v>0</v>
      </c>
      <c r="D47" t="str">
        <f>INDEX([3]Define!V:V,MATCH(C47,[3]Define!U:U))</f>
        <v>なし</v>
      </c>
      <c r="E47">
        <v>4</v>
      </c>
      <c r="F47">
        <v>0</v>
      </c>
      <c r="G47">
        <v>0</v>
      </c>
      <c r="H47">
        <v>0</v>
      </c>
    </row>
    <row r="48" spans="1:8" x14ac:dyDescent="0.2">
      <c r="A48">
        <v>14080</v>
      </c>
      <c r="B48" t="str">
        <f>INDEX([3]Skills!C:C,MATCH(A48,[3]Skills!A:A))</f>
        <v>クイックヒール</v>
      </c>
      <c r="C48">
        <v>12040</v>
      </c>
      <c r="D48" t="str">
        <f>INDEX([3]Define!V:V,MATCH(C48,[3]Define!U:U))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 x14ac:dyDescent="0.2">
      <c r="A49">
        <v>14080</v>
      </c>
      <c r="B49" t="str">
        <f>INDEX([3]Skills!C:C,MATCH(A49,[3]Skills!A:A))</f>
        <v>クイックヒール</v>
      </c>
      <c r="C49">
        <v>18010</v>
      </c>
      <c r="D49" t="str">
        <f>INDEX([3]Define!V:V,MATCH(C49,[3]Define!U:U))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 x14ac:dyDescent="0.2">
      <c r="A50">
        <v>14090</v>
      </c>
      <c r="B50" t="str">
        <f>INDEX([3]Skills!C:C,MATCH(A50,[3]Skills!A:A))</f>
        <v>リレイズ</v>
      </c>
      <c r="C50">
        <v>20050</v>
      </c>
      <c r="D50" t="str">
        <f>INDEX([3]Define!V:V,MATCH(C50,[3]Define!U:U))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 x14ac:dyDescent="0.2">
      <c r="A51">
        <v>15010</v>
      </c>
      <c r="B51" t="str">
        <f>INDEX([3]Skills!C:C,MATCH(A51,[3]Skills!A:A))</f>
        <v>イーグルアイ</v>
      </c>
      <c r="C51">
        <v>0</v>
      </c>
      <c r="D51" t="str">
        <f>INDEX([3]Define!V:V,MATCH(C51,[3]Define!U:U))</f>
        <v>なし</v>
      </c>
      <c r="E51">
        <v>4</v>
      </c>
      <c r="F51">
        <v>0</v>
      </c>
      <c r="G51">
        <v>0</v>
      </c>
      <c r="H51">
        <v>0</v>
      </c>
    </row>
    <row r="52" spans="1:8" x14ac:dyDescent="0.2">
      <c r="A52">
        <v>15020</v>
      </c>
      <c r="B52" t="str">
        <f>INDEX([3]Skills!C:C,MATCH(A52,[3]Skills!A:A))</f>
        <v>ネヴァーエンド</v>
      </c>
      <c r="C52">
        <v>1010</v>
      </c>
      <c r="D52" t="str">
        <f>INDEX([3]Define!V:V,MATCH(C52,[3]Define!U:U))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 x14ac:dyDescent="0.2">
      <c r="A53">
        <v>15030</v>
      </c>
      <c r="B53" t="str">
        <f>INDEX([3]Skills!C:C,MATCH(A53,[3]Skills!A:A))</f>
        <v>グレイブアクト</v>
      </c>
      <c r="C53">
        <v>12041</v>
      </c>
      <c r="D53" t="str">
        <f>INDEX([3]Define!V:V,MATCH(C53,[3]Define!U:U))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 x14ac:dyDescent="0.2">
      <c r="A54">
        <v>15040</v>
      </c>
      <c r="B54" t="str">
        <f>INDEX([3]Skills!C:C,MATCH(A54,[3]Skills!A:A))</f>
        <v>スカルグラッジ</v>
      </c>
      <c r="C54">
        <v>1020</v>
      </c>
      <c r="D54" t="str">
        <f>INDEX([3]Define!V:V,MATCH(C54,[3]Define!U:U))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 x14ac:dyDescent="0.2">
      <c r="A55">
        <v>15050</v>
      </c>
      <c r="B55" t="str">
        <f>INDEX([3]Skills!C:C,MATCH(A55,[3]Skills!A:A))</f>
        <v>ネガティブドレイン</v>
      </c>
      <c r="C55">
        <v>1010</v>
      </c>
      <c r="D55" t="str">
        <f>INDEX([3]Define!V:V,MATCH(C55,[3]Define!U:U))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 x14ac:dyDescent="0.2">
      <c r="A56">
        <v>15060</v>
      </c>
      <c r="B56" t="str">
        <f>INDEX([3]Skills!C:C,MATCH(A56,[3]Skills!A:A))</f>
        <v>アンデッドペイン</v>
      </c>
      <c r="C56">
        <v>0</v>
      </c>
      <c r="D56" t="str">
        <f>INDEX([3]Define!V:V,MATCH(C56,[3]Define!U:U))</f>
        <v>なし</v>
      </c>
      <c r="E56">
        <v>4</v>
      </c>
      <c r="F56">
        <v>0</v>
      </c>
      <c r="G56">
        <v>0</v>
      </c>
      <c r="H56">
        <v>0</v>
      </c>
    </row>
    <row r="57" spans="1:8" x14ac:dyDescent="0.2">
      <c r="A57">
        <v>15070</v>
      </c>
      <c r="B57" t="str">
        <f>INDEX([3]Skills!C:C,MATCH(A57,[3]Skills!A:A))</f>
        <v>ジャックポッド</v>
      </c>
      <c r="C57">
        <v>15011</v>
      </c>
      <c r="D57" t="str">
        <f>INDEX([3]Define!V:V,MATCH(C57,[3]Define!U:U))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 x14ac:dyDescent="0.2">
      <c r="A58">
        <v>15080</v>
      </c>
      <c r="B58" t="str">
        <f>INDEX([3]Skills!C:C,MATCH(A58,[3]Skills!A:A))</f>
        <v>ヒールハント</v>
      </c>
      <c r="C58">
        <v>12082</v>
      </c>
      <c r="D58" t="str">
        <f>INDEX([3]Define!V:V,MATCH(C58,[3]Define!U:U))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 x14ac:dyDescent="0.2">
      <c r="A59">
        <v>15090</v>
      </c>
      <c r="B59" t="str">
        <f>INDEX([3]Skills!C:C,MATCH(A59,[3]Skills!A:A))</f>
        <v>クイックカース</v>
      </c>
      <c r="C59">
        <v>12060</v>
      </c>
      <c r="D59" t="str">
        <f>INDEX([3]Define!V:V,MATCH(C59,[3]Define!U:U))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 x14ac:dyDescent="0.2">
      <c r="A60">
        <v>100110</v>
      </c>
      <c r="B60" t="str">
        <f>INDEX([3]Skills!C:C,MATCH(A60,[3]Skills!A:A))</f>
        <v>ソーイングアームド</v>
      </c>
      <c r="C60">
        <v>7010</v>
      </c>
      <c r="D60" t="str">
        <f>INDEX([3]Define!V:V,MATCH(C60,[3]Define!U:U))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 x14ac:dyDescent="0.2">
      <c r="A61">
        <v>100110</v>
      </c>
      <c r="B61" t="str">
        <f>INDEX([3]Skills!C:C,MATCH(A61,[3]Skills!A:A))</f>
        <v>ソーイングアームド</v>
      </c>
      <c r="C61">
        <v>17010</v>
      </c>
      <c r="D61" t="str">
        <f>INDEX([3]Define!V:V,MATCH(C61,[3]Define!U:U))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 x14ac:dyDescent="0.2">
      <c r="A62">
        <v>100210</v>
      </c>
      <c r="B62" t="str">
        <f>INDEX([3]Skills!C:C,MATCH(A62,[3]Skills!A:A))</f>
        <v>アブソリュートパリィ</v>
      </c>
      <c r="C62">
        <v>7010</v>
      </c>
      <c r="D62" t="str">
        <f>INDEX([3]Define!V:V,MATCH(C62,[3]Define!U:U))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 x14ac:dyDescent="0.2">
      <c r="A63">
        <v>100210</v>
      </c>
      <c r="B63" t="str">
        <f>INDEX([3]Skills!C:C,MATCH(A63,[3]Skills!A:A))</f>
        <v>アブソリュートパリィ</v>
      </c>
      <c r="C63">
        <v>17040</v>
      </c>
      <c r="D63" t="str">
        <f>INDEX([3]Define!V:V,MATCH(C63,[3]Define!U:U))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 x14ac:dyDescent="0.2">
      <c r="A64">
        <v>100310</v>
      </c>
      <c r="B64" t="str">
        <f>INDEX([3]Skills!C:C,MATCH(A64,[3]Skills!A:A))</f>
        <v>セイクリッドバリア</v>
      </c>
      <c r="C64">
        <v>7010</v>
      </c>
      <c r="D64" t="str">
        <f>INDEX([3]Define!V:V,MATCH(C64,[3]Define!U:U))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 x14ac:dyDescent="0.2">
      <c r="A65">
        <v>100310</v>
      </c>
      <c r="B65" t="str">
        <f>INDEX([3]Skills!C:C,MATCH(A65,[3]Skills!A:A))</f>
        <v>セイクリッドバリア</v>
      </c>
      <c r="C65">
        <v>17020</v>
      </c>
      <c r="D65" t="str">
        <f>INDEX([3]Define!V:V,MATCH(C65,[3]Define!U:U))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 x14ac:dyDescent="0.2">
      <c r="A66">
        <v>100410</v>
      </c>
      <c r="B66" t="str">
        <f>INDEX([3]Skills!C:C,MATCH(A66,[3]Skills!A:A))</f>
        <v>アバンデンス</v>
      </c>
      <c r="C66">
        <v>7010</v>
      </c>
      <c r="D66" t="str">
        <f>INDEX([3]Define!V:V,MATCH(C66,[3]Define!U:U))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 x14ac:dyDescent="0.2">
      <c r="A67">
        <v>100410</v>
      </c>
      <c r="B67" t="str">
        <f>INDEX([3]Skills!C:C,MATCH(A67,[3]Skills!A:A))</f>
        <v>アバンデンス</v>
      </c>
      <c r="C67">
        <v>20040</v>
      </c>
      <c r="D67" t="str">
        <f>INDEX([3]Define!V:V,MATCH(C67,[3]Define!U:U))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 x14ac:dyDescent="0.2">
      <c r="A68">
        <v>100510</v>
      </c>
      <c r="B68" t="str">
        <f>INDEX([3]Skills!C:C,MATCH(A68,[3]Skills!A:A))</f>
        <v>カースドブレイク</v>
      </c>
      <c r="C68">
        <v>7010</v>
      </c>
      <c r="D68" t="str">
        <f>INDEX([3]Define!V:V,MATCH(C68,[3]Define!U:U))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 x14ac:dyDescent="0.2">
      <c r="A69">
        <v>100510</v>
      </c>
      <c r="B69" t="str">
        <f>INDEX([3]Skills!C:C,MATCH(A69,[3]Skills!A:A))</f>
        <v>カースドブレイク</v>
      </c>
      <c r="C69">
        <v>20160</v>
      </c>
      <c r="D69" t="str">
        <f>INDEX([3]Define!V:V,MATCH(C69,[3]Define!U:U))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 x14ac:dyDescent="0.2">
      <c r="A70">
        <v>100610</v>
      </c>
      <c r="B70" t="str">
        <f>INDEX([3]Skills!C:C,MATCH(A70,[3]Skills!A:A))</f>
        <v>サンフレイム</v>
      </c>
      <c r="C70">
        <v>7010</v>
      </c>
      <c r="D70" t="str">
        <f>INDEX([3]Define!V:V,MATCH(C70,[3]Define!U:U))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 x14ac:dyDescent="0.2">
      <c r="A71">
        <v>100610</v>
      </c>
      <c r="B71" t="str">
        <f>INDEX([3]Skills!C:C,MATCH(A71,[3]Skills!A:A))</f>
        <v>サンフレイム</v>
      </c>
      <c r="C71">
        <v>7070</v>
      </c>
      <c r="D71" t="str">
        <f>INDEX([3]Define!V:V,MATCH(C71,[3]Define!U:U))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 x14ac:dyDescent="0.2">
      <c r="A72">
        <v>100710</v>
      </c>
      <c r="B72" t="str">
        <f>INDEX([3]Skills!C:C,MATCH(A72,[3]Skills!A:A))</f>
        <v>ライズザフラッグ</v>
      </c>
      <c r="C72">
        <v>7010</v>
      </c>
      <c r="D72" t="str">
        <f>INDEX([3]Define!V:V,MATCH(C72,[3]Define!U:U))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 ht="12" customHeight="1" x14ac:dyDescent="0.2">
      <c r="A73">
        <v>100710</v>
      </c>
      <c r="B73" t="str">
        <f>INDEX([3]Skills!C:C,MATCH(A73,[3]Skills!A:A))</f>
        <v>ライズザフラッグ</v>
      </c>
      <c r="C73">
        <v>20140</v>
      </c>
      <c r="D73" t="str">
        <f>INDEX([3]Define!V:V,MATCH(C73,[3]Define!U:U))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 x14ac:dyDescent="0.2">
      <c r="A74">
        <v>100810</v>
      </c>
      <c r="B74" t="str">
        <f>INDEX([3]Skills!C:C,MATCH(A74,[3]Skills!A:A))</f>
        <v>テンパランス</v>
      </c>
      <c r="C74">
        <v>7010</v>
      </c>
      <c r="D74" t="str">
        <f>INDEX([3]Define!V:V,MATCH(C74,[3]Define!U:U))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 ht="12" customHeight="1" x14ac:dyDescent="0.2">
      <c r="A75">
        <v>100810</v>
      </c>
      <c r="B75" t="str">
        <f>INDEX([3]Skills!C:C,MATCH(A75,[3]Skills!A:A))</f>
        <v>テンパランス</v>
      </c>
      <c r="C75">
        <v>9020</v>
      </c>
      <c r="D75" t="str">
        <f>INDEX([3]Define!V:V,MATCH(C75,[3]Define!U:U))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 x14ac:dyDescent="0.2">
      <c r="A76">
        <v>100910</v>
      </c>
      <c r="B76" t="str">
        <f>INDEX([3]Skills!C:C,MATCH(A76,[3]Skills!A:A))</f>
        <v>バーニングカウンター</v>
      </c>
      <c r="C76">
        <v>7010</v>
      </c>
      <c r="D76" t="str">
        <f>INDEX([3]Define!V:V,MATCH(C76,[3]Define!U:U))</f>
        <v>神化発動前</v>
      </c>
      <c r="E76">
        <v>11</v>
      </c>
      <c r="F76">
        <v>0</v>
      </c>
      <c r="G76">
        <v>0</v>
      </c>
      <c r="H76">
        <v>1</v>
      </c>
    </row>
    <row r="77" spans="1:8" ht="12" customHeight="1" x14ac:dyDescent="0.2">
      <c r="A77">
        <v>100910</v>
      </c>
      <c r="B77" t="str">
        <f>INDEX([3]Skills!C:C,MATCH(A77,[3]Skills!A:A))</f>
        <v>バーニングカウンター</v>
      </c>
      <c r="C77">
        <v>12041</v>
      </c>
      <c r="D77" t="str">
        <f>INDEX([3]Define!V:V,MATCH(C77,[3]Define!U:U))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 x14ac:dyDescent="0.2">
      <c r="A78">
        <v>101010</v>
      </c>
      <c r="B78" t="str">
        <f>INDEX([3]Skills!C:C,MATCH(A78,[3]Skills!A:A))</f>
        <v>エウロス</v>
      </c>
      <c r="C78">
        <v>7010</v>
      </c>
      <c r="D78" t="str">
        <f>INDEX([3]Define!V:V,MATCH(C78,[3]Define!U:U))</f>
        <v>神化発動前</v>
      </c>
      <c r="E78">
        <v>2</v>
      </c>
      <c r="F78">
        <v>0</v>
      </c>
      <c r="G78">
        <v>0</v>
      </c>
      <c r="H78">
        <v>1</v>
      </c>
    </row>
    <row r="79" spans="1:8" ht="12" customHeight="1" x14ac:dyDescent="0.2">
      <c r="A79">
        <v>101010</v>
      </c>
      <c r="B79" t="str">
        <f>INDEX([3]Skills!C:C,MATCH(A79,[3]Skills!A:A))</f>
        <v>エウロス</v>
      </c>
      <c r="C79">
        <v>12063</v>
      </c>
      <c r="D79" t="str">
        <f>INDEX([3]Define!V:V,MATCH(C79,[3]Define!U:U))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 x14ac:dyDescent="0.2">
      <c r="A80">
        <v>101110</v>
      </c>
      <c r="B80" t="str">
        <f>INDEX([3]Skills!C:C,MATCH(A80,[3]Skills!A:A))</f>
        <v>アバランシュ</v>
      </c>
      <c r="C80">
        <v>7010</v>
      </c>
      <c r="D80" t="str">
        <f>INDEX([3]Define!V:V,MATCH(C80,[3]Define!U:U))</f>
        <v>神化発動前</v>
      </c>
      <c r="E80">
        <v>2</v>
      </c>
      <c r="F80">
        <v>0</v>
      </c>
      <c r="G80">
        <v>0</v>
      </c>
      <c r="H80">
        <v>1</v>
      </c>
    </row>
    <row r="81" spans="1:8" ht="12" customHeight="1" x14ac:dyDescent="0.2">
      <c r="A81">
        <v>101110</v>
      </c>
      <c r="B81" t="str">
        <f>INDEX([3]Skills!C:C,MATCH(A81,[3]Skills!A:A))</f>
        <v>アバランシュ</v>
      </c>
      <c r="C81">
        <v>20071</v>
      </c>
      <c r="D81" t="str">
        <f>INDEX([3]Define!V:V,MATCH(C81,[3]Define!U:U))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 x14ac:dyDescent="0.2">
      <c r="A82">
        <v>200210</v>
      </c>
      <c r="B82" t="str">
        <f>INDEX([3]Skills!C:C,MATCH(A82,[3]Skills!A:A))</f>
        <v>マイトレインフォース</v>
      </c>
      <c r="C82">
        <v>7010</v>
      </c>
      <c r="D82" t="str">
        <f>INDEX([3]Define!V:V,MATCH(C82,[3]Define!U:U))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 x14ac:dyDescent="0.2">
      <c r="A83">
        <v>200210</v>
      </c>
      <c r="B83" t="str">
        <f>INDEX([3]Skills!C:C,MATCH(A83,[3]Skills!A:A))</f>
        <v>マイトレインフォース</v>
      </c>
      <c r="C83">
        <v>20040</v>
      </c>
      <c r="D83" t="str">
        <f>INDEX([3]Define!V:V,MATCH(C83,[3]Define!U:U))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 x14ac:dyDescent="0.2">
      <c r="A84">
        <v>200230</v>
      </c>
      <c r="B84" t="str">
        <f>INDEX([3]Skills!C:C,MATCH(A84,[3]Skills!A:A))</f>
        <v>悪魔(ベリト)</v>
      </c>
      <c r="C84">
        <v>1010</v>
      </c>
      <c r="D84" t="str">
        <f>INDEX([3]Define!V:V,MATCH(C84,[3]Define!U:U))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 x14ac:dyDescent="0.2">
      <c r="A85">
        <v>200310</v>
      </c>
      <c r="B85" t="str">
        <f>INDEX([3]Skills!C:C,MATCH(A85,[3]Skills!A:A))</f>
        <v>プルガシオン</v>
      </c>
      <c r="C85">
        <v>7010</v>
      </c>
      <c r="D85" t="str">
        <f>INDEX([3]Define!V:V,MATCH(C85,[3]Define!U:U))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 x14ac:dyDescent="0.2">
      <c r="A86">
        <v>200310</v>
      </c>
      <c r="B86" t="str">
        <f>INDEX([3]Skills!C:C,MATCH(A86,[3]Skills!A:A))</f>
        <v>プルガシオン</v>
      </c>
      <c r="C86">
        <v>1010</v>
      </c>
      <c r="D86" t="str">
        <f>INDEX([3]Define!V:V,MATCH(C86,[3]Define!U:U))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 x14ac:dyDescent="0.2">
      <c r="A87">
        <v>200330</v>
      </c>
      <c r="B87" t="str">
        <f>INDEX([3]Skills!C:C,MATCH(A87,[3]Skills!A:A))</f>
        <v>悪魔(パイモン)</v>
      </c>
      <c r="C87">
        <v>0</v>
      </c>
      <c r="D87" t="str">
        <f>INDEX([3]Define!V:V,MATCH(C87,[3]Define!U:U))</f>
        <v>なし</v>
      </c>
      <c r="E87">
        <v>4</v>
      </c>
      <c r="F87">
        <v>0</v>
      </c>
      <c r="G87">
        <v>0</v>
      </c>
      <c r="H87">
        <v>0</v>
      </c>
    </row>
    <row r="88" spans="1:8" x14ac:dyDescent="0.2">
      <c r="A88">
        <v>200410</v>
      </c>
      <c r="B88" t="str">
        <f>INDEX([3]Skills!C:C,MATCH(A88,[3]Skills!A:A))</f>
        <v>コウソクテンショウ</v>
      </c>
      <c r="C88">
        <v>7010</v>
      </c>
      <c r="D88" t="str">
        <f>INDEX([3]Define!V:V,MATCH(C88,[3]Define!U:U))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 x14ac:dyDescent="0.2">
      <c r="A89">
        <v>200410</v>
      </c>
      <c r="B89" t="str">
        <f>INDEX([3]Skills!C:C,MATCH(A89,[3]Skills!A:A))</f>
        <v>コウソクテンショウ</v>
      </c>
      <c r="C89">
        <v>1010</v>
      </c>
      <c r="D89" t="str">
        <f>INDEX([3]Define!V:V,MATCH(C89,[3]Define!U:U))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 x14ac:dyDescent="0.2">
      <c r="A90">
        <v>200430</v>
      </c>
      <c r="B90" t="str">
        <f>INDEX([3]Skills!C:C,MATCH(A90,[3]Skills!A:A))</f>
        <v>悪魔(アンドラス)</v>
      </c>
      <c r="C90">
        <v>0</v>
      </c>
      <c r="D90" t="str">
        <f>INDEX([3]Define!V:V,MATCH(C90,[3]Define!U:U))</f>
        <v>なし</v>
      </c>
      <c r="E90">
        <v>4</v>
      </c>
      <c r="F90">
        <v>0</v>
      </c>
      <c r="G90">
        <v>0</v>
      </c>
      <c r="H90">
        <v>0</v>
      </c>
    </row>
    <row r="91" spans="1:8" x14ac:dyDescent="0.2">
      <c r="A91">
        <v>200510</v>
      </c>
      <c r="B91" t="str">
        <f>INDEX([3]Skills!C:C,MATCH(A91,[3]Skills!A:A))</f>
        <v>カウントダウン</v>
      </c>
      <c r="C91">
        <v>7010</v>
      </c>
      <c r="D91" t="str">
        <f>INDEX([3]Define!V:V,MATCH(C91,[3]Define!U:U))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 x14ac:dyDescent="0.2">
      <c r="A92">
        <v>200510</v>
      </c>
      <c r="B92" t="str">
        <f>INDEX([3]Skills!C:C,MATCH(A92,[3]Skills!A:A))</f>
        <v>カウントダウン</v>
      </c>
      <c r="C92">
        <v>9040</v>
      </c>
      <c r="D92" t="str">
        <f>INDEX([3]Define!V:V,MATCH(C92,[3]Define!U:U))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 x14ac:dyDescent="0.2">
      <c r="A93">
        <v>200530</v>
      </c>
      <c r="B93" t="str">
        <f>INDEX([3]Skills!C:C,MATCH(A93,[3]Skills!A:A))</f>
        <v>悪魔(ビフロンス)</v>
      </c>
      <c r="C93">
        <v>1010</v>
      </c>
      <c r="D93" t="str">
        <f>INDEX([3]Define!V:V,MATCH(C93,[3]Define!U:U))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 x14ac:dyDescent="0.2">
      <c r="A94">
        <v>201010</v>
      </c>
      <c r="B94" t="str">
        <f>INDEX([3]Skills!C:C,MATCH(A94,[3]Skills!A:A))</f>
        <v>カオスペイン</v>
      </c>
      <c r="C94">
        <v>7010</v>
      </c>
      <c r="D94" t="str">
        <f>INDEX([3]Define!V:V,MATCH(C94,[3]Define!U:U))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 x14ac:dyDescent="0.2">
      <c r="A95">
        <v>201010</v>
      </c>
      <c r="B95" t="str">
        <f>INDEX([3]Skills!C:C,MATCH(A95,[3]Skills!A:A))</f>
        <v>カオスペイン</v>
      </c>
      <c r="C95">
        <v>1010</v>
      </c>
      <c r="D95" t="str">
        <f>INDEX([3]Define!V:V,MATCH(C95,[3]Define!U:U))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 x14ac:dyDescent="0.2">
      <c r="A96">
        <v>201030</v>
      </c>
      <c r="B96" t="str">
        <f>INDEX([3]Skills!C:C,MATCH(A96,[3]Skills!A:A))</f>
        <v>アンリマユ</v>
      </c>
      <c r="C96">
        <v>0</v>
      </c>
      <c r="D96" t="str">
        <f>INDEX([3]Define!V:V,MATCH(C96,[3]Define!U:U))</f>
        <v>なし</v>
      </c>
      <c r="E96">
        <v>4</v>
      </c>
      <c r="F96">
        <v>0</v>
      </c>
      <c r="G96">
        <v>0</v>
      </c>
      <c r="H96">
        <v>0</v>
      </c>
    </row>
    <row r="97" spans="1:8" x14ac:dyDescent="0.2">
      <c r="A97">
        <v>300010</v>
      </c>
      <c r="B97" t="str">
        <f>INDEX([3]Skills!C:C,MATCH(A97,[3]Skills!A:A))</f>
        <v>ライフブースト</v>
      </c>
      <c r="C97">
        <v>0</v>
      </c>
      <c r="D97" t="str">
        <f>INDEX([3]Define!V:V,MATCH(C97,[3]Define!U:U))</f>
        <v>なし</v>
      </c>
      <c r="E97">
        <v>4</v>
      </c>
      <c r="F97">
        <v>0</v>
      </c>
      <c r="G97">
        <v>0</v>
      </c>
      <c r="H97">
        <v>0</v>
      </c>
    </row>
    <row r="98" spans="1:8" x14ac:dyDescent="0.2">
      <c r="A98">
        <v>300020</v>
      </c>
      <c r="B98" t="str">
        <f>INDEX([3]Skills!C:C,MATCH(A98,[3]Skills!A:A))</f>
        <v>スピリットチャージ</v>
      </c>
      <c r="C98">
        <v>0</v>
      </c>
      <c r="D98" t="str">
        <f>INDEX([3]Define!V:V,MATCH(C98,[3]Define!U:U))</f>
        <v>なし</v>
      </c>
      <c r="E98">
        <v>4</v>
      </c>
      <c r="F98">
        <v>0</v>
      </c>
      <c r="G98">
        <v>0</v>
      </c>
      <c r="H98">
        <v>0</v>
      </c>
    </row>
    <row r="99" spans="1:8" x14ac:dyDescent="0.2">
      <c r="A99">
        <v>300030</v>
      </c>
      <c r="B99" t="str">
        <f>INDEX([3]Skills!C:C,MATCH(A99,[3]Skills!A:A))</f>
        <v>フォースライズ</v>
      </c>
      <c r="C99">
        <v>0</v>
      </c>
      <c r="D99" t="str">
        <f>INDEX([3]Define!V:V,MATCH(C99,[3]Define!U:U))</f>
        <v>なし</v>
      </c>
      <c r="E99">
        <v>4</v>
      </c>
      <c r="F99">
        <v>0</v>
      </c>
      <c r="G99">
        <v>0</v>
      </c>
      <c r="H99">
        <v>0</v>
      </c>
    </row>
    <row r="100" spans="1:8" x14ac:dyDescent="0.2">
      <c r="A100">
        <v>300040</v>
      </c>
      <c r="B100" t="str">
        <f>INDEX([3]Skills!C:C,MATCH(A100,[3]Skills!A:A))</f>
        <v>ディフェンスオーラ</v>
      </c>
      <c r="C100">
        <v>0</v>
      </c>
      <c r="D100" t="str">
        <f>INDEX([3]Define!V:V,MATCH(C100,[3]Define!U:U))</f>
        <v>なし</v>
      </c>
      <c r="E100">
        <v>4</v>
      </c>
      <c r="F100">
        <v>0</v>
      </c>
      <c r="G100">
        <v>0</v>
      </c>
      <c r="H100">
        <v>0</v>
      </c>
    </row>
    <row r="101" spans="1:8" x14ac:dyDescent="0.2">
      <c r="A101">
        <v>300050</v>
      </c>
      <c r="B101" t="str">
        <f>INDEX([3]Skills!C:C,MATCH(A101,[3]Skills!A:A))</f>
        <v>ラピッドムーブ</v>
      </c>
      <c r="C101">
        <v>0</v>
      </c>
      <c r="D101" t="str">
        <f>INDEX([3]Define!V:V,MATCH(C101,[3]Define!U:U))</f>
        <v>なし</v>
      </c>
      <c r="E101">
        <v>4</v>
      </c>
      <c r="F101">
        <v>0</v>
      </c>
      <c r="G101">
        <v>0</v>
      </c>
      <c r="H101">
        <v>0</v>
      </c>
    </row>
    <row r="102" spans="1:8" x14ac:dyDescent="0.2">
      <c r="A102">
        <v>300130</v>
      </c>
      <c r="B102" t="str">
        <f>INDEX([3]Skills!C:C,MATCH(A102,[3]Skills!A:A))</f>
        <v>アタックブレイク</v>
      </c>
      <c r="C102">
        <v>0</v>
      </c>
      <c r="D102" t="str">
        <f>INDEX([3]Define!V:V,MATCH(C102,[3]Define!U:U))</f>
        <v>なし</v>
      </c>
      <c r="E102">
        <v>4</v>
      </c>
      <c r="F102">
        <v>0</v>
      </c>
      <c r="G102">
        <v>0</v>
      </c>
      <c r="H102">
        <v>0</v>
      </c>
    </row>
    <row r="103" spans="1:8" x14ac:dyDescent="0.2">
      <c r="A103">
        <v>300140</v>
      </c>
      <c r="B103" t="str">
        <f>INDEX([3]Skills!C:C,MATCH(A103,[3]Skills!A:A))</f>
        <v>シールドバニッシュ</v>
      </c>
      <c r="C103">
        <v>0</v>
      </c>
      <c r="D103" t="str">
        <f>INDEX([3]Define!V:V,MATCH(C103,[3]Define!U:U))</f>
        <v>なし</v>
      </c>
      <c r="E103">
        <v>4</v>
      </c>
      <c r="F103">
        <v>0</v>
      </c>
      <c r="G103">
        <v>0</v>
      </c>
      <c r="H103">
        <v>0</v>
      </c>
    </row>
    <row r="104" spans="1:8" x14ac:dyDescent="0.2">
      <c r="A104">
        <v>300210</v>
      </c>
      <c r="B104" t="str">
        <f>INDEX([3]Skills!C:C,MATCH(A104,[3]Skills!A:A))</f>
        <v>エーテルリチャージ</v>
      </c>
      <c r="C104">
        <v>0</v>
      </c>
      <c r="D104" t="str">
        <f>INDEX([3]Define!V:V,MATCH(C104,[3]Define!U:U))</f>
        <v>なし</v>
      </c>
      <c r="E104">
        <v>2</v>
      </c>
      <c r="F104">
        <v>0</v>
      </c>
      <c r="G104">
        <v>0</v>
      </c>
      <c r="H104">
        <v>0</v>
      </c>
    </row>
    <row r="105" spans="1:8" x14ac:dyDescent="0.2">
      <c r="A105">
        <v>300220</v>
      </c>
      <c r="B105" t="str">
        <f>INDEX([3]Skills!C:C,MATCH(A105,[3]Skills!A:A))</f>
        <v>リカバリーエンハンス</v>
      </c>
      <c r="C105">
        <v>0</v>
      </c>
      <c r="D105" t="str">
        <f>INDEX([3]Define!V:V,MATCH(C105,[3]Define!U:U))</f>
        <v>なし</v>
      </c>
      <c r="E105">
        <v>4</v>
      </c>
      <c r="F105">
        <v>0</v>
      </c>
      <c r="G105">
        <v>0</v>
      </c>
      <c r="H105">
        <v>0</v>
      </c>
    </row>
    <row r="106" spans="1:8" x14ac:dyDescent="0.2">
      <c r="A106">
        <v>300230</v>
      </c>
      <c r="B106" t="str">
        <f>INDEX([3]Skills!C:C,MATCH(A106,[3]Skills!A:A))</f>
        <v>ヴェンジェンス</v>
      </c>
      <c r="C106">
        <v>0</v>
      </c>
      <c r="D106" t="str">
        <f>INDEX([3]Define!V:V,MATCH(C106,[3]Define!U:U))</f>
        <v>なし</v>
      </c>
      <c r="E106">
        <v>4</v>
      </c>
      <c r="F106">
        <v>0</v>
      </c>
      <c r="G106">
        <v>0</v>
      </c>
      <c r="H106">
        <v>0</v>
      </c>
    </row>
    <row r="107" spans="1:8" x14ac:dyDescent="0.2">
      <c r="A107">
        <v>301010</v>
      </c>
      <c r="B107" t="str">
        <f>INDEX([3]Skills!C:C,MATCH(A107,[3]Skills!A:A))</f>
        <v>ディケイドリセット</v>
      </c>
      <c r="C107">
        <v>0</v>
      </c>
      <c r="D107" t="str">
        <f>INDEX([3]Define!V:V,MATCH(C107,[3]Define!U:U))</f>
        <v>なし</v>
      </c>
      <c r="E107">
        <v>2</v>
      </c>
      <c r="F107">
        <v>0</v>
      </c>
      <c r="G107">
        <v>0</v>
      </c>
      <c r="H107">
        <v>0</v>
      </c>
    </row>
    <row r="108" spans="1:8" x14ac:dyDescent="0.2">
      <c r="A108">
        <v>301020</v>
      </c>
      <c r="B108" t="str">
        <f>INDEX([3]Skills!C:C,MATCH(A108,[3]Skills!A:A))</f>
        <v>ウォーリアーブラッド</v>
      </c>
      <c r="C108">
        <v>0</v>
      </c>
      <c r="D108" t="str">
        <f>INDEX([3]Define!V:V,MATCH(C108,[3]Define!U:U))</f>
        <v>なし</v>
      </c>
      <c r="E108">
        <v>2</v>
      </c>
      <c r="F108">
        <v>0</v>
      </c>
      <c r="G108">
        <v>0</v>
      </c>
      <c r="H108">
        <v>0</v>
      </c>
    </row>
    <row r="109" spans="1:8" x14ac:dyDescent="0.2">
      <c r="A109">
        <v>301030</v>
      </c>
      <c r="B109" t="str">
        <f>INDEX([3]Skills!C:C,MATCH(A109,[3]Skills!A:A))</f>
        <v>トライアングルガード</v>
      </c>
      <c r="C109">
        <v>0</v>
      </c>
      <c r="D109" t="str">
        <f>INDEX([3]Define!V:V,MATCH(C109,[3]Define!U:U))</f>
        <v>なし</v>
      </c>
      <c r="E109">
        <v>2</v>
      </c>
      <c r="F109">
        <v>0</v>
      </c>
      <c r="G109">
        <v>0</v>
      </c>
      <c r="H109">
        <v>0</v>
      </c>
    </row>
    <row r="110" spans="1:8" x14ac:dyDescent="0.2">
      <c r="A110">
        <v>301040</v>
      </c>
      <c r="B110" t="str">
        <f>INDEX([3]Skills!C:C,MATCH(A110,[3]Skills!A:A))</f>
        <v>セーフティバリア</v>
      </c>
      <c r="C110">
        <v>0</v>
      </c>
      <c r="D110" t="str">
        <f>INDEX([3]Define!V:V,MATCH(C110,[3]Define!U:U))</f>
        <v>なし</v>
      </c>
      <c r="E110">
        <v>2</v>
      </c>
      <c r="F110">
        <v>0</v>
      </c>
      <c r="G110">
        <v>0</v>
      </c>
      <c r="H110">
        <v>0</v>
      </c>
    </row>
    <row r="111" spans="1:8" x14ac:dyDescent="0.2">
      <c r="A111">
        <v>301040</v>
      </c>
      <c r="B111" t="str">
        <f>INDEX([3]Skills!C:C,MATCH(A111,[3]Skills!A:A))</f>
        <v>セーフティバリア</v>
      </c>
      <c r="C111">
        <v>11010</v>
      </c>
      <c r="D111" t="str">
        <f>INDEX([3]Define!V:V,MATCH(C111,[3]Define!U:U))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 x14ac:dyDescent="0.2">
      <c r="A112">
        <v>301050</v>
      </c>
      <c r="B112" t="str">
        <f>INDEX([3]Skills!C:C,MATCH(A112,[3]Skills!A:A))</f>
        <v>ヒロインズハイ</v>
      </c>
      <c r="C112">
        <v>13020</v>
      </c>
      <c r="D112" t="str">
        <f>INDEX([3]Define!V:V,MATCH(C112,[3]Define!U:U))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 x14ac:dyDescent="0.2">
      <c r="A113">
        <v>301060</v>
      </c>
      <c r="B113" t="str">
        <f>INDEX([3]Skills!C:C,MATCH(A113,[3]Skills!A:A))</f>
        <v>セカンドステージ</v>
      </c>
      <c r="C113">
        <v>0</v>
      </c>
      <c r="D113" t="str">
        <f>INDEX([3]Define!V:V,MATCH(C113,[3]Define!U:U))</f>
        <v>なし</v>
      </c>
      <c r="E113">
        <v>11</v>
      </c>
      <c r="F113">
        <v>0</v>
      </c>
      <c r="G113">
        <v>0</v>
      </c>
      <c r="H113">
        <v>1</v>
      </c>
    </row>
    <row r="114" spans="1:8" x14ac:dyDescent="0.2">
      <c r="A114">
        <v>301060</v>
      </c>
      <c r="B114" t="str">
        <f>INDEX([3]Skills!C:C,MATCH(A114,[3]Skills!A:A))</f>
        <v>セカンドステージ</v>
      </c>
      <c r="C114">
        <v>11010</v>
      </c>
      <c r="D114" t="str">
        <f>INDEX([3]Define!V:V,MATCH(C114,[3]Define!U:U))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 x14ac:dyDescent="0.2">
      <c r="A115">
        <v>301070</v>
      </c>
      <c r="B115" t="str">
        <f>INDEX([3]Skills!C:C,MATCH(A115,[3]Skills!A:A))</f>
        <v>ハイヒットポイント</v>
      </c>
      <c r="C115">
        <v>0</v>
      </c>
      <c r="D115" t="str">
        <f>INDEX([3]Define!V:V,MATCH(C115,[3]Define!U:U))</f>
        <v>なし</v>
      </c>
      <c r="E115">
        <v>4</v>
      </c>
      <c r="F115">
        <v>0</v>
      </c>
      <c r="G115">
        <v>0</v>
      </c>
      <c r="H115">
        <v>0</v>
      </c>
    </row>
    <row r="116" spans="1:8" x14ac:dyDescent="0.2">
      <c r="A116">
        <v>301080</v>
      </c>
      <c r="B116" t="str">
        <f>INDEX([3]Skills!C:C,MATCH(A116,[3]Skills!A:A))</f>
        <v>セプタブラスト</v>
      </c>
      <c r="C116">
        <v>12070</v>
      </c>
      <c r="D116" t="str">
        <f>INDEX([3]Define!V:V,MATCH(C116,[3]Define!U:U))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 x14ac:dyDescent="0.2">
      <c r="A117">
        <v>301080</v>
      </c>
      <c r="B117" t="str">
        <f>INDEX([3]Skills!C:C,MATCH(A117,[3]Skills!A:A))</f>
        <v>セプタブラスト</v>
      </c>
      <c r="C117">
        <v>9031</v>
      </c>
      <c r="D117" t="str">
        <f>INDEX([3]Define!V:V,MATCH(C117,[3]Define!U:U))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 x14ac:dyDescent="0.2">
      <c r="A118">
        <v>301090</v>
      </c>
      <c r="B118" t="str">
        <f>INDEX([3]Skills!C:C,MATCH(A118,[3]Skills!A:A))</f>
        <v>イニシャルブロッカー</v>
      </c>
      <c r="C118">
        <v>0</v>
      </c>
      <c r="D118" t="str">
        <f>INDEX([3]Define!V:V,MATCH(C118,[3]Define!U:U))</f>
        <v>なし</v>
      </c>
      <c r="E118">
        <v>4</v>
      </c>
      <c r="F118">
        <v>0</v>
      </c>
      <c r="G118">
        <v>0</v>
      </c>
      <c r="H118">
        <v>0</v>
      </c>
    </row>
    <row r="119" spans="1:8" x14ac:dyDescent="0.2">
      <c r="A119">
        <v>301100</v>
      </c>
      <c r="B119" t="str">
        <f>INDEX([3]Skills!C:C,MATCH(A119,[3]Skills!A:A))</f>
        <v>ファーストテイク</v>
      </c>
      <c r="C119">
        <v>0</v>
      </c>
      <c r="D119" t="str">
        <f>INDEX([3]Define!V:V,MATCH(C119,[3]Define!U:U))</f>
        <v>なし</v>
      </c>
      <c r="E119">
        <v>4</v>
      </c>
      <c r="F119">
        <v>0</v>
      </c>
      <c r="G119">
        <v>0</v>
      </c>
      <c r="H11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>
      <selection activeCell="C3" sqref="C3"/>
    </sheetView>
  </sheetViews>
  <sheetFormatPr defaultColWidth="8.7265625" defaultRowHeight="13" x14ac:dyDescent="0.2"/>
  <cols>
    <col min="2" max="2" width="18.54296875" customWidth="1"/>
    <col min="4" max="4" width="32.453125" customWidth="1"/>
  </cols>
  <sheetData>
    <row r="1" spans="1:8" x14ac:dyDescent="0.2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 x14ac:dyDescent="0.2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 x14ac:dyDescent="0.2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 x14ac:dyDescent="0.2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 x14ac:dyDescent="0.2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 x14ac:dyDescent="0.2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 x14ac:dyDescent="0.2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 x14ac:dyDescent="0.2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 x14ac:dyDescent="0.2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 x14ac:dyDescent="0.2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 x14ac:dyDescent="0.2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 x14ac:dyDescent="0.2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 x14ac:dyDescent="0.2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 x14ac:dyDescent="0.2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5"/>
  <sheetViews>
    <sheetView workbookViewId="0">
      <selection activeCell="A9" sqref="A9:XFD245"/>
    </sheetView>
  </sheetViews>
  <sheetFormatPr defaultColWidth="8.7265625" defaultRowHeight="13" x14ac:dyDescent="0.2"/>
  <cols>
    <col min="2" max="2" width="20" customWidth="1"/>
    <col min="3" max="3" width="48" customWidth="1"/>
    <col min="4" max="4" width="17.54296875" customWidth="1"/>
  </cols>
  <sheetData>
    <row r="1" spans="1:3" x14ac:dyDescent="0.2">
      <c r="A1" t="s">
        <v>0</v>
      </c>
      <c r="B1" t="s">
        <v>26</v>
      </c>
      <c r="C1" t="s">
        <v>27</v>
      </c>
    </row>
    <row r="2" spans="1:3" x14ac:dyDescent="0.2">
      <c r="A2">
        <v>0</v>
      </c>
      <c r="B2" t="s">
        <v>28</v>
      </c>
      <c r="C2" t="s">
        <v>29</v>
      </c>
    </row>
    <row r="3" spans="1:3" x14ac:dyDescent="0.2">
      <c r="A3">
        <v>1</v>
      </c>
      <c r="B3" t="s">
        <v>30</v>
      </c>
      <c r="C3" t="s">
        <v>29</v>
      </c>
    </row>
    <row r="4" spans="1:3" ht="26" x14ac:dyDescent="0.2">
      <c r="A4">
        <v>11</v>
      </c>
      <c r="B4" t="s">
        <v>31</v>
      </c>
      <c r="C4" s="3" t="s">
        <v>32</v>
      </c>
    </row>
    <row r="5" spans="1:3" x14ac:dyDescent="0.2">
      <c r="A5">
        <v>21</v>
      </c>
      <c r="B5" t="s">
        <v>33</v>
      </c>
      <c r="C5" t="s">
        <v>34</v>
      </c>
    </row>
    <row r="6" spans="1:3" x14ac:dyDescent="0.2">
      <c r="A6">
        <v>31</v>
      </c>
      <c r="B6" t="s">
        <v>35</v>
      </c>
      <c r="C6" s="3" t="s">
        <v>36</v>
      </c>
    </row>
    <row r="7" spans="1:3" x14ac:dyDescent="0.2">
      <c r="A7">
        <v>32</v>
      </c>
      <c r="B7" t="s">
        <v>17</v>
      </c>
      <c r="C7" t="s">
        <v>29</v>
      </c>
    </row>
    <row r="8" spans="1:3" x14ac:dyDescent="0.2">
      <c r="A8">
        <v>33</v>
      </c>
      <c r="B8" t="s">
        <v>37</v>
      </c>
      <c r="C8" s="3" t="s">
        <v>36</v>
      </c>
    </row>
    <row r="9" spans="1:3" x14ac:dyDescent="0.2">
      <c r="A9">
        <v>1010</v>
      </c>
      <c r="B9" t="s">
        <v>38</v>
      </c>
      <c r="C9" s="3" t="s">
        <v>39</v>
      </c>
    </row>
    <row r="10" spans="1:3" x14ac:dyDescent="0.2">
      <c r="A10">
        <v>1020</v>
      </c>
      <c r="B10" t="s">
        <v>40</v>
      </c>
      <c r="C10" t="s">
        <v>39</v>
      </c>
    </row>
    <row r="11" spans="1:3" x14ac:dyDescent="0.2">
      <c r="A11">
        <v>1030</v>
      </c>
      <c r="B11" t="s">
        <v>41</v>
      </c>
      <c r="C11" s="1" t="s">
        <v>42</v>
      </c>
    </row>
    <row r="12" spans="1:3" x14ac:dyDescent="0.2">
      <c r="A12">
        <v>1040</v>
      </c>
      <c r="B12" t="s">
        <v>43</v>
      </c>
      <c r="C12" s="3" t="s">
        <v>44</v>
      </c>
    </row>
    <row r="13" spans="1:3" x14ac:dyDescent="0.2">
      <c r="A13">
        <v>1050</v>
      </c>
      <c r="B13" t="s">
        <v>45</v>
      </c>
      <c r="C13" s="3" t="s">
        <v>46</v>
      </c>
    </row>
    <row r="14" spans="1:3" x14ac:dyDescent="0.2">
      <c r="A14">
        <v>1060</v>
      </c>
      <c r="B14" t="s">
        <v>47</v>
      </c>
      <c r="C14" t="s">
        <v>39</v>
      </c>
    </row>
    <row r="15" spans="1:3" x14ac:dyDescent="0.2">
      <c r="A15">
        <v>1070</v>
      </c>
      <c r="B15" t="s">
        <v>48</v>
      </c>
      <c r="C15" t="s">
        <v>49</v>
      </c>
    </row>
    <row r="16" spans="1:3" ht="26" x14ac:dyDescent="0.2">
      <c r="A16">
        <v>1080</v>
      </c>
      <c r="B16" t="s">
        <v>50</v>
      </c>
      <c r="C16" s="3" t="s">
        <v>51</v>
      </c>
    </row>
    <row r="17" spans="1:3" x14ac:dyDescent="0.2">
      <c r="A17">
        <v>2010</v>
      </c>
      <c r="B17" t="s">
        <v>52</v>
      </c>
      <c r="C17" s="3" t="s">
        <v>39</v>
      </c>
    </row>
    <row r="18" spans="1:3" x14ac:dyDescent="0.2">
      <c r="A18">
        <v>2020</v>
      </c>
      <c r="B18" t="s">
        <v>53</v>
      </c>
      <c r="C18" t="s">
        <v>54</v>
      </c>
    </row>
    <row r="19" spans="1:3" ht="39" x14ac:dyDescent="0.2">
      <c r="A19">
        <v>2030</v>
      </c>
      <c r="B19" t="s">
        <v>55</v>
      </c>
      <c r="C19" s="3" t="s">
        <v>56</v>
      </c>
    </row>
    <row r="20" spans="1:3" x14ac:dyDescent="0.2">
      <c r="A20">
        <v>2040</v>
      </c>
      <c r="B20" t="s">
        <v>57</v>
      </c>
      <c r="C20" s="1" t="s">
        <v>58</v>
      </c>
    </row>
    <row r="21" spans="1:3" ht="26" x14ac:dyDescent="0.2">
      <c r="A21">
        <v>2050</v>
      </c>
      <c r="B21" t="s">
        <v>59</v>
      </c>
      <c r="C21" s="3" t="s">
        <v>60</v>
      </c>
    </row>
    <row r="22" spans="1:3" ht="39" x14ac:dyDescent="0.2">
      <c r="A22">
        <v>2060</v>
      </c>
      <c r="B22" t="s">
        <v>61</v>
      </c>
      <c r="C22" s="3" t="s">
        <v>62</v>
      </c>
    </row>
    <row r="23" spans="1:3" ht="26" x14ac:dyDescent="0.2">
      <c r="A23">
        <v>2070</v>
      </c>
      <c r="B23" t="s">
        <v>63</v>
      </c>
      <c r="C23" s="3" t="s">
        <v>64</v>
      </c>
    </row>
    <row r="24" spans="1:3" ht="26" x14ac:dyDescent="0.2">
      <c r="A24">
        <v>2080</v>
      </c>
      <c r="B24" t="s">
        <v>65</v>
      </c>
      <c r="C24" s="3" t="s">
        <v>66</v>
      </c>
    </row>
    <row r="25" spans="1:3" x14ac:dyDescent="0.2">
      <c r="A25">
        <v>3010</v>
      </c>
      <c r="B25" t="s">
        <v>67</v>
      </c>
      <c r="C25" s="3" t="s">
        <v>39</v>
      </c>
    </row>
    <row r="26" spans="1:3" ht="26" x14ac:dyDescent="0.2">
      <c r="A26">
        <v>3020</v>
      </c>
      <c r="B26" t="s">
        <v>68</v>
      </c>
      <c r="C26" s="3" t="s">
        <v>69</v>
      </c>
    </row>
    <row r="27" spans="1:3" x14ac:dyDescent="0.2">
      <c r="A27">
        <v>3030</v>
      </c>
      <c r="B27" t="s">
        <v>70</v>
      </c>
      <c r="C27" s="3" t="s">
        <v>71</v>
      </c>
    </row>
    <row r="28" spans="1:3" ht="39" x14ac:dyDescent="0.2">
      <c r="A28">
        <v>3040</v>
      </c>
      <c r="B28" t="s">
        <v>72</v>
      </c>
      <c r="C28" s="3" t="s">
        <v>73</v>
      </c>
    </row>
    <row r="29" spans="1:3" ht="26" x14ac:dyDescent="0.2">
      <c r="A29">
        <v>3050</v>
      </c>
      <c r="B29" t="s">
        <v>74</v>
      </c>
      <c r="C29" s="3" t="s">
        <v>75</v>
      </c>
    </row>
    <row r="30" spans="1:3" ht="26" x14ac:dyDescent="0.2">
      <c r="A30">
        <v>3060</v>
      </c>
      <c r="B30" t="s">
        <v>76</v>
      </c>
      <c r="C30" s="3" t="s">
        <v>77</v>
      </c>
    </row>
    <row r="31" spans="1:3" ht="26" x14ac:dyDescent="0.2">
      <c r="A31">
        <v>3070</v>
      </c>
      <c r="B31" t="s">
        <v>78</v>
      </c>
      <c r="C31" s="3" t="s">
        <v>79</v>
      </c>
    </row>
    <row r="32" spans="1:3" ht="26" x14ac:dyDescent="0.2">
      <c r="A32">
        <v>3080</v>
      </c>
      <c r="B32" t="s">
        <v>80</v>
      </c>
      <c r="C32" s="3" t="s">
        <v>81</v>
      </c>
    </row>
    <row r="33" spans="1:4" ht="26" x14ac:dyDescent="0.2">
      <c r="A33">
        <v>4010</v>
      </c>
      <c r="B33" t="s">
        <v>82</v>
      </c>
      <c r="C33" s="3" t="s">
        <v>83</v>
      </c>
    </row>
    <row r="34" spans="1:4" ht="26" x14ac:dyDescent="0.2">
      <c r="A34">
        <v>4020</v>
      </c>
      <c r="B34" t="s">
        <v>84</v>
      </c>
      <c r="C34" s="3" t="s">
        <v>85</v>
      </c>
    </row>
    <row r="35" spans="1:4" ht="26" x14ac:dyDescent="0.2">
      <c r="A35">
        <v>4030</v>
      </c>
      <c r="B35" t="s">
        <v>86</v>
      </c>
      <c r="C35" s="3" t="s">
        <v>87</v>
      </c>
    </row>
    <row r="36" spans="1:4" ht="26" x14ac:dyDescent="0.2">
      <c r="A36">
        <v>4040</v>
      </c>
      <c r="B36" t="s">
        <v>88</v>
      </c>
      <c r="C36" s="3" t="s">
        <v>89</v>
      </c>
    </row>
    <row r="37" spans="1:4" x14ac:dyDescent="0.2">
      <c r="A37">
        <v>4050</v>
      </c>
      <c r="B37" t="s">
        <v>90</v>
      </c>
      <c r="C37" s="3" t="s">
        <v>91</v>
      </c>
      <c r="D37" t="s">
        <v>92</v>
      </c>
    </row>
    <row r="38" spans="1:4" x14ac:dyDescent="0.2">
      <c r="A38">
        <v>4060</v>
      </c>
      <c r="B38" t="s">
        <v>93</v>
      </c>
      <c r="C38" s="3" t="s">
        <v>94</v>
      </c>
    </row>
    <row r="39" spans="1:4" ht="26" x14ac:dyDescent="0.2">
      <c r="A39">
        <v>4070</v>
      </c>
      <c r="B39" t="s">
        <v>95</v>
      </c>
      <c r="C39" s="3" t="s">
        <v>96</v>
      </c>
    </row>
    <row r="40" spans="1:4" x14ac:dyDescent="0.2">
      <c r="A40">
        <v>4080</v>
      </c>
      <c r="B40" t="s">
        <v>97</v>
      </c>
      <c r="C40" s="3" t="s">
        <v>98</v>
      </c>
    </row>
    <row r="41" spans="1:4" x14ac:dyDescent="0.2">
      <c r="A41">
        <v>5010</v>
      </c>
      <c r="B41" t="s">
        <v>99</v>
      </c>
      <c r="C41" s="3" t="s">
        <v>39</v>
      </c>
    </row>
    <row r="42" spans="1:4" x14ac:dyDescent="0.2">
      <c r="A42">
        <v>5020</v>
      </c>
      <c r="B42" t="s">
        <v>100</v>
      </c>
      <c r="C42" s="3" t="s">
        <v>39</v>
      </c>
    </row>
    <row r="43" spans="1:4" ht="26" x14ac:dyDescent="0.2">
      <c r="A43">
        <v>5030</v>
      </c>
      <c r="B43" t="s">
        <v>101</v>
      </c>
      <c r="C43" s="3" t="s">
        <v>102</v>
      </c>
    </row>
    <row r="44" spans="1:4" ht="39" x14ac:dyDescent="0.2">
      <c r="A44">
        <v>5040</v>
      </c>
      <c r="B44" t="s">
        <v>103</v>
      </c>
      <c r="C44" s="3" t="s">
        <v>104</v>
      </c>
    </row>
    <row r="45" spans="1:4" ht="26" x14ac:dyDescent="0.2">
      <c r="A45">
        <v>5050</v>
      </c>
      <c r="B45" t="s">
        <v>105</v>
      </c>
      <c r="C45" s="3" t="s">
        <v>106</v>
      </c>
      <c r="D45" t="s">
        <v>107</v>
      </c>
    </row>
    <row r="46" spans="1:4" x14ac:dyDescent="0.2">
      <c r="A46">
        <v>5060</v>
      </c>
      <c r="B46" t="s">
        <v>108</v>
      </c>
      <c r="C46" s="3" t="s">
        <v>720</v>
      </c>
    </row>
    <row r="47" spans="1:4" x14ac:dyDescent="0.2">
      <c r="A47">
        <v>5070</v>
      </c>
      <c r="B47" t="s">
        <v>109</v>
      </c>
      <c r="C47" s="3" t="s">
        <v>110</v>
      </c>
    </row>
    <row r="48" spans="1:4" ht="39" x14ac:dyDescent="0.2">
      <c r="A48">
        <v>5080</v>
      </c>
      <c r="B48" t="s">
        <v>111</v>
      </c>
      <c r="C48" s="3" t="s">
        <v>112</v>
      </c>
    </row>
    <row r="49" spans="1:4" ht="39" x14ac:dyDescent="0.2">
      <c r="A49">
        <v>10010</v>
      </c>
      <c r="B49" t="s">
        <v>113</v>
      </c>
      <c r="C49" s="3" t="s">
        <v>114</v>
      </c>
    </row>
    <row r="50" spans="1:4" ht="39" x14ac:dyDescent="0.2">
      <c r="A50">
        <v>10020</v>
      </c>
      <c r="B50" t="s">
        <v>115</v>
      </c>
      <c r="C50" s="4" t="s">
        <v>116</v>
      </c>
    </row>
    <row r="51" spans="1:4" ht="26" x14ac:dyDescent="0.2">
      <c r="A51">
        <v>10030</v>
      </c>
      <c r="B51" t="s">
        <v>117</v>
      </c>
      <c r="C51" s="4" t="s">
        <v>118</v>
      </c>
    </row>
    <row r="52" spans="1:4" ht="26" x14ac:dyDescent="0.2">
      <c r="A52">
        <v>10040</v>
      </c>
      <c r="B52" t="s">
        <v>119</v>
      </c>
      <c r="C52" s="4" t="s">
        <v>120</v>
      </c>
    </row>
    <row r="53" spans="1:4" ht="26" x14ac:dyDescent="0.2">
      <c r="A53">
        <v>10050</v>
      </c>
      <c r="B53" t="s">
        <v>121</v>
      </c>
      <c r="C53" s="4" t="s">
        <v>122</v>
      </c>
    </row>
    <row r="54" spans="1:4" ht="26" x14ac:dyDescent="0.2">
      <c r="A54">
        <v>10060</v>
      </c>
      <c r="B54" t="s">
        <v>123</v>
      </c>
      <c r="C54" s="4" t="s">
        <v>124</v>
      </c>
    </row>
    <row r="55" spans="1:4" x14ac:dyDescent="0.2">
      <c r="A55">
        <v>11010</v>
      </c>
      <c r="B55" t="s">
        <v>125</v>
      </c>
      <c r="C55" s="4" t="s">
        <v>126</v>
      </c>
    </row>
    <row r="56" spans="1:4" ht="26" x14ac:dyDescent="0.2">
      <c r="A56">
        <v>11020</v>
      </c>
      <c r="B56" t="s">
        <v>127</v>
      </c>
      <c r="C56" s="4" t="s">
        <v>128</v>
      </c>
    </row>
    <row r="57" spans="1:4" ht="26" x14ac:dyDescent="0.2">
      <c r="A57">
        <v>11030</v>
      </c>
      <c r="B57" t="s">
        <v>129</v>
      </c>
      <c r="C57" s="4" t="s">
        <v>130</v>
      </c>
    </row>
    <row r="58" spans="1:4" ht="26" x14ac:dyDescent="0.2">
      <c r="A58">
        <v>11040</v>
      </c>
      <c r="B58" t="s">
        <v>131</v>
      </c>
      <c r="C58" s="3" t="s">
        <v>132</v>
      </c>
      <c r="D58" t="s">
        <v>131</v>
      </c>
    </row>
    <row r="59" spans="1:4" ht="39" x14ac:dyDescent="0.2">
      <c r="A59">
        <v>11050</v>
      </c>
      <c r="B59" t="s">
        <v>133</v>
      </c>
      <c r="C59" s="3" t="s">
        <v>134</v>
      </c>
    </row>
    <row r="60" spans="1:4" ht="26" x14ac:dyDescent="0.2">
      <c r="A60">
        <v>11060</v>
      </c>
      <c r="B60" t="s">
        <v>135</v>
      </c>
      <c r="C60" s="3" t="s">
        <v>136</v>
      </c>
    </row>
    <row r="61" spans="1:4" ht="39" x14ac:dyDescent="0.2">
      <c r="A61">
        <v>11070</v>
      </c>
      <c r="B61" t="s">
        <v>137</v>
      </c>
      <c r="C61" s="3" t="s">
        <v>138</v>
      </c>
    </row>
    <row r="62" spans="1:4" ht="26" x14ac:dyDescent="0.2">
      <c r="A62">
        <v>11080</v>
      </c>
      <c r="B62" t="s">
        <v>139</v>
      </c>
      <c r="C62" s="3" t="s">
        <v>140</v>
      </c>
    </row>
    <row r="63" spans="1:4" ht="39" x14ac:dyDescent="0.2">
      <c r="A63">
        <v>11090</v>
      </c>
      <c r="B63" t="s">
        <v>141</v>
      </c>
      <c r="C63" s="3" t="s">
        <v>142</v>
      </c>
    </row>
    <row r="64" spans="1:4" ht="26" x14ac:dyDescent="0.2">
      <c r="A64">
        <v>12010</v>
      </c>
      <c r="B64" t="s">
        <v>143</v>
      </c>
      <c r="C64" s="3" t="s">
        <v>144</v>
      </c>
    </row>
    <row r="65" spans="1:3" x14ac:dyDescent="0.2">
      <c r="A65">
        <v>12020</v>
      </c>
      <c r="B65" t="s">
        <v>145</v>
      </c>
      <c r="C65" s="3" t="s">
        <v>146</v>
      </c>
    </row>
    <row r="66" spans="1:3" x14ac:dyDescent="0.2">
      <c r="A66">
        <v>12030</v>
      </c>
      <c r="B66" t="s">
        <v>147</v>
      </c>
      <c r="C66" s="3" t="s">
        <v>148</v>
      </c>
    </row>
    <row r="67" spans="1:3" ht="39" x14ac:dyDescent="0.2">
      <c r="A67">
        <v>12040</v>
      </c>
      <c r="B67" t="s">
        <v>149</v>
      </c>
      <c r="C67" s="3" t="s">
        <v>150</v>
      </c>
    </row>
    <row r="68" spans="1:3" ht="26" x14ac:dyDescent="0.2">
      <c r="A68">
        <v>12050</v>
      </c>
      <c r="B68" t="s">
        <v>151</v>
      </c>
      <c r="C68" s="3" t="s">
        <v>152</v>
      </c>
    </row>
    <row r="69" spans="1:3" ht="26" x14ac:dyDescent="0.2">
      <c r="A69">
        <v>12060</v>
      </c>
      <c r="B69" t="s">
        <v>153</v>
      </c>
      <c r="C69" s="3" t="s">
        <v>154</v>
      </c>
    </row>
    <row r="70" spans="1:3" ht="39" x14ac:dyDescent="0.2">
      <c r="A70">
        <v>12070</v>
      </c>
      <c r="B70" t="s">
        <v>155</v>
      </c>
      <c r="C70" s="3" t="s">
        <v>156</v>
      </c>
    </row>
    <row r="71" spans="1:3" ht="26" x14ac:dyDescent="0.2">
      <c r="A71">
        <v>12080</v>
      </c>
      <c r="B71" t="s">
        <v>157</v>
      </c>
      <c r="C71" s="3" t="s">
        <v>158</v>
      </c>
    </row>
    <row r="72" spans="1:3" ht="26" x14ac:dyDescent="0.2">
      <c r="A72">
        <v>12090</v>
      </c>
      <c r="B72" t="s">
        <v>159</v>
      </c>
      <c r="C72" s="3" t="s">
        <v>160</v>
      </c>
    </row>
    <row r="73" spans="1:3" x14ac:dyDescent="0.2">
      <c r="A73">
        <v>13010</v>
      </c>
      <c r="B73" t="s">
        <v>161</v>
      </c>
      <c r="C73" s="3" t="s">
        <v>162</v>
      </c>
    </row>
    <row r="74" spans="1:3" ht="26" x14ac:dyDescent="0.2">
      <c r="A74">
        <v>13020</v>
      </c>
      <c r="B74" t="s">
        <v>163</v>
      </c>
      <c r="C74" s="3" t="s">
        <v>164</v>
      </c>
    </row>
    <row r="75" spans="1:3" ht="26" x14ac:dyDescent="0.2">
      <c r="A75">
        <v>13030</v>
      </c>
      <c r="B75" t="s">
        <v>165</v>
      </c>
      <c r="C75" s="3" t="s">
        <v>166</v>
      </c>
    </row>
    <row r="76" spans="1:3" ht="26" x14ac:dyDescent="0.2">
      <c r="A76">
        <v>13040</v>
      </c>
      <c r="B76" t="s">
        <v>167</v>
      </c>
      <c r="C76" s="3" t="s">
        <v>168</v>
      </c>
    </row>
    <row r="77" spans="1:3" ht="39" x14ac:dyDescent="0.2">
      <c r="A77">
        <v>13050</v>
      </c>
      <c r="B77" t="s">
        <v>169</v>
      </c>
      <c r="C77" s="3" t="s">
        <v>170</v>
      </c>
    </row>
    <row r="78" spans="1:3" ht="26" x14ac:dyDescent="0.2">
      <c r="A78">
        <v>13060</v>
      </c>
      <c r="B78" t="s">
        <v>171</v>
      </c>
      <c r="C78" s="3" t="s">
        <v>172</v>
      </c>
    </row>
    <row r="79" spans="1:3" ht="26" x14ac:dyDescent="0.2">
      <c r="A79">
        <v>13070</v>
      </c>
      <c r="B79" t="s">
        <v>173</v>
      </c>
      <c r="C79" s="3" t="s">
        <v>174</v>
      </c>
    </row>
    <row r="80" spans="1:3" ht="26" x14ac:dyDescent="0.2">
      <c r="A80">
        <v>13080</v>
      </c>
      <c r="B80" t="s">
        <v>175</v>
      </c>
      <c r="C80" s="3" t="s">
        <v>176</v>
      </c>
    </row>
    <row r="81" spans="1:4" ht="39" x14ac:dyDescent="0.2">
      <c r="A81">
        <v>13090</v>
      </c>
      <c r="B81" t="s">
        <v>177</v>
      </c>
      <c r="C81" s="3" t="s">
        <v>178</v>
      </c>
    </row>
    <row r="82" spans="1:4" ht="39" x14ac:dyDescent="0.2">
      <c r="A82">
        <v>14010</v>
      </c>
      <c r="B82" t="s">
        <v>179</v>
      </c>
      <c r="C82" s="3" t="s">
        <v>180</v>
      </c>
    </row>
    <row r="83" spans="1:4" ht="39" x14ac:dyDescent="0.2">
      <c r="A83">
        <v>14020</v>
      </c>
      <c r="B83" t="s">
        <v>181</v>
      </c>
      <c r="C83" s="3" t="s">
        <v>182</v>
      </c>
    </row>
    <row r="84" spans="1:4" ht="26" x14ac:dyDescent="0.2">
      <c r="A84">
        <v>14030</v>
      </c>
      <c r="B84" t="s">
        <v>183</v>
      </c>
      <c r="C84" s="3" t="s">
        <v>184</v>
      </c>
    </row>
    <row r="85" spans="1:4" x14ac:dyDescent="0.2">
      <c r="A85">
        <v>14040</v>
      </c>
      <c r="B85" t="s">
        <v>185</v>
      </c>
      <c r="C85" t="s">
        <v>186</v>
      </c>
    </row>
    <row r="86" spans="1:4" x14ac:dyDescent="0.2">
      <c r="A86">
        <v>14050</v>
      </c>
      <c r="B86" t="s">
        <v>187</v>
      </c>
      <c r="C86" s="3" t="s">
        <v>188</v>
      </c>
    </row>
    <row r="87" spans="1:4" ht="39" x14ac:dyDescent="0.2">
      <c r="A87">
        <v>14060</v>
      </c>
      <c r="B87" t="s">
        <v>189</v>
      </c>
      <c r="C87" s="3" t="s">
        <v>190</v>
      </c>
    </row>
    <row r="88" spans="1:4" ht="39" x14ac:dyDescent="0.2">
      <c r="A88">
        <v>14070</v>
      </c>
      <c r="B88" t="s">
        <v>191</v>
      </c>
      <c r="C88" s="3" t="s">
        <v>192</v>
      </c>
    </row>
    <row r="89" spans="1:4" ht="26" x14ac:dyDescent="0.2">
      <c r="A89">
        <v>14080</v>
      </c>
      <c r="B89" t="s">
        <v>193</v>
      </c>
      <c r="C89" s="3" t="s">
        <v>194</v>
      </c>
    </row>
    <row r="90" spans="1:4" ht="52" x14ac:dyDescent="0.2">
      <c r="A90">
        <v>14090</v>
      </c>
      <c r="B90" t="s">
        <v>195</v>
      </c>
      <c r="C90" s="3" t="s">
        <v>196</v>
      </c>
      <c r="D90" t="s">
        <v>197</v>
      </c>
    </row>
    <row r="91" spans="1:4" x14ac:dyDescent="0.2">
      <c r="A91">
        <v>15010</v>
      </c>
      <c r="B91" t="s">
        <v>198</v>
      </c>
      <c r="C91" s="3" t="s">
        <v>199</v>
      </c>
    </row>
    <row r="92" spans="1:4" ht="26" x14ac:dyDescent="0.2">
      <c r="A92">
        <v>15020</v>
      </c>
      <c r="B92" t="s">
        <v>200</v>
      </c>
      <c r="C92" s="3" t="s">
        <v>201</v>
      </c>
    </row>
    <row r="93" spans="1:4" ht="26" x14ac:dyDescent="0.2">
      <c r="A93">
        <v>15030</v>
      </c>
      <c r="B93" t="s">
        <v>202</v>
      </c>
      <c r="C93" s="3" t="s">
        <v>203</v>
      </c>
    </row>
    <row r="94" spans="1:4" ht="39" x14ac:dyDescent="0.2">
      <c r="A94">
        <v>15040</v>
      </c>
      <c r="B94" t="s">
        <v>204</v>
      </c>
      <c r="C94" s="3" t="s">
        <v>205</v>
      </c>
    </row>
    <row r="95" spans="1:4" ht="26" x14ac:dyDescent="0.2">
      <c r="A95">
        <v>15050</v>
      </c>
      <c r="B95" t="s">
        <v>206</v>
      </c>
      <c r="C95" s="3" t="s">
        <v>207</v>
      </c>
    </row>
    <row r="96" spans="1:4" ht="26" x14ac:dyDescent="0.2">
      <c r="A96">
        <v>15060</v>
      </c>
      <c r="B96" t="s">
        <v>208</v>
      </c>
      <c r="C96" s="3" t="s">
        <v>209</v>
      </c>
    </row>
    <row r="97" spans="1:4" ht="26" x14ac:dyDescent="0.2">
      <c r="A97">
        <v>15070</v>
      </c>
      <c r="B97" t="s">
        <v>210</v>
      </c>
      <c r="C97" s="3" t="s">
        <v>211</v>
      </c>
      <c r="D97" t="s">
        <v>212</v>
      </c>
    </row>
    <row r="98" spans="1:4" ht="26" x14ac:dyDescent="0.2">
      <c r="A98">
        <v>15080</v>
      </c>
      <c r="B98" t="s">
        <v>213</v>
      </c>
      <c r="C98" s="3" t="s">
        <v>214</v>
      </c>
    </row>
    <row r="99" spans="1:4" ht="26" x14ac:dyDescent="0.2">
      <c r="A99">
        <v>15090</v>
      </c>
      <c r="B99" t="s">
        <v>215</v>
      </c>
      <c r="C99" s="3" t="s">
        <v>216</v>
      </c>
    </row>
    <row r="100" spans="1:4" x14ac:dyDescent="0.2">
      <c r="A100">
        <v>20010</v>
      </c>
      <c r="B100" t="s">
        <v>217</v>
      </c>
      <c r="C100" s="4" t="s">
        <v>218</v>
      </c>
    </row>
    <row r="101" spans="1:4" ht="52" x14ac:dyDescent="0.2">
      <c r="A101">
        <v>100110</v>
      </c>
      <c r="B101" t="s">
        <v>219</v>
      </c>
      <c r="C101" s="3" t="s">
        <v>220</v>
      </c>
    </row>
    <row r="102" spans="1:4" ht="26" x14ac:dyDescent="0.2">
      <c r="A102">
        <v>100120</v>
      </c>
      <c r="B102" t="s">
        <v>221</v>
      </c>
      <c r="C102" s="3" t="s">
        <v>222</v>
      </c>
    </row>
    <row r="103" spans="1:4" ht="39" x14ac:dyDescent="0.2">
      <c r="A103">
        <v>100210</v>
      </c>
      <c r="B103" t="s">
        <v>223</v>
      </c>
      <c r="C103" s="3" t="s">
        <v>224</v>
      </c>
    </row>
    <row r="104" spans="1:4" ht="28" customHeight="1" x14ac:dyDescent="0.2">
      <c r="A104">
        <v>100220</v>
      </c>
      <c r="B104" t="s">
        <v>225</v>
      </c>
      <c r="C104" s="3" t="s">
        <v>226</v>
      </c>
    </row>
    <row r="105" spans="1:4" ht="52" x14ac:dyDescent="0.2">
      <c r="A105">
        <v>100310</v>
      </c>
      <c r="B105" t="s">
        <v>227</v>
      </c>
      <c r="C105" s="3" t="s">
        <v>228</v>
      </c>
    </row>
    <row r="106" spans="1:4" ht="26" x14ac:dyDescent="0.2">
      <c r="A106">
        <v>100320</v>
      </c>
      <c r="B106" t="s">
        <v>229</v>
      </c>
      <c r="C106" s="3" t="s">
        <v>230</v>
      </c>
    </row>
    <row r="107" spans="1:4" ht="39" x14ac:dyDescent="0.2">
      <c r="A107">
        <v>100410</v>
      </c>
      <c r="B107" t="s">
        <v>231</v>
      </c>
      <c r="C107" s="3" t="s">
        <v>232</v>
      </c>
    </row>
    <row r="108" spans="1:4" ht="52" x14ac:dyDescent="0.2">
      <c r="A108">
        <v>100420</v>
      </c>
      <c r="B108" t="s">
        <v>233</v>
      </c>
      <c r="C108" s="3" t="s">
        <v>234</v>
      </c>
    </row>
    <row r="109" spans="1:4" ht="52" x14ac:dyDescent="0.2">
      <c r="A109">
        <v>100510</v>
      </c>
      <c r="B109" t="s">
        <v>235</v>
      </c>
      <c r="C109" s="3" t="s">
        <v>236</v>
      </c>
    </row>
    <row r="110" spans="1:4" ht="52" x14ac:dyDescent="0.2">
      <c r="A110">
        <v>100520</v>
      </c>
      <c r="B110" t="s">
        <v>237</v>
      </c>
      <c r="C110" s="3" t="s">
        <v>238</v>
      </c>
    </row>
    <row r="111" spans="1:4" ht="39" x14ac:dyDescent="0.2">
      <c r="A111">
        <v>100610</v>
      </c>
      <c r="B111" t="s">
        <v>239</v>
      </c>
      <c r="C111" s="3" t="s">
        <v>240</v>
      </c>
    </row>
    <row r="112" spans="1:4" ht="39" x14ac:dyDescent="0.2">
      <c r="A112">
        <v>100620</v>
      </c>
      <c r="B112" t="s">
        <v>241</v>
      </c>
      <c r="C112" s="3" t="s">
        <v>242</v>
      </c>
    </row>
    <row r="113" spans="1:4" ht="52" x14ac:dyDescent="0.2">
      <c r="A113">
        <v>100710</v>
      </c>
      <c r="B113" t="s">
        <v>243</v>
      </c>
      <c r="C113" s="3" t="s">
        <v>244</v>
      </c>
    </row>
    <row r="114" spans="1:4" ht="26" x14ac:dyDescent="0.2">
      <c r="A114">
        <v>100720</v>
      </c>
      <c r="B114" t="s">
        <v>245</v>
      </c>
      <c r="C114" s="3" t="s">
        <v>246</v>
      </c>
    </row>
    <row r="115" spans="1:4" ht="39" x14ac:dyDescent="0.2">
      <c r="A115">
        <v>100810</v>
      </c>
      <c r="B115" t="s">
        <v>247</v>
      </c>
      <c r="C115" s="3" t="s">
        <v>248</v>
      </c>
    </row>
    <row r="116" spans="1:4" ht="26" x14ac:dyDescent="0.2">
      <c r="A116">
        <v>100820</v>
      </c>
      <c r="B116" t="s">
        <v>249</v>
      </c>
      <c r="C116" s="3" t="s">
        <v>222</v>
      </c>
    </row>
    <row r="117" spans="1:4" ht="39" x14ac:dyDescent="0.2">
      <c r="A117">
        <v>100910</v>
      </c>
      <c r="B117" t="s">
        <v>250</v>
      </c>
      <c r="C117" s="3" t="s">
        <v>251</v>
      </c>
    </row>
    <row r="118" spans="1:4" ht="39" x14ac:dyDescent="0.2">
      <c r="A118">
        <v>100911</v>
      </c>
      <c r="B118" t="s">
        <v>250</v>
      </c>
      <c r="C118" s="3" t="s">
        <v>251</v>
      </c>
    </row>
    <row r="119" spans="1:4" ht="39" x14ac:dyDescent="0.2">
      <c r="A119">
        <v>100920</v>
      </c>
      <c r="B119" t="s">
        <v>252</v>
      </c>
      <c r="C119" s="3" t="s">
        <v>253</v>
      </c>
    </row>
    <row r="120" spans="1:4" ht="39" x14ac:dyDescent="0.2">
      <c r="A120">
        <v>100921</v>
      </c>
      <c r="B120" t="s">
        <v>252</v>
      </c>
      <c r="C120" s="3" t="s">
        <v>253</v>
      </c>
    </row>
    <row r="121" spans="1:4" ht="39" x14ac:dyDescent="0.2">
      <c r="A121">
        <v>101010</v>
      </c>
      <c r="B121" t="s">
        <v>254</v>
      </c>
      <c r="C121" s="3" t="s">
        <v>255</v>
      </c>
      <c r="D121" s="3"/>
    </row>
    <row r="122" spans="1:4" ht="26" x14ac:dyDescent="0.2">
      <c r="A122">
        <v>101020</v>
      </c>
      <c r="B122" t="s">
        <v>256</v>
      </c>
      <c r="C122" s="3" t="s">
        <v>222</v>
      </c>
    </row>
    <row r="123" spans="1:4" ht="39" x14ac:dyDescent="0.2">
      <c r="A123">
        <v>101110</v>
      </c>
      <c r="B123" t="s">
        <v>257</v>
      </c>
      <c r="C123" s="3" t="s">
        <v>258</v>
      </c>
    </row>
    <row r="124" spans="1:4" ht="39" x14ac:dyDescent="0.2">
      <c r="A124">
        <v>101120</v>
      </c>
      <c r="B124" t="s">
        <v>259</v>
      </c>
      <c r="C124" s="3" t="s">
        <v>260</v>
      </c>
    </row>
    <row r="125" spans="1:4" ht="26" x14ac:dyDescent="0.2">
      <c r="A125">
        <v>200210</v>
      </c>
      <c r="B125" t="s">
        <v>721</v>
      </c>
      <c r="C125" s="3" t="s">
        <v>722</v>
      </c>
    </row>
    <row r="126" spans="1:4" ht="26" x14ac:dyDescent="0.2">
      <c r="A126">
        <v>200220</v>
      </c>
      <c r="B126" t="s">
        <v>723</v>
      </c>
      <c r="C126" s="3" t="s">
        <v>222</v>
      </c>
    </row>
    <row r="127" spans="1:4" ht="26" x14ac:dyDescent="0.2">
      <c r="A127">
        <v>200230</v>
      </c>
      <c r="B127" t="s">
        <v>724</v>
      </c>
      <c r="C127" s="4" t="s">
        <v>725</v>
      </c>
    </row>
    <row r="128" spans="1:4" ht="52" x14ac:dyDescent="0.2">
      <c r="A128">
        <v>200310</v>
      </c>
      <c r="B128" t="s">
        <v>263</v>
      </c>
      <c r="C128" s="3" t="s">
        <v>264</v>
      </c>
    </row>
    <row r="129" spans="1:3" ht="52" x14ac:dyDescent="0.2">
      <c r="A129">
        <v>200320</v>
      </c>
      <c r="B129" t="s">
        <v>265</v>
      </c>
      <c r="C129" s="3" t="s">
        <v>266</v>
      </c>
    </row>
    <row r="130" spans="1:3" ht="26" x14ac:dyDescent="0.2">
      <c r="A130">
        <v>200330</v>
      </c>
      <c r="B130" t="s">
        <v>267</v>
      </c>
      <c r="C130" s="4" t="s">
        <v>268</v>
      </c>
    </row>
    <row r="131" spans="1:3" ht="52" x14ac:dyDescent="0.2">
      <c r="A131">
        <v>200410</v>
      </c>
      <c r="B131" t="s">
        <v>269</v>
      </c>
      <c r="C131" s="3" t="s">
        <v>270</v>
      </c>
    </row>
    <row r="132" spans="1:3" ht="52" x14ac:dyDescent="0.2">
      <c r="A132">
        <v>200411</v>
      </c>
      <c r="B132" t="s">
        <v>269</v>
      </c>
      <c r="C132" s="3" t="s">
        <v>271</v>
      </c>
    </row>
    <row r="133" spans="1:3" ht="39" x14ac:dyDescent="0.2">
      <c r="A133">
        <v>200420</v>
      </c>
      <c r="B133" t="s">
        <v>272</v>
      </c>
      <c r="C133" s="3" t="s">
        <v>273</v>
      </c>
    </row>
    <row r="134" spans="1:3" x14ac:dyDescent="0.2">
      <c r="A134">
        <v>200430</v>
      </c>
      <c r="B134" t="s">
        <v>274</v>
      </c>
      <c r="C134" s="3" t="s">
        <v>275</v>
      </c>
    </row>
    <row r="135" spans="1:3" ht="52" x14ac:dyDescent="0.2">
      <c r="A135">
        <v>200510</v>
      </c>
      <c r="B135" t="s">
        <v>276</v>
      </c>
      <c r="C135" s="3" t="s">
        <v>277</v>
      </c>
    </row>
    <row r="136" spans="1:3" ht="39" x14ac:dyDescent="0.2">
      <c r="A136">
        <v>200520</v>
      </c>
      <c r="B136" t="s">
        <v>278</v>
      </c>
      <c r="C136" s="3" t="s">
        <v>279</v>
      </c>
    </row>
    <row r="137" spans="1:3" ht="39" x14ac:dyDescent="0.2">
      <c r="A137">
        <v>200530</v>
      </c>
      <c r="B137" t="s">
        <v>280</v>
      </c>
      <c r="C137" s="4" t="s">
        <v>281</v>
      </c>
    </row>
    <row r="138" spans="1:3" ht="52" x14ac:dyDescent="0.2">
      <c r="A138">
        <v>201010</v>
      </c>
      <c r="B138" t="s">
        <v>282</v>
      </c>
      <c r="C138" s="3" t="s">
        <v>283</v>
      </c>
    </row>
    <row r="139" spans="1:3" ht="39" x14ac:dyDescent="0.2">
      <c r="A139">
        <v>201020</v>
      </c>
      <c r="B139" t="s">
        <v>284</v>
      </c>
      <c r="C139" s="3" t="s">
        <v>285</v>
      </c>
    </row>
    <row r="140" spans="1:3" ht="39" x14ac:dyDescent="0.2">
      <c r="A140">
        <v>201030</v>
      </c>
      <c r="B140" t="s">
        <v>286</v>
      </c>
      <c r="C140" s="4" t="s">
        <v>287</v>
      </c>
    </row>
    <row r="141" spans="1:3" ht="26" x14ac:dyDescent="0.2">
      <c r="A141">
        <v>300010</v>
      </c>
      <c r="B141" t="s">
        <v>288</v>
      </c>
      <c r="C141" s="3" t="s">
        <v>289</v>
      </c>
    </row>
    <row r="142" spans="1:3" ht="26" x14ac:dyDescent="0.2">
      <c r="A142">
        <v>300020</v>
      </c>
      <c r="B142" t="s">
        <v>290</v>
      </c>
      <c r="C142" s="3" t="s">
        <v>291</v>
      </c>
    </row>
    <row r="143" spans="1:3" ht="26" x14ac:dyDescent="0.2">
      <c r="A143">
        <v>300030</v>
      </c>
      <c r="B143" t="s">
        <v>292</v>
      </c>
      <c r="C143" s="3" t="s">
        <v>293</v>
      </c>
    </row>
    <row r="144" spans="1:3" ht="26" x14ac:dyDescent="0.2">
      <c r="A144">
        <v>300040</v>
      </c>
      <c r="B144" t="s">
        <v>294</v>
      </c>
      <c r="C144" s="3" t="s">
        <v>295</v>
      </c>
    </row>
    <row r="145" spans="1:3" ht="26" x14ac:dyDescent="0.2">
      <c r="A145">
        <v>300050</v>
      </c>
      <c r="B145" t="s">
        <v>296</v>
      </c>
      <c r="C145" s="3" t="s">
        <v>297</v>
      </c>
    </row>
    <row r="146" spans="1:3" ht="26" x14ac:dyDescent="0.2">
      <c r="A146">
        <v>300130</v>
      </c>
      <c r="B146" t="s">
        <v>298</v>
      </c>
      <c r="C146" s="3" t="s">
        <v>299</v>
      </c>
    </row>
    <row r="147" spans="1:3" ht="26" x14ac:dyDescent="0.2">
      <c r="A147">
        <v>300140</v>
      </c>
      <c r="B147" t="s">
        <v>300</v>
      </c>
      <c r="C147" s="3" t="s">
        <v>301</v>
      </c>
    </row>
    <row r="148" spans="1:3" ht="26" x14ac:dyDescent="0.2">
      <c r="A148">
        <v>300210</v>
      </c>
      <c r="B148" t="s">
        <v>302</v>
      </c>
      <c r="C148" s="3" t="s">
        <v>303</v>
      </c>
    </row>
    <row r="149" spans="1:3" ht="26" x14ac:dyDescent="0.2">
      <c r="A149">
        <v>300220</v>
      </c>
      <c r="B149" t="s">
        <v>304</v>
      </c>
      <c r="C149" s="3" t="s">
        <v>305</v>
      </c>
    </row>
    <row r="150" spans="1:3" ht="39" x14ac:dyDescent="0.2">
      <c r="A150">
        <v>300230</v>
      </c>
      <c r="B150" t="s">
        <v>306</v>
      </c>
      <c r="C150" s="3" t="s">
        <v>307</v>
      </c>
    </row>
    <row r="151" spans="1:3" ht="26" x14ac:dyDescent="0.2">
      <c r="A151">
        <v>301010</v>
      </c>
      <c r="B151" t="s">
        <v>308</v>
      </c>
      <c r="C151" s="3" t="s">
        <v>309</v>
      </c>
    </row>
    <row r="152" spans="1:3" ht="26" x14ac:dyDescent="0.2">
      <c r="A152">
        <v>301020</v>
      </c>
      <c r="B152" t="s">
        <v>310</v>
      </c>
      <c r="C152" s="3" t="s">
        <v>311</v>
      </c>
    </row>
    <row r="153" spans="1:3" ht="26" x14ac:dyDescent="0.2">
      <c r="A153">
        <v>301030</v>
      </c>
      <c r="B153" t="s">
        <v>312</v>
      </c>
      <c r="C153" s="3" t="s">
        <v>313</v>
      </c>
    </row>
    <row r="154" spans="1:3" ht="52" x14ac:dyDescent="0.2">
      <c r="A154">
        <v>301040</v>
      </c>
      <c r="B154" t="s">
        <v>314</v>
      </c>
      <c r="C154" s="3" t="s">
        <v>315</v>
      </c>
    </row>
    <row r="155" spans="1:3" ht="26" x14ac:dyDescent="0.2">
      <c r="A155">
        <v>301050</v>
      </c>
      <c r="B155" t="s">
        <v>316</v>
      </c>
      <c r="C155" s="3" t="s">
        <v>317</v>
      </c>
    </row>
    <row r="156" spans="1:3" ht="39" x14ac:dyDescent="0.2">
      <c r="A156">
        <v>301060</v>
      </c>
      <c r="B156" t="s">
        <v>318</v>
      </c>
      <c r="C156" s="3" t="s">
        <v>319</v>
      </c>
    </row>
    <row r="157" spans="1:3" ht="26" x14ac:dyDescent="0.2">
      <c r="A157">
        <v>301070</v>
      </c>
      <c r="B157" t="s">
        <v>320</v>
      </c>
      <c r="C157" s="3" t="s">
        <v>289</v>
      </c>
    </row>
    <row r="158" spans="1:3" ht="39" x14ac:dyDescent="0.2">
      <c r="A158">
        <v>301080</v>
      </c>
      <c r="B158" t="s">
        <v>321</v>
      </c>
      <c r="C158" s="3" t="s">
        <v>322</v>
      </c>
    </row>
    <row r="159" spans="1:3" ht="39" x14ac:dyDescent="0.2">
      <c r="A159">
        <v>301090</v>
      </c>
      <c r="B159" t="s">
        <v>323</v>
      </c>
      <c r="C159" s="3" t="s">
        <v>324</v>
      </c>
    </row>
    <row r="160" spans="1:3" ht="26" x14ac:dyDescent="0.2">
      <c r="A160">
        <v>301100</v>
      </c>
      <c r="B160" t="s">
        <v>325</v>
      </c>
      <c r="C160" s="3" t="s">
        <v>152</v>
      </c>
    </row>
    <row r="161" spans="1:3" x14ac:dyDescent="0.2">
      <c r="A161">
        <v>401010</v>
      </c>
      <c r="B161" t="s">
        <v>326</v>
      </c>
      <c r="C161" s="3" t="s">
        <v>327</v>
      </c>
    </row>
    <row r="162" spans="1:3" x14ac:dyDescent="0.2">
      <c r="A162">
        <v>401020</v>
      </c>
      <c r="B162" t="s">
        <v>328</v>
      </c>
      <c r="C162" s="3" t="s">
        <v>327</v>
      </c>
    </row>
    <row r="163" spans="1:3" x14ac:dyDescent="0.2">
      <c r="A163">
        <v>401030</v>
      </c>
      <c r="B163" t="s">
        <v>329</v>
      </c>
      <c r="C163" s="3" t="s">
        <v>330</v>
      </c>
    </row>
    <row r="164" spans="1:3" x14ac:dyDescent="0.2">
      <c r="A164">
        <v>401040</v>
      </c>
      <c r="B164" t="s">
        <v>331</v>
      </c>
      <c r="C164" t="s">
        <v>332</v>
      </c>
    </row>
    <row r="165" spans="1:3" x14ac:dyDescent="0.2">
      <c r="A165">
        <v>401050</v>
      </c>
      <c r="B165" t="s">
        <v>333</v>
      </c>
      <c r="C165" s="3" t="s">
        <v>327</v>
      </c>
    </row>
    <row r="166" spans="1:3" x14ac:dyDescent="0.2">
      <c r="A166">
        <v>401060</v>
      </c>
      <c r="B166" t="s">
        <v>334</v>
      </c>
      <c r="C166" s="3" t="s">
        <v>327</v>
      </c>
    </row>
    <row r="167" spans="1:3" x14ac:dyDescent="0.2">
      <c r="A167">
        <v>401070</v>
      </c>
      <c r="B167" t="s">
        <v>335</v>
      </c>
      <c r="C167" s="3" t="s">
        <v>336</v>
      </c>
    </row>
    <row r="168" spans="1:3" x14ac:dyDescent="0.2">
      <c r="A168">
        <v>401080</v>
      </c>
      <c r="B168" t="s">
        <v>337</v>
      </c>
      <c r="C168" s="3" t="s">
        <v>338</v>
      </c>
    </row>
    <row r="169" spans="1:3" x14ac:dyDescent="0.2">
      <c r="A169">
        <v>402010</v>
      </c>
      <c r="B169" t="s">
        <v>339</v>
      </c>
      <c r="C169" s="3" t="s">
        <v>327</v>
      </c>
    </row>
    <row r="170" spans="1:3" x14ac:dyDescent="0.2">
      <c r="A170">
        <v>402020</v>
      </c>
      <c r="B170" t="s">
        <v>340</v>
      </c>
      <c r="C170" t="s">
        <v>341</v>
      </c>
    </row>
    <row r="171" spans="1:3" x14ac:dyDescent="0.2">
      <c r="A171">
        <v>402030</v>
      </c>
      <c r="B171" t="s">
        <v>342</v>
      </c>
      <c r="C171" s="3" t="s">
        <v>336</v>
      </c>
    </row>
    <row r="172" spans="1:3" x14ac:dyDescent="0.2">
      <c r="A172">
        <v>402040</v>
      </c>
      <c r="B172" t="s">
        <v>343</v>
      </c>
      <c r="C172" s="4" t="s">
        <v>344</v>
      </c>
    </row>
    <row r="173" spans="1:3" x14ac:dyDescent="0.2">
      <c r="A173">
        <v>402050</v>
      </c>
      <c r="B173" t="s">
        <v>345</v>
      </c>
      <c r="C173" s="3" t="s">
        <v>336</v>
      </c>
    </row>
    <row r="174" spans="1:3" x14ac:dyDescent="0.2">
      <c r="A174">
        <v>402060</v>
      </c>
      <c r="B174" t="s">
        <v>346</v>
      </c>
      <c r="C174" s="3" t="s">
        <v>327</v>
      </c>
    </row>
    <row r="175" spans="1:3" x14ac:dyDescent="0.2">
      <c r="A175">
        <v>402070</v>
      </c>
      <c r="B175" t="s">
        <v>347</v>
      </c>
      <c r="C175" s="3" t="s">
        <v>348</v>
      </c>
    </row>
    <row r="176" spans="1:3" x14ac:dyDescent="0.2">
      <c r="A176">
        <v>402080</v>
      </c>
      <c r="B176" t="s">
        <v>349</v>
      </c>
      <c r="C176" s="3" t="s">
        <v>350</v>
      </c>
    </row>
    <row r="177" spans="1:3" x14ac:dyDescent="0.2">
      <c r="A177">
        <v>403010</v>
      </c>
      <c r="B177" t="s">
        <v>351</v>
      </c>
      <c r="C177" s="3" t="s">
        <v>327</v>
      </c>
    </row>
    <row r="178" spans="1:3" x14ac:dyDescent="0.2">
      <c r="A178">
        <v>403020</v>
      </c>
      <c r="B178" t="s">
        <v>352</v>
      </c>
      <c r="C178" s="3" t="s">
        <v>353</v>
      </c>
    </row>
    <row r="179" spans="1:3" x14ac:dyDescent="0.2">
      <c r="A179">
        <v>403030</v>
      </c>
      <c r="B179" t="s">
        <v>354</v>
      </c>
      <c r="C179" s="4" t="s">
        <v>355</v>
      </c>
    </row>
    <row r="180" spans="1:3" x14ac:dyDescent="0.2">
      <c r="A180">
        <v>403040</v>
      </c>
      <c r="B180" t="s">
        <v>356</v>
      </c>
      <c r="C180" s="3" t="s">
        <v>357</v>
      </c>
    </row>
    <row r="181" spans="1:3" x14ac:dyDescent="0.2">
      <c r="A181">
        <v>403050</v>
      </c>
      <c r="B181" t="s">
        <v>358</v>
      </c>
      <c r="C181" s="3" t="s">
        <v>359</v>
      </c>
    </row>
    <row r="182" spans="1:3" x14ac:dyDescent="0.2">
      <c r="A182">
        <v>403060</v>
      </c>
      <c r="B182" t="s">
        <v>360</v>
      </c>
      <c r="C182" s="4" t="s">
        <v>361</v>
      </c>
    </row>
    <row r="183" spans="1:3" x14ac:dyDescent="0.2">
      <c r="A183">
        <v>403070</v>
      </c>
      <c r="B183" t="s">
        <v>362</v>
      </c>
      <c r="C183" s="4" t="s">
        <v>363</v>
      </c>
    </row>
    <row r="184" spans="1:3" x14ac:dyDescent="0.2">
      <c r="A184">
        <v>403080</v>
      </c>
      <c r="B184" t="s">
        <v>364</v>
      </c>
      <c r="C184" s="3" t="s">
        <v>365</v>
      </c>
    </row>
    <row r="185" spans="1:3" x14ac:dyDescent="0.2">
      <c r="A185">
        <v>404010</v>
      </c>
      <c r="B185" t="s">
        <v>366</v>
      </c>
      <c r="C185" s="3" t="s">
        <v>327</v>
      </c>
    </row>
    <row r="186" spans="1:3" x14ac:dyDescent="0.2">
      <c r="A186">
        <v>404020</v>
      </c>
      <c r="B186" t="s">
        <v>367</v>
      </c>
      <c r="C186" s="3" t="s">
        <v>327</v>
      </c>
    </row>
    <row r="187" spans="1:3" x14ac:dyDescent="0.2">
      <c r="A187">
        <v>404030</v>
      </c>
      <c r="B187" t="s">
        <v>368</v>
      </c>
      <c r="C187" s="3" t="s">
        <v>369</v>
      </c>
    </row>
    <row r="188" spans="1:3" x14ac:dyDescent="0.2">
      <c r="A188">
        <v>404040</v>
      </c>
      <c r="B188" t="s">
        <v>370</v>
      </c>
      <c r="C188" s="3" t="s">
        <v>371</v>
      </c>
    </row>
    <row r="189" spans="1:3" x14ac:dyDescent="0.2">
      <c r="A189">
        <v>404050</v>
      </c>
      <c r="B189" t="s">
        <v>372</v>
      </c>
      <c r="C189" s="4" t="s">
        <v>373</v>
      </c>
    </row>
    <row r="190" spans="1:3" x14ac:dyDescent="0.2">
      <c r="A190">
        <v>404060</v>
      </c>
      <c r="B190" t="s">
        <v>374</v>
      </c>
      <c r="C190" s="3" t="s">
        <v>336</v>
      </c>
    </row>
    <row r="191" spans="1:3" x14ac:dyDescent="0.2">
      <c r="A191">
        <v>404070</v>
      </c>
      <c r="B191" t="s">
        <v>375</v>
      </c>
      <c r="C191" s="3" t="s">
        <v>262</v>
      </c>
    </row>
    <row r="192" spans="1:3" x14ac:dyDescent="0.2">
      <c r="A192">
        <v>404080</v>
      </c>
      <c r="B192" t="s">
        <v>376</v>
      </c>
      <c r="C192" s="3" t="s">
        <v>336</v>
      </c>
    </row>
    <row r="193" spans="1:3" x14ac:dyDescent="0.2">
      <c r="A193">
        <v>405010</v>
      </c>
      <c r="B193" t="s">
        <v>377</v>
      </c>
      <c r="C193" s="3" t="s">
        <v>327</v>
      </c>
    </row>
    <row r="194" spans="1:3" x14ac:dyDescent="0.2">
      <c r="A194">
        <v>405020</v>
      </c>
      <c r="B194" t="s">
        <v>378</v>
      </c>
      <c r="C194" s="3" t="s">
        <v>327</v>
      </c>
    </row>
    <row r="195" spans="1:3" x14ac:dyDescent="0.2">
      <c r="A195">
        <v>405030</v>
      </c>
      <c r="B195" t="s">
        <v>379</v>
      </c>
      <c r="C195" s="3" t="s">
        <v>371</v>
      </c>
    </row>
    <row r="196" spans="1:3" x14ac:dyDescent="0.2">
      <c r="A196">
        <v>405040</v>
      </c>
      <c r="B196" t="s">
        <v>380</v>
      </c>
      <c r="C196" s="3" t="s">
        <v>381</v>
      </c>
    </row>
    <row r="197" spans="1:3" x14ac:dyDescent="0.2">
      <c r="A197">
        <v>405050</v>
      </c>
      <c r="B197" t="s">
        <v>382</v>
      </c>
      <c r="C197" s="3" t="s">
        <v>350</v>
      </c>
    </row>
    <row r="198" spans="1:3" x14ac:dyDescent="0.2">
      <c r="A198">
        <v>405060</v>
      </c>
      <c r="B198" t="s">
        <v>383</v>
      </c>
      <c r="C198" s="3" t="s">
        <v>384</v>
      </c>
    </row>
    <row r="199" spans="1:3" x14ac:dyDescent="0.2">
      <c r="A199">
        <v>405070</v>
      </c>
      <c r="B199" t="s">
        <v>385</v>
      </c>
      <c r="C199" s="4" t="s">
        <v>386</v>
      </c>
    </row>
    <row r="200" spans="1:3" x14ac:dyDescent="0.2">
      <c r="A200">
        <v>405080</v>
      </c>
      <c r="B200" t="s">
        <v>387</v>
      </c>
      <c r="C200" s="3" t="s">
        <v>388</v>
      </c>
    </row>
    <row r="201" spans="1:3" x14ac:dyDescent="0.2">
      <c r="A201">
        <v>411010</v>
      </c>
      <c r="B201" t="s">
        <v>389</v>
      </c>
      <c r="C201" s="4" t="s">
        <v>261</v>
      </c>
    </row>
    <row r="202" spans="1:3" x14ac:dyDescent="0.2">
      <c r="A202">
        <v>411020</v>
      </c>
      <c r="B202" t="s">
        <v>390</v>
      </c>
      <c r="C202" s="4" t="s">
        <v>261</v>
      </c>
    </row>
    <row r="203" spans="1:3" x14ac:dyDescent="0.2">
      <c r="A203">
        <v>411030</v>
      </c>
      <c r="B203" t="s">
        <v>391</v>
      </c>
      <c r="C203" s="4" t="s">
        <v>392</v>
      </c>
    </row>
    <row r="204" spans="1:3" x14ac:dyDescent="0.2">
      <c r="A204">
        <v>411040</v>
      </c>
      <c r="B204" t="s">
        <v>393</v>
      </c>
      <c r="C204" s="4" t="s">
        <v>336</v>
      </c>
    </row>
    <row r="205" spans="1:3" x14ac:dyDescent="0.2">
      <c r="A205">
        <v>411050</v>
      </c>
      <c r="B205" t="s">
        <v>394</v>
      </c>
      <c r="C205" s="4" t="s">
        <v>373</v>
      </c>
    </row>
    <row r="206" spans="1:3" x14ac:dyDescent="0.2">
      <c r="A206">
        <v>411060</v>
      </c>
      <c r="B206" t="s">
        <v>395</v>
      </c>
      <c r="C206" s="4" t="s">
        <v>373</v>
      </c>
    </row>
    <row r="207" spans="1:3" x14ac:dyDescent="0.2">
      <c r="A207">
        <v>411070</v>
      </c>
      <c r="B207" t="s">
        <v>396</v>
      </c>
      <c r="C207" s="4" t="s">
        <v>261</v>
      </c>
    </row>
    <row r="208" spans="1:3" x14ac:dyDescent="0.2">
      <c r="A208">
        <v>411080</v>
      </c>
      <c r="B208" t="s">
        <v>397</v>
      </c>
      <c r="C208" s="4" t="s">
        <v>261</v>
      </c>
    </row>
    <row r="209" spans="1:3" x14ac:dyDescent="0.2">
      <c r="A209">
        <v>411090</v>
      </c>
      <c r="B209" t="s">
        <v>398</v>
      </c>
      <c r="C209" s="4" t="s">
        <v>399</v>
      </c>
    </row>
    <row r="210" spans="1:3" x14ac:dyDescent="0.2">
      <c r="A210">
        <v>412010</v>
      </c>
      <c r="B210" t="s">
        <v>400</v>
      </c>
      <c r="C210" t="s">
        <v>401</v>
      </c>
    </row>
    <row r="211" spans="1:3" x14ac:dyDescent="0.2">
      <c r="A211">
        <v>412020</v>
      </c>
      <c r="B211" t="s">
        <v>402</v>
      </c>
      <c r="C211" s="4" t="s">
        <v>341</v>
      </c>
    </row>
    <row r="212" spans="1:3" x14ac:dyDescent="0.2">
      <c r="A212">
        <v>412030</v>
      </c>
      <c r="B212" t="s">
        <v>403</v>
      </c>
      <c r="C212" s="4" t="s">
        <v>404</v>
      </c>
    </row>
    <row r="213" spans="1:3" x14ac:dyDescent="0.2">
      <c r="A213">
        <v>412040</v>
      </c>
      <c r="B213" t="s">
        <v>405</v>
      </c>
      <c r="C213" s="4" t="s">
        <v>406</v>
      </c>
    </row>
    <row r="214" spans="1:3" x14ac:dyDescent="0.2">
      <c r="A214">
        <v>412050</v>
      </c>
      <c r="B214" t="s">
        <v>407</v>
      </c>
      <c r="C214" s="4" t="s">
        <v>344</v>
      </c>
    </row>
    <row r="215" spans="1:3" x14ac:dyDescent="0.2">
      <c r="A215">
        <v>412060</v>
      </c>
      <c r="B215" t="s">
        <v>408</v>
      </c>
      <c r="C215" s="3" t="s">
        <v>327</v>
      </c>
    </row>
    <row r="216" spans="1:3" x14ac:dyDescent="0.2">
      <c r="A216">
        <v>412070</v>
      </c>
      <c r="B216" t="s">
        <v>409</v>
      </c>
      <c r="C216" s="4" t="s">
        <v>261</v>
      </c>
    </row>
    <row r="217" spans="1:3" x14ac:dyDescent="0.2">
      <c r="A217">
        <v>412080</v>
      </c>
      <c r="B217" t="s">
        <v>410</v>
      </c>
      <c r="C217" s="3" t="s">
        <v>327</v>
      </c>
    </row>
    <row r="218" spans="1:3" x14ac:dyDescent="0.2">
      <c r="A218">
        <v>412090</v>
      </c>
      <c r="B218" t="s">
        <v>411</v>
      </c>
      <c r="C218" s="4" t="s">
        <v>412</v>
      </c>
    </row>
    <row r="219" spans="1:3" x14ac:dyDescent="0.2">
      <c r="A219">
        <v>413010</v>
      </c>
      <c r="B219" t="s">
        <v>413</v>
      </c>
      <c r="C219" s="4" t="s">
        <v>355</v>
      </c>
    </row>
    <row r="220" spans="1:3" x14ac:dyDescent="0.2">
      <c r="A220">
        <v>413020</v>
      </c>
      <c r="B220" t="s">
        <v>414</v>
      </c>
      <c r="C220" s="3" t="s">
        <v>357</v>
      </c>
    </row>
    <row r="221" spans="1:3" x14ac:dyDescent="0.2">
      <c r="A221">
        <v>413030</v>
      </c>
      <c r="B221" t="s">
        <v>415</v>
      </c>
      <c r="C221" s="3" t="s">
        <v>336</v>
      </c>
    </row>
    <row r="222" spans="1:3" x14ac:dyDescent="0.2">
      <c r="A222">
        <v>413040</v>
      </c>
      <c r="B222" t="s">
        <v>416</v>
      </c>
      <c r="C222" s="3" t="s">
        <v>357</v>
      </c>
    </row>
    <row r="223" spans="1:3" x14ac:dyDescent="0.2">
      <c r="A223">
        <v>413050</v>
      </c>
      <c r="B223" t="s">
        <v>417</v>
      </c>
      <c r="C223" s="3" t="s">
        <v>336</v>
      </c>
    </row>
    <row r="224" spans="1:3" x14ac:dyDescent="0.2">
      <c r="A224">
        <v>413060</v>
      </c>
      <c r="B224" t="s">
        <v>418</v>
      </c>
      <c r="C224" s="3" t="s">
        <v>336</v>
      </c>
    </row>
    <row r="225" spans="1:3" x14ac:dyDescent="0.2">
      <c r="A225">
        <v>413070</v>
      </c>
      <c r="B225" t="s">
        <v>419</v>
      </c>
      <c r="C225" s="4" t="s">
        <v>420</v>
      </c>
    </row>
    <row r="226" spans="1:3" x14ac:dyDescent="0.2">
      <c r="A226">
        <v>413080</v>
      </c>
      <c r="B226" t="s">
        <v>421</v>
      </c>
      <c r="C226" s="3" t="s">
        <v>371</v>
      </c>
    </row>
    <row r="227" spans="1:3" x14ac:dyDescent="0.2">
      <c r="A227">
        <v>413090</v>
      </c>
      <c r="B227" t="s">
        <v>422</v>
      </c>
      <c r="C227" s="3" t="s">
        <v>423</v>
      </c>
    </row>
    <row r="228" spans="1:3" x14ac:dyDescent="0.2">
      <c r="A228">
        <v>414010</v>
      </c>
      <c r="B228" t="s">
        <v>424</v>
      </c>
      <c r="C228" s="3" t="s">
        <v>425</v>
      </c>
    </row>
    <row r="229" spans="1:3" x14ac:dyDescent="0.2">
      <c r="A229">
        <v>414020</v>
      </c>
      <c r="B229" t="s">
        <v>426</v>
      </c>
      <c r="C229" s="3" t="s">
        <v>427</v>
      </c>
    </row>
    <row r="230" spans="1:3" x14ac:dyDescent="0.2">
      <c r="A230">
        <v>414030</v>
      </c>
      <c r="B230" t="s">
        <v>428</v>
      </c>
      <c r="C230" s="3" t="s">
        <v>348</v>
      </c>
    </row>
    <row r="231" spans="1:3" x14ac:dyDescent="0.2">
      <c r="A231">
        <v>414040</v>
      </c>
      <c r="B231" t="s">
        <v>429</v>
      </c>
      <c r="C231" s="3" t="s">
        <v>262</v>
      </c>
    </row>
    <row r="232" spans="1:3" x14ac:dyDescent="0.2">
      <c r="A232">
        <v>414050</v>
      </c>
      <c r="B232" t="s">
        <v>430</v>
      </c>
      <c r="C232" s="3" t="s">
        <v>431</v>
      </c>
    </row>
    <row r="233" spans="1:3" x14ac:dyDescent="0.2">
      <c r="A233">
        <v>414060</v>
      </c>
      <c r="B233" t="s">
        <v>432</v>
      </c>
      <c r="C233" s="4" t="s">
        <v>373</v>
      </c>
    </row>
    <row r="234" spans="1:3" x14ac:dyDescent="0.2">
      <c r="A234">
        <v>414070</v>
      </c>
      <c r="B234" t="s">
        <v>433</v>
      </c>
      <c r="C234" s="4" t="s">
        <v>434</v>
      </c>
    </row>
    <row r="235" spans="1:3" x14ac:dyDescent="0.2">
      <c r="A235">
        <v>414080</v>
      </c>
      <c r="B235" t="s">
        <v>435</v>
      </c>
      <c r="C235" s="3" t="s">
        <v>262</v>
      </c>
    </row>
    <row r="236" spans="1:3" x14ac:dyDescent="0.2">
      <c r="A236">
        <v>414090</v>
      </c>
      <c r="B236" t="s">
        <v>436</v>
      </c>
      <c r="C236" s="3" t="s">
        <v>336</v>
      </c>
    </row>
    <row r="237" spans="1:3" x14ac:dyDescent="0.2">
      <c r="A237">
        <v>415010</v>
      </c>
      <c r="B237" t="s">
        <v>437</v>
      </c>
      <c r="C237" s="3" t="s">
        <v>438</v>
      </c>
    </row>
    <row r="238" spans="1:3" x14ac:dyDescent="0.2">
      <c r="A238">
        <v>415020</v>
      </c>
      <c r="B238" t="s">
        <v>439</v>
      </c>
      <c r="C238" s="3" t="s">
        <v>438</v>
      </c>
    </row>
    <row r="239" spans="1:3" x14ac:dyDescent="0.2">
      <c r="A239">
        <v>415030</v>
      </c>
      <c r="B239" t="s">
        <v>440</v>
      </c>
      <c r="C239" s="4" t="s">
        <v>373</v>
      </c>
    </row>
    <row r="240" spans="1:3" x14ac:dyDescent="0.2">
      <c r="A240">
        <v>415040</v>
      </c>
      <c r="B240" t="s">
        <v>441</v>
      </c>
      <c r="C240" s="4" t="s">
        <v>442</v>
      </c>
    </row>
    <row r="241" spans="1:3" x14ac:dyDescent="0.2">
      <c r="A241">
        <v>415050</v>
      </c>
      <c r="B241" t="s">
        <v>443</v>
      </c>
      <c r="C241" s="3" t="s">
        <v>371</v>
      </c>
    </row>
    <row r="242" spans="1:3" x14ac:dyDescent="0.2">
      <c r="A242">
        <v>415060</v>
      </c>
      <c r="B242" t="s">
        <v>444</v>
      </c>
      <c r="C242" s="3" t="s">
        <v>371</v>
      </c>
    </row>
    <row r="243" spans="1:3" x14ac:dyDescent="0.2">
      <c r="A243">
        <v>415070</v>
      </c>
      <c r="B243" t="s">
        <v>445</v>
      </c>
      <c r="C243" s="3" t="s">
        <v>438</v>
      </c>
    </row>
    <row r="244" spans="1:3" x14ac:dyDescent="0.2">
      <c r="A244">
        <v>415080</v>
      </c>
      <c r="B244" t="s">
        <v>446</v>
      </c>
      <c r="C244" s="3" t="s">
        <v>447</v>
      </c>
    </row>
    <row r="245" spans="1:3" x14ac:dyDescent="0.2">
      <c r="A245">
        <v>415090</v>
      </c>
      <c r="B245" t="s">
        <v>448</v>
      </c>
      <c r="C245" s="3" t="s">
        <v>449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2"/>
  <sheetViews>
    <sheetView topLeftCell="G52" workbookViewId="0">
      <selection activeCell="U67" sqref="U67"/>
    </sheetView>
  </sheetViews>
  <sheetFormatPr defaultColWidth="8.7265625" defaultRowHeight="13" x14ac:dyDescent="0.2"/>
  <cols>
    <col min="3" max="3" width="1.7265625" customWidth="1"/>
    <col min="6" max="6" width="1.54296875" customWidth="1"/>
    <col min="9" max="9" width="1.6328125" customWidth="1"/>
    <col min="12" max="12" width="2.26953125" customWidth="1"/>
    <col min="14" max="14" width="15.453125" customWidth="1"/>
    <col min="15" max="15" width="2.54296875" customWidth="1"/>
    <col min="18" max="18" width="2.453125" customWidth="1"/>
    <col min="20" max="20" width="10.36328125" customWidth="1"/>
    <col min="22" max="22" width="37.453125" customWidth="1"/>
  </cols>
  <sheetData>
    <row r="1" spans="1:29" x14ac:dyDescent="0.2">
      <c r="A1" t="s">
        <v>6</v>
      </c>
      <c r="D1" t="s">
        <v>9</v>
      </c>
      <c r="G1" t="s">
        <v>10</v>
      </c>
      <c r="J1" t="s">
        <v>11</v>
      </c>
      <c r="M1" t="s">
        <v>450</v>
      </c>
      <c r="P1" t="s">
        <v>451</v>
      </c>
      <c r="S1" t="s">
        <v>452</v>
      </c>
      <c r="U1" t="s">
        <v>453</v>
      </c>
      <c r="W1" t="s">
        <v>454</v>
      </c>
      <c r="Y1" t="s">
        <v>25</v>
      </c>
    </row>
    <row r="2" spans="1:29" x14ac:dyDescent="0.2">
      <c r="A2">
        <v>0</v>
      </c>
      <c r="B2" t="s">
        <v>455</v>
      </c>
      <c r="D2">
        <v>0</v>
      </c>
      <c r="E2" t="s">
        <v>455</v>
      </c>
      <c r="G2">
        <v>0</v>
      </c>
      <c r="H2" t="s">
        <v>455</v>
      </c>
      <c r="J2">
        <v>0</v>
      </c>
      <c r="K2" t="s">
        <v>455</v>
      </c>
      <c r="M2">
        <v>0</v>
      </c>
      <c r="N2" t="s">
        <v>455</v>
      </c>
      <c r="P2">
        <v>0</v>
      </c>
      <c r="Q2" t="s">
        <v>456</v>
      </c>
      <c r="U2">
        <v>0</v>
      </c>
      <c r="V2" t="s">
        <v>455</v>
      </c>
      <c r="W2">
        <v>0</v>
      </c>
      <c r="X2" t="s">
        <v>455</v>
      </c>
      <c r="Y2">
        <v>0</v>
      </c>
      <c r="Z2" t="s">
        <v>455</v>
      </c>
      <c r="AB2">
        <v>301</v>
      </c>
      <c r="AC2" t="s">
        <v>457</v>
      </c>
    </row>
    <row r="3" spans="1:29" x14ac:dyDescent="0.2">
      <c r="A3">
        <v>1</v>
      </c>
      <c r="B3" t="s">
        <v>458</v>
      </c>
      <c r="D3">
        <v>1</v>
      </c>
      <c r="E3" t="s">
        <v>459</v>
      </c>
      <c r="G3">
        <v>1</v>
      </c>
      <c r="H3" t="s">
        <v>460</v>
      </c>
      <c r="J3">
        <v>1</v>
      </c>
      <c r="K3" t="s">
        <v>461</v>
      </c>
      <c r="M3">
        <v>1</v>
      </c>
      <c r="N3" t="s">
        <v>458</v>
      </c>
      <c r="P3">
        <v>1010</v>
      </c>
      <c r="Q3" t="s">
        <v>462</v>
      </c>
      <c r="U3">
        <v>1010</v>
      </c>
      <c r="V3" t="s">
        <v>463</v>
      </c>
      <c r="W3">
        <v>1</v>
      </c>
      <c r="X3" t="s">
        <v>464</v>
      </c>
      <c r="Y3">
        <v>1</v>
      </c>
      <c r="Z3" t="s">
        <v>465</v>
      </c>
      <c r="AB3">
        <v>302</v>
      </c>
      <c r="AC3" t="s">
        <v>466</v>
      </c>
    </row>
    <row r="4" spans="1:29" x14ac:dyDescent="0.2">
      <c r="A4">
        <v>2</v>
      </c>
      <c r="B4" t="s">
        <v>467</v>
      </c>
      <c r="D4">
        <v>2</v>
      </c>
      <c r="E4" t="s">
        <v>468</v>
      </c>
      <c r="G4">
        <v>2</v>
      </c>
      <c r="H4" t="s">
        <v>469</v>
      </c>
      <c r="J4">
        <v>2</v>
      </c>
      <c r="K4" t="s">
        <v>470</v>
      </c>
      <c r="M4">
        <v>2</v>
      </c>
      <c r="N4" t="s">
        <v>467</v>
      </c>
      <c r="P4">
        <v>1020</v>
      </c>
      <c r="Q4" t="s">
        <v>471</v>
      </c>
      <c r="U4">
        <v>1020</v>
      </c>
      <c r="V4" t="s">
        <v>472</v>
      </c>
      <c r="W4">
        <v>2</v>
      </c>
      <c r="X4" t="s">
        <v>473</v>
      </c>
      <c r="Y4">
        <v>2</v>
      </c>
      <c r="Z4" t="s">
        <v>474</v>
      </c>
      <c r="AB4" s="2">
        <v>303</v>
      </c>
      <c r="AC4" s="2" t="s">
        <v>475</v>
      </c>
    </row>
    <row r="5" spans="1:29" x14ac:dyDescent="0.2">
      <c r="A5">
        <v>3</v>
      </c>
      <c r="B5" t="s">
        <v>476</v>
      </c>
      <c r="D5">
        <v>3</v>
      </c>
      <c r="E5" t="s">
        <v>477</v>
      </c>
      <c r="G5">
        <v>3</v>
      </c>
      <c r="H5" t="s">
        <v>478</v>
      </c>
      <c r="J5">
        <v>3</v>
      </c>
      <c r="K5" t="s">
        <v>479</v>
      </c>
      <c r="M5">
        <v>3</v>
      </c>
      <c r="N5" t="s">
        <v>476</v>
      </c>
      <c r="P5">
        <v>1030</v>
      </c>
      <c r="Q5" t="s">
        <v>480</v>
      </c>
      <c r="U5">
        <v>1030</v>
      </c>
      <c r="V5" t="s">
        <v>481</v>
      </c>
      <c r="W5">
        <v>3</v>
      </c>
      <c r="X5" t="s">
        <v>482</v>
      </c>
      <c r="Y5">
        <v>3</v>
      </c>
      <c r="Z5" t="s">
        <v>483</v>
      </c>
      <c r="AB5">
        <v>304</v>
      </c>
      <c r="AC5" t="s">
        <v>484</v>
      </c>
    </row>
    <row r="6" spans="1:29" x14ac:dyDescent="0.2">
      <c r="D6">
        <v>4</v>
      </c>
      <c r="E6" t="s">
        <v>473</v>
      </c>
      <c r="G6">
        <v>4</v>
      </c>
      <c r="H6" t="s">
        <v>31</v>
      </c>
      <c r="J6">
        <v>4</v>
      </c>
      <c r="K6" t="s">
        <v>485</v>
      </c>
      <c r="M6">
        <v>4</v>
      </c>
      <c r="N6" t="s">
        <v>485</v>
      </c>
      <c r="P6">
        <v>1040</v>
      </c>
      <c r="Q6" t="s">
        <v>486</v>
      </c>
      <c r="U6">
        <v>1040</v>
      </c>
      <c r="V6" t="s">
        <v>487</v>
      </c>
      <c r="W6">
        <v>4</v>
      </c>
      <c r="X6" t="s">
        <v>488</v>
      </c>
      <c r="Y6">
        <v>4</v>
      </c>
      <c r="Z6" t="s">
        <v>489</v>
      </c>
      <c r="AB6">
        <v>305</v>
      </c>
      <c r="AC6" t="s">
        <v>490</v>
      </c>
    </row>
    <row r="7" spans="1:29" x14ac:dyDescent="0.2">
      <c r="D7">
        <v>5</v>
      </c>
      <c r="E7" t="s">
        <v>491</v>
      </c>
      <c r="G7">
        <v>5</v>
      </c>
      <c r="H7" t="s">
        <v>492</v>
      </c>
      <c r="J7">
        <v>6</v>
      </c>
      <c r="K7" t="s">
        <v>493</v>
      </c>
      <c r="M7">
        <v>5</v>
      </c>
      <c r="N7" t="s">
        <v>494</v>
      </c>
      <c r="P7">
        <v>1050</v>
      </c>
      <c r="Q7" t="s">
        <v>495</v>
      </c>
      <c r="U7">
        <v>1050</v>
      </c>
      <c r="V7" t="s">
        <v>496</v>
      </c>
      <c r="W7">
        <v>5</v>
      </c>
      <c r="X7" t="s">
        <v>497</v>
      </c>
      <c r="Y7">
        <v>5</v>
      </c>
      <c r="Z7" t="s">
        <v>498</v>
      </c>
      <c r="AB7">
        <v>306</v>
      </c>
      <c r="AC7" t="s">
        <v>499</v>
      </c>
    </row>
    <row r="8" spans="1:29" x14ac:dyDescent="0.2">
      <c r="D8">
        <v>6</v>
      </c>
      <c r="E8" t="s">
        <v>500</v>
      </c>
      <c r="G8">
        <v>6</v>
      </c>
      <c r="H8" t="s">
        <v>501</v>
      </c>
      <c r="J8">
        <v>7</v>
      </c>
      <c r="K8" t="s">
        <v>502</v>
      </c>
      <c r="M8">
        <v>11</v>
      </c>
      <c r="N8" t="s">
        <v>503</v>
      </c>
      <c r="P8">
        <v>1060</v>
      </c>
      <c r="Q8" t="s">
        <v>504</v>
      </c>
      <c r="U8">
        <v>1060</v>
      </c>
      <c r="V8" t="s">
        <v>505</v>
      </c>
      <c r="W8">
        <v>6</v>
      </c>
      <c r="X8" t="s">
        <v>506</v>
      </c>
      <c r="Y8">
        <v>11</v>
      </c>
      <c r="Z8" t="s">
        <v>507</v>
      </c>
      <c r="AB8">
        <v>307</v>
      </c>
      <c r="AC8" t="s">
        <v>508</v>
      </c>
    </row>
    <row r="9" spans="1:29" x14ac:dyDescent="0.2">
      <c r="G9">
        <v>11</v>
      </c>
      <c r="H9" t="s">
        <v>509</v>
      </c>
      <c r="J9">
        <v>11</v>
      </c>
      <c r="K9" t="s">
        <v>510</v>
      </c>
      <c r="M9">
        <v>12</v>
      </c>
      <c r="N9" s="1" t="s">
        <v>511</v>
      </c>
      <c r="P9">
        <v>1070</v>
      </c>
      <c r="Q9" t="s">
        <v>512</v>
      </c>
      <c r="U9">
        <v>1130</v>
      </c>
      <c r="V9" t="s">
        <v>513</v>
      </c>
      <c r="W9">
        <v>7</v>
      </c>
      <c r="X9" t="s">
        <v>514</v>
      </c>
      <c r="Y9">
        <v>20</v>
      </c>
      <c r="Z9" t="s">
        <v>515</v>
      </c>
      <c r="AB9">
        <v>308</v>
      </c>
      <c r="AC9" t="s">
        <v>516</v>
      </c>
    </row>
    <row r="10" spans="1:29" x14ac:dyDescent="0.2">
      <c r="G10">
        <v>12</v>
      </c>
      <c r="H10" t="s">
        <v>517</v>
      </c>
      <c r="J10">
        <v>101</v>
      </c>
      <c r="K10" t="s">
        <v>518</v>
      </c>
      <c r="M10">
        <v>13</v>
      </c>
      <c r="N10" s="1" t="s">
        <v>519</v>
      </c>
      <c r="P10">
        <v>1080</v>
      </c>
      <c r="Q10" t="s">
        <v>520</v>
      </c>
      <c r="U10">
        <v>1140</v>
      </c>
      <c r="V10" t="s">
        <v>521</v>
      </c>
      <c r="W10">
        <v>10</v>
      </c>
      <c r="X10" t="s">
        <v>522</v>
      </c>
      <c r="Y10">
        <v>24</v>
      </c>
      <c r="Z10" t="s">
        <v>523</v>
      </c>
      <c r="AB10">
        <v>309</v>
      </c>
      <c r="AC10" t="s">
        <v>524</v>
      </c>
    </row>
    <row r="11" spans="1:29" x14ac:dyDescent="0.2">
      <c r="M11">
        <v>21</v>
      </c>
      <c r="N11" t="s">
        <v>525</v>
      </c>
      <c r="P11">
        <v>1090</v>
      </c>
      <c r="Q11" t="s">
        <v>526</v>
      </c>
      <c r="U11">
        <v>1150</v>
      </c>
      <c r="V11" t="s">
        <v>527</v>
      </c>
      <c r="W11">
        <v>11</v>
      </c>
      <c r="X11" t="s">
        <v>31</v>
      </c>
      <c r="Y11">
        <v>31</v>
      </c>
      <c r="Z11" t="s">
        <v>528</v>
      </c>
      <c r="AB11">
        <v>310</v>
      </c>
      <c r="AC11" t="s">
        <v>529</v>
      </c>
    </row>
    <row r="12" spans="1:29" x14ac:dyDescent="0.2">
      <c r="M12">
        <v>31</v>
      </c>
      <c r="N12" t="s">
        <v>530</v>
      </c>
      <c r="P12">
        <v>1100</v>
      </c>
      <c r="Q12" t="s">
        <v>531</v>
      </c>
      <c r="U12">
        <v>1160</v>
      </c>
      <c r="V12" t="s">
        <v>532</v>
      </c>
      <c r="W12">
        <v>99</v>
      </c>
      <c r="X12" t="s">
        <v>533</v>
      </c>
      <c r="Y12">
        <v>32</v>
      </c>
      <c r="Z12" t="s">
        <v>534</v>
      </c>
      <c r="AB12">
        <v>311</v>
      </c>
      <c r="AC12" t="s">
        <v>535</v>
      </c>
    </row>
    <row r="13" spans="1:29" x14ac:dyDescent="0.2">
      <c r="M13">
        <v>32</v>
      </c>
      <c r="N13" t="s">
        <v>536</v>
      </c>
      <c r="P13">
        <v>1110</v>
      </c>
      <c r="Q13" t="s">
        <v>537</v>
      </c>
      <c r="U13">
        <v>2010</v>
      </c>
      <c r="V13" t="s">
        <v>538</v>
      </c>
      <c r="W13" t="s">
        <v>539</v>
      </c>
      <c r="Y13">
        <v>33</v>
      </c>
      <c r="Z13" t="s">
        <v>540</v>
      </c>
      <c r="AB13">
        <v>401</v>
      </c>
      <c r="AC13" t="s">
        <v>541</v>
      </c>
    </row>
    <row r="14" spans="1:29" x14ac:dyDescent="0.2">
      <c r="P14">
        <v>2010</v>
      </c>
      <c r="Q14" t="s">
        <v>542</v>
      </c>
      <c r="U14">
        <v>3010</v>
      </c>
      <c r="V14" t="s">
        <v>543</v>
      </c>
      <c r="Y14">
        <v>41</v>
      </c>
      <c r="Z14" t="s">
        <v>544</v>
      </c>
      <c r="AB14">
        <v>402</v>
      </c>
      <c r="AC14" t="s">
        <v>545</v>
      </c>
    </row>
    <row r="15" spans="1:29" x14ac:dyDescent="0.2">
      <c r="P15">
        <v>2020</v>
      </c>
      <c r="Q15" t="s">
        <v>546</v>
      </c>
      <c r="U15">
        <v>3020</v>
      </c>
      <c r="V15" t="s">
        <v>547</v>
      </c>
      <c r="Y15">
        <v>51</v>
      </c>
      <c r="Z15" t="s">
        <v>548</v>
      </c>
      <c r="AB15">
        <v>403</v>
      </c>
      <c r="AC15" t="s">
        <v>549</v>
      </c>
    </row>
    <row r="16" spans="1:29" x14ac:dyDescent="0.2">
      <c r="P16">
        <v>2030</v>
      </c>
      <c r="Q16" t="s">
        <v>550</v>
      </c>
      <c r="U16">
        <v>3030</v>
      </c>
      <c r="V16" t="s">
        <v>551</v>
      </c>
      <c r="Y16">
        <v>52</v>
      </c>
      <c r="Z16" t="s">
        <v>552</v>
      </c>
      <c r="AB16">
        <v>404</v>
      </c>
      <c r="AC16" t="s">
        <v>553</v>
      </c>
    </row>
    <row r="17" spans="16:29" x14ac:dyDescent="0.2">
      <c r="P17">
        <v>2040</v>
      </c>
      <c r="Q17" t="s">
        <v>554</v>
      </c>
      <c r="U17">
        <v>3040</v>
      </c>
      <c r="V17" t="s">
        <v>555</v>
      </c>
      <c r="AB17">
        <v>501</v>
      </c>
      <c r="AC17" t="s">
        <v>556</v>
      </c>
    </row>
    <row r="18" spans="16:29" x14ac:dyDescent="0.2">
      <c r="P18">
        <v>2110</v>
      </c>
      <c r="Q18" t="s">
        <v>557</v>
      </c>
      <c r="U18">
        <v>3050</v>
      </c>
      <c r="V18" t="s">
        <v>558</v>
      </c>
      <c r="AB18">
        <v>502</v>
      </c>
      <c r="AC18" t="s">
        <v>559</v>
      </c>
    </row>
    <row r="19" spans="16:29" x14ac:dyDescent="0.2">
      <c r="P19">
        <v>2120</v>
      </c>
      <c r="Q19" t="s">
        <v>560</v>
      </c>
      <c r="U19">
        <v>3060</v>
      </c>
      <c r="V19" t="s">
        <v>561</v>
      </c>
      <c r="AB19">
        <v>503</v>
      </c>
      <c r="AC19" t="s">
        <v>562</v>
      </c>
    </row>
    <row r="20" spans="16:29" x14ac:dyDescent="0.2">
      <c r="P20">
        <v>2130</v>
      </c>
      <c r="Q20" t="s">
        <v>563</v>
      </c>
      <c r="U20">
        <v>4010</v>
      </c>
      <c r="V20" t="s">
        <v>564</v>
      </c>
      <c r="AB20">
        <v>504</v>
      </c>
      <c r="AC20" t="s">
        <v>565</v>
      </c>
    </row>
    <row r="21" spans="16:29" x14ac:dyDescent="0.2">
      <c r="P21">
        <v>3010</v>
      </c>
      <c r="Q21" t="s">
        <v>566</v>
      </c>
      <c r="U21">
        <v>4020</v>
      </c>
      <c r="V21" t="s">
        <v>567</v>
      </c>
      <c r="AB21">
        <v>505</v>
      </c>
      <c r="AC21" t="s">
        <v>568</v>
      </c>
    </row>
    <row r="22" spans="16:29" x14ac:dyDescent="0.2">
      <c r="P22">
        <v>3020</v>
      </c>
      <c r="Q22" t="s">
        <v>569</v>
      </c>
      <c r="U22">
        <v>5010</v>
      </c>
      <c r="V22" t="s">
        <v>570</v>
      </c>
      <c r="AB22">
        <v>506</v>
      </c>
      <c r="AC22" t="s">
        <v>571</v>
      </c>
    </row>
    <row r="23" spans="16:29" x14ac:dyDescent="0.2">
      <c r="P23">
        <v>3030</v>
      </c>
      <c r="Q23" t="s">
        <v>572</v>
      </c>
      <c r="U23">
        <v>5020</v>
      </c>
      <c r="V23" t="s">
        <v>573</v>
      </c>
      <c r="AB23">
        <v>507</v>
      </c>
      <c r="AC23" t="s">
        <v>574</v>
      </c>
    </row>
    <row r="24" spans="16:29" x14ac:dyDescent="0.2">
      <c r="P24">
        <v>3040</v>
      </c>
      <c r="Q24" t="s">
        <v>575</v>
      </c>
      <c r="U24">
        <v>5030</v>
      </c>
      <c r="V24" t="s">
        <v>576</v>
      </c>
      <c r="AB24">
        <v>508</v>
      </c>
      <c r="AC24" t="s">
        <v>541</v>
      </c>
    </row>
    <row r="25" spans="16:29" x14ac:dyDescent="0.2">
      <c r="P25">
        <v>3050</v>
      </c>
      <c r="Q25" t="s">
        <v>577</v>
      </c>
      <c r="U25">
        <v>5040</v>
      </c>
      <c r="V25" t="s">
        <v>578</v>
      </c>
      <c r="AB25">
        <v>509</v>
      </c>
      <c r="AC25" t="s">
        <v>549</v>
      </c>
    </row>
    <row r="26" spans="16:29" x14ac:dyDescent="0.2">
      <c r="P26">
        <v>3060</v>
      </c>
      <c r="Q26" t="s">
        <v>579</v>
      </c>
      <c r="U26">
        <v>5050</v>
      </c>
      <c r="V26" t="s">
        <v>580</v>
      </c>
    </row>
    <row r="27" spans="16:29" x14ac:dyDescent="0.2">
      <c r="P27">
        <v>3070</v>
      </c>
      <c r="Q27" t="s">
        <v>581</v>
      </c>
      <c r="U27">
        <v>5060</v>
      </c>
      <c r="V27" t="s">
        <v>582</v>
      </c>
    </row>
    <row r="28" spans="16:29" x14ac:dyDescent="0.2">
      <c r="P28">
        <v>4010</v>
      </c>
      <c r="Q28" t="s">
        <v>583</v>
      </c>
      <c r="U28">
        <v>5070</v>
      </c>
      <c r="V28" t="s">
        <v>584</v>
      </c>
    </row>
    <row r="29" spans="16:29" x14ac:dyDescent="0.2">
      <c r="P29">
        <v>4020</v>
      </c>
      <c r="Q29" t="s">
        <v>585</v>
      </c>
      <c r="U29">
        <v>5080</v>
      </c>
      <c r="V29" t="s">
        <v>586</v>
      </c>
    </row>
    <row r="30" spans="16:29" x14ac:dyDescent="0.2">
      <c r="P30">
        <v>4030</v>
      </c>
      <c r="Q30" t="s">
        <v>587</v>
      </c>
      <c r="U30">
        <v>5090</v>
      </c>
      <c r="V30" t="s">
        <v>588</v>
      </c>
    </row>
    <row r="31" spans="16:29" x14ac:dyDescent="0.2">
      <c r="P31">
        <v>4040</v>
      </c>
      <c r="Q31" t="s">
        <v>589</v>
      </c>
      <c r="U31">
        <v>5100</v>
      </c>
      <c r="V31" t="s">
        <v>590</v>
      </c>
    </row>
    <row r="32" spans="16:29" x14ac:dyDescent="0.2">
      <c r="P32">
        <v>5010</v>
      </c>
      <c r="Q32" t="s">
        <v>591</v>
      </c>
      <c r="U32">
        <v>5110</v>
      </c>
      <c r="V32" t="s">
        <v>592</v>
      </c>
    </row>
    <row r="33" spans="16:22" x14ac:dyDescent="0.2">
      <c r="P33">
        <v>5011</v>
      </c>
      <c r="Q33" t="s">
        <v>593</v>
      </c>
      <c r="U33">
        <v>5120</v>
      </c>
      <c r="V33" t="s">
        <v>594</v>
      </c>
    </row>
    <row r="34" spans="16:22" x14ac:dyDescent="0.2">
      <c r="P34">
        <v>5012</v>
      </c>
      <c r="Q34" t="s">
        <v>595</v>
      </c>
      <c r="U34">
        <v>5130</v>
      </c>
      <c r="V34" t="s">
        <v>596</v>
      </c>
    </row>
    <row r="35" spans="16:22" x14ac:dyDescent="0.2">
      <c r="P35">
        <v>5020</v>
      </c>
      <c r="Q35" t="s">
        <v>597</v>
      </c>
      <c r="U35">
        <v>5140</v>
      </c>
      <c r="V35" t="s">
        <v>598</v>
      </c>
    </row>
    <row r="36" spans="16:22" x14ac:dyDescent="0.2">
      <c r="P36">
        <v>5030</v>
      </c>
      <c r="Q36" t="s">
        <v>599</v>
      </c>
      <c r="U36">
        <v>5150</v>
      </c>
      <c r="V36" t="s">
        <v>600</v>
      </c>
    </row>
    <row r="37" spans="16:22" x14ac:dyDescent="0.2">
      <c r="P37">
        <v>5040</v>
      </c>
      <c r="Q37" t="s">
        <v>601</v>
      </c>
      <c r="U37">
        <v>6010</v>
      </c>
      <c r="V37" t="s">
        <v>602</v>
      </c>
    </row>
    <row r="38" spans="16:22" x14ac:dyDescent="0.2">
      <c r="P38">
        <v>5050</v>
      </c>
      <c r="Q38" t="s">
        <v>603</v>
      </c>
      <c r="U38">
        <v>6020</v>
      </c>
      <c r="V38" t="s">
        <v>604</v>
      </c>
    </row>
    <row r="39" spans="16:22" x14ac:dyDescent="0.2">
      <c r="P39">
        <v>6010</v>
      </c>
      <c r="Q39" t="s">
        <v>605</v>
      </c>
      <c r="U39">
        <v>6030</v>
      </c>
      <c r="V39" t="s">
        <v>606</v>
      </c>
    </row>
    <row r="40" spans="16:22" x14ac:dyDescent="0.2">
      <c r="P40">
        <v>6020</v>
      </c>
      <c r="Q40" t="s">
        <v>607</v>
      </c>
      <c r="U40">
        <v>6040</v>
      </c>
      <c r="V40" t="s">
        <v>608</v>
      </c>
    </row>
    <row r="41" spans="16:22" x14ac:dyDescent="0.2">
      <c r="P41">
        <v>6030</v>
      </c>
      <c r="Q41" t="s">
        <v>609</v>
      </c>
      <c r="U41">
        <v>6050</v>
      </c>
      <c r="V41" t="s">
        <v>610</v>
      </c>
    </row>
    <row r="42" spans="16:22" x14ac:dyDescent="0.2">
      <c r="P42">
        <v>6040</v>
      </c>
      <c r="Q42" t="s">
        <v>611</v>
      </c>
      <c r="U42">
        <v>6060</v>
      </c>
      <c r="V42" t="s">
        <v>612</v>
      </c>
    </row>
    <row r="43" spans="16:22" x14ac:dyDescent="0.2">
      <c r="P43">
        <v>6050</v>
      </c>
      <c r="Q43" t="s">
        <v>613</v>
      </c>
      <c r="U43">
        <v>6110</v>
      </c>
      <c r="V43" t="s">
        <v>614</v>
      </c>
    </row>
    <row r="44" spans="16:22" x14ac:dyDescent="0.2">
      <c r="P44">
        <v>6060</v>
      </c>
      <c r="Q44" t="s">
        <v>615</v>
      </c>
      <c r="U44">
        <v>6120</v>
      </c>
      <c r="V44" t="s">
        <v>616</v>
      </c>
    </row>
    <row r="45" spans="16:22" x14ac:dyDescent="0.2">
      <c r="P45">
        <v>6070</v>
      </c>
      <c r="Q45" t="s">
        <v>617</v>
      </c>
      <c r="U45">
        <v>6130</v>
      </c>
      <c r="V45" t="s">
        <v>618</v>
      </c>
    </row>
    <row r="46" spans="16:22" x14ac:dyDescent="0.2">
      <c r="P46">
        <v>6080</v>
      </c>
      <c r="Q46" t="s">
        <v>619</v>
      </c>
      <c r="U46">
        <v>6140</v>
      </c>
      <c r="V46" t="s">
        <v>620</v>
      </c>
    </row>
    <row r="47" spans="16:22" x14ac:dyDescent="0.2">
      <c r="P47">
        <v>6100</v>
      </c>
      <c r="Q47" t="s">
        <v>621</v>
      </c>
      <c r="U47">
        <v>6150</v>
      </c>
      <c r="V47" t="s">
        <v>622</v>
      </c>
    </row>
    <row r="48" spans="16:22" x14ac:dyDescent="0.2">
      <c r="P48">
        <v>6210</v>
      </c>
      <c r="Q48" t="s">
        <v>623</v>
      </c>
      <c r="U48">
        <v>6210</v>
      </c>
      <c r="V48" t="s">
        <v>624</v>
      </c>
    </row>
    <row r="49" spans="16:22" x14ac:dyDescent="0.2">
      <c r="P49">
        <v>6310</v>
      </c>
      <c r="Q49" t="s">
        <v>625</v>
      </c>
      <c r="U49">
        <v>6220</v>
      </c>
      <c r="V49" t="s">
        <v>626</v>
      </c>
    </row>
    <row r="50" spans="16:22" x14ac:dyDescent="0.2">
      <c r="P50">
        <v>7010</v>
      </c>
      <c r="Q50" t="s">
        <v>627</v>
      </c>
      <c r="U50">
        <v>6230</v>
      </c>
      <c r="V50" t="s">
        <v>628</v>
      </c>
    </row>
    <row r="51" spans="16:22" x14ac:dyDescent="0.2">
      <c r="P51">
        <v>7020</v>
      </c>
      <c r="Q51" t="s">
        <v>629</v>
      </c>
      <c r="U51">
        <v>6240</v>
      </c>
      <c r="V51" t="s">
        <v>630</v>
      </c>
    </row>
    <row r="52" spans="16:22" x14ac:dyDescent="0.2">
      <c r="P52">
        <v>7030</v>
      </c>
      <c r="Q52" t="s">
        <v>631</v>
      </c>
      <c r="U52">
        <v>6250</v>
      </c>
      <c r="V52" t="s">
        <v>632</v>
      </c>
    </row>
    <row r="53" spans="16:22" x14ac:dyDescent="0.2">
      <c r="P53">
        <v>8010</v>
      </c>
      <c r="Q53" t="s">
        <v>633</v>
      </c>
      <c r="U53">
        <v>6310</v>
      </c>
      <c r="V53" t="s">
        <v>634</v>
      </c>
    </row>
    <row r="54" spans="16:22" x14ac:dyDescent="0.2">
      <c r="P54">
        <v>8020</v>
      </c>
      <c r="Q54" t="s">
        <v>635</v>
      </c>
      <c r="U54">
        <v>6320</v>
      </c>
      <c r="V54" t="s">
        <v>636</v>
      </c>
    </row>
    <row r="55" spans="16:22" x14ac:dyDescent="0.2">
      <c r="P55">
        <v>9010</v>
      </c>
      <c r="Q55" t="s">
        <v>637</v>
      </c>
      <c r="U55">
        <v>6330</v>
      </c>
      <c r="V55" t="s">
        <v>638</v>
      </c>
    </row>
    <row r="56" spans="16:22" x14ac:dyDescent="0.2">
      <c r="P56">
        <v>10010</v>
      </c>
      <c r="Q56" t="s">
        <v>639</v>
      </c>
      <c r="U56">
        <v>6340</v>
      </c>
      <c r="V56" t="s">
        <v>640</v>
      </c>
    </row>
    <row r="57" spans="16:22" x14ac:dyDescent="0.2">
      <c r="P57">
        <v>11010</v>
      </c>
      <c r="Q57" t="s">
        <v>641</v>
      </c>
      <c r="U57">
        <v>6350</v>
      </c>
      <c r="V57" t="s">
        <v>642</v>
      </c>
    </row>
    <row r="58" spans="16:22" x14ac:dyDescent="0.2">
      <c r="P58">
        <v>12010</v>
      </c>
      <c r="Q58" t="s">
        <v>643</v>
      </c>
      <c r="U58">
        <v>7010</v>
      </c>
      <c r="V58" t="s">
        <v>644</v>
      </c>
    </row>
    <row r="59" spans="16:22" x14ac:dyDescent="0.2">
      <c r="P59">
        <v>13010</v>
      </c>
      <c r="Q59" t="s">
        <v>645</v>
      </c>
      <c r="U59">
        <v>7020</v>
      </c>
      <c r="V59" t="s">
        <v>646</v>
      </c>
    </row>
    <row r="60" spans="16:22" x14ac:dyDescent="0.2">
      <c r="U60">
        <v>7030</v>
      </c>
      <c r="V60" t="s">
        <v>647</v>
      </c>
    </row>
    <row r="61" spans="16:22" x14ac:dyDescent="0.2">
      <c r="U61">
        <v>7040</v>
      </c>
      <c r="V61" t="s">
        <v>648</v>
      </c>
    </row>
    <row r="62" spans="16:22" x14ac:dyDescent="0.2">
      <c r="U62">
        <v>7050</v>
      </c>
      <c r="V62" t="s">
        <v>649</v>
      </c>
    </row>
    <row r="63" spans="16:22" x14ac:dyDescent="0.2">
      <c r="U63">
        <v>7060</v>
      </c>
      <c r="V63" t="s">
        <v>650</v>
      </c>
    </row>
    <row r="64" spans="16:22" x14ac:dyDescent="0.2">
      <c r="U64">
        <v>7070</v>
      </c>
      <c r="V64" t="s">
        <v>651</v>
      </c>
    </row>
    <row r="65" spans="21:22" x14ac:dyDescent="0.2">
      <c r="U65">
        <v>8010</v>
      </c>
      <c r="V65" t="s">
        <v>652</v>
      </c>
    </row>
    <row r="66" spans="21:22" x14ac:dyDescent="0.2">
      <c r="U66">
        <v>8020</v>
      </c>
      <c r="V66" t="s">
        <v>653</v>
      </c>
    </row>
    <row r="67" spans="21:22" x14ac:dyDescent="0.2">
      <c r="U67">
        <v>8030</v>
      </c>
      <c r="V67" t="s">
        <v>654</v>
      </c>
    </row>
    <row r="68" spans="21:22" x14ac:dyDescent="0.2">
      <c r="U68">
        <v>8040</v>
      </c>
      <c r="V68" t="s">
        <v>655</v>
      </c>
    </row>
    <row r="69" spans="21:22" x14ac:dyDescent="0.2">
      <c r="U69">
        <v>8050</v>
      </c>
      <c r="V69" t="s">
        <v>656</v>
      </c>
    </row>
    <row r="70" spans="21:22" x14ac:dyDescent="0.2">
      <c r="U70">
        <v>8060</v>
      </c>
      <c r="V70" t="s">
        <v>657</v>
      </c>
    </row>
    <row r="71" spans="21:22" x14ac:dyDescent="0.2">
      <c r="U71">
        <v>9010</v>
      </c>
      <c r="V71" t="s">
        <v>658</v>
      </c>
    </row>
    <row r="72" spans="21:22" x14ac:dyDescent="0.2">
      <c r="U72">
        <v>9020</v>
      </c>
      <c r="V72" t="s">
        <v>659</v>
      </c>
    </row>
    <row r="73" spans="21:22" x14ac:dyDescent="0.2">
      <c r="U73">
        <v>9030</v>
      </c>
      <c r="V73" t="s">
        <v>660</v>
      </c>
    </row>
    <row r="74" spans="21:22" x14ac:dyDescent="0.2">
      <c r="U74">
        <v>9031</v>
      </c>
      <c r="V74" t="s">
        <v>661</v>
      </c>
    </row>
    <row r="75" spans="21:22" x14ac:dyDescent="0.2">
      <c r="U75">
        <v>9040</v>
      </c>
      <c r="V75" t="s">
        <v>662</v>
      </c>
    </row>
    <row r="76" spans="21:22" x14ac:dyDescent="0.2">
      <c r="U76">
        <v>9110</v>
      </c>
      <c r="V76" t="s">
        <v>663</v>
      </c>
    </row>
    <row r="77" spans="21:22" x14ac:dyDescent="0.2">
      <c r="U77">
        <v>9120</v>
      </c>
      <c r="V77" t="s">
        <v>664</v>
      </c>
    </row>
    <row r="78" spans="21:22" x14ac:dyDescent="0.2">
      <c r="U78">
        <v>10010</v>
      </c>
      <c r="V78" t="s">
        <v>665</v>
      </c>
    </row>
    <row r="79" spans="21:22" x14ac:dyDescent="0.2">
      <c r="U79">
        <v>10020</v>
      </c>
      <c r="V79" t="s">
        <v>666</v>
      </c>
    </row>
    <row r="80" spans="21:22" x14ac:dyDescent="0.2">
      <c r="U80">
        <v>10110</v>
      </c>
      <c r="V80" t="s">
        <v>667</v>
      </c>
    </row>
    <row r="81" spans="21:22" x14ac:dyDescent="0.2">
      <c r="U81">
        <v>11010</v>
      </c>
      <c r="V81" t="s">
        <v>668</v>
      </c>
    </row>
    <row r="82" spans="21:22" x14ac:dyDescent="0.2">
      <c r="U82">
        <v>11020</v>
      </c>
      <c r="V82" t="s">
        <v>669</v>
      </c>
    </row>
    <row r="83" spans="21:22" x14ac:dyDescent="0.2">
      <c r="U83">
        <v>12030</v>
      </c>
      <c r="V83" t="s">
        <v>670</v>
      </c>
    </row>
    <row r="84" spans="21:22" x14ac:dyDescent="0.2">
      <c r="U84">
        <v>12040</v>
      </c>
      <c r="V84" t="s">
        <v>671</v>
      </c>
    </row>
    <row r="85" spans="21:22" x14ac:dyDescent="0.2">
      <c r="U85">
        <v>12041</v>
      </c>
      <c r="V85" t="s">
        <v>672</v>
      </c>
    </row>
    <row r="86" spans="21:22" x14ac:dyDescent="0.2">
      <c r="U86">
        <v>12042</v>
      </c>
      <c r="V86" t="s">
        <v>673</v>
      </c>
    </row>
    <row r="87" spans="21:22" x14ac:dyDescent="0.2">
      <c r="U87">
        <v>12043</v>
      </c>
      <c r="V87" t="s">
        <v>674</v>
      </c>
    </row>
    <row r="88" spans="21:22" x14ac:dyDescent="0.2">
      <c r="U88">
        <v>12050</v>
      </c>
      <c r="V88" t="s">
        <v>675</v>
      </c>
    </row>
    <row r="89" spans="21:22" x14ac:dyDescent="0.2">
      <c r="U89">
        <v>12060</v>
      </c>
      <c r="V89" t="s">
        <v>676</v>
      </c>
    </row>
    <row r="90" spans="21:22" x14ac:dyDescent="0.2">
      <c r="U90">
        <v>12063</v>
      </c>
      <c r="V90" t="s">
        <v>677</v>
      </c>
    </row>
    <row r="91" spans="21:22" x14ac:dyDescent="0.2">
      <c r="U91">
        <v>12064</v>
      </c>
      <c r="V91" t="s">
        <v>678</v>
      </c>
    </row>
    <row r="92" spans="21:22" x14ac:dyDescent="0.2">
      <c r="U92">
        <v>12066</v>
      </c>
      <c r="V92" t="s">
        <v>679</v>
      </c>
    </row>
    <row r="93" spans="21:22" x14ac:dyDescent="0.2">
      <c r="U93">
        <v>12070</v>
      </c>
      <c r="V93" t="s">
        <v>680</v>
      </c>
    </row>
    <row r="94" spans="21:22" x14ac:dyDescent="0.2">
      <c r="U94">
        <v>12071</v>
      </c>
      <c r="V94" t="s">
        <v>681</v>
      </c>
    </row>
    <row r="95" spans="21:22" x14ac:dyDescent="0.2">
      <c r="U95">
        <v>12082</v>
      </c>
      <c r="V95" t="s">
        <v>682</v>
      </c>
    </row>
    <row r="96" spans="21:22" x14ac:dyDescent="0.2">
      <c r="U96">
        <v>12092</v>
      </c>
      <c r="V96" t="s">
        <v>683</v>
      </c>
    </row>
    <row r="97" spans="21:22" x14ac:dyDescent="0.2">
      <c r="U97">
        <v>13010</v>
      </c>
      <c r="V97" t="s">
        <v>684</v>
      </c>
    </row>
    <row r="98" spans="21:22" x14ac:dyDescent="0.2">
      <c r="U98">
        <v>13020</v>
      </c>
      <c r="V98" t="s">
        <v>685</v>
      </c>
    </row>
    <row r="99" spans="21:22" x14ac:dyDescent="0.2">
      <c r="U99">
        <v>14010</v>
      </c>
      <c r="V99" t="s">
        <v>686</v>
      </c>
    </row>
    <row r="100" spans="21:22" x14ac:dyDescent="0.2">
      <c r="U100">
        <v>14110</v>
      </c>
      <c r="V100" t="s">
        <v>687</v>
      </c>
    </row>
    <row r="101" spans="21:22" x14ac:dyDescent="0.2">
      <c r="U101">
        <v>14210</v>
      </c>
      <c r="V101" t="s">
        <v>688</v>
      </c>
    </row>
    <row r="102" spans="21:22" x14ac:dyDescent="0.2">
      <c r="U102">
        <v>14310</v>
      </c>
      <c r="V102" t="s">
        <v>689</v>
      </c>
    </row>
    <row r="103" spans="21:22" x14ac:dyDescent="0.2">
      <c r="U103">
        <v>14410</v>
      </c>
      <c r="V103" t="s">
        <v>690</v>
      </c>
    </row>
    <row r="104" spans="21:22" x14ac:dyDescent="0.2">
      <c r="U104">
        <v>15010</v>
      </c>
      <c r="V104" t="s">
        <v>691</v>
      </c>
    </row>
    <row r="105" spans="21:22" x14ac:dyDescent="0.2">
      <c r="U105">
        <v>15011</v>
      </c>
      <c r="V105" t="s">
        <v>692</v>
      </c>
    </row>
    <row r="106" spans="21:22" x14ac:dyDescent="0.2">
      <c r="U106">
        <v>15022</v>
      </c>
      <c r="V106" t="s">
        <v>693</v>
      </c>
    </row>
    <row r="107" spans="21:22" x14ac:dyDescent="0.2">
      <c r="U107">
        <v>16010</v>
      </c>
      <c r="V107" t="s">
        <v>694</v>
      </c>
    </row>
    <row r="108" spans="21:22" x14ac:dyDescent="0.2">
      <c r="U108">
        <v>17010</v>
      </c>
      <c r="V108" t="s">
        <v>695</v>
      </c>
    </row>
    <row r="109" spans="21:22" x14ac:dyDescent="0.2">
      <c r="U109">
        <v>17020</v>
      </c>
      <c r="V109" t="s">
        <v>696</v>
      </c>
    </row>
    <row r="110" spans="21:22" x14ac:dyDescent="0.2">
      <c r="U110">
        <v>17030</v>
      </c>
      <c r="V110" t="s">
        <v>697</v>
      </c>
    </row>
    <row r="111" spans="21:22" x14ac:dyDescent="0.2">
      <c r="U111">
        <v>17040</v>
      </c>
      <c r="V111" t="s">
        <v>698</v>
      </c>
    </row>
    <row r="112" spans="21:22" x14ac:dyDescent="0.2">
      <c r="U112">
        <v>17050</v>
      </c>
      <c r="V112" t="s">
        <v>699</v>
      </c>
    </row>
    <row r="113" spans="21:22" x14ac:dyDescent="0.2">
      <c r="U113">
        <v>17060</v>
      </c>
      <c r="V113" t="s">
        <v>700</v>
      </c>
    </row>
    <row r="114" spans="21:22" x14ac:dyDescent="0.2">
      <c r="U114">
        <v>18010</v>
      </c>
      <c r="V114" t="s">
        <v>701</v>
      </c>
    </row>
    <row r="115" spans="21:22" x14ac:dyDescent="0.2">
      <c r="U115">
        <v>18020</v>
      </c>
      <c r="V115" t="s">
        <v>702</v>
      </c>
    </row>
    <row r="116" spans="21:22" x14ac:dyDescent="0.2">
      <c r="U116">
        <v>19010</v>
      </c>
      <c r="V116" t="s">
        <v>703</v>
      </c>
    </row>
    <row r="117" spans="21:22" x14ac:dyDescent="0.2">
      <c r="U117">
        <v>19020</v>
      </c>
      <c r="V117" t="s">
        <v>704</v>
      </c>
    </row>
    <row r="118" spans="21:22" x14ac:dyDescent="0.2">
      <c r="U118">
        <v>19030</v>
      </c>
      <c r="V118" t="s">
        <v>705</v>
      </c>
    </row>
    <row r="119" spans="21:22" x14ac:dyDescent="0.2">
      <c r="U119">
        <v>20030</v>
      </c>
      <c r="V119" t="s">
        <v>706</v>
      </c>
    </row>
    <row r="120" spans="21:22" x14ac:dyDescent="0.2">
      <c r="U120">
        <v>20040</v>
      </c>
      <c r="V120" t="s">
        <v>707</v>
      </c>
    </row>
    <row r="121" spans="21:22" x14ac:dyDescent="0.2">
      <c r="U121">
        <v>20050</v>
      </c>
      <c r="V121" t="s">
        <v>708</v>
      </c>
    </row>
    <row r="122" spans="21:22" x14ac:dyDescent="0.2">
      <c r="U122">
        <v>20070</v>
      </c>
      <c r="V122" t="s">
        <v>709</v>
      </c>
    </row>
    <row r="123" spans="21:22" x14ac:dyDescent="0.2">
      <c r="U123">
        <v>20071</v>
      </c>
      <c r="V123" t="s">
        <v>710</v>
      </c>
    </row>
    <row r="124" spans="21:22" x14ac:dyDescent="0.2">
      <c r="U124">
        <v>20110</v>
      </c>
      <c r="V124" t="s">
        <v>711</v>
      </c>
    </row>
    <row r="125" spans="21:22" x14ac:dyDescent="0.2">
      <c r="U125">
        <v>20120</v>
      </c>
      <c r="V125" t="s">
        <v>712</v>
      </c>
    </row>
    <row r="126" spans="21:22" x14ac:dyDescent="0.2">
      <c r="U126">
        <v>20130</v>
      </c>
      <c r="V126" t="s">
        <v>713</v>
      </c>
    </row>
    <row r="127" spans="21:22" x14ac:dyDescent="0.2">
      <c r="U127">
        <v>20140</v>
      </c>
      <c r="V127" t="s">
        <v>714</v>
      </c>
    </row>
    <row r="128" spans="21:22" x14ac:dyDescent="0.2">
      <c r="U128">
        <v>20150</v>
      </c>
      <c r="V128" t="s">
        <v>715</v>
      </c>
    </row>
    <row r="129" spans="21:22" x14ac:dyDescent="0.2">
      <c r="U129">
        <v>20160</v>
      </c>
      <c r="V129" t="s">
        <v>716</v>
      </c>
    </row>
    <row r="130" spans="21:22" x14ac:dyDescent="0.2">
      <c r="U130">
        <v>23010</v>
      </c>
      <c r="V130" t="s">
        <v>717</v>
      </c>
    </row>
    <row r="131" spans="21:22" x14ac:dyDescent="0.2">
      <c r="U131">
        <v>30010</v>
      </c>
      <c r="V131" t="s">
        <v>718</v>
      </c>
    </row>
    <row r="132" spans="21:22" x14ac:dyDescent="0.2">
      <c r="U132">
        <v>30020</v>
      </c>
      <c r="V132" t="s">
        <v>719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2025-04-10T02:48:53Z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