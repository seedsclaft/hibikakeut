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<sst xmlns="http://schemas.openxmlformats.org/spreadsheetml/2006/main" count="2035" uniqueCount="1442">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</sst>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2" fillId="19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19" borderId="3" applyNumberFormat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6" fillId="28" borderId="6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tabSelected="1" zoomScale="115" zoomScaleNormal="115" workbookViewId="0">
      <pane ySplit="1" topLeftCell="A68" activePane="bottomLeft" state="frozen"/>
      <selection/>
      <selection pane="bottomLeft" activeCell="F80" sqref="F80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アブソリュートパリィ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6"/>
  <sheetViews>
    <sheetView zoomScale="110" zoomScaleNormal="110" topLeftCell="A172" workbookViewId="0">
      <selection activeCell="A191" sqref="A191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キュアファイア</v>
      </c>
      <c r="C108">
        <v>3020</v>
      </c>
      <c r="D108" t="str">
        <f>INDEX(Define!Q:Q,MATCH(C108,Define!P:P))</f>
        <v>ステート解除</v>
      </c>
      <c r="E108">
        <v>2012</v>
      </c>
      <c r="F108">
        <v>0</v>
      </c>
      <c r="G108">
        <v>0</v>
      </c>
      <c r="H108">
        <v>100</v>
      </c>
    </row>
    <row r="109" spans="1:8">
      <c r="A109">
        <v>11050</v>
      </c>
      <c r="B109" t="str">
        <f>INDEX(TextData!B:B,MATCH(A109,TextData!A:A))</f>
        <v>キュアファイア</v>
      </c>
      <c r="C109">
        <v>2010</v>
      </c>
      <c r="D109" t="str">
        <f>INDEX(Define!Q:Q,MATCH(C109,Define!P:P))</f>
        <v>Hp回復</v>
      </c>
      <c r="E109">
        <v>10</v>
      </c>
      <c r="F109">
        <v>0</v>
      </c>
      <c r="G109">
        <v>1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8">
      <c r="A113">
        <v>11110</v>
      </c>
      <c r="B113" t="str">
        <f>INDEX(TextData!B:B,MATCH(A113,TextData!A:A))</f>
        <v>レイジカウンター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100</v>
      </c>
      <c r="F115">
        <v>0</v>
      </c>
      <c r="G115">
        <v>0</v>
      </c>
      <c r="H115">
        <v>100</v>
      </c>
    </row>
    <row r="116" spans="1:8">
      <c r="A116">
        <v>11140</v>
      </c>
      <c r="B116" t="str">
        <f>INDEX(TextData!B:B,MATCH(A116,TextData!A:A))</f>
        <v>ライジングファイア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11920</v>
      </c>
      <c r="B117" t="str">
        <f>INDEX(TextData!B:B,MATCH(A117,TextData!A:A))</f>
        <v>プリディカメント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8</v>
      </c>
      <c r="H117">
        <v>100</v>
      </c>
      <c r="I117" t="s">
        <v>48</v>
      </c>
    </row>
    <row r="118" spans="1:9">
      <c r="A118">
        <v>11930</v>
      </c>
      <c r="B118" t="str">
        <f>INDEX(TextData!B:B,MATCH(A118,TextData!A:A))</f>
        <v>アサルトシフト</v>
      </c>
      <c r="C118">
        <v>3010</v>
      </c>
      <c r="D118" t="str">
        <f>INDEX(Define!Q:Q,MATCH(C118,Define!P:P))</f>
        <v>ステート付与</v>
      </c>
      <c r="E118">
        <v>1040</v>
      </c>
      <c r="F118">
        <v>999</v>
      </c>
      <c r="G118">
        <v>4</v>
      </c>
      <c r="H118">
        <v>100</v>
      </c>
      <c r="I118" t="s">
        <v>48</v>
      </c>
    </row>
    <row r="119" spans="1:8">
      <c r="A119">
        <v>11940</v>
      </c>
      <c r="B119" t="str">
        <f>INDEX(TextData!B:B,MATCH(A119,TextData!A:A))</f>
        <v>アクティブギフト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8">
      <c r="A120">
        <v>11950</v>
      </c>
      <c r="B120" t="str">
        <f>INDEX(TextData!B:B,MATCH(A120,TextData!A:A))</f>
        <v>イグナイテッド</v>
      </c>
      <c r="C120">
        <v>4020</v>
      </c>
      <c r="D120" t="str">
        <f>INDEX(Define!Q:Q,MATCH(C120,Define!P:P))</f>
        <v>Ct回復</v>
      </c>
      <c r="E120">
        <v>3</v>
      </c>
      <c r="F120">
        <v>1</v>
      </c>
      <c r="G120">
        <v>0</v>
      </c>
      <c r="H120">
        <v>100</v>
      </c>
    </row>
    <row r="121" spans="1:9">
      <c r="A121">
        <v>12010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2430</v>
      </c>
      <c r="F121">
        <v>1</v>
      </c>
      <c r="G121">
        <v>0</v>
      </c>
      <c r="H121">
        <v>100</v>
      </c>
      <c r="I121" t="s">
        <v>50</v>
      </c>
    </row>
    <row r="122" spans="1:8">
      <c r="A122">
        <v>12010</v>
      </c>
      <c r="B122" t="str">
        <f>INDEX(TextData!B:B,MATCH(A122,TextData!A:A))</f>
        <v>クロースエッジ</v>
      </c>
      <c r="C122">
        <v>7010</v>
      </c>
      <c r="D122" t="str">
        <f>INDEX(Define!Q:Q,MATCH(C122,Define!P:P))</f>
        <v>行動後スキル</v>
      </c>
      <c r="E122">
        <v>12011</v>
      </c>
      <c r="F122">
        <v>0</v>
      </c>
      <c r="G122">
        <v>1</v>
      </c>
      <c r="H122">
        <v>100</v>
      </c>
    </row>
    <row r="123" spans="1:9">
      <c r="A123">
        <v>12011</v>
      </c>
      <c r="B123" t="str">
        <f>INDEX(TextData!B:B,MATCH(A123,TextData!A:A))</f>
        <v>クロースエッジ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100</v>
      </c>
      <c r="H123">
        <v>100</v>
      </c>
      <c r="I123" t="s">
        <v>40</v>
      </c>
    </row>
    <row r="124" spans="1:8">
      <c r="A124">
        <v>12020</v>
      </c>
      <c r="B124" t="str">
        <f>INDEX(TextData!B:B,MATCH(A124,TextData!A:A))</f>
        <v>ファストファクション</v>
      </c>
      <c r="C124">
        <v>5040</v>
      </c>
      <c r="D124" t="str">
        <f>INDEX(Define!Q:Q,MATCH(C124,Define!P:P))</f>
        <v>先制攻撃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12030</v>
      </c>
      <c r="B125" t="str">
        <f>INDEX(TextData!B:B,MATCH(A125,TextData!A:A))</f>
        <v>クイックムーブ</v>
      </c>
      <c r="C125">
        <v>5020</v>
      </c>
      <c r="D125" t="str">
        <f>INDEX(Define!Q:Q,MATCH(C125,Define!P:P))</f>
        <v>Ap回復</v>
      </c>
      <c r="E125">
        <v>100</v>
      </c>
      <c r="F125">
        <v>0</v>
      </c>
      <c r="G125">
        <v>0</v>
      </c>
      <c r="H125">
        <v>100</v>
      </c>
    </row>
    <row r="126" spans="1:9">
      <c r="A126">
        <v>12040</v>
      </c>
      <c r="B126" t="str">
        <f>INDEX(TextData!B:B,MATCH(A126,TextData!A:A))</f>
        <v>ヘブンリーラック</v>
      </c>
      <c r="C126">
        <v>3010</v>
      </c>
      <c r="D126" t="str">
        <f>INDEX(Define!Q:Q,MATCH(C126,Define!P:P))</f>
        <v>ステート付与</v>
      </c>
      <c r="E126">
        <v>1090</v>
      </c>
      <c r="F126">
        <v>999</v>
      </c>
      <c r="G126">
        <v>10</v>
      </c>
      <c r="H126">
        <v>100</v>
      </c>
      <c r="I126" t="s">
        <v>29</v>
      </c>
    </row>
    <row r="127" spans="1:8">
      <c r="A127">
        <v>12050</v>
      </c>
      <c r="B127" t="str">
        <f>INDEX(TextData!B:B,MATCH(A127,TextData!A:A))</f>
        <v>キュアスタン</v>
      </c>
      <c r="C127">
        <v>3020</v>
      </c>
      <c r="D127" t="str">
        <f>INDEX(Define!Q:Q,MATCH(C127,Define!P:P))</f>
        <v>ステート解除</v>
      </c>
      <c r="E127">
        <v>2150</v>
      </c>
      <c r="F127">
        <v>0</v>
      </c>
      <c r="G127">
        <v>0</v>
      </c>
      <c r="H127">
        <v>100</v>
      </c>
    </row>
    <row r="128" spans="1:8">
      <c r="A128">
        <v>12050</v>
      </c>
      <c r="B128" t="str">
        <f>INDEX(TextData!B:B,MATCH(A128,TextData!A:A))</f>
        <v>キュアスタン</v>
      </c>
      <c r="C128">
        <v>2010</v>
      </c>
      <c r="D128" t="str">
        <f>INDEX(Define!Q:Q,MATCH(C128,Define!P:P))</f>
        <v>Hp回復</v>
      </c>
      <c r="E128">
        <v>10</v>
      </c>
      <c r="F128">
        <v>0</v>
      </c>
      <c r="G128">
        <v>1</v>
      </c>
      <c r="H128">
        <v>100</v>
      </c>
    </row>
    <row r="129" spans="1:9">
      <c r="A129">
        <v>12070</v>
      </c>
      <c r="B129" t="str">
        <f>INDEX(TextData!B:B,MATCH(A129,TextData!A:A))</f>
        <v>ソーサリーコネクト</v>
      </c>
      <c r="C129">
        <v>3010</v>
      </c>
      <c r="D129" t="str">
        <f>INDEX(Define!Q:Q,MATCH(C129,Define!P:P))</f>
        <v>ステート付与</v>
      </c>
      <c r="E129">
        <v>1040</v>
      </c>
      <c r="F129">
        <v>1</v>
      </c>
      <c r="G129">
        <v>8</v>
      </c>
      <c r="H129">
        <v>100</v>
      </c>
      <c r="I129" t="s">
        <v>48</v>
      </c>
    </row>
    <row r="130" spans="1:8">
      <c r="A130">
        <v>12070</v>
      </c>
      <c r="B130" t="str">
        <f>INDEX(TextData!B:B,MATCH(A130,TextData!A:A))</f>
        <v>ソーサリーコネクト</v>
      </c>
      <c r="C130">
        <v>7010</v>
      </c>
      <c r="D130" t="str">
        <f>INDEX(Define!Q:Q,MATCH(C130,Define!P:P))</f>
        <v>行動後スキル</v>
      </c>
      <c r="E130">
        <v>12071</v>
      </c>
      <c r="F130">
        <v>0</v>
      </c>
      <c r="G130">
        <v>0</v>
      </c>
      <c r="H130">
        <v>100</v>
      </c>
    </row>
    <row r="131" spans="1:9">
      <c r="A131">
        <v>12071</v>
      </c>
      <c r="B131" t="str">
        <f>INDEX(TextData!B:B,MATCH(A131,TextData!A:A))</f>
        <v>ソーサリーコネクト</v>
      </c>
      <c r="C131">
        <v>3010</v>
      </c>
      <c r="D131" t="str">
        <f>INDEX(Define!Q:Q,MATCH(C131,Define!P:P))</f>
        <v>ステート付与</v>
      </c>
      <c r="E131">
        <v>1041</v>
      </c>
      <c r="F131">
        <v>1</v>
      </c>
      <c r="G131">
        <v>8</v>
      </c>
      <c r="H131">
        <v>100</v>
      </c>
      <c r="I131" t="s">
        <v>43</v>
      </c>
    </row>
    <row r="132" spans="1:8">
      <c r="A132">
        <v>12090</v>
      </c>
      <c r="B132" t="str">
        <f>INDEX(TextData!B:B,MATCH(A132,TextData!A:A))</f>
        <v>アウトオブオーダー</v>
      </c>
      <c r="C132">
        <v>5020</v>
      </c>
      <c r="D132" t="str">
        <f>INDEX(Define!Q:Q,MATCH(C132,Define!P:P))</f>
        <v>Ap回復</v>
      </c>
      <c r="E132">
        <v>200</v>
      </c>
      <c r="F132">
        <v>0</v>
      </c>
      <c r="G132">
        <v>0</v>
      </c>
      <c r="H132">
        <v>100</v>
      </c>
    </row>
    <row r="133" spans="1:9">
      <c r="A133">
        <v>12100</v>
      </c>
      <c r="B133" t="str">
        <f>INDEX(TextData!B:B,MATCH(A133,TextData!A:A))</f>
        <v>ワンスパニッシュ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9">
      <c r="A134">
        <v>12110</v>
      </c>
      <c r="B134" t="str">
        <f>INDEX(TextData!B:B,MATCH(A134,TextData!A:A))</f>
        <v>コンセントレイト</v>
      </c>
      <c r="C134">
        <v>3040</v>
      </c>
      <c r="D134" t="str">
        <f>INDEX(Define!Q:Q,MATCH(C134,Define!P:P))</f>
        <v>次の行動まで有効なステート付与</v>
      </c>
      <c r="E134">
        <v>1080</v>
      </c>
      <c r="F134">
        <v>1</v>
      </c>
      <c r="G134">
        <v>25</v>
      </c>
      <c r="H134">
        <v>100</v>
      </c>
      <c r="I134" t="s">
        <v>28</v>
      </c>
    </row>
    <row r="135" spans="1:9">
      <c r="A135">
        <v>12110</v>
      </c>
      <c r="B135" t="str">
        <f>INDEX(TextData!B:B,MATCH(A135,TextData!A:A))</f>
        <v>コンセントレイト</v>
      </c>
      <c r="C135">
        <v>3040</v>
      </c>
      <c r="D135" t="str">
        <f>INDEX(Define!Q:Q,MATCH(C135,Define!P:P))</f>
        <v>次の行動まで有効なステート付与</v>
      </c>
      <c r="E135">
        <v>1090</v>
      </c>
      <c r="F135">
        <v>1</v>
      </c>
      <c r="G135">
        <v>25</v>
      </c>
      <c r="H135">
        <v>100</v>
      </c>
      <c r="I135" t="s">
        <v>29</v>
      </c>
    </row>
    <row r="136" spans="1:9">
      <c r="A136">
        <v>12120</v>
      </c>
      <c r="B136" t="str">
        <f>INDEX(TextData!B:B,MATCH(A136,TextData!A:A))</f>
        <v>パリィ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">
        <v>34</v>
      </c>
    </row>
    <row r="137" spans="1:8">
      <c r="A137">
        <v>12130</v>
      </c>
      <c r="B137" t="str">
        <f>INDEX(TextData!B:B,MATCH(A137,TextData!A:A))</f>
        <v>チェイスマジック</v>
      </c>
      <c r="C137">
        <v>1010</v>
      </c>
      <c r="D137" t="str">
        <f>INDEX(Define!Q:Q,MATCH(C137,Define!P:P))</f>
        <v>Hpダメージ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12140</v>
      </c>
      <c r="B138" t="str">
        <f>INDEX(TextData!B:B,MATCH(A138,TextData!A:A))</f>
        <v>ウィンドライズ</v>
      </c>
      <c r="C138">
        <v>1010</v>
      </c>
      <c r="D138" t="str">
        <f>INDEX(Define!Q:Q,MATCH(C138,Define!P:P))</f>
        <v>Hpダメージ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12510</v>
      </c>
      <c r="B139" t="str">
        <f>INDEX(TextData!B:B,MATCH(A139,TextData!A:A))</f>
        <v>アクトスタンス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12510</v>
      </c>
      <c r="B140" t="str">
        <f>INDEX(TextData!B:B,MATCH(A140,TextData!A:A))</f>
        <v>アクトスタンス</v>
      </c>
      <c r="C140">
        <v>3010</v>
      </c>
      <c r="D140" t="str">
        <f>INDEX(Define!Q:Q,MATCH(C140,Define!P:P))</f>
        <v>ステート付与</v>
      </c>
      <c r="E140">
        <v>1041</v>
      </c>
      <c r="F140">
        <v>1</v>
      </c>
      <c r="G140">
        <v>8</v>
      </c>
      <c r="H140">
        <v>100</v>
      </c>
      <c r="I140" t="s">
        <v>43</v>
      </c>
    </row>
    <row r="141" spans="1:9">
      <c r="A141">
        <v>12910</v>
      </c>
      <c r="B141" t="str">
        <f>INDEX(TextData!B:B,MATCH(A141,TextData!A:A))</f>
        <v>コンセントレイト</v>
      </c>
      <c r="C141">
        <v>3010</v>
      </c>
      <c r="D141" t="str">
        <f>INDEX(Define!Q:Q,MATCH(C141,Define!P:P))</f>
        <v>ステート付与</v>
      </c>
      <c r="E141">
        <v>1080</v>
      </c>
      <c r="F141">
        <v>999</v>
      </c>
      <c r="G141">
        <v>10</v>
      </c>
      <c r="H141">
        <v>100</v>
      </c>
      <c r="I141" t="s">
        <v>28</v>
      </c>
    </row>
    <row r="142" spans="1:9">
      <c r="A142">
        <v>12910</v>
      </c>
      <c r="B142" t="str">
        <f>INDEX(TextData!B:B,MATCH(A142,TextData!A:A))</f>
        <v>コンセントレイト</v>
      </c>
      <c r="C142">
        <v>3010</v>
      </c>
      <c r="D142" t="str">
        <f>INDEX(Define!Q:Q,MATCH(C142,Define!P:P))</f>
        <v>ステート付与</v>
      </c>
      <c r="E142">
        <v>1090</v>
      </c>
      <c r="F142">
        <v>999</v>
      </c>
      <c r="G142">
        <v>10</v>
      </c>
      <c r="H142">
        <v>100</v>
      </c>
      <c r="I142" t="s">
        <v>29</v>
      </c>
    </row>
    <row r="143" spans="1:9">
      <c r="A143">
        <v>12930</v>
      </c>
      <c r="B143" t="str">
        <f>INDEX(TextData!B:B,MATCH(A143,TextData!A:A))</f>
        <v>スウィフトカレント</v>
      </c>
      <c r="C143">
        <v>3010</v>
      </c>
      <c r="D143" t="str">
        <f>INDEX(Define!Q:Q,MATCH(C143,Define!P:P))</f>
        <v>ステート付与</v>
      </c>
      <c r="E143">
        <v>1060</v>
      </c>
      <c r="F143">
        <v>999</v>
      </c>
      <c r="G143">
        <v>5</v>
      </c>
      <c r="H143">
        <v>100</v>
      </c>
      <c r="I143" t="s">
        <v>51</v>
      </c>
    </row>
    <row r="144" spans="1:9">
      <c r="A144">
        <v>12940</v>
      </c>
      <c r="B144" t="str">
        <f>INDEX(TextData!B:B,MATCH(A144,TextData!A:A))</f>
        <v>イヴェイドオール</v>
      </c>
      <c r="C144">
        <v>3010</v>
      </c>
      <c r="D144" t="str">
        <f>INDEX(Define!Q:Q,MATCH(C144,Define!P:P))</f>
        <v>ステート付与</v>
      </c>
      <c r="E144">
        <v>1092</v>
      </c>
      <c r="F144">
        <v>999</v>
      </c>
      <c r="G144">
        <v>5</v>
      </c>
      <c r="H144">
        <v>100</v>
      </c>
      <c r="I144" t="s">
        <v>29</v>
      </c>
    </row>
    <row r="145" spans="1:9">
      <c r="A145">
        <v>13010</v>
      </c>
      <c r="B145" t="str">
        <f>INDEX(TextData!B:B,MATCH(A145,TextData!A:A))</f>
        <v>ヘビィカバー</v>
      </c>
      <c r="C145">
        <v>3010</v>
      </c>
      <c r="D145" t="str">
        <f>INDEX(Define!Q:Q,MATCH(C145,Define!P:P))</f>
        <v>ステート付与</v>
      </c>
      <c r="E145">
        <v>2430</v>
      </c>
      <c r="F145">
        <v>1</v>
      </c>
      <c r="G145">
        <v>0</v>
      </c>
      <c r="H145">
        <v>100</v>
      </c>
      <c r="I145" t="s">
        <v>50</v>
      </c>
    </row>
    <row r="146" spans="1:8">
      <c r="A146">
        <v>13010</v>
      </c>
      <c r="B146" t="str">
        <f>INDEX(TextData!B:B,MATCH(A146,TextData!A:A))</f>
        <v>ヘビィカバー</v>
      </c>
      <c r="C146">
        <v>7010</v>
      </c>
      <c r="D146" t="str">
        <f>INDEX(Define!Q:Q,MATCH(C146,Define!P:P))</f>
        <v>行動後スキル</v>
      </c>
      <c r="E146">
        <v>13011</v>
      </c>
      <c r="F146">
        <v>0</v>
      </c>
      <c r="G146">
        <v>1</v>
      </c>
      <c r="H146">
        <v>100</v>
      </c>
    </row>
    <row r="147" spans="1:9">
      <c r="A147">
        <v>13011</v>
      </c>
      <c r="B147" t="str">
        <f>INDEX(TextData!B:B,MATCH(A147,TextData!A:A))</f>
        <v>ヘビィカバー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75</v>
      </c>
      <c r="H147">
        <v>100</v>
      </c>
      <c r="I147" t="s">
        <v>40</v>
      </c>
    </row>
    <row r="148" spans="1:9">
      <c r="A148">
        <v>13020</v>
      </c>
      <c r="B148" t="str">
        <f>INDEX(TextData!B:B,MATCH(A148,TextData!A:A))</f>
        <v>アイシクルエッジ</v>
      </c>
      <c r="C148">
        <v>3010</v>
      </c>
      <c r="D148" t="str">
        <f>INDEX(Define!Q:Q,MATCH(C148,Define!P:P))</f>
        <v>ステート付与</v>
      </c>
      <c r="E148">
        <v>2140</v>
      </c>
      <c r="F148">
        <v>1</v>
      </c>
      <c r="G148">
        <v>25</v>
      </c>
      <c r="H148">
        <v>100</v>
      </c>
      <c r="I148" t="s">
        <v>32</v>
      </c>
    </row>
    <row r="149" spans="1:8">
      <c r="A149">
        <v>13030</v>
      </c>
      <c r="B149" t="str">
        <f>INDEX(TextData!B:B,MATCH(A149,TextData!A:A))</f>
        <v>カウンターマジック</v>
      </c>
      <c r="C149">
        <v>1010</v>
      </c>
      <c r="D149" t="str">
        <f>INDEX(Define!Q:Q,MATCH(C149,Define!P:P))</f>
        <v>Hpダメージ</v>
      </c>
      <c r="E149">
        <v>100</v>
      </c>
      <c r="F149">
        <v>0</v>
      </c>
      <c r="G149">
        <v>0</v>
      </c>
      <c r="H149">
        <v>100</v>
      </c>
    </row>
    <row r="150" spans="1:9">
      <c r="A150">
        <v>13040</v>
      </c>
      <c r="B150" t="str">
        <f>INDEX(TextData!B:B,MATCH(A150,TextData!A:A))</f>
        <v>アーマーコード</v>
      </c>
      <c r="C150">
        <v>3010</v>
      </c>
      <c r="D150" t="str">
        <f>INDEX(Define!Q:Q,MATCH(C150,Define!P:P))</f>
        <v>ステート付与</v>
      </c>
      <c r="E150">
        <v>1050</v>
      </c>
      <c r="F150">
        <v>999</v>
      </c>
      <c r="G150">
        <v>2</v>
      </c>
      <c r="H150">
        <v>100</v>
      </c>
      <c r="I150" t="s">
        <v>38</v>
      </c>
    </row>
    <row r="151" spans="1:8">
      <c r="A151">
        <v>13050</v>
      </c>
      <c r="B151" t="str">
        <f>INDEX(TextData!B:B,MATCH(A151,TextData!A:A))</f>
        <v>キュアフリーズ</v>
      </c>
      <c r="C151">
        <v>3020</v>
      </c>
      <c r="D151" t="str">
        <f>INDEX(Define!Q:Q,MATCH(C151,Define!P:P))</f>
        <v>ステート解除</v>
      </c>
      <c r="E151">
        <v>2140</v>
      </c>
      <c r="F151">
        <v>0</v>
      </c>
      <c r="G151">
        <v>0</v>
      </c>
      <c r="H151">
        <v>100</v>
      </c>
    </row>
    <row r="152" spans="1:8">
      <c r="A152">
        <v>13050</v>
      </c>
      <c r="B152" t="str">
        <f>INDEX(TextData!B:B,MATCH(A152,TextData!A:A))</f>
        <v>キュアフリーズ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1</v>
      </c>
      <c r="H152">
        <v>100</v>
      </c>
    </row>
    <row r="153" spans="1:8">
      <c r="A153">
        <v>13070</v>
      </c>
      <c r="B153" t="str">
        <f>INDEX(TextData!B:B,MATCH(A153,TextData!A:A))</f>
        <v>アシッドラッシュ</v>
      </c>
      <c r="C153">
        <v>5050</v>
      </c>
      <c r="D153" t="str">
        <f>INDEX(Define!Q:Q,MATCH(C153,Define!P:P))</f>
        <v>APダメージ</v>
      </c>
      <c r="E153">
        <v>100</v>
      </c>
      <c r="F153">
        <v>0</v>
      </c>
      <c r="G153">
        <v>0</v>
      </c>
      <c r="H153">
        <v>100</v>
      </c>
    </row>
    <row r="154" spans="1:9">
      <c r="A154">
        <v>13090</v>
      </c>
      <c r="B154" t="str">
        <f>INDEX(TextData!B:B,MATCH(A154,TextData!A:A))</f>
        <v>アイスセイバー</v>
      </c>
      <c r="C154">
        <v>3010</v>
      </c>
      <c r="D154" t="str">
        <f>INDEX(Define!Q:Q,MATCH(C154,Define!P:P))</f>
        <v>ステート付与</v>
      </c>
      <c r="E154">
        <v>2140</v>
      </c>
      <c r="F154">
        <v>1</v>
      </c>
      <c r="G154">
        <v>25</v>
      </c>
      <c r="H154">
        <v>100</v>
      </c>
      <c r="I154" t="s">
        <v>32</v>
      </c>
    </row>
    <row r="155" spans="1:9">
      <c r="A155">
        <v>13110</v>
      </c>
      <c r="B155" t="str">
        <f>INDEX(TextData!B:B,MATCH(A155,TextData!A:A))</f>
        <v>ガーディアン</v>
      </c>
      <c r="C155">
        <v>3010</v>
      </c>
      <c r="D155" t="str">
        <f>INDEX(Define!Q:Q,MATCH(C155,Define!P:P))</f>
        <v>ステート付与</v>
      </c>
      <c r="E155">
        <v>1052</v>
      </c>
      <c r="F155">
        <v>2</v>
      </c>
      <c r="G155">
        <v>20</v>
      </c>
      <c r="H155">
        <v>100</v>
      </c>
      <c r="I155" t="s">
        <v>38</v>
      </c>
    </row>
    <row r="156" spans="1:9">
      <c r="A156">
        <v>13120</v>
      </c>
      <c r="B156" t="str">
        <f>INDEX(TextData!B:B,MATCH(A156,TextData!A:A))</f>
        <v>ライフセーブ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0</v>
      </c>
      <c r="H156">
        <v>100</v>
      </c>
      <c r="I156" t="s">
        <v>52</v>
      </c>
    </row>
    <row r="157" spans="1:9">
      <c r="A157">
        <v>13130</v>
      </c>
      <c r="B157" t="str">
        <f>INDEX(TextData!B:B,MATCH(A157,TextData!A:A))</f>
        <v>ライフスティール</v>
      </c>
      <c r="C157">
        <v>3010</v>
      </c>
      <c r="D157" t="str">
        <f>INDEX(Define!Q:Q,MATCH(C157,Define!P:P))</f>
        <v>ステート付与</v>
      </c>
      <c r="E157">
        <v>2060</v>
      </c>
      <c r="F157">
        <v>1</v>
      </c>
      <c r="G157">
        <v>25</v>
      </c>
      <c r="H157">
        <v>100</v>
      </c>
      <c r="I157" t="s">
        <v>53</v>
      </c>
    </row>
    <row r="158" spans="1:9">
      <c r="A158">
        <v>13210</v>
      </c>
      <c r="B158" t="str">
        <f>INDEX(TextData!B:B,MATCH(A158,TextData!A:A))</f>
        <v>ルミナスカバー</v>
      </c>
      <c r="C158">
        <v>3010</v>
      </c>
      <c r="D158" t="str">
        <f>INDEX(Define!Q:Q,MATCH(C158,Define!P:P))</f>
        <v>ステート付与</v>
      </c>
      <c r="E158">
        <v>2430</v>
      </c>
      <c r="F158">
        <v>1</v>
      </c>
      <c r="G158">
        <v>0</v>
      </c>
      <c r="H158">
        <v>100</v>
      </c>
      <c r="I158" t="s">
        <v>50</v>
      </c>
    </row>
    <row r="159" spans="1:8">
      <c r="A159">
        <v>13210</v>
      </c>
      <c r="B159" t="str">
        <f>INDEX(TextData!B:B,MATCH(A159,TextData!A:A))</f>
        <v>ルミナスカバー</v>
      </c>
      <c r="C159">
        <v>7010</v>
      </c>
      <c r="D159" t="str">
        <f>INDEX(Define!Q:Q,MATCH(C159,Define!P:P))</f>
        <v>行動後スキル</v>
      </c>
      <c r="E159">
        <v>13211</v>
      </c>
      <c r="F159">
        <v>0</v>
      </c>
      <c r="G159">
        <v>1</v>
      </c>
      <c r="H159">
        <v>100</v>
      </c>
    </row>
    <row r="160" spans="1:9">
      <c r="A160">
        <v>13211</v>
      </c>
      <c r="B160" t="str">
        <f>INDEX(TextData!B:B,MATCH(A160,TextData!A:A))</f>
        <v>ルミナスカバー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13510</v>
      </c>
      <c r="B161" t="str">
        <f>INDEX(TextData!B:B,MATCH(A161,TextData!A:A))</f>
        <v>デコイプラス</v>
      </c>
      <c r="C161">
        <v>3010</v>
      </c>
      <c r="D161" t="str">
        <f>INDEX(Define!Q:Q,MATCH(C161,Define!P:P))</f>
        <v>ステート付与</v>
      </c>
      <c r="E161">
        <v>2130</v>
      </c>
      <c r="F161">
        <v>1</v>
      </c>
      <c r="G161">
        <v>25</v>
      </c>
      <c r="H161">
        <v>100</v>
      </c>
      <c r="I161" t="s">
        <v>31</v>
      </c>
    </row>
    <row r="162" spans="1:8">
      <c r="A162">
        <v>13510</v>
      </c>
      <c r="B162" t="str">
        <f>INDEX(TextData!B:B,MATCH(A162,TextData!A:A))</f>
        <v>デコイプラス</v>
      </c>
      <c r="C162">
        <v>7010</v>
      </c>
      <c r="D162" t="str">
        <f>INDEX(Define!Q:Q,MATCH(C162,Define!P:P))</f>
        <v>行動後スキル</v>
      </c>
      <c r="E162">
        <v>13111</v>
      </c>
      <c r="F162">
        <v>0</v>
      </c>
      <c r="G162">
        <v>0</v>
      </c>
      <c r="H162">
        <v>100</v>
      </c>
    </row>
    <row r="163" spans="1:9">
      <c r="A163">
        <v>13511</v>
      </c>
      <c r="B163" t="str">
        <f>INDEX(TextData!B:B,MATCH(A163,TextData!A:A))</f>
        <v>デコイプラス</v>
      </c>
      <c r="C163">
        <v>3010</v>
      </c>
      <c r="D163" t="str">
        <f>INDEX(Define!Q:Q,MATCH(C163,Define!P:P))</f>
        <v>ステート付与</v>
      </c>
      <c r="E163">
        <v>1050</v>
      </c>
      <c r="F163">
        <v>1</v>
      </c>
      <c r="G163">
        <v>2</v>
      </c>
      <c r="H163">
        <v>100</v>
      </c>
      <c r="I163" t="s">
        <v>38</v>
      </c>
    </row>
    <row r="164" spans="1:9">
      <c r="A164">
        <v>13520</v>
      </c>
      <c r="B164" t="str">
        <f>INDEX(TextData!B:B,MATCH(A164,TextData!A:A))</f>
        <v>アフターシールド</v>
      </c>
      <c r="C164">
        <v>3010</v>
      </c>
      <c r="D164" t="str">
        <f>INDEX(Define!Q:Q,MATCH(C164,Define!P:P))</f>
        <v>ステート付与</v>
      </c>
      <c r="E164">
        <v>1052</v>
      </c>
      <c r="F164">
        <v>1</v>
      </c>
      <c r="G164">
        <v>20</v>
      </c>
      <c r="H164">
        <v>100</v>
      </c>
      <c r="I164" t="s">
        <v>38</v>
      </c>
    </row>
    <row r="165" spans="1:9">
      <c r="A165">
        <v>13530</v>
      </c>
      <c r="B165" t="str">
        <f>INDEX(TextData!B:B,MATCH(A165,TextData!A:A))</f>
        <v>カバープラス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13920</v>
      </c>
      <c r="B166" t="str">
        <f>INDEX(TextData!B:B,MATCH(A166,TextData!A:A))</f>
        <v>クイックバリア</v>
      </c>
      <c r="C166">
        <v>3010</v>
      </c>
      <c r="D166" t="str">
        <f>INDEX(Define!Q:Q,MATCH(C166,Define!P:P))</f>
        <v>ステート付与</v>
      </c>
      <c r="E166">
        <v>1100</v>
      </c>
      <c r="F166">
        <v>1</v>
      </c>
      <c r="G166">
        <v>25</v>
      </c>
      <c r="H166">
        <v>100</v>
      </c>
      <c r="I166" t="s">
        <v>40</v>
      </c>
    </row>
    <row r="167" spans="1:8">
      <c r="A167">
        <v>13930</v>
      </c>
      <c r="B167" t="str">
        <f>INDEX(TextData!B:B,MATCH(A167,TextData!A:A))</f>
        <v>クイックキュア</v>
      </c>
      <c r="C167">
        <v>3030</v>
      </c>
      <c r="D167" t="str">
        <f>INDEX(Define!Q:Q,MATCH(C167,Define!P:P))</f>
        <v>Abnormalステート解除</v>
      </c>
      <c r="E167">
        <v>0</v>
      </c>
      <c r="F167">
        <v>0</v>
      </c>
      <c r="G167">
        <v>0</v>
      </c>
      <c r="H167">
        <v>100</v>
      </c>
    </row>
    <row r="168" spans="1:9">
      <c r="A168">
        <v>13940</v>
      </c>
      <c r="B168" t="str">
        <f>INDEX(TextData!B:B,MATCH(A168,TextData!A:A))</f>
        <v>セルフシールド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13950</v>
      </c>
      <c r="B169" t="str">
        <f>INDEX(TextData!B:B,MATCH(A169,TextData!A:A))</f>
        <v>パッシブジャミング</v>
      </c>
      <c r="C169">
        <v>3010</v>
      </c>
      <c r="D169" t="str">
        <f>INDEX(Define!Q:Q,MATCH(C169,Define!P:P))</f>
        <v>ステート付与</v>
      </c>
      <c r="E169">
        <v>2090</v>
      </c>
      <c r="F169">
        <v>3</v>
      </c>
      <c r="G169">
        <v>0</v>
      </c>
      <c r="H169">
        <v>100</v>
      </c>
      <c r="I169" t="s">
        <v>54</v>
      </c>
    </row>
    <row r="170" spans="1:8">
      <c r="A170">
        <v>14010</v>
      </c>
      <c r="B170" t="str">
        <f>INDEX(TextData!B:B,MATCH(A170,TextData!A:A))</f>
        <v>ファーストエイド</v>
      </c>
      <c r="C170">
        <v>2010</v>
      </c>
      <c r="D170" t="str">
        <f>INDEX(Define!Q:Q,MATCH(C170,Define!P:P))</f>
        <v>Hp回復</v>
      </c>
      <c r="E170">
        <v>5</v>
      </c>
      <c r="F170">
        <v>0</v>
      </c>
      <c r="G170">
        <v>0</v>
      </c>
      <c r="H170">
        <v>100</v>
      </c>
    </row>
    <row r="171" spans="1:8">
      <c r="A171">
        <v>14020</v>
      </c>
      <c r="B171" t="str">
        <f>INDEX(TextData!B:B,MATCH(A171,TextData!A:A))</f>
        <v>クイックヒール</v>
      </c>
      <c r="C171">
        <v>2010</v>
      </c>
      <c r="D171" t="str">
        <f>INDEX(Define!Q:Q,MATCH(C171,Define!P:P))</f>
        <v>Hp回復</v>
      </c>
      <c r="E171">
        <v>5</v>
      </c>
      <c r="F171">
        <v>0</v>
      </c>
      <c r="G171">
        <v>0</v>
      </c>
      <c r="H171">
        <v>100</v>
      </c>
    </row>
    <row r="172" spans="1:9">
      <c r="A172">
        <v>14030</v>
      </c>
      <c r="B172" t="str">
        <f>INDEX(TextData!B:B,MATCH(A172,TextData!A:A))</f>
        <v>ガードバインド</v>
      </c>
      <c r="C172">
        <v>3010</v>
      </c>
      <c r="D172" t="str">
        <f>INDEX(Define!Q:Q,MATCH(C172,Define!P:P))</f>
        <v>ステート付与</v>
      </c>
      <c r="E172">
        <v>2500</v>
      </c>
      <c r="F172">
        <v>1</v>
      </c>
      <c r="G172">
        <v>0</v>
      </c>
      <c r="H172">
        <v>100</v>
      </c>
      <c r="I172" t="s">
        <v>55</v>
      </c>
    </row>
    <row r="173" spans="1:9">
      <c r="A173">
        <v>14040</v>
      </c>
      <c r="B173" t="str">
        <f>INDEX(TextData!B:B,MATCH(A173,TextData!A:A))</f>
        <v>ホープフルアイリス</v>
      </c>
      <c r="C173">
        <v>3010</v>
      </c>
      <c r="D173" t="str">
        <f>INDEX(Define!Q:Q,MATCH(C173,Define!P:P))</f>
        <v>ステート付与</v>
      </c>
      <c r="E173">
        <v>1020</v>
      </c>
      <c r="F173">
        <v>999</v>
      </c>
      <c r="G173">
        <v>5</v>
      </c>
      <c r="H173">
        <v>100</v>
      </c>
      <c r="I173" t="s">
        <v>47</v>
      </c>
    </row>
    <row r="174" spans="1:8">
      <c r="A174">
        <v>14050</v>
      </c>
      <c r="B174" t="str">
        <f>INDEX(TextData!B:B,MATCH(A174,TextData!A:A))</f>
        <v>キュアパッシブ</v>
      </c>
      <c r="C174">
        <v>3020</v>
      </c>
      <c r="D174" t="str">
        <f>INDEX(Define!Q:Q,MATCH(C174,Define!P:P))</f>
        <v>ステート解除</v>
      </c>
      <c r="E174">
        <v>2090</v>
      </c>
      <c r="F174">
        <v>0</v>
      </c>
      <c r="G174">
        <v>0</v>
      </c>
      <c r="H174">
        <v>100</v>
      </c>
    </row>
    <row r="175" spans="1:8">
      <c r="A175">
        <v>14050</v>
      </c>
      <c r="B175" t="str">
        <f>INDEX(TextData!B:B,MATCH(A175,TextData!A:A))</f>
        <v>キュアパッシブ</v>
      </c>
      <c r="C175">
        <v>2010</v>
      </c>
      <c r="D175" t="str">
        <f>INDEX(Define!Q:Q,MATCH(C175,Define!P:P))</f>
        <v>Hp回復</v>
      </c>
      <c r="E175">
        <v>10</v>
      </c>
      <c r="F175">
        <v>0</v>
      </c>
      <c r="G175">
        <v>1</v>
      </c>
      <c r="H175">
        <v>100</v>
      </c>
    </row>
    <row r="176" spans="1:8">
      <c r="A176">
        <v>14060</v>
      </c>
      <c r="B176" t="str">
        <f>INDEX(TextData!B:B,MATCH(A176,TextData!A:A))</f>
        <v>パッシブサプライ</v>
      </c>
      <c r="C176">
        <v>4020</v>
      </c>
      <c r="D176" t="str">
        <f>INDEX(Define!Q:Q,MATCH(C176,Define!P:P))</f>
        <v>Ct回復</v>
      </c>
      <c r="E176">
        <v>1</v>
      </c>
      <c r="F176">
        <v>0</v>
      </c>
      <c r="G176">
        <v>0</v>
      </c>
      <c r="H176">
        <v>100</v>
      </c>
    </row>
    <row r="177" spans="1:9">
      <c r="A177">
        <v>14070</v>
      </c>
      <c r="B177" t="str">
        <f>INDEX(TextData!B:B,MATCH(A177,TextData!A:A))</f>
        <v>ホーミングクルセイド</v>
      </c>
      <c r="C177">
        <v>3010</v>
      </c>
      <c r="D177" t="str">
        <f>INDEX(Define!Q:Q,MATCH(C177,Define!P:P))</f>
        <v>ステート付与</v>
      </c>
      <c r="E177">
        <v>2240</v>
      </c>
      <c r="F177">
        <v>3</v>
      </c>
      <c r="G177">
        <v>0</v>
      </c>
      <c r="H177">
        <v>100</v>
      </c>
      <c r="I177" t="s">
        <v>56</v>
      </c>
    </row>
    <row r="178" spans="1:9">
      <c r="A178">
        <v>14090</v>
      </c>
      <c r="B178" t="str">
        <f>INDEX(TextData!B:B,MATCH(A178,TextData!A:A))</f>
        <v>リレイズ</v>
      </c>
      <c r="C178">
        <v>3010</v>
      </c>
      <c r="D178" t="str">
        <f>INDEX(Define!Q:Q,MATCH(C178,Define!P:P))</f>
        <v>ステート付与</v>
      </c>
      <c r="E178">
        <v>2450</v>
      </c>
      <c r="F178">
        <v>1</v>
      </c>
      <c r="G178">
        <v>1</v>
      </c>
      <c r="H178">
        <v>100</v>
      </c>
      <c r="I178" t="s">
        <v>52</v>
      </c>
    </row>
    <row r="179" spans="1:8">
      <c r="A179">
        <v>14100</v>
      </c>
      <c r="B179" t="str">
        <f>INDEX(TextData!B:B,MATCH(A179,TextData!A:A))</f>
        <v>ファストヒール</v>
      </c>
      <c r="C179">
        <v>2010</v>
      </c>
      <c r="D179" t="str">
        <f>INDEX(Define!Q:Q,MATCH(C179,Define!P:P))</f>
        <v>Hp回復</v>
      </c>
      <c r="E179">
        <v>3</v>
      </c>
      <c r="F179">
        <v>0</v>
      </c>
      <c r="G179">
        <v>0</v>
      </c>
      <c r="H179">
        <v>100</v>
      </c>
    </row>
    <row r="180" spans="1:8">
      <c r="A180">
        <v>14110</v>
      </c>
      <c r="B180" t="str">
        <f>INDEX(TextData!B:B,MATCH(A180,TextData!A:A))</f>
        <v>リフレッシュ</v>
      </c>
      <c r="C180">
        <v>3060</v>
      </c>
      <c r="D180" t="str">
        <f>INDEX(Define!Q:Q,MATCH(C180,Define!P:P))</f>
        <v>デバフステート解除</v>
      </c>
      <c r="E180">
        <v>0</v>
      </c>
      <c r="F180">
        <v>0</v>
      </c>
      <c r="G180">
        <v>0</v>
      </c>
      <c r="H180">
        <v>100</v>
      </c>
    </row>
    <row r="181" spans="1:9">
      <c r="A181">
        <v>14120</v>
      </c>
      <c r="B181" t="str">
        <f>INDEX(TextData!B:B,MATCH(A181,TextData!A:A))</f>
        <v>ファストメディック</v>
      </c>
      <c r="C181">
        <v>3010</v>
      </c>
      <c r="D181" t="str">
        <f>INDEX(Define!Q:Q,MATCH(C181,Define!P:P))</f>
        <v>ステート付与</v>
      </c>
      <c r="E181">
        <v>2040</v>
      </c>
      <c r="F181">
        <v>3</v>
      </c>
      <c r="G181">
        <v>10</v>
      </c>
      <c r="H181">
        <v>100</v>
      </c>
      <c r="I181" t="s">
        <v>57</v>
      </c>
    </row>
    <row r="182" spans="1:9">
      <c r="A182">
        <v>14130</v>
      </c>
      <c r="B182" t="str">
        <f>INDEX(TextData!B:B,MATCH(A182,TextData!A:A))</f>
        <v>ディバインシールド</v>
      </c>
      <c r="C182">
        <v>3010</v>
      </c>
      <c r="D182" t="str">
        <f>INDEX(Define!Q:Q,MATCH(C182,Define!P:P))</f>
        <v>ステート付与</v>
      </c>
      <c r="E182">
        <v>2180</v>
      </c>
      <c r="F182">
        <v>1</v>
      </c>
      <c r="G182">
        <v>0</v>
      </c>
      <c r="H182">
        <v>100</v>
      </c>
      <c r="I182" t="s">
        <v>58</v>
      </c>
    </row>
    <row r="183" spans="1:8">
      <c r="A183">
        <v>14920</v>
      </c>
      <c r="B183" t="str">
        <f>INDEX(TextData!B:B,MATCH(A183,TextData!A:A))</f>
        <v>ライフディバイド</v>
      </c>
      <c r="C183">
        <v>2040</v>
      </c>
      <c r="D183" t="str">
        <f>INDEX(Define!Q:Q,MATCH(C183,Define!P:P))</f>
        <v>Hpを分け与える</v>
      </c>
      <c r="E183">
        <v>25</v>
      </c>
      <c r="F183">
        <v>0</v>
      </c>
      <c r="G183">
        <v>1</v>
      </c>
      <c r="H183">
        <v>100</v>
      </c>
    </row>
    <row r="184" spans="1:9">
      <c r="A184">
        <v>14930</v>
      </c>
      <c r="B184" t="str">
        <f>INDEX(TextData!B:B,MATCH(A184,TextData!A:A))</f>
        <v>エイミングスコープ</v>
      </c>
      <c r="C184">
        <v>3010</v>
      </c>
      <c r="D184" t="str">
        <f>INDEX(Define!Q:Q,MATCH(C184,Define!P:P))</f>
        <v>ステート付与</v>
      </c>
      <c r="E184">
        <v>1081</v>
      </c>
      <c r="F184">
        <v>999</v>
      </c>
      <c r="G184">
        <v>5</v>
      </c>
      <c r="H184">
        <v>100</v>
      </c>
      <c r="I184" t="s">
        <v>28</v>
      </c>
    </row>
    <row r="185" spans="1:9">
      <c r="A185">
        <v>14940</v>
      </c>
      <c r="B185" t="str">
        <f>INDEX(TextData!B:B,MATCH(A185,TextData!A:A))</f>
        <v>リジェネレーション</v>
      </c>
      <c r="C185">
        <v>3010</v>
      </c>
      <c r="D185" t="str">
        <f>INDEX(Define!Q:Q,MATCH(C185,Define!P:P))</f>
        <v>ステート付与</v>
      </c>
      <c r="E185">
        <v>2040</v>
      </c>
      <c r="F185">
        <v>999</v>
      </c>
      <c r="G185">
        <v>2</v>
      </c>
      <c r="H185">
        <v>100</v>
      </c>
      <c r="I185" t="s">
        <v>57</v>
      </c>
    </row>
    <row r="186" spans="1:9">
      <c r="A186">
        <v>15010</v>
      </c>
      <c r="B186" t="str">
        <f>INDEX(TextData!B:B,MATCH(A186,TextData!A:A))</f>
        <v>ワンスパニッシュ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34</v>
      </c>
    </row>
    <row r="187" spans="1:9">
      <c r="A187">
        <v>15020</v>
      </c>
      <c r="B187" t="str">
        <f>INDEX(TextData!B:B,MATCH(A187,TextData!A:A))</f>
        <v>クイックカース</v>
      </c>
      <c r="C187">
        <v>3010</v>
      </c>
      <c r="D187" t="str">
        <f>INDEX(Define!Q:Q,MATCH(C187,Define!P:P))</f>
        <v>ステート付与</v>
      </c>
      <c r="E187">
        <v>1043</v>
      </c>
      <c r="F187">
        <v>1</v>
      </c>
      <c r="G187">
        <v>20</v>
      </c>
      <c r="H187">
        <v>100</v>
      </c>
      <c r="I187" t="s">
        <v>59</v>
      </c>
    </row>
    <row r="188" spans="1:8">
      <c r="A188">
        <v>15030</v>
      </c>
      <c r="B188" t="str">
        <f>INDEX(TextData!B:B,MATCH(A188,TextData!A:A))</f>
        <v>バイタリティ</v>
      </c>
      <c r="C188">
        <v>3010</v>
      </c>
      <c r="D188" t="str">
        <f>INDEX(Define!Q:Q,MATCH(C188,Define!P:P))</f>
        <v>ステート付与</v>
      </c>
      <c r="E188">
        <v>2290</v>
      </c>
      <c r="F188">
        <v>1</v>
      </c>
      <c r="G188">
        <v>50</v>
      </c>
      <c r="H188">
        <v>100</v>
      </c>
    </row>
    <row r="189" spans="1:9">
      <c r="A189">
        <v>15040</v>
      </c>
      <c r="B189" t="str">
        <f>INDEX(TextData!B:B,MATCH(A189,TextData!A:A))</f>
        <v>ネガティブドレイン</v>
      </c>
      <c r="C189">
        <v>3010</v>
      </c>
      <c r="D189" t="str">
        <f>INDEX(Define!Q:Q,MATCH(C189,Define!P:P))</f>
        <v>ステート付与</v>
      </c>
      <c r="E189">
        <v>2060</v>
      </c>
      <c r="F189">
        <v>0</v>
      </c>
      <c r="G189">
        <v>15</v>
      </c>
      <c r="H189">
        <v>100</v>
      </c>
      <c r="I189" t="s">
        <v>53</v>
      </c>
    </row>
    <row r="190" spans="1:8">
      <c r="A190">
        <v>15050</v>
      </c>
      <c r="B190" t="str">
        <f>INDEX(TextData!B:B,MATCH(A190,TextData!A:A))</f>
        <v>キュアシェイド</v>
      </c>
      <c r="C190">
        <v>3020</v>
      </c>
      <c r="D190" t="str">
        <f>INDEX(Define!Q:Q,MATCH(C190,Define!P:P))</f>
        <v>ステート解除</v>
      </c>
      <c r="E190">
        <v>2020</v>
      </c>
      <c r="F190">
        <v>0</v>
      </c>
      <c r="G190">
        <v>0</v>
      </c>
      <c r="H190">
        <v>100</v>
      </c>
    </row>
    <row r="191" spans="1:8">
      <c r="A191">
        <v>15050</v>
      </c>
      <c r="B191" t="str">
        <f>INDEX(TextData!B:B,MATCH(A191,TextData!A:A))</f>
        <v>キュアシェイド</v>
      </c>
      <c r="C191">
        <v>2010</v>
      </c>
      <c r="D191" t="str">
        <f>INDEX(Define!Q:Q,MATCH(C191,Define!P:P))</f>
        <v>Hp回復</v>
      </c>
      <c r="E191">
        <v>10</v>
      </c>
      <c r="F191">
        <v>0</v>
      </c>
      <c r="G191">
        <v>1</v>
      </c>
      <c r="H191">
        <v>100</v>
      </c>
    </row>
    <row r="192" spans="1:9">
      <c r="A192">
        <v>15060</v>
      </c>
      <c r="B192" t="str">
        <f>INDEX(TextData!B:B,MATCH(A192,TextData!A:A))</f>
        <v>アンデッドペイン</v>
      </c>
      <c r="C192">
        <v>3010</v>
      </c>
      <c r="D192" t="str">
        <f>INDEX(Define!Q:Q,MATCH(C192,Define!P:P))</f>
        <v>ステート付与</v>
      </c>
      <c r="E192">
        <v>2270</v>
      </c>
      <c r="F192">
        <v>0</v>
      </c>
      <c r="G192">
        <v>7</v>
      </c>
      <c r="H192">
        <v>100</v>
      </c>
      <c r="I192" t="s">
        <v>44</v>
      </c>
    </row>
    <row r="193" spans="1:9">
      <c r="A193">
        <v>15070</v>
      </c>
      <c r="B193" t="str">
        <f>INDEX(TextData!B:B,MATCH(A193,TextData!A:A))</f>
        <v>ジャックポッド</v>
      </c>
      <c r="C193">
        <v>3010</v>
      </c>
      <c r="D193" t="str">
        <f>INDEX(Define!Q:Q,MATCH(C193,Define!P:P))</f>
        <v>ステート付与</v>
      </c>
      <c r="E193">
        <v>1070</v>
      </c>
      <c r="F193">
        <v>1</v>
      </c>
      <c r="G193">
        <v>50</v>
      </c>
      <c r="H193">
        <v>100</v>
      </c>
      <c r="I193" t="s">
        <v>26</v>
      </c>
    </row>
    <row r="194" spans="1:9">
      <c r="A194">
        <v>15070</v>
      </c>
      <c r="B194" t="str">
        <f>INDEX(TextData!B:B,MATCH(A194,TextData!A:A))</f>
        <v>ジャックポッド</v>
      </c>
      <c r="C194">
        <v>3010</v>
      </c>
      <c r="D194" t="str">
        <f>INDEX(Define!Q:Q,MATCH(C194,Define!P:P))</f>
        <v>ステート付与</v>
      </c>
      <c r="E194">
        <v>1082</v>
      </c>
      <c r="F194">
        <v>1</v>
      </c>
      <c r="G194">
        <v>50</v>
      </c>
      <c r="H194">
        <v>100</v>
      </c>
      <c r="I194" t="s">
        <v>42</v>
      </c>
    </row>
    <row r="195" spans="1:8">
      <c r="A195">
        <v>15080</v>
      </c>
      <c r="B195" t="str">
        <f>INDEX(TextData!B:B,MATCH(A195,TextData!A:A))</f>
        <v>ヒールハント</v>
      </c>
      <c r="C195">
        <v>1100</v>
      </c>
      <c r="D195" t="str">
        <f>INDEX(Define!Q:Q,MATCH(C195,Define!P:P))</f>
        <v>Hp貫通ダメージ、Param2でKind指定可</v>
      </c>
      <c r="E195">
        <v>100</v>
      </c>
      <c r="F195">
        <v>0</v>
      </c>
      <c r="G195">
        <v>30</v>
      </c>
      <c r="H195">
        <v>100</v>
      </c>
    </row>
    <row r="196" spans="1:9">
      <c r="A196">
        <v>15110</v>
      </c>
      <c r="B196" t="str">
        <f>INDEX(TextData!B:B,MATCH(A196,TextData!A:A))</f>
        <v>フォーカサイト</v>
      </c>
      <c r="C196">
        <v>3010</v>
      </c>
      <c r="D196" t="str">
        <f>INDEX(Define!Q:Q,MATCH(C196,Define!P:P))</f>
        <v>ステート付与</v>
      </c>
      <c r="E196">
        <v>2240</v>
      </c>
      <c r="F196">
        <v>1</v>
      </c>
      <c r="G196">
        <v>0</v>
      </c>
      <c r="H196">
        <v>100</v>
      </c>
      <c r="I196" t="s">
        <v>48</v>
      </c>
    </row>
    <row r="197" spans="1:8">
      <c r="A197">
        <v>15120</v>
      </c>
      <c r="B197" t="str">
        <f>INDEX(TextData!B:B,MATCH(A197,TextData!A:A))</f>
        <v>ガードハント</v>
      </c>
      <c r="C197">
        <v>1100</v>
      </c>
      <c r="D197" t="str">
        <f>INDEX(Define!Q:Q,MATCH(C197,Define!P:P))</f>
        <v>Hp貫通ダメージ、Param2でKind指定可</v>
      </c>
      <c r="E197">
        <v>100</v>
      </c>
      <c r="F197">
        <v>0</v>
      </c>
      <c r="G197">
        <v>30</v>
      </c>
      <c r="H197">
        <v>100</v>
      </c>
    </row>
    <row r="198" spans="1:9">
      <c r="A198">
        <v>15130</v>
      </c>
      <c r="B198" t="str">
        <f>INDEX(TextData!B:B,MATCH(A198,TextData!A:A))</f>
        <v>リヴェンジャー</v>
      </c>
      <c r="C198">
        <v>3010</v>
      </c>
      <c r="D198" t="str">
        <f>INDEX(Define!Q:Q,MATCH(C198,Define!P:P))</f>
        <v>ステート付与</v>
      </c>
      <c r="E198">
        <v>1040</v>
      </c>
      <c r="F198">
        <v>2</v>
      </c>
      <c r="G198">
        <v>4</v>
      </c>
      <c r="H198">
        <v>100</v>
      </c>
      <c r="I198" t="s">
        <v>48</v>
      </c>
    </row>
    <row r="199" spans="1:9">
      <c r="A199">
        <v>15130</v>
      </c>
      <c r="B199" t="str">
        <f>INDEX(TextData!B:B,MATCH(A199,TextData!A:A))</f>
        <v>リヴェンジャー</v>
      </c>
      <c r="C199">
        <v>3010</v>
      </c>
      <c r="D199" t="str">
        <f>INDEX(Define!Q:Q,MATCH(C199,Define!P:P))</f>
        <v>ステート付与</v>
      </c>
      <c r="E199">
        <v>1050</v>
      </c>
      <c r="F199">
        <v>2</v>
      </c>
      <c r="G199">
        <v>4</v>
      </c>
      <c r="H199">
        <v>100</v>
      </c>
      <c r="I199" t="s">
        <v>38</v>
      </c>
    </row>
    <row r="200" spans="1:8">
      <c r="A200">
        <v>15510</v>
      </c>
      <c r="B200" t="str">
        <f>INDEX(TextData!B:B,MATCH(A200,TextData!A:A))</f>
        <v>リープリアクト</v>
      </c>
      <c r="C200">
        <v>5030</v>
      </c>
      <c r="D200" t="str">
        <f>INDEX(Define!Q:Q,MATCH(C200,Define!P:P))</f>
        <v>再行動する</v>
      </c>
      <c r="E200">
        <v>0</v>
      </c>
      <c r="F200">
        <v>0</v>
      </c>
      <c r="G200">
        <v>0</v>
      </c>
      <c r="H200">
        <v>100</v>
      </c>
    </row>
    <row r="201" spans="1:9">
      <c r="A201">
        <v>15510</v>
      </c>
      <c r="B201" t="str">
        <f>INDEX(TextData!B:B,MATCH(A201,TextData!A:A))</f>
        <v>リープリアクト</v>
      </c>
      <c r="C201">
        <v>3010</v>
      </c>
      <c r="D201" t="str">
        <f>INDEX(Define!Q:Q,MATCH(C201,Define!P:P))</f>
        <v>ステート付与</v>
      </c>
      <c r="E201">
        <v>1071</v>
      </c>
      <c r="F201">
        <v>2</v>
      </c>
      <c r="G201">
        <v>30</v>
      </c>
      <c r="H201">
        <v>100</v>
      </c>
      <c r="I201" t="s">
        <v>26</v>
      </c>
    </row>
    <row r="202" spans="1:8">
      <c r="A202">
        <v>15510</v>
      </c>
      <c r="B202" t="str">
        <f>INDEX(TextData!B:B,MATCH(A202,TextData!A:A))</f>
        <v>リープリアクト</v>
      </c>
      <c r="C202">
        <v>6310</v>
      </c>
      <c r="D202" t="str">
        <f>INDEX(Define!Q:Q,MATCH(C202,Define!P:P))</f>
        <v>指定魔法に行動後スキルを追加する</v>
      </c>
      <c r="E202">
        <v>15110</v>
      </c>
      <c r="F202">
        <v>0</v>
      </c>
      <c r="G202">
        <v>15112</v>
      </c>
      <c r="H202">
        <v>100</v>
      </c>
    </row>
    <row r="203" spans="1:8">
      <c r="A203">
        <v>15512</v>
      </c>
      <c r="B203" t="str">
        <f>INDEX(TextData!B:B,MATCH(A203,TextData!A:A))</f>
        <v>リープリアクト</v>
      </c>
      <c r="C203">
        <v>3010</v>
      </c>
      <c r="D203" t="str">
        <f>INDEX(Define!Q:Q,MATCH(C203,Define!P:P))</f>
        <v>ステート付与</v>
      </c>
      <c r="E203">
        <v>1070</v>
      </c>
      <c r="F203">
        <v>2</v>
      </c>
      <c r="G203">
        <v>5</v>
      </c>
      <c r="H203">
        <v>100</v>
      </c>
    </row>
    <row r="204" spans="1:8">
      <c r="A204">
        <v>15520</v>
      </c>
      <c r="B204" t="str">
        <f>INDEX(TextData!B:B,MATCH(A204,TextData!A:A))</f>
        <v>ディレイドパッシブ</v>
      </c>
      <c r="C204">
        <v>4011</v>
      </c>
      <c r="D204" t="str">
        <f>INDEX(Define!Q:Q,MATCH(C204,Define!P:P))</f>
        <v>CTダメージPassiveのみ</v>
      </c>
      <c r="E204">
        <v>1</v>
      </c>
      <c r="F204">
        <v>0</v>
      </c>
      <c r="G204">
        <v>0</v>
      </c>
      <c r="H204">
        <v>100</v>
      </c>
    </row>
    <row r="205" spans="1:9">
      <c r="A205">
        <v>15530</v>
      </c>
      <c r="B205" t="str">
        <f>INDEX(TextData!B:B,MATCH(A205,TextData!A:A))</f>
        <v>シャドウケイプ</v>
      </c>
      <c r="C205">
        <v>3010</v>
      </c>
      <c r="D205" t="str">
        <f>INDEX(Define!Q:Q,MATCH(C205,Define!P:P))</f>
        <v>ステート付与</v>
      </c>
      <c r="E205">
        <v>2050</v>
      </c>
      <c r="F205">
        <v>1</v>
      </c>
      <c r="G205">
        <v>0</v>
      </c>
      <c r="H205">
        <v>100</v>
      </c>
      <c r="I205" t="s">
        <v>34</v>
      </c>
    </row>
    <row r="206" spans="1:9">
      <c r="A206">
        <v>15910</v>
      </c>
      <c r="B206" t="str">
        <f>INDEX(TextData!B:B,MATCH(A206,TextData!A:A))</f>
        <v>イーグルアイ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15</v>
      </c>
      <c r="H206">
        <v>100</v>
      </c>
      <c r="I206" t="s">
        <v>26</v>
      </c>
    </row>
    <row r="207" spans="1:9">
      <c r="A207">
        <v>15910</v>
      </c>
      <c r="B207" t="str">
        <f>INDEX(TextData!B:B,MATCH(A207,TextData!A:A))</f>
        <v>イーグルアイ</v>
      </c>
      <c r="C207">
        <v>6030</v>
      </c>
      <c r="D207" t="str">
        <f>INDEX(Define!Q:Q,MATCH(C207,Define!P:P))</f>
        <v>FeatureのParam3を指定値に上書き</v>
      </c>
      <c r="E207">
        <v>15010</v>
      </c>
      <c r="F207">
        <v>0</v>
      </c>
      <c r="G207">
        <v>30</v>
      </c>
      <c r="H207">
        <v>100</v>
      </c>
      <c r="I207" t="s">
        <v>26</v>
      </c>
    </row>
    <row r="208" spans="1:9">
      <c r="A208">
        <v>15920</v>
      </c>
      <c r="B208" t="str">
        <f>INDEX(TextData!B:B,MATCH(A208,TextData!A:A))</f>
        <v>ネヴァーエンド</v>
      </c>
      <c r="C208">
        <v>3010</v>
      </c>
      <c r="D208" t="str">
        <f>INDEX(Define!Q:Q,MATCH(C208,Define!P:P))</f>
        <v>ステート付与</v>
      </c>
      <c r="E208">
        <v>1070</v>
      </c>
      <c r="F208">
        <v>999</v>
      </c>
      <c r="G208">
        <v>25</v>
      </c>
      <c r="H208">
        <v>100</v>
      </c>
      <c r="I208" t="s">
        <v>26</v>
      </c>
    </row>
    <row r="209" spans="1:9">
      <c r="A209">
        <v>15920</v>
      </c>
      <c r="B209" t="str">
        <f>INDEX(TextData!B:B,MATCH(A209,TextData!A:A))</f>
        <v>ネヴァーエンド</v>
      </c>
      <c r="C209">
        <v>6030</v>
      </c>
      <c r="D209" t="str">
        <f>INDEX(Define!Q:Q,MATCH(C209,Define!P:P))</f>
        <v>FeatureのParam3を指定値に上書き</v>
      </c>
      <c r="E209">
        <v>15020</v>
      </c>
      <c r="F209">
        <v>0</v>
      </c>
      <c r="G209">
        <v>50</v>
      </c>
      <c r="H209">
        <v>100</v>
      </c>
      <c r="I209" t="s">
        <v>26</v>
      </c>
    </row>
    <row r="210" spans="1:8">
      <c r="A210">
        <v>15930</v>
      </c>
      <c r="B210" t="str">
        <f>INDEX(TextData!B:B,MATCH(A210,TextData!A:A))</f>
        <v>グレイブアクト</v>
      </c>
      <c r="C210">
        <v>4020</v>
      </c>
      <c r="D210" t="str">
        <f>INDEX(Define!Q:Q,MATCH(C210,Define!P:P))</f>
        <v>Ct回復</v>
      </c>
      <c r="E210">
        <v>2</v>
      </c>
      <c r="F210">
        <v>0</v>
      </c>
      <c r="G210">
        <v>0</v>
      </c>
      <c r="H210">
        <v>100</v>
      </c>
    </row>
    <row r="211" spans="1:9">
      <c r="A211">
        <v>15940</v>
      </c>
      <c r="B211" t="str">
        <f>INDEX(TextData!B:B,MATCH(A211,TextData!A:A))</f>
        <v>スカルグラッジ</v>
      </c>
      <c r="C211">
        <v>3010</v>
      </c>
      <c r="D211" t="str">
        <f>INDEX(Define!Q:Q,MATCH(C211,Define!P:P))</f>
        <v>ステート付与</v>
      </c>
      <c r="E211">
        <v>2220</v>
      </c>
      <c r="F211">
        <v>999</v>
      </c>
      <c r="G211">
        <v>5</v>
      </c>
      <c r="H211">
        <v>100</v>
      </c>
      <c r="I211" t="s">
        <v>60</v>
      </c>
    </row>
    <row r="212" spans="1:8">
      <c r="A212">
        <v>30010</v>
      </c>
      <c r="B212" t="str">
        <f>INDEX(TextData!B:B,MATCH(A212,TextData!A:A))</f>
        <v>ラーニングピアス</v>
      </c>
      <c r="C212">
        <v>40020</v>
      </c>
      <c r="D212" t="str">
        <f>INDEX(Define!Q:Q,MATCH(C212,Define!P:P))</f>
        <v>獲得Eｘｐ％アップ</v>
      </c>
      <c r="E212">
        <v>30</v>
      </c>
      <c r="F212">
        <v>0</v>
      </c>
      <c r="G212">
        <v>0</v>
      </c>
      <c r="H212">
        <v>100</v>
      </c>
    </row>
    <row r="213" spans="1:8">
      <c r="A213">
        <v>30020</v>
      </c>
      <c r="B213" t="str">
        <f>INDEX(TextData!B:B,MATCH(A213,TextData!A:A))</f>
        <v>スティールヒール</v>
      </c>
      <c r="C213">
        <v>2011</v>
      </c>
      <c r="D213" t="str">
        <f>INDEX(Define!Q:Q,MATCH(C213,Define!P:P))</f>
        <v>攻撃対象の最大Hpに比例して回復</v>
      </c>
      <c r="E213">
        <v>5</v>
      </c>
      <c r="F213">
        <v>0</v>
      </c>
      <c r="G213">
        <v>1</v>
      </c>
      <c r="H213">
        <v>100</v>
      </c>
    </row>
    <row r="214" spans="1:9">
      <c r="A214">
        <v>30030</v>
      </c>
      <c r="B214" t="str">
        <f>INDEX(TextData!B:B,MATCH(A214,TextData!A:A))</f>
        <v>ガッツ</v>
      </c>
      <c r="C214">
        <v>3010</v>
      </c>
      <c r="D214" t="str">
        <f>INDEX(Define!Q:Q,MATCH(C214,Define!P:P))</f>
        <v>ステート付与</v>
      </c>
      <c r="E214">
        <v>2450</v>
      </c>
      <c r="F214">
        <v>1</v>
      </c>
      <c r="G214">
        <v>1</v>
      </c>
      <c r="H214">
        <v>100</v>
      </c>
      <c r="I214" t="s">
        <v>52</v>
      </c>
    </row>
    <row r="215" spans="1:9">
      <c r="A215">
        <v>100110</v>
      </c>
      <c r="B215" t="str">
        <f>INDEX(TextData!B:B,MATCH(A215,TextData!A:A))</f>
        <v>ソーイングアームド</v>
      </c>
      <c r="C215">
        <v>3010</v>
      </c>
      <c r="D215" t="str">
        <f>INDEX(Define!Q:Q,MATCH(C215,Define!P:P))</f>
        <v>ステート付与</v>
      </c>
      <c r="E215">
        <v>2330</v>
      </c>
      <c r="F215">
        <v>999</v>
      </c>
      <c r="G215">
        <v>25</v>
      </c>
      <c r="H215">
        <v>100</v>
      </c>
      <c r="I215" t="s">
        <v>49</v>
      </c>
    </row>
    <row r="216" spans="1:8">
      <c r="A216">
        <v>100110</v>
      </c>
      <c r="B216" t="str">
        <f>INDEX(TextData!B:B,MATCH(A216,TextData!A:A))</f>
        <v>ソーイングアームド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100120</v>
      </c>
      <c r="B217" t="str">
        <f>INDEX(TextData!B:B,MATCH(A217,TextData!A:A))</f>
        <v>エターナルロンド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100120</v>
      </c>
      <c r="B218" t="str">
        <f>INDEX(TextData!B:B,MATCH(A218,TextData!A:A))</f>
        <v>エターナルロンド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9">
      <c r="A219">
        <v>100210</v>
      </c>
      <c r="B219" t="str">
        <f>INDEX(TextData!B:B,MATCH(A219,TextData!A:A))</f>
        <v>アブソリュートパリィ</v>
      </c>
      <c r="C219">
        <v>3010</v>
      </c>
      <c r="D219" t="str">
        <f>INDEX(Define!Q:Q,MATCH(C219,Define!P:P))</f>
        <v>ステート付与</v>
      </c>
      <c r="E219">
        <v>1090</v>
      </c>
      <c r="F219">
        <v>3</v>
      </c>
      <c r="G219">
        <v>100</v>
      </c>
      <c r="H219">
        <v>100</v>
      </c>
      <c r="I219" t="s">
        <v>29</v>
      </c>
    </row>
    <row r="220" spans="1:8">
      <c r="A220">
        <v>100210</v>
      </c>
      <c r="B220" t="str">
        <f>INDEX(TextData!B:B,MATCH(A220,TextData!A:A))</f>
        <v>アブソリュートパリィ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100220</v>
      </c>
      <c r="B221" t="str">
        <f>INDEX(TextData!B:B,MATCH(A221,TextData!A:A))</f>
        <v>レヴェリー</v>
      </c>
      <c r="C221">
        <v>1010</v>
      </c>
      <c r="D221" t="str">
        <f>INDEX(Define!Q:Q,MATCH(C221,Define!P:P))</f>
        <v>Hpダメージ</v>
      </c>
      <c r="E221">
        <v>50</v>
      </c>
      <c r="F221">
        <v>0</v>
      </c>
      <c r="G221">
        <v>0</v>
      </c>
      <c r="H221">
        <v>100</v>
      </c>
    </row>
    <row r="222" spans="1:8">
      <c r="A222">
        <v>100220</v>
      </c>
      <c r="B222" t="str">
        <f>INDEX(TextData!B:B,MATCH(A222,TextData!A:A))</f>
        <v>レヴェリー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100310</v>
      </c>
      <c r="B223" t="str">
        <f>INDEX(TextData!B:B,MATCH(A223,TextData!A:A))</f>
        <v>セイクリッドバリア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">
        <v>34</v>
      </c>
    </row>
    <row r="224" spans="1:8">
      <c r="A224">
        <v>100310</v>
      </c>
      <c r="B224" t="str">
        <f>INDEX(TextData!B:B,MATCH(A224,TextData!A:A))</f>
        <v>セイクリッドバリア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100320</v>
      </c>
      <c r="B225" t="str">
        <f>INDEX(TextData!B:B,MATCH(A225,TextData!A:A))</f>
        <v>リベンジニードル</v>
      </c>
      <c r="C225">
        <v>1090</v>
      </c>
      <c r="D225" t="str">
        <f>INDEX(Define!Q:Q,MATCH(C225,Define!P:P))</f>
        <v>受けたダメージ総計ダメージ</v>
      </c>
      <c r="E225">
        <v>100</v>
      </c>
      <c r="F225">
        <v>0</v>
      </c>
      <c r="G225">
        <v>0</v>
      </c>
      <c r="H225">
        <v>100</v>
      </c>
    </row>
    <row r="226" spans="1:8">
      <c r="A226">
        <v>100320</v>
      </c>
      <c r="B226" t="str">
        <f>INDEX(TextData!B:B,MATCH(A226,TextData!A:A))</f>
        <v>リベンジニードル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9">
      <c r="A227">
        <v>100410</v>
      </c>
      <c r="B227" t="str">
        <f>INDEX(TextData!B:B,MATCH(A227,TextData!A:A))</f>
        <v>アバンデンス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">
        <v>39</v>
      </c>
    </row>
    <row r="228" spans="1:8">
      <c r="A228">
        <v>100410</v>
      </c>
      <c r="B228" t="str">
        <f>INDEX(TextData!B:B,MATCH(A228,TextData!A:A))</f>
        <v>アバンデンス</v>
      </c>
      <c r="C228">
        <v>2010</v>
      </c>
      <c r="D228" t="str">
        <f>INDEX(Define!Q:Q,MATCH(C228,Define!P:P))</f>
        <v>Hp回復</v>
      </c>
      <c r="E228">
        <v>25</v>
      </c>
      <c r="F228">
        <v>0</v>
      </c>
      <c r="G228">
        <v>0</v>
      </c>
      <c r="H228">
        <v>100</v>
      </c>
    </row>
    <row r="229" spans="1:8">
      <c r="A229">
        <v>100410</v>
      </c>
      <c r="B229" t="str">
        <f>INDEX(TextData!B:B,MATCH(A229,TextData!A:A))</f>
        <v>アバンデンス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9">
      <c r="A230">
        <v>100420</v>
      </c>
      <c r="B230" t="str">
        <f>INDEX(TextData!B:B,MATCH(A230,TextData!A:A))</f>
        <v>ハーヴェスト</v>
      </c>
      <c r="C230">
        <v>3010</v>
      </c>
      <c r="D230" t="str">
        <f>INDEX(Define!Q:Q,MATCH(C230,Define!P:P))</f>
        <v>ステート付与</v>
      </c>
      <c r="E230">
        <v>2040</v>
      </c>
      <c r="F230">
        <v>999</v>
      </c>
      <c r="G230">
        <v>10</v>
      </c>
      <c r="H230">
        <v>100</v>
      </c>
      <c r="I230" t="s">
        <v>57</v>
      </c>
    </row>
    <row r="231" spans="1:8">
      <c r="A231">
        <v>100420</v>
      </c>
      <c r="B231" t="str">
        <f>INDEX(TextData!B:B,MATCH(A231,TextData!A:A))</f>
        <v>ハーヴェスト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100510</v>
      </c>
      <c r="B232" t="str">
        <f>INDEX(TextData!B:B,MATCH(A232,TextData!A:A))</f>
        <v>カースドブレイク</v>
      </c>
      <c r="C232">
        <v>3010</v>
      </c>
      <c r="D232" t="str">
        <f>INDEX(Define!Q:Q,MATCH(C232,Define!P:P))</f>
        <v>ステート付与</v>
      </c>
      <c r="E232">
        <v>2470</v>
      </c>
      <c r="F232">
        <v>1</v>
      </c>
      <c r="G232">
        <v>100</v>
      </c>
      <c r="H232">
        <v>100</v>
      </c>
      <c r="I232" t="s">
        <v>61</v>
      </c>
    </row>
    <row r="233" spans="1:8">
      <c r="A233">
        <v>100510</v>
      </c>
      <c r="B233" t="str">
        <f>INDEX(TextData!B:B,MATCH(A233,TextData!A:A))</f>
        <v>カースドブレイク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9">
      <c r="A234">
        <v>100520</v>
      </c>
      <c r="B234" t="str">
        <f>INDEX(TextData!B:B,MATCH(A234,TextData!A:A))</f>
        <v>ムーンライトレイ</v>
      </c>
      <c r="C234">
        <v>3010</v>
      </c>
      <c r="D234" t="str">
        <f>INDEX(Define!Q:Q,MATCH(C234,Define!P:P))</f>
        <v>ステート付与</v>
      </c>
      <c r="E234">
        <v>2010</v>
      </c>
      <c r="F234">
        <v>2</v>
      </c>
      <c r="G234">
        <v>25</v>
      </c>
      <c r="H234">
        <v>100</v>
      </c>
      <c r="I234" t="s">
        <v>36</v>
      </c>
    </row>
    <row r="235" spans="1:8">
      <c r="A235">
        <v>100520</v>
      </c>
      <c r="B235" t="str">
        <f>INDEX(TextData!B:B,MATCH(A235,TextData!A:A))</f>
        <v>ムーンライトレイ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100610</v>
      </c>
      <c r="B236" t="str">
        <f>INDEX(TextData!B:B,MATCH(A236,TextData!A:A))</f>
        <v>サンフレイム</v>
      </c>
      <c r="C236">
        <v>4020</v>
      </c>
      <c r="D236" t="str">
        <f>INDEX(Define!Q:Q,MATCH(C236,Define!P:P))</f>
        <v>Ct回復</v>
      </c>
      <c r="E236">
        <v>5</v>
      </c>
      <c r="F236">
        <v>0</v>
      </c>
      <c r="G236">
        <v>0</v>
      </c>
      <c r="H236">
        <v>100</v>
      </c>
    </row>
    <row r="237" spans="1:8">
      <c r="A237">
        <v>100610</v>
      </c>
      <c r="B237" t="str">
        <f>INDEX(TextData!B:B,MATCH(A237,TextData!A:A))</f>
        <v>サンフレイム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100620</v>
      </c>
      <c r="B238" t="str">
        <f>INDEX(TextData!B:B,MATCH(A238,TextData!A:A))</f>
        <v>フレイムタン</v>
      </c>
      <c r="C238">
        <v>1010</v>
      </c>
      <c r="D238" t="str">
        <f>INDEX(Define!Q:Q,MATCH(C238,Define!P:P))</f>
        <v>Hpダメージ</v>
      </c>
      <c r="E238">
        <v>200</v>
      </c>
      <c r="F238">
        <v>0</v>
      </c>
      <c r="G238">
        <v>0</v>
      </c>
      <c r="H238">
        <v>100</v>
      </c>
    </row>
    <row r="239" spans="1:8">
      <c r="A239">
        <v>100620</v>
      </c>
      <c r="B239" t="str">
        <f>INDEX(TextData!B:B,MATCH(A239,TextData!A:A))</f>
        <v>フレイムタン</v>
      </c>
      <c r="C239">
        <v>4010</v>
      </c>
      <c r="D239" t="str">
        <f>INDEX(Define!Q:Q,MATCH(C239,Define!P:P))</f>
        <v>Ctダメージ</v>
      </c>
      <c r="E239">
        <v>2</v>
      </c>
      <c r="F239">
        <v>0</v>
      </c>
      <c r="G239">
        <v>0</v>
      </c>
      <c r="H239">
        <v>100</v>
      </c>
    </row>
    <row r="240" spans="1:8">
      <c r="A240">
        <v>100620</v>
      </c>
      <c r="B240" t="str">
        <f>INDEX(TextData!B:B,MATCH(A240,TextData!A:A))</f>
        <v>フレイムタン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100710</v>
      </c>
      <c r="B241" t="str">
        <f>INDEX(TextData!B:B,MATCH(A241,TextData!A:A))</f>
        <v>ライズザフラッグ</v>
      </c>
      <c r="C241">
        <v>3010</v>
      </c>
      <c r="D241" t="str">
        <f>INDEX(Define!Q:Q,MATCH(C241,Define!P:P))</f>
        <v>ステート付与</v>
      </c>
      <c r="E241">
        <v>2420</v>
      </c>
      <c r="F241">
        <v>3</v>
      </c>
      <c r="G241">
        <v>0</v>
      </c>
      <c r="H241">
        <v>100</v>
      </c>
      <c r="I241" t="s">
        <v>62</v>
      </c>
    </row>
    <row r="242" spans="1:8">
      <c r="A242">
        <v>100710</v>
      </c>
      <c r="B242" t="str">
        <f>INDEX(TextData!B:B,MATCH(A242,TextData!A:A))</f>
        <v>ライズザフラッグ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100720</v>
      </c>
      <c r="B243" t="str">
        <f>INDEX(TextData!B:B,MATCH(A243,TextData!A:A))</f>
        <v>オーバーリミット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100720</v>
      </c>
      <c r="B244" t="str">
        <f>INDEX(TextData!B:B,MATCH(A244,TextData!A:A))</f>
        <v>オーバーリミット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100720</v>
      </c>
      <c r="B245" t="str">
        <f>INDEX(TextData!B:B,MATCH(A245,TextData!A:A))</f>
        <v>オーバーリミット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100810</v>
      </c>
      <c r="B246" t="str">
        <f>INDEX(TextData!B:B,MATCH(A246,TextData!A:A))</f>
        <v>テンパランス</v>
      </c>
      <c r="C246">
        <v>3010</v>
      </c>
      <c r="D246" t="str">
        <f>INDEX(Define!Q:Q,MATCH(C246,Define!P:P))</f>
        <v>ステート付与</v>
      </c>
      <c r="E246">
        <v>1040</v>
      </c>
      <c r="F246">
        <v>999</v>
      </c>
      <c r="G246">
        <v>8</v>
      </c>
      <c r="H246">
        <v>100</v>
      </c>
      <c r="I246" t="s">
        <v>48</v>
      </c>
    </row>
    <row r="247" spans="1:9">
      <c r="A247">
        <v>100810</v>
      </c>
      <c r="B247" t="str">
        <f>INDEX(TextData!B:B,MATCH(A247,TextData!A:A))</f>
        <v>テンパランス</v>
      </c>
      <c r="C247">
        <v>3010</v>
      </c>
      <c r="D247" t="str">
        <f>INDEX(Define!Q:Q,MATCH(C247,Define!P:P))</f>
        <v>ステート付与</v>
      </c>
      <c r="E247">
        <v>1050</v>
      </c>
      <c r="F247">
        <v>999</v>
      </c>
      <c r="G247">
        <v>8</v>
      </c>
      <c r="H247">
        <v>100</v>
      </c>
      <c r="I247" t="s">
        <v>38</v>
      </c>
    </row>
    <row r="248" spans="1:8">
      <c r="A248">
        <v>100810</v>
      </c>
      <c r="B248" t="str">
        <f>INDEX(TextData!B:B,MATCH(A248,TextData!A:A))</f>
        <v>テンパランス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100820</v>
      </c>
      <c r="B249" t="str">
        <f>INDEX(TextData!B:B,MATCH(A249,TextData!A:A))</f>
        <v>シエルクルセイダー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100820</v>
      </c>
      <c r="B250" t="str">
        <f>INDEX(TextData!B:B,MATCH(A250,TextData!A:A))</f>
        <v>シエルクルセイダー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8">
      <c r="A251">
        <v>100910</v>
      </c>
      <c r="B251" t="str">
        <f>INDEX(TextData!B:B,MATCH(A251,TextData!A:A))</f>
        <v>バーニングカウンター</v>
      </c>
      <c r="C251">
        <v>1010</v>
      </c>
      <c r="D251" t="str">
        <f>INDEX(Define!Q:Q,MATCH(C251,Define!P:P))</f>
        <v>Hpダメージ</v>
      </c>
      <c r="E251">
        <v>350</v>
      </c>
      <c r="F251">
        <v>0</v>
      </c>
      <c r="G251">
        <v>0</v>
      </c>
      <c r="H251">
        <v>100</v>
      </c>
    </row>
    <row r="252" spans="1:8">
      <c r="A252">
        <v>100910</v>
      </c>
      <c r="B252" t="str">
        <f>INDEX(TextData!B:B,MATCH(A252,TextData!A:A))</f>
        <v>バーニングカウンター</v>
      </c>
      <c r="C252">
        <v>7010</v>
      </c>
      <c r="D252" t="str">
        <f>INDEX(Define!Q:Q,MATCH(C252,Define!P:P))</f>
        <v>行動後スキル</v>
      </c>
      <c r="E252">
        <v>100911</v>
      </c>
      <c r="F252">
        <v>0</v>
      </c>
      <c r="G252">
        <v>0</v>
      </c>
      <c r="H252">
        <v>100</v>
      </c>
    </row>
    <row r="253" spans="1:8">
      <c r="A253">
        <v>100911</v>
      </c>
      <c r="B253" t="str">
        <f>INDEX(TextData!B:B,MATCH(A253,TextData!A:A))</f>
        <v>バーニングカウンター</v>
      </c>
      <c r="C253">
        <v>7010</v>
      </c>
      <c r="D253" t="str">
        <f>INDEX(Define!Q:Q,MATCH(C253,Define!P:P))</f>
        <v>行動後スキル</v>
      </c>
      <c r="E253">
        <v>11</v>
      </c>
      <c r="F253">
        <v>0</v>
      </c>
      <c r="G253">
        <v>0</v>
      </c>
      <c r="H253">
        <v>100</v>
      </c>
    </row>
    <row r="254" spans="1:8">
      <c r="A254">
        <v>100920</v>
      </c>
      <c r="B254" t="str">
        <f>INDEX(TextData!B:B,MATCH(A254,TextData!A:A))</f>
        <v>プロミネンス</v>
      </c>
      <c r="C254">
        <v>1010</v>
      </c>
      <c r="D254" t="str">
        <f>INDEX(Define!Q:Q,MATCH(C254,Define!P:P))</f>
        <v>Hpダメージ</v>
      </c>
      <c r="E254">
        <v>400</v>
      </c>
      <c r="F254">
        <v>0</v>
      </c>
      <c r="G254">
        <v>0</v>
      </c>
      <c r="H254">
        <v>100</v>
      </c>
    </row>
    <row r="255" spans="1:8">
      <c r="A255">
        <v>100920</v>
      </c>
      <c r="B255" t="str">
        <f>INDEX(TextData!B:B,MATCH(A255,TextData!A:A))</f>
        <v>プロミネンス</v>
      </c>
      <c r="C255">
        <v>7010</v>
      </c>
      <c r="D255" t="str">
        <f>INDEX(Define!Q:Q,MATCH(C255,Define!P:P))</f>
        <v>行動後スキル</v>
      </c>
      <c r="E255">
        <v>100921</v>
      </c>
      <c r="F255">
        <v>0</v>
      </c>
      <c r="G255">
        <v>0</v>
      </c>
      <c r="H255">
        <v>100</v>
      </c>
    </row>
    <row r="256" spans="1:9">
      <c r="A256">
        <v>100921</v>
      </c>
      <c r="B256" t="str">
        <f>INDEX(TextData!B:B,MATCH(A256,TextData!A:A))</f>
        <v>プロミネンス</v>
      </c>
      <c r="C256">
        <v>3010</v>
      </c>
      <c r="D256" t="str">
        <f>INDEX(Define!Q:Q,MATCH(C256,Define!P:P))</f>
        <v>ステート付与</v>
      </c>
      <c r="E256">
        <v>1070</v>
      </c>
      <c r="F256">
        <v>999</v>
      </c>
      <c r="G256">
        <v>30</v>
      </c>
      <c r="H256">
        <v>100</v>
      </c>
      <c r="I256" t="s">
        <v>26</v>
      </c>
    </row>
    <row r="257" spans="1:8">
      <c r="A257">
        <v>100921</v>
      </c>
      <c r="B257" t="str">
        <f>INDEX(TextData!B:B,MATCH(A257,TextData!A:A))</f>
        <v>プロミネンス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8">
      <c r="A258">
        <v>101010</v>
      </c>
      <c r="B258" t="str">
        <f>INDEX(TextData!B:B,MATCH(A258,TextData!A:A))</f>
        <v>エウロス</v>
      </c>
      <c r="C258">
        <v>12010</v>
      </c>
      <c r="D258" t="str">
        <f>INDEX(Define!Q:Q,MATCH(C258,Define!P:P))</f>
        <v>最後に受けたAbnormalを相手に移す</v>
      </c>
      <c r="E258">
        <v>0</v>
      </c>
      <c r="F258">
        <v>0</v>
      </c>
      <c r="G258">
        <v>0</v>
      </c>
      <c r="H258">
        <v>100</v>
      </c>
    </row>
    <row r="259" spans="1:8">
      <c r="A259">
        <v>101010</v>
      </c>
      <c r="B259" t="str">
        <f>INDEX(TextData!B:B,MATCH(A259,TextData!A:A))</f>
        <v>エウロス</v>
      </c>
      <c r="C259">
        <v>13010</v>
      </c>
      <c r="D259" t="str">
        <f>INDEX(Define!Q:Q,MATCH(C259,Define!P:P))</f>
        <v>対象のバフを奪い取る</v>
      </c>
      <c r="E259">
        <v>0</v>
      </c>
      <c r="F259">
        <v>0</v>
      </c>
      <c r="G259">
        <v>0</v>
      </c>
      <c r="H259">
        <v>100</v>
      </c>
    </row>
    <row r="260" spans="1:8">
      <c r="A260">
        <v>101010</v>
      </c>
      <c r="B260" t="str">
        <f>INDEX(TextData!B:B,MATCH(A260,TextData!A:A))</f>
        <v>エウロス</v>
      </c>
      <c r="C260">
        <v>7010</v>
      </c>
      <c r="D260" t="str">
        <f>INDEX(Define!Q:Q,MATCH(C260,Define!P:P))</f>
        <v>行動後スキル</v>
      </c>
      <c r="E260">
        <v>11</v>
      </c>
      <c r="F260">
        <v>0</v>
      </c>
      <c r="G260">
        <v>0</v>
      </c>
      <c r="H260">
        <v>100</v>
      </c>
    </row>
    <row r="261" spans="1:8">
      <c r="A261">
        <v>101020</v>
      </c>
      <c r="B261" t="str">
        <f>INDEX(TextData!B:B,MATCH(A261,TextData!A:A))</f>
        <v>ボレアス</v>
      </c>
      <c r="C261">
        <v>1010</v>
      </c>
      <c r="D261" t="str">
        <f>INDEX(Define!Q:Q,MATCH(C261,Define!P:P))</f>
        <v>Hpダメージ</v>
      </c>
      <c r="E261">
        <v>300</v>
      </c>
      <c r="F261">
        <v>0</v>
      </c>
      <c r="G261">
        <v>0</v>
      </c>
      <c r="H261">
        <v>100</v>
      </c>
    </row>
    <row r="262" spans="1:8">
      <c r="A262">
        <v>101020</v>
      </c>
      <c r="B262" t="str">
        <f>INDEX(TextData!B:B,MATCH(A262,TextData!A:A))</f>
        <v>ボレアス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101110</v>
      </c>
      <c r="B263" t="str">
        <f>INDEX(TextData!B:B,MATCH(A263,TextData!A:A))</f>
        <v>アバランシュ</v>
      </c>
      <c r="C263">
        <v>3070</v>
      </c>
      <c r="D263" t="str">
        <f>INDEX(Define!Q:Q,MATCH(C263,Define!P:P))</f>
        <v>ステートの効果を変更</v>
      </c>
      <c r="E263">
        <v>2140</v>
      </c>
      <c r="F263">
        <v>1</v>
      </c>
      <c r="G263">
        <v>200</v>
      </c>
      <c r="H263">
        <v>100</v>
      </c>
      <c r="I263" t="s">
        <v>32</v>
      </c>
    </row>
    <row r="264" spans="1:8">
      <c r="A264">
        <v>101110</v>
      </c>
      <c r="B264" t="str">
        <f>INDEX(TextData!B:B,MATCH(A264,TextData!A:A))</f>
        <v>アバランシュ</v>
      </c>
      <c r="C264">
        <v>7010</v>
      </c>
      <c r="D264" t="str">
        <f>INDEX(Define!Q:Q,MATCH(C264,Define!P:P))</f>
        <v>行動後スキル</v>
      </c>
      <c r="E264">
        <v>11</v>
      </c>
      <c r="F264">
        <v>0</v>
      </c>
      <c r="G264">
        <v>0</v>
      </c>
      <c r="H264">
        <v>100</v>
      </c>
    </row>
    <row r="265" spans="1:8">
      <c r="A265">
        <v>101120</v>
      </c>
      <c r="B265" t="str">
        <f>INDEX(TextData!B:B,MATCH(A265,TextData!A:A))</f>
        <v>ブリザードコフィン</v>
      </c>
      <c r="C265">
        <v>1040</v>
      </c>
      <c r="D265" t="str">
        <f>INDEX(Define!Q:Q,MATCH(C265,Define!P:P))</f>
        <v>特定ステートダメージ</v>
      </c>
      <c r="E265">
        <v>400</v>
      </c>
      <c r="F265">
        <v>200</v>
      </c>
      <c r="G265">
        <v>2140</v>
      </c>
      <c r="H265">
        <v>100</v>
      </c>
    </row>
    <row r="266" spans="1:8">
      <c r="A266">
        <v>101120</v>
      </c>
      <c r="B266" t="str">
        <f>INDEX(TextData!B:B,MATCH(A266,TextData!A:A))</f>
        <v>ブリザードコフィン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110110</v>
      </c>
      <c r="B267" t="str">
        <f>INDEX(TextData!B:B,MATCH(A267,TextData!A:A))</f>
        <v>ウィビングヒストリー</v>
      </c>
      <c r="C267">
        <v>3010</v>
      </c>
      <c r="D267" t="str">
        <f>INDEX(Define!Q:Q,MATCH(C267,Define!P:P))</f>
        <v>ステート付与</v>
      </c>
      <c r="E267">
        <v>2450</v>
      </c>
      <c r="F267">
        <v>1</v>
      </c>
      <c r="G267">
        <v>0</v>
      </c>
      <c r="H267">
        <v>100</v>
      </c>
      <c r="I267" t="s">
        <v>52</v>
      </c>
    </row>
    <row r="268" spans="1:8">
      <c r="A268">
        <v>110110</v>
      </c>
      <c r="B268" t="str">
        <f>INDEX(TextData!B:B,MATCH(A268,TextData!A:A))</f>
        <v>ウィビングヒストリー</v>
      </c>
      <c r="C268">
        <v>7010</v>
      </c>
      <c r="D268" t="str">
        <f>INDEX(Define!Q:Q,MATCH(C268,Define!P:P))</f>
        <v>行動後スキル</v>
      </c>
      <c r="E268">
        <v>11</v>
      </c>
      <c r="F268">
        <v>0</v>
      </c>
      <c r="G268">
        <v>0</v>
      </c>
      <c r="H268">
        <v>100</v>
      </c>
    </row>
    <row r="269" spans="1:8">
      <c r="A269">
        <v>110120</v>
      </c>
      <c r="B269" t="str">
        <f>INDEX(TextData!B:B,MATCH(A269,TextData!A:A))</f>
        <v>アンライバルド</v>
      </c>
      <c r="C269">
        <v>1110</v>
      </c>
      <c r="D269" t="str">
        <f>INDEX(Define!Q:Q,MATCH(C269,Define!P:P))</f>
        <v>残りHp比例ダメージ</v>
      </c>
      <c r="E269">
        <v>100</v>
      </c>
      <c r="F269">
        <v>0</v>
      </c>
      <c r="G269">
        <v>50</v>
      </c>
      <c r="H269">
        <v>100</v>
      </c>
    </row>
    <row r="270" spans="1:8">
      <c r="A270">
        <v>110120</v>
      </c>
      <c r="B270" t="str">
        <f>INDEX(TextData!B:B,MATCH(A270,TextData!A:A))</f>
        <v>アンライバルド</v>
      </c>
      <c r="C270">
        <v>7010</v>
      </c>
      <c r="D270" t="str">
        <f>INDEX(Define!Q:Q,MATCH(C270,Define!P:P))</f>
        <v>行動後スキル</v>
      </c>
      <c r="E270">
        <v>21</v>
      </c>
      <c r="F270">
        <v>0</v>
      </c>
      <c r="G270">
        <v>0</v>
      </c>
      <c r="H270">
        <v>100</v>
      </c>
    </row>
    <row r="271" spans="1:8">
      <c r="A271">
        <v>110210</v>
      </c>
      <c r="B271" t="str">
        <f>INDEX(TextData!B:B,MATCH(A271,TextData!A:A))</f>
        <v>リベリオンスピリッツ</v>
      </c>
      <c r="C271">
        <v>1010</v>
      </c>
      <c r="D271" t="str">
        <f>INDEX(Define!Q:Q,MATCH(C271,Define!P:P))</f>
        <v>Hpダメージ</v>
      </c>
      <c r="E271">
        <v>400</v>
      </c>
      <c r="F271">
        <v>0</v>
      </c>
      <c r="G271">
        <v>0</v>
      </c>
      <c r="H271">
        <v>100</v>
      </c>
    </row>
    <row r="272" spans="1:8">
      <c r="A272">
        <v>110210</v>
      </c>
      <c r="B272" t="str">
        <f>INDEX(TextData!B:B,MATCH(A272,TextData!A:A))</f>
        <v>リベリオンスピリッツ</v>
      </c>
      <c r="C272">
        <v>7010</v>
      </c>
      <c r="D272" t="str">
        <f>INDEX(Define!Q:Q,MATCH(C272,Define!P:P))</f>
        <v>行動後スキル</v>
      </c>
      <c r="E272">
        <v>11</v>
      </c>
      <c r="F272">
        <v>0</v>
      </c>
      <c r="G272">
        <v>0</v>
      </c>
      <c r="H272">
        <v>100</v>
      </c>
    </row>
    <row r="273" spans="1:8">
      <c r="A273">
        <v>110220</v>
      </c>
      <c r="B273" t="str">
        <f>INDEX(TextData!B:B,MATCH(A273,TextData!A:A))</f>
        <v>ファイナリティアビス</v>
      </c>
      <c r="C273">
        <v>1010</v>
      </c>
      <c r="D273" t="str">
        <f>INDEX(Define!Q:Q,MATCH(C273,Define!P:P))</f>
        <v>Hpダメージ</v>
      </c>
      <c r="E273">
        <v>400</v>
      </c>
      <c r="F273">
        <v>0</v>
      </c>
      <c r="G273">
        <v>0</v>
      </c>
      <c r="H273">
        <v>100</v>
      </c>
    </row>
    <row r="274" spans="1:8">
      <c r="A274">
        <v>110220</v>
      </c>
      <c r="B274" t="str">
        <f>INDEX(TextData!B:B,MATCH(A274,TextData!A:A))</f>
        <v>ファイナリティアビス</v>
      </c>
      <c r="C274">
        <v>7010</v>
      </c>
      <c r="D274" t="str">
        <f>INDEX(Define!Q:Q,MATCH(C274,Define!P:P))</f>
        <v>行動後スキル</v>
      </c>
      <c r="E274">
        <v>21</v>
      </c>
      <c r="F274">
        <v>0</v>
      </c>
      <c r="G274">
        <v>0</v>
      </c>
      <c r="H274">
        <v>100</v>
      </c>
    </row>
    <row r="275" ht="11" customHeight="1" spans="1:9">
      <c r="A275">
        <v>200110</v>
      </c>
      <c r="B275" t="str">
        <f>INDEX(TextData!B:B,MATCH(A275,TextData!A:A))</f>
        <v>スリータイムス</v>
      </c>
      <c r="C275">
        <v>3010</v>
      </c>
      <c r="D275" t="str">
        <f>INDEX(Define!Q:Q,MATCH(C275,Define!P:P))</f>
        <v>ステート付与</v>
      </c>
      <c r="E275">
        <v>1040</v>
      </c>
      <c r="F275">
        <v>999</v>
      </c>
      <c r="G275">
        <v>10</v>
      </c>
      <c r="H275">
        <v>100</v>
      </c>
      <c r="I275" t="s">
        <v>48</v>
      </c>
    </row>
    <row r="276" spans="1:8">
      <c r="A276">
        <v>200110</v>
      </c>
      <c r="B276" t="str">
        <f>INDEX(TextData!B:B,MATCH(A276,TextData!A:A))</f>
        <v>スリータイムス</v>
      </c>
      <c r="C276">
        <v>7010</v>
      </c>
      <c r="D276" t="str">
        <f>INDEX(Define!Q:Q,MATCH(C276,Define!P:P))</f>
        <v>行動後スキル</v>
      </c>
      <c r="E276">
        <v>11</v>
      </c>
      <c r="F276">
        <v>0</v>
      </c>
      <c r="G276">
        <v>0</v>
      </c>
      <c r="H276">
        <v>100</v>
      </c>
    </row>
    <row r="277" spans="1:8">
      <c r="A277">
        <v>200120</v>
      </c>
      <c r="B277" t="str">
        <f>INDEX(TextData!B:B,MATCH(A277,TextData!A:A))</f>
        <v>アングリークライ</v>
      </c>
      <c r="C277">
        <v>1010</v>
      </c>
      <c r="D277" t="str">
        <f>INDEX(Define!Q:Q,MATCH(C277,Define!P:P))</f>
        <v>Hpダメージ</v>
      </c>
      <c r="E277">
        <v>250</v>
      </c>
      <c r="F277">
        <v>0</v>
      </c>
      <c r="G277">
        <v>0</v>
      </c>
      <c r="H277">
        <v>100</v>
      </c>
    </row>
    <row r="278" spans="1:8">
      <c r="A278">
        <v>200120</v>
      </c>
      <c r="B278" t="str">
        <f>INDEX(TextData!B:B,MATCH(A278,TextData!A:A))</f>
        <v>アングリークライ</v>
      </c>
      <c r="C278">
        <v>7010</v>
      </c>
      <c r="D278" t="str">
        <f>INDEX(Define!Q:Q,MATCH(C278,Define!P:P))</f>
        <v>行動後スキル</v>
      </c>
      <c r="E278">
        <v>21</v>
      </c>
      <c r="F278">
        <v>0</v>
      </c>
      <c r="G278">
        <v>0</v>
      </c>
      <c r="H278">
        <v>100</v>
      </c>
    </row>
    <row r="279" ht="11" customHeight="1" spans="1:9">
      <c r="A279">
        <v>200210</v>
      </c>
      <c r="B279" t="str">
        <f>INDEX(TextData!B:B,MATCH(A279,TextData!A:A))</f>
        <v>マイトレインフォース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20</v>
      </c>
      <c r="H279">
        <v>100</v>
      </c>
      <c r="I279" t="s">
        <v>48</v>
      </c>
    </row>
    <row r="280" spans="1:8">
      <c r="A280">
        <v>200210</v>
      </c>
      <c r="B280" t="str">
        <f>INDEX(TextData!B:B,MATCH(A280,TextData!A:A))</f>
        <v>マイトレインフォース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200220</v>
      </c>
      <c r="B281" t="str">
        <f>INDEX(TextData!B:B,MATCH(A281,TextData!A:A))</f>
        <v>カタストロフィ</v>
      </c>
      <c r="C281">
        <v>1010</v>
      </c>
      <c r="D281" t="str">
        <f>INDEX(Define!Q:Q,MATCH(C281,Define!P:P))</f>
        <v>Hpダメージ</v>
      </c>
      <c r="E281">
        <v>500</v>
      </c>
      <c r="F281">
        <v>0</v>
      </c>
      <c r="G281">
        <v>0</v>
      </c>
      <c r="H281">
        <v>100</v>
      </c>
    </row>
    <row r="282" spans="1:8">
      <c r="A282">
        <v>200220</v>
      </c>
      <c r="B282" t="str">
        <f>INDEX(TextData!B:B,MATCH(A282,TextData!A:A))</f>
        <v>カタストロフィ</v>
      </c>
      <c r="C282">
        <v>7010</v>
      </c>
      <c r="D282" t="str">
        <f>INDEX(Define!Q:Q,MATCH(C282,Define!P:P))</f>
        <v>行動後スキル</v>
      </c>
      <c r="E282">
        <v>21</v>
      </c>
      <c r="F282">
        <v>0</v>
      </c>
      <c r="G282">
        <v>0</v>
      </c>
      <c r="H282">
        <v>100</v>
      </c>
    </row>
    <row r="283" spans="1:9">
      <c r="A283">
        <v>200230</v>
      </c>
      <c r="B283" t="str">
        <f>INDEX(TextData!B:B,MATCH(A283,TextData!A:A))</f>
        <v>悪魔(ベリト)</v>
      </c>
      <c r="C283">
        <v>3010</v>
      </c>
      <c r="D283" t="str">
        <f>INDEX(Define!Q:Q,MATCH(C283,Define!P:P))</f>
        <v>ステート付与</v>
      </c>
      <c r="E283">
        <v>1040</v>
      </c>
      <c r="F283">
        <v>999</v>
      </c>
      <c r="G283">
        <v>20</v>
      </c>
      <c r="H283">
        <v>100</v>
      </c>
      <c r="I283" t="s">
        <v>48</v>
      </c>
    </row>
    <row r="284" spans="1:9">
      <c r="A284">
        <v>200310</v>
      </c>
      <c r="B284" t="str">
        <f>INDEX(TextData!B:B,MATCH(A284,TextData!A:A))</f>
        <v>プルガシオン</v>
      </c>
      <c r="C284">
        <v>3010</v>
      </c>
      <c r="D284" t="str">
        <f>INDEX(Define!Q:Q,MATCH(C284,Define!P:P))</f>
        <v>ステート付与</v>
      </c>
      <c r="E284">
        <v>2040</v>
      </c>
      <c r="F284">
        <v>3</v>
      </c>
      <c r="G284">
        <v>15</v>
      </c>
      <c r="H284">
        <v>100</v>
      </c>
      <c r="I284" t="s">
        <v>57</v>
      </c>
    </row>
    <row r="285" spans="1:8">
      <c r="A285">
        <v>200310</v>
      </c>
      <c r="B285" t="str">
        <f>INDEX(TextData!B:B,MATCH(A285,TextData!A:A))</f>
        <v>プルガシオン</v>
      </c>
      <c r="C285">
        <v>7010</v>
      </c>
      <c r="D285" t="str">
        <f>INDEX(Define!Q:Q,MATCH(C285,Define!P:P))</f>
        <v>行動後スキル</v>
      </c>
      <c r="E285">
        <v>11</v>
      </c>
      <c r="F285">
        <v>0</v>
      </c>
      <c r="G285">
        <v>0</v>
      </c>
      <c r="H285">
        <v>100</v>
      </c>
    </row>
    <row r="286" spans="1:9">
      <c r="A286">
        <v>200320</v>
      </c>
      <c r="B286" t="str">
        <f>INDEX(TextData!B:B,MATCH(A286,TextData!A:A))</f>
        <v>プリエステス</v>
      </c>
      <c r="C286">
        <v>3010</v>
      </c>
      <c r="D286" t="str">
        <f>INDEX(Define!Q:Q,MATCH(C286,Define!P:P))</f>
        <v>ステート付与</v>
      </c>
      <c r="E286">
        <v>2030</v>
      </c>
      <c r="F286">
        <v>999</v>
      </c>
      <c r="G286">
        <v>50</v>
      </c>
      <c r="H286">
        <v>100</v>
      </c>
      <c r="I286" t="s">
        <v>37</v>
      </c>
    </row>
    <row r="287" spans="1:8">
      <c r="A287">
        <v>200320</v>
      </c>
      <c r="B287" t="str">
        <f>INDEX(TextData!B:B,MATCH(A287,TextData!A:A))</f>
        <v>プリエステス</v>
      </c>
      <c r="C287">
        <v>7010</v>
      </c>
      <c r="D287" t="str">
        <f>INDEX(Define!Q:Q,MATCH(C287,Define!P:P))</f>
        <v>行動後スキル</v>
      </c>
      <c r="E287">
        <v>21</v>
      </c>
      <c r="F287">
        <v>0</v>
      </c>
      <c r="G287">
        <v>0</v>
      </c>
      <c r="H287">
        <v>100</v>
      </c>
    </row>
    <row r="288" spans="1:9">
      <c r="A288">
        <v>200330</v>
      </c>
      <c r="B288" t="str">
        <f>INDEX(TextData!B:B,MATCH(A288,TextData!A:A))</f>
        <v>悪魔(パイモン)</v>
      </c>
      <c r="C288">
        <v>3010</v>
      </c>
      <c r="D288" t="str">
        <f>INDEX(Define!Q:Q,MATCH(C288,Define!P:P))</f>
        <v>ステート付与</v>
      </c>
      <c r="E288">
        <v>2340</v>
      </c>
      <c r="F288">
        <v>999</v>
      </c>
      <c r="G288">
        <v>0</v>
      </c>
      <c r="H288">
        <v>100</v>
      </c>
      <c r="I288" t="s">
        <v>63</v>
      </c>
    </row>
    <row r="289" spans="1:9">
      <c r="A289">
        <v>200330</v>
      </c>
      <c r="B289" t="str">
        <f>INDEX(TextData!B:B,MATCH(A289,TextData!A:A))</f>
        <v>悪魔(パイモン)</v>
      </c>
      <c r="C289">
        <v>3010</v>
      </c>
      <c r="D289" t="str">
        <f>INDEX(Define!Q:Q,MATCH(C289,Define!P:P))</f>
        <v>ステート付与</v>
      </c>
      <c r="E289">
        <v>2190</v>
      </c>
      <c r="F289">
        <v>999</v>
      </c>
      <c r="G289">
        <v>0</v>
      </c>
      <c r="H289">
        <v>100</v>
      </c>
      <c r="I289" t="s">
        <v>45</v>
      </c>
    </row>
    <row r="290" spans="1:8">
      <c r="A290">
        <v>200410</v>
      </c>
      <c r="B290" t="str">
        <f>INDEX(TextData!B:B,MATCH(A290,TextData!A:A))</f>
        <v>コウソクテンショウ</v>
      </c>
      <c r="C290">
        <v>1010</v>
      </c>
      <c r="D290" t="str">
        <f>INDEX(Define!Q:Q,MATCH(C290,Define!P:P))</f>
        <v>Hpダメージ</v>
      </c>
      <c r="E290">
        <v>300</v>
      </c>
      <c r="F290">
        <v>0</v>
      </c>
      <c r="G290">
        <v>0</v>
      </c>
      <c r="H290">
        <v>100</v>
      </c>
    </row>
    <row r="291" spans="1:8">
      <c r="A291">
        <v>200410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200411</v>
      </c>
      <c r="F291">
        <v>0</v>
      </c>
      <c r="G291">
        <v>0</v>
      </c>
      <c r="H291">
        <v>100</v>
      </c>
    </row>
    <row r="292" spans="1:9">
      <c r="A292">
        <v>200411</v>
      </c>
      <c r="B292" t="str">
        <f>INDEX(TextData!B:B,MATCH(A292,TextData!A:A))</f>
        <v>コウソクテンショウ</v>
      </c>
      <c r="C292">
        <v>3010</v>
      </c>
      <c r="D292" t="str">
        <f>INDEX(Define!Q:Q,MATCH(C292,Define!P:P))</f>
        <v>ステート付与</v>
      </c>
      <c r="E292">
        <v>2060</v>
      </c>
      <c r="F292">
        <v>999</v>
      </c>
      <c r="G292">
        <v>25</v>
      </c>
      <c r="H292">
        <v>100</v>
      </c>
      <c r="I292" t="s">
        <v>53</v>
      </c>
    </row>
    <row r="293" spans="1:8">
      <c r="A293">
        <v>200411</v>
      </c>
      <c r="B293" t="str">
        <f>INDEX(TextData!B:B,MATCH(A293,TextData!A:A))</f>
        <v>コウソクテンショウ</v>
      </c>
      <c r="C293">
        <v>7010</v>
      </c>
      <c r="D293" t="str">
        <f>INDEX(Define!Q:Q,MATCH(C293,Define!P:P))</f>
        <v>行動後スキル</v>
      </c>
      <c r="E293">
        <v>11</v>
      </c>
      <c r="F293">
        <v>0</v>
      </c>
      <c r="G293">
        <v>0</v>
      </c>
      <c r="H293">
        <v>100</v>
      </c>
    </row>
    <row r="294" spans="1:8">
      <c r="A294">
        <v>200420</v>
      </c>
      <c r="B294" t="str">
        <f>INDEX(TextData!B:B,MATCH(A294,TextData!A:A))</f>
        <v>アンチバフ</v>
      </c>
      <c r="C294">
        <v>3050</v>
      </c>
      <c r="D294" t="str">
        <f>INDEX(Define!Q:Q,MATCH(C294,Define!P:P))</f>
        <v>バフステート解除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200420</v>
      </c>
      <c r="B295" t="str">
        <f>INDEX(TextData!B:B,MATCH(A295,TextData!A:A))</f>
        <v>アンチバフ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8">
      <c r="A296">
        <v>200430</v>
      </c>
      <c r="B296" t="str">
        <f>INDEX(TextData!B:B,MATCH(A296,TextData!A:A))</f>
        <v>悪魔(アンドラス)</v>
      </c>
      <c r="C296">
        <v>6100</v>
      </c>
      <c r="D296" t="str">
        <f>INDEX(Define!Q:Q,MATCH(C296,Define!P:P))</f>
        <v>指定魔法の攻撃回数を増やす(強化限定)</v>
      </c>
      <c r="E296">
        <v>2010</v>
      </c>
      <c r="F296">
        <v>0</v>
      </c>
      <c r="G296">
        <v>3</v>
      </c>
      <c r="H296">
        <v>100</v>
      </c>
    </row>
    <row r="297" spans="1:9">
      <c r="A297">
        <v>200510</v>
      </c>
      <c r="B297" t="str">
        <f>INDEX(TextData!B:B,MATCH(A297,TextData!A:A))</f>
        <v>カウントダウン</v>
      </c>
      <c r="C297">
        <v>3010</v>
      </c>
      <c r="D297" t="str">
        <f>INDEX(Define!Q:Q,MATCH(C297,Define!P:P))</f>
        <v>ステート付与</v>
      </c>
      <c r="E297">
        <v>2050</v>
      </c>
      <c r="F297">
        <v>10</v>
      </c>
      <c r="G297">
        <v>0</v>
      </c>
      <c r="H297">
        <v>100</v>
      </c>
      <c r="I297" t="s">
        <v>34</v>
      </c>
    </row>
    <row r="298" spans="1:8">
      <c r="A298">
        <v>200510</v>
      </c>
      <c r="B298" t="str">
        <f>INDEX(TextData!B:B,MATCH(A298,TextData!A:A))</f>
        <v>カウントダウン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9">
      <c r="A299">
        <v>200520</v>
      </c>
      <c r="B299" t="str">
        <f>INDEX(TextData!B:B,MATCH(A299,TextData!A:A))</f>
        <v>グラウンドゼロ</v>
      </c>
      <c r="C299">
        <v>3010</v>
      </c>
      <c r="D299" t="str">
        <f>INDEX(Define!Q:Q,MATCH(C299,Define!P:P))</f>
        <v>ステート付与</v>
      </c>
      <c r="E299">
        <v>1</v>
      </c>
      <c r="F299">
        <v>0</v>
      </c>
      <c r="G299">
        <v>0</v>
      </c>
      <c r="H299">
        <v>100</v>
      </c>
      <c r="I299" t="s">
        <v>39</v>
      </c>
    </row>
    <row r="300" spans="1:8">
      <c r="A300">
        <v>200520</v>
      </c>
      <c r="B300" t="str">
        <f>INDEX(TextData!B:B,MATCH(A300,TextData!A:A))</f>
        <v>グラウンドゼロ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200520</v>
      </c>
      <c r="B301" t="str">
        <f>INDEX(TextData!B:B,MATCH(A301,TextData!A:A))</f>
        <v>グラウンドゼロ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200530</v>
      </c>
      <c r="B302" t="str">
        <f>INDEX(TextData!B:B,MATCH(A302,TextData!A:A))</f>
        <v>悪魔(ビフロンス)</v>
      </c>
      <c r="C302">
        <v>3010</v>
      </c>
      <c r="D302" t="str">
        <f>INDEX(Define!Q:Q,MATCH(C302,Define!P:P))</f>
        <v>ステート付与</v>
      </c>
      <c r="E302">
        <v>2410</v>
      </c>
      <c r="F302">
        <v>999</v>
      </c>
      <c r="G302">
        <v>25</v>
      </c>
      <c r="H302">
        <v>100</v>
      </c>
      <c r="I302" t="s">
        <v>35</v>
      </c>
    </row>
    <row r="303" spans="1:9">
      <c r="A303">
        <v>201010</v>
      </c>
      <c r="B303" t="str">
        <f>INDEX(TextData!B:B,MATCH(A303,TextData!A:A))</f>
        <v>カオスペイン</v>
      </c>
      <c r="C303">
        <v>3010</v>
      </c>
      <c r="D303" t="str">
        <f>INDEX(Define!Q:Q,MATCH(C303,Define!P:P))</f>
        <v>ステート付与</v>
      </c>
      <c r="E303">
        <v>2010</v>
      </c>
      <c r="F303">
        <v>2</v>
      </c>
      <c r="G303">
        <v>25</v>
      </c>
      <c r="H303">
        <v>100</v>
      </c>
      <c r="I303" t="s">
        <v>36</v>
      </c>
    </row>
    <row r="304" spans="1:8">
      <c r="A304">
        <v>201010</v>
      </c>
      <c r="B304" t="str">
        <f>INDEX(TextData!B:B,MATCH(A304,TextData!A:A))</f>
        <v>カオスペイン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2030</v>
      </c>
      <c r="D305" t="str">
        <f>INDEX(Define!Q:Q,MATCH(C305,Define!P:P))</f>
        <v>対象のHpを1にする</v>
      </c>
      <c r="E305">
        <v>0</v>
      </c>
      <c r="F305">
        <v>0</v>
      </c>
      <c r="G305">
        <v>0</v>
      </c>
      <c r="H305">
        <v>100</v>
      </c>
    </row>
    <row r="306" spans="1:8">
      <c r="A306">
        <v>201020</v>
      </c>
      <c r="B306" t="str">
        <f>INDEX(TextData!B:B,MATCH(A306,TextData!A:A))</f>
        <v>フォールンワン</v>
      </c>
      <c r="C306">
        <v>11010</v>
      </c>
      <c r="D306" t="str">
        <f>INDEX(Define!Q:Q,MATCH(C306,Define!P:P))</f>
        <v>命中判定しない</v>
      </c>
      <c r="E306">
        <v>0</v>
      </c>
      <c r="F306">
        <v>0</v>
      </c>
      <c r="G306">
        <v>0</v>
      </c>
      <c r="H306">
        <v>100</v>
      </c>
    </row>
    <row r="307" spans="1:8">
      <c r="A307">
        <v>201020</v>
      </c>
      <c r="B307" t="str">
        <f>INDEX(TextData!B:B,MATCH(A307,TextData!A:A))</f>
        <v>フォールンワン</v>
      </c>
      <c r="C307">
        <v>7010</v>
      </c>
      <c r="D307" t="str">
        <f>INDEX(Define!Q:Q,MATCH(C307,Define!P:P))</f>
        <v>行動後スキル</v>
      </c>
      <c r="E307">
        <v>21</v>
      </c>
      <c r="F307">
        <v>0</v>
      </c>
      <c r="G307">
        <v>0</v>
      </c>
      <c r="H307">
        <v>100</v>
      </c>
    </row>
    <row r="308" spans="1:9">
      <c r="A308">
        <v>201030</v>
      </c>
      <c r="B308" t="str">
        <f>INDEX(TextData!B:B,MATCH(A308,TextData!A:A))</f>
        <v>アンリマユ</v>
      </c>
      <c r="C308">
        <v>3010</v>
      </c>
      <c r="D308" t="str">
        <f>INDEX(Define!Q:Q,MATCH(C308,Define!P:P))</f>
        <v>ステート付与</v>
      </c>
      <c r="E308">
        <v>2050</v>
      </c>
      <c r="F308">
        <v>2</v>
      </c>
      <c r="G308">
        <v>0</v>
      </c>
      <c r="H308">
        <v>100</v>
      </c>
      <c r="I308" t="s">
        <v>34</v>
      </c>
    </row>
    <row r="309" spans="1:9">
      <c r="A309">
        <v>300010</v>
      </c>
      <c r="B309" t="str">
        <f>INDEX(TextData!B:B,MATCH(A309,TextData!A:A))</f>
        <v>ライフブースト</v>
      </c>
      <c r="C309">
        <v>3010</v>
      </c>
      <c r="D309" t="str">
        <f>INDEX(Define!Q:Q,MATCH(C309,Define!P:P))</f>
        <v>ステート付与</v>
      </c>
      <c r="E309">
        <v>1020</v>
      </c>
      <c r="F309">
        <v>999</v>
      </c>
      <c r="G309">
        <v>5</v>
      </c>
      <c r="H309">
        <v>100</v>
      </c>
      <c r="I309" t="s">
        <v>47</v>
      </c>
    </row>
    <row r="310" spans="1:8">
      <c r="A310">
        <v>300020</v>
      </c>
      <c r="B310" t="str">
        <f>INDEX(TextData!B:B,MATCH(A310,TextData!A:A))</f>
        <v>スピリットチャージ</v>
      </c>
      <c r="C310">
        <v>4040</v>
      </c>
      <c r="D310" t="str">
        <f>INDEX(Define!Q:Q,MATCH(C310,Define!P:P))</f>
        <v>指定魔法のCｔ回復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300030</v>
      </c>
      <c r="B311" t="str">
        <f>INDEX(TextData!B:B,MATCH(A311,TextData!A:A))</f>
        <v>フォースライズ</v>
      </c>
      <c r="C311">
        <v>3010</v>
      </c>
      <c r="D311" t="str">
        <f>INDEX(Define!Q:Q,MATCH(C311,Define!P:P))</f>
        <v>ステート付与</v>
      </c>
      <c r="E311">
        <v>1040</v>
      </c>
      <c r="F311">
        <v>999</v>
      </c>
      <c r="G311">
        <v>4</v>
      </c>
      <c r="H311">
        <v>100</v>
      </c>
      <c r="I311" t="s">
        <v>48</v>
      </c>
    </row>
    <row r="312" spans="1:9">
      <c r="A312">
        <v>300040</v>
      </c>
      <c r="B312" t="str">
        <f>INDEX(TextData!B:B,MATCH(A312,TextData!A:A))</f>
        <v>ディフェンスオーラ</v>
      </c>
      <c r="C312">
        <v>3010</v>
      </c>
      <c r="D312" t="str">
        <f>INDEX(Define!Q:Q,MATCH(C312,Define!P:P))</f>
        <v>ステート付与</v>
      </c>
      <c r="E312">
        <v>1050</v>
      </c>
      <c r="F312">
        <v>999</v>
      </c>
      <c r="G312">
        <v>4</v>
      </c>
      <c r="H312">
        <v>100</v>
      </c>
      <c r="I312" t="s">
        <v>38</v>
      </c>
    </row>
    <row r="313" spans="1:9">
      <c r="A313">
        <v>300050</v>
      </c>
      <c r="B313" t="str">
        <f>INDEX(TextData!B:B,MATCH(A313,TextData!A:A))</f>
        <v>ラピッドムーブ</v>
      </c>
      <c r="C313">
        <v>3010</v>
      </c>
      <c r="D313" t="str">
        <f>INDEX(Define!Q:Q,MATCH(C313,Define!P:P))</f>
        <v>ステート付与</v>
      </c>
      <c r="E313">
        <v>1060</v>
      </c>
      <c r="F313">
        <v>999</v>
      </c>
      <c r="G313">
        <v>3</v>
      </c>
      <c r="H313">
        <v>100</v>
      </c>
      <c r="I313" t="s">
        <v>51</v>
      </c>
    </row>
    <row r="314" spans="1:9">
      <c r="A314">
        <v>300130</v>
      </c>
      <c r="B314" t="str">
        <f>INDEX(TextData!B:B,MATCH(A314,TextData!A:A))</f>
        <v>アタックブレイク</v>
      </c>
      <c r="C314">
        <v>3010</v>
      </c>
      <c r="D314" t="str">
        <f>INDEX(Define!Q:Q,MATCH(C314,Define!P:P))</f>
        <v>ステート付与</v>
      </c>
      <c r="E314">
        <v>1041</v>
      </c>
      <c r="F314">
        <v>999</v>
      </c>
      <c r="G314">
        <v>4</v>
      </c>
      <c r="H314">
        <v>100</v>
      </c>
      <c r="I314" t="s">
        <v>43</v>
      </c>
    </row>
    <row r="315" spans="1:9">
      <c r="A315">
        <v>300140</v>
      </c>
      <c r="B315" t="str">
        <f>INDEX(TextData!B:B,MATCH(A315,TextData!A:A))</f>
        <v>シールドバニッシュ</v>
      </c>
      <c r="C315">
        <v>3010</v>
      </c>
      <c r="D315" t="str">
        <f>INDEX(Define!Q:Q,MATCH(C315,Define!P:P))</f>
        <v>ステート付与</v>
      </c>
      <c r="E315">
        <v>1051</v>
      </c>
      <c r="F315">
        <v>999</v>
      </c>
      <c r="G315">
        <v>4</v>
      </c>
      <c r="H315">
        <v>100</v>
      </c>
      <c r="I315" t="s">
        <v>33</v>
      </c>
    </row>
    <row r="316" spans="1:8">
      <c r="A316">
        <v>300210</v>
      </c>
      <c r="B316" t="str">
        <f>INDEX(TextData!B:B,MATCH(A316,TextData!A:A))</f>
        <v>エーテルリチャージ</v>
      </c>
      <c r="C316">
        <v>4020</v>
      </c>
      <c r="D316" t="str">
        <f>INDEX(Define!Q:Q,MATCH(C316,Define!P:P))</f>
        <v>Ct回復</v>
      </c>
      <c r="E316">
        <v>1</v>
      </c>
      <c r="F316">
        <v>0</v>
      </c>
      <c r="G316">
        <v>0</v>
      </c>
      <c r="H316">
        <v>100</v>
      </c>
    </row>
    <row r="317" spans="1:9">
      <c r="A317">
        <v>300220</v>
      </c>
      <c r="B317" t="str">
        <f>INDEX(TextData!B:B,MATCH(A317,TextData!A:A))</f>
        <v>リカバリーエンハンス</v>
      </c>
      <c r="C317">
        <v>3010</v>
      </c>
      <c r="D317" t="str">
        <f>INDEX(Define!Q:Q,MATCH(C317,Define!P:P))</f>
        <v>ステート付与</v>
      </c>
      <c r="E317">
        <v>2460</v>
      </c>
      <c r="F317">
        <v>999</v>
      </c>
      <c r="G317">
        <v>5</v>
      </c>
      <c r="H317">
        <v>100</v>
      </c>
      <c r="I317" t="s">
        <v>64</v>
      </c>
    </row>
    <row r="318" spans="1:9">
      <c r="A318">
        <v>300230</v>
      </c>
      <c r="B318" t="str">
        <f>INDEX(TextData!B:B,MATCH(A318,TextData!A:A))</f>
        <v>ヴェンジェンス</v>
      </c>
      <c r="C318">
        <v>3010</v>
      </c>
      <c r="D318" t="str">
        <f>INDEX(Define!Q:Q,MATCH(C318,Define!P:P))</f>
        <v>ステート付与</v>
      </c>
      <c r="E318">
        <v>2030</v>
      </c>
      <c r="F318">
        <v>999</v>
      </c>
      <c r="G318">
        <v>30</v>
      </c>
      <c r="H318">
        <v>100</v>
      </c>
      <c r="I318" t="s">
        <v>37</v>
      </c>
    </row>
    <row r="319" spans="1:8">
      <c r="A319">
        <v>301010</v>
      </c>
      <c r="B319" t="str">
        <f>INDEX(TextData!B:B,MATCH(A319,TextData!A:A))</f>
        <v>ディケイドリセット</v>
      </c>
      <c r="C319">
        <v>5012</v>
      </c>
      <c r="D319" t="str">
        <f>INDEX(Define!Q:Q,MATCH(C319,Define!P:P))</f>
        <v>ActionResult扱いでAP指定</v>
      </c>
      <c r="E319">
        <v>0</v>
      </c>
      <c r="F319">
        <v>0</v>
      </c>
      <c r="G319">
        <v>0</v>
      </c>
      <c r="H319">
        <v>100</v>
      </c>
    </row>
    <row r="320" spans="1:9">
      <c r="A320">
        <v>301020</v>
      </c>
      <c r="B320" t="str">
        <f>INDEX(TextData!B:B,MATCH(A320,TextData!A:A))</f>
        <v>ウォーリアーブラッド</v>
      </c>
      <c r="C320">
        <v>3010</v>
      </c>
      <c r="D320" t="str">
        <f>INDEX(Define!Q:Q,MATCH(C320,Define!P:P))</f>
        <v>ステート付与</v>
      </c>
      <c r="E320">
        <v>1040</v>
      </c>
      <c r="F320">
        <v>999</v>
      </c>
      <c r="G320">
        <v>8</v>
      </c>
      <c r="H320">
        <v>100</v>
      </c>
      <c r="I320" t="s">
        <v>48</v>
      </c>
    </row>
    <row r="321" spans="1:9">
      <c r="A321">
        <v>301030</v>
      </c>
      <c r="B321" t="str">
        <f>INDEX(TextData!B:B,MATCH(A321,TextData!A:A))</f>
        <v>トライアングルガード</v>
      </c>
      <c r="C321">
        <v>3010</v>
      </c>
      <c r="D321" t="str">
        <f>INDEX(Define!Q:Q,MATCH(C321,Define!P:P))</f>
        <v>ステート付与</v>
      </c>
      <c r="E321">
        <v>1100</v>
      </c>
      <c r="F321">
        <v>1</v>
      </c>
      <c r="G321">
        <v>30</v>
      </c>
      <c r="H321">
        <v>100</v>
      </c>
      <c r="I321" t="s">
        <v>40</v>
      </c>
    </row>
    <row r="322" spans="1:9">
      <c r="A322">
        <v>301040</v>
      </c>
      <c r="B322" t="str">
        <f>INDEX(TextData!B:B,MATCH(A322,TextData!A:A))</f>
        <v>セーフティバリア</v>
      </c>
      <c r="C322">
        <v>3010</v>
      </c>
      <c r="D322" t="str">
        <f>INDEX(Define!Q:Q,MATCH(C322,Define!P:P))</f>
        <v>ステート付与</v>
      </c>
      <c r="E322">
        <v>2050</v>
      </c>
      <c r="F322">
        <v>1</v>
      </c>
      <c r="G322">
        <v>0</v>
      </c>
      <c r="H322">
        <v>100</v>
      </c>
      <c r="I322" t="s">
        <v>34</v>
      </c>
    </row>
    <row r="323" spans="1:9">
      <c r="A323">
        <v>301050</v>
      </c>
      <c r="B323" t="str">
        <f>INDEX(TextData!B:B,MATCH(A323,TextData!A:A))</f>
        <v>ヒロインズハイ</v>
      </c>
      <c r="C323">
        <v>3010</v>
      </c>
      <c r="D323" t="str">
        <f>INDEX(Define!Q:Q,MATCH(C323,Define!P:P))</f>
        <v>ステート付与</v>
      </c>
      <c r="E323">
        <v>1020</v>
      </c>
      <c r="F323">
        <v>999</v>
      </c>
      <c r="G323">
        <v>15</v>
      </c>
      <c r="H323">
        <v>100</v>
      </c>
      <c r="I323" t="s">
        <v>47</v>
      </c>
    </row>
    <row r="324" spans="1:9">
      <c r="A324">
        <v>301060</v>
      </c>
      <c r="B324" t="str">
        <f>INDEX(TextData!B:B,MATCH(A324,TextData!A:A))</f>
        <v>セカンドステージ</v>
      </c>
      <c r="C324">
        <v>3020</v>
      </c>
      <c r="D324" t="str">
        <f>INDEX(Define!Q:Q,MATCH(C324,Define!P:P))</f>
        <v>ステート解除</v>
      </c>
      <c r="E324">
        <v>1</v>
      </c>
      <c r="F324">
        <v>0</v>
      </c>
      <c r="G324">
        <v>0</v>
      </c>
      <c r="H324">
        <v>100</v>
      </c>
      <c r="I324" t="s">
        <v>39</v>
      </c>
    </row>
    <row r="325" spans="1:8">
      <c r="A325">
        <v>301060</v>
      </c>
      <c r="B325" t="str">
        <f>INDEX(TextData!B:B,MATCH(A325,TextData!A:A))</f>
        <v>セカンドステージ</v>
      </c>
      <c r="C325">
        <v>2030</v>
      </c>
      <c r="D325" t="str">
        <f>INDEX(Define!Q:Q,MATCH(C325,Define!P:P))</f>
        <v>対象のHpを1にする</v>
      </c>
      <c r="E325">
        <v>0</v>
      </c>
      <c r="F325">
        <v>0</v>
      </c>
      <c r="G325">
        <v>0</v>
      </c>
      <c r="H325">
        <v>100</v>
      </c>
    </row>
    <row r="326" spans="1:8">
      <c r="A326">
        <v>301060</v>
      </c>
      <c r="B326" t="str">
        <f>INDEX(TextData!B:B,MATCH(A326,TextData!A:A))</f>
        <v>セカンドステージ</v>
      </c>
      <c r="C326">
        <v>2010</v>
      </c>
      <c r="D326" t="str">
        <f>INDEX(Define!Q:Q,MATCH(C326,Define!P:P))</f>
        <v>Hp回復</v>
      </c>
      <c r="E326">
        <v>20</v>
      </c>
      <c r="F326">
        <v>0</v>
      </c>
      <c r="G326">
        <v>0</v>
      </c>
      <c r="H326">
        <v>100</v>
      </c>
    </row>
    <row r="327" spans="1:9">
      <c r="A327">
        <v>301070</v>
      </c>
      <c r="B327" t="str">
        <f>INDEX(TextData!B:B,MATCH(A327,TextData!A:A))</f>
        <v>ハイヒットポイント</v>
      </c>
      <c r="C327">
        <v>3010</v>
      </c>
      <c r="D327" t="str">
        <f>INDEX(Define!Q:Q,MATCH(C327,Define!P:P))</f>
        <v>ステート付与</v>
      </c>
      <c r="E327">
        <v>1020</v>
      </c>
      <c r="F327">
        <v>999</v>
      </c>
      <c r="G327">
        <v>10</v>
      </c>
      <c r="H327">
        <v>100</v>
      </c>
      <c r="I327" t="s">
        <v>47</v>
      </c>
    </row>
    <row r="328" spans="1:8">
      <c r="A328">
        <v>301080</v>
      </c>
      <c r="B328" t="str">
        <f>INDEX(TextData!B:B,MATCH(A328,TextData!A:A))</f>
        <v>セプタブラスト</v>
      </c>
      <c r="C328">
        <v>1030</v>
      </c>
      <c r="D328" t="str">
        <f>INDEX(Define!Q:Q,MATCH(C328,Define!P:P))</f>
        <v>Hp固定ダメージ</v>
      </c>
      <c r="E328">
        <v>50</v>
      </c>
      <c r="F328">
        <v>0</v>
      </c>
      <c r="G328">
        <v>0</v>
      </c>
      <c r="H328">
        <v>100</v>
      </c>
    </row>
    <row r="329" spans="1:9">
      <c r="A329">
        <v>301090</v>
      </c>
      <c r="B329" t="str">
        <f>INDEX(TextData!B:B,MATCH(A329,TextData!A:A))</f>
        <v>イニシャルブロッカー</v>
      </c>
      <c r="C329">
        <v>3010</v>
      </c>
      <c r="D329" t="str">
        <f>INDEX(Define!Q:Q,MATCH(C329,Define!P:P))</f>
        <v>ステート付与</v>
      </c>
      <c r="E329">
        <v>2410</v>
      </c>
      <c r="F329">
        <v>3</v>
      </c>
      <c r="G329">
        <v>25</v>
      </c>
      <c r="H329">
        <v>100</v>
      </c>
      <c r="I329" t="s">
        <v>35</v>
      </c>
    </row>
    <row r="330" spans="1:8">
      <c r="A330">
        <v>301100</v>
      </c>
      <c r="B330" t="str">
        <f>INDEX(TextData!B:B,MATCH(A330,TextData!A:A))</f>
        <v>ファーストテイク</v>
      </c>
      <c r="C330">
        <v>5020</v>
      </c>
      <c r="D330" t="str">
        <f>INDEX(Define!Q:Q,MATCH(C330,Define!P:P))</f>
        <v>Ap回復</v>
      </c>
      <c r="E330">
        <v>200</v>
      </c>
      <c r="F330">
        <v>0</v>
      </c>
      <c r="G330">
        <v>0</v>
      </c>
      <c r="H330">
        <v>100</v>
      </c>
    </row>
    <row r="331" spans="1:8">
      <c r="A331">
        <v>310010</v>
      </c>
      <c r="B331" t="str">
        <f>INDEX(TextData!B:B,MATCH(A331,TextData!A:A))</f>
        <v>妖精の祈り</v>
      </c>
      <c r="C331">
        <v>2010</v>
      </c>
      <c r="D331" t="str">
        <f>INDEX(Define!Q:Q,MATCH(C331,Define!P:P))</f>
        <v>Hp回復</v>
      </c>
      <c r="E331">
        <v>3</v>
      </c>
      <c r="F331">
        <v>0</v>
      </c>
      <c r="G331">
        <v>0</v>
      </c>
      <c r="H331">
        <v>100</v>
      </c>
    </row>
    <row r="332" spans="1:8">
      <c r="A332">
        <v>310020</v>
      </c>
      <c r="B332" t="str">
        <f>INDEX(TextData!B:B,MATCH(A332,TextData!A:A))</f>
        <v>月のかけら</v>
      </c>
      <c r="C332">
        <v>40010</v>
      </c>
      <c r="D332" t="str">
        <f>INDEX(Define!Q:Q,MATCH(C332,Define!P:P))</f>
        <v>アイテム入手</v>
      </c>
      <c r="E332">
        <v>11</v>
      </c>
      <c r="F332">
        <v>1</v>
      </c>
      <c r="G332">
        <v>0</v>
      </c>
      <c r="H332">
        <v>100</v>
      </c>
    </row>
    <row r="333" spans="1:8">
      <c r="A333">
        <v>310030</v>
      </c>
      <c r="B333" t="str">
        <f>INDEX(TextData!B:B,MATCH(A333,TextData!A:A))</f>
        <v>商売の才覚書</v>
      </c>
      <c r="C333">
        <v>40070</v>
      </c>
      <c r="D333" t="str">
        <f>INDEX(Define!Q:Q,MATCH(C333,Define!P:P))</f>
        <v>取引レートダウン</v>
      </c>
      <c r="E333">
        <v>20</v>
      </c>
      <c r="F333">
        <v>0</v>
      </c>
      <c r="G333">
        <v>0</v>
      </c>
      <c r="H333">
        <v>100</v>
      </c>
    </row>
    <row r="334" spans="1:8">
      <c r="A334">
        <v>310040</v>
      </c>
      <c r="B334" t="str">
        <f>INDEX(TextData!B:B,MATCH(A334,TextData!A:A))</f>
        <v>メビウスの砂時計</v>
      </c>
      <c r="C334">
        <v>40080</v>
      </c>
      <c r="D334" t="str">
        <f>INDEX(Define!Q:Q,MATCH(C334,Define!P:P))</f>
        <v>ダンジョンから離れる時にPeriodが進まない</v>
      </c>
      <c r="E334">
        <v>1</v>
      </c>
      <c r="F334">
        <v>0</v>
      </c>
      <c r="G334">
        <v>0</v>
      </c>
      <c r="H334">
        <v>100</v>
      </c>
    </row>
    <row r="335" spans="1:8">
      <c r="A335">
        <v>310050</v>
      </c>
      <c r="B335" t="str">
        <f>INDEX(TextData!B:B,MATCH(A335,TextData!A:A))</f>
        <v>先陣の心得</v>
      </c>
      <c r="C335">
        <v>5040</v>
      </c>
      <c r="D335" t="str">
        <f>INDEX(Define!Q:Q,MATCH(C335,Define!P:P))</f>
        <v>先制攻撃</v>
      </c>
      <c r="E335">
        <v>0</v>
      </c>
      <c r="F335">
        <v>0</v>
      </c>
      <c r="G335">
        <v>0</v>
      </c>
      <c r="H335">
        <v>100</v>
      </c>
    </row>
    <row r="336" spans="1:9">
      <c r="A336">
        <v>310060</v>
      </c>
      <c r="B336" t="str">
        <f>INDEX(TextData!B:B,MATCH(A336,TextData!A:A))</f>
        <v>ヒスイの勾玉</v>
      </c>
      <c r="C336">
        <v>3010</v>
      </c>
      <c r="D336" t="str">
        <f>INDEX(Define!Q:Q,MATCH(C336,Define!P:P))</f>
        <v>ステート付与</v>
      </c>
      <c r="E336">
        <v>1040</v>
      </c>
      <c r="F336">
        <v>999</v>
      </c>
      <c r="G336">
        <v>5</v>
      </c>
      <c r="H336">
        <v>100</v>
      </c>
      <c r="I336" t="s">
        <v>48</v>
      </c>
    </row>
    <row r="337" spans="1:9">
      <c r="A337">
        <v>310070</v>
      </c>
      <c r="B337" t="str">
        <f>INDEX(TextData!B:B,MATCH(A337,TextData!A:A))</f>
        <v>英傑の盾</v>
      </c>
      <c r="C337">
        <v>3010</v>
      </c>
      <c r="D337" t="str">
        <f>INDEX(Define!Q:Q,MATCH(C337,Define!P:P))</f>
        <v>ステート付与</v>
      </c>
      <c r="E337">
        <v>1050</v>
      </c>
      <c r="F337">
        <v>999</v>
      </c>
      <c r="G337">
        <v>5</v>
      </c>
      <c r="H337">
        <v>100</v>
      </c>
      <c r="I337" t="s">
        <v>38</v>
      </c>
    </row>
    <row r="338" spans="1:9">
      <c r="A338">
        <v>310080</v>
      </c>
      <c r="B338" t="str">
        <f>INDEX(TextData!B:B,MATCH(A338,TextData!A:A))</f>
        <v>鷹の目</v>
      </c>
      <c r="C338">
        <v>3010</v>
      </c>
      <c r="D338" t="str">
        <f>INDEX(Define!Q:Q,MATCH(C338,Define!P:P))</f>
        <v>ステート付与</v>
      </c>
      <c r="E338">
        <v>1060</v>
      </c>
      <c r="F338">
        <v>999</v>
      </c>
      <c r="G338">
        <v>5</v>
      </c>
      <c r="H338">
        <v>100</v>
      </c>
      <c r="I338" t="s">
        <v>51</v>
      </c>
    </row>
    <row r="339" spans="1:8">
      <c r="A339">
        <v>310090</v>
      </c>
      <c r="B339" t="str">
        <f>INDEX(TextData!B:B,MATCH(A339,TextData!A:A))</f>
        <v>ラーニングピアス</v>
      </c>
      <c r="C339">
        <v>40020</v>
      </c>
      <c r="D339" t="str">
        <f>INDEX(Define!Q:Q,MATCH(C339,Define!P:P))</f>
        <v>獲得Eｘｐ％アップ</v>
      </c>
      <c r="E339">
        <v>20</v>
      </c>
      <c r="F339">
        <v>0</v>
      </c>
      <c r="G339">
        <v>0</v>
      </c>
      <c r="H339">
        <v>100</v>
      </c>
    </row>
    <row r="340" spans="1:8">
      <c r="A340">
        <v>310100</v>
      </c>
      <c r="B340" t="str">
        <f>INDEX(TextData!B:B,MATCH(A340,TextData!A:A))</f>
        <v>セブンズストーン</v>
      </c>
      <c r="C340">
        <v>1030</v>
      </c>
      <c r="D340" t="str">
        <f>INDEX(Define!Q:Q,MATCH(C340,Define!P:P))</f>
        <v>Hp固定ダメージ</v>
      </c>
      <c r="E340">
        <v>50</v>
      </c>
      <c r="F340">
        <v>0</v>
      </c>
      <c r="G340">
        <v>0</v>
      </c>
      <c r="H340">
        <v>100</v>
      </c>
    </row>
    <row r="341" spans="1:8">
      <c r="A341">
        <v>310130</v>
      </c>
      <c r="B341" t="str">
        <f>INDEX(TextData!B:B,MATCH(A341,TextData!A:A))</f>
        <v>ヒールユニット</v>
      </c>
      <c r="C341">
        <v>2010</v>
      </c>
      <c r="D341" t="str">
        <f>INDEX(Define!Q:Q,MATCH(C341,Define!P:P))</f>
        <v>Hp回復</v>
      </c>
      <c r="E341">
        <v>1</v>
      </c>
      <c r="F341">
        <v>0</v>
      </c>
      <c r="G341">
        <v>0</v>
      </c>
      <c r="H341">
        <v>100</v>
      </c>
    </row>
    <row r="342" spans="1:8">
      <c r="A342">
        <v>320010</v>
      </c>
      <c r="B342" t="str">
        <f>INDEX(TextData!B:B,MATCH(A342,TextData!A:A))</f>
        <v>訓練所Lv1</v>
      </c>
      <c r="C342">
        <v>40030</v>
      </c>
      <c r="D342" t="str">
        <f>INDEX(Define!Q:Q,MATCH(C342,Define!P:P))</f>
        <v>Eｘｐ入手</v>
      </c>
      <c r="E342">
        <v>25</v>
      </c>
      <c r="F342">
        <v>0</v>
      </c>
      <c r="G342">
        <v>0</v>
      </c>
      <c r="H342">
        <v>100</v>
      </c>
    </row>
    <row r="343" spans="1:8">
      <c r="A343">
        <v>320011</v>
      </c>
      <c r="B343" t="str">
        <f>INDEX(TextData!B:B,MATCH(A343,TextData!A:A))</f>
        <v>訓練所Lv2</v>
      </c>
      <c r="C343">
        <v>40030</v>
      </c>
      <c r="D343" t="str">
        <f>INDEX(Define!Q:Q,MATCH(C343,Define!P:P))</f>
        <v>Eｘｐ入手</v>
      </c>
      <c r="E343">
        <v>50</v>
      </c>
      <c r="F343">
        <v>0</v>
      </c>
      <c r="G343">
        <v>0</v>
      </c>
      <c r="H343">
        <v>100</v>
      </c>
    </row>
    <row r="344" spans="1:8">
      <c r="A344">
        <v>320012</v>
      </c>
      <c r="B344" t="str">
        <f>INDEX(TextData!B:B,MATCH(A344,TextData!A:A))</f>
        <v>訓練所Lv3</v>
      </c>
      <c r="C344">
        <v>40030</v>
      </c>
      <c r="D344" t="str">
        <f>INDEX(Define!Q:Q,MATCH(C344,Define!P:P))</f>
        <v>Eｘｐ入手</v>
      </c>
      <c r="E344">
        <v>75</v>
      </c>
      <c r="F344">
        <v>0</v>
      </c>
      <c r="G344">
        <v>0</v>
      </c>
      <c r="H344">
        <v>100</v>
      </c>
    </row>
    <row r="345" spans="1:8">
      <c r="A345">
        <v>320020</v>
      </c>
      <c r="B345" t="str">
        <f>INDEX(TextData!B:B,MATCH(A345,TextData!A:A))</f>
        <v>研究施設Lv1</v>
      </c>
      <c r="C345">
        <v>40040</v>
      </c>
      <c r="D345" t="str">
        <f>INDEX(Define!Q:Q,MATCH(C345,Define!P:P))</f>
        <v>Nu入手</v>
      </c>
      <c r="E345">
        <v>2</v>
      </c>
      <c r="F345">
        <v>0</v>
      </c>
      <c r="G345">
        <v>0</v>
      </c>
      <c r="H345">
        <v>100</v>
      </c>
    </row>
    <row r="346" spans="1:8">
      <c r="A346">
        <v>320021</v>
      </c>
      <c r="B346" t="str">
        <f>INDEX(TextData!B:B,MATCH(A346,TextData!A:A))</f>
        <v>研究施設Lv2</v>
      </c>
      <c r="C346">
        <v>40040</v>
      </c>
      <c r="D346" t="str">
        <f>INDEX(Define!Q:Q,MATCH(C346,Define!P:P))</f>
        <v>Nu入手</v>
      </c>
      <c r="E346">
        <v>4</v>
      </c>
      <c r="F346">
        <v>0</v>
      </c>
      <c r="G346">
        <v>0</v>
      </c>
      <c r="H346">
        <v>100</v>
      </c>
    </row>
    <row r="347" spans="1:8">
      <c r="A347">
        <v>320022</v>
      </c>
      <c r="B347" t="str">
        <f>INDEX(TextData!B:B,MATCH(A347,TextData!A:A))</f>
        <v>研究施設Lv3</v>
      </c>
      <c r="C347">
        <v>40040</v>
      </c>
      <c r="D347" t="str">
        <f>INDEX(Define!Q:Q,MATCH(C347,Define!P:P))</f>
        <v>Nu入手</v>
      </c>
      <c r="E347">
        <v>6</v>
      </c>
      <c r="F347">
        <v>0</v>
      </c>
      <c r="G347">
        <v>0</v>
      </c>
      <c r="H347">
        <v>100</v>
      </c>
    </row>
    <row r="348" spans="1:8">
      <c r="A348">
        <v>320030</v>
      </c>
      <c r="B348" t="str">
        <f>INDEX(TextData!B:B,MATCH(A348,TextData!A:A))</f>
        <v>資料館Lv1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320031</v>
      </c>
      <c r="B349" t="str">
        <f>INDEX(TextData!B:B,MATCH(A349,TextData!A:A))</f>
        <v>資料館Lv2</v>
      </c>
      <c r="C349">
        <v>40020</v>
      </c>
      <c r="D349" t="str">
        <f>INDEX(Define!Q:Q,MATCH(C349,Define!P:P))</f>
        <v>獲得Eｘｐ％アップ</v>
      </c>
      <c r="E349">
        <v>0</v>
      </c>
      <c r="F349">
        <v>50</v>
      </c>
      <c r="G349">
        <v>0</v>
      </c>
      <c r="H349">
        <v>100</v>
      </c>
    </row>
    <row r="350" spans="1:8">
      <c r="A350">
        <v>320032</v>
      </c>
      <c r="B350" t="str">
        <f>INDEX(TextData!B:B,MATCH(A350,TextData!A:A))</f>
        <v>資料館Lv3</v>
      </c>
      <c r="C350">
        <v>40020</v>
      </c>
      <c r="D350" t="str">
        <f>INDEX(Define!Q:Q,MATCH(C350,Define!P:P))</f>
        <v>獲得Eｘｐ％アップ</v>
      </c>
      <c r="E350">
        <v>0</v>
      </c>
      <c r="F350">
        <v>50</v>
      </c>
      <c r="G350">
        <v>0</v>
      </c>
      <c r="H350">
        <v>100</v>
      </c>
    </row>
    <row r="351" spans="1:8">
      <c r="A351">
        <v>320040</v>
      </c>
      <c r="B351" t="str">
        <f>INDEX(TextData!B:B,MATCH(A351,TextData!A:A))</f>
        <v>潜伏技術Lv1</v>
      </c>
      <c r="C351">
        <v>40060</v>
      </c>
      <c r="D351" t="str">
        <f>INDEX(Define!Q:Q,MATCH(C351,Define!P:P))</f>
        <v>ステージ探索猶予アップ</v>
      </c>
      <c r="E351">
        <v>10</v>
      </c>
      <c r="F351">
        <v>0</v>
      </c>
      <c r="G351">
        <v>0</v>
      </c>
      <c r="H351">
        <v>100</v>
      </c>
    </row>
    <row r="352" spans="1:8">
      <c r="A352">
        <v>321010</v>
      </c>
      <c r="B352" t="str">
        <f>INDEX(TextData!B:B,MATCH(A352,TextData!A:A))</f>
        <v>炎の祭壇</v>
      </c>
      <c r="C352">
        <v>40050</v>
      </c>
      <c r="D352" t="str">
        <f>INDEX(Define!Q:Q,MATCH(C352,Define!P:P))</f>
        <v>属性適正アップ</v>
      </c>
      <c r="E352">
        <v>1</v>
      </c>
      <c r="F352">
        <v>1</v>
      </c>
      <c r="G352">
        <v>0</v>
      </c>
      <c r="H352">
        <v>100</v>
      </c>
    </row>
    <row r="353" spans="1:8">
      <c r="A353">
        <v>321020</v>
      </c>
      <c r="B353" t="str">
        <f>INDEX(TextData!B:B,MATCH(A353,TextData!A:A))</f>
        <v>稲妻の祭壇</v>
      </c>
      <c r="C353">
        <v>40050</v>
      </c>
      <c r="D353" t="str">
        <f>INDEX(Define!Q:Q,MATCH(C353,Define!P:P))</f>
        <v>属性適正アップ</v>
      </c>
      <c r="E353">
        <v>2</v>
      </c>
      <c r="F353">
        <v>1</v>
      </c>
      <c r="G353">
        <v>0</v>
      </c>
      <c r="H353">
        <v>100</v>
      </c>
    </row>
    <row r="354" spans="1:8">
      <c r="A354">
        <v>321030</v>
      </c>
      <c r="B354" t="str">
        <f>INDEX(TextData!B:B,MATCH(A354,TextData!A:A))</f>
        <v>蒼の祭壇</v>
      </c>
      <c r="C354">
        <v>40050</v>
      </c>
      <c r="D354" t="str">
        <f>INDEX(Define!Q:Q,MATCH(C354,Define!P:P))</f>
        <v>属性適正アップ</v>
      </c>
      <c r="E354">
        <v>3</v>
      </c>
      <c r="F354">
        <v>1</v>
      </c>
      <c r="G354">
        <v>0</v>
      </c>
      <c r="H354">
        <v>100</v>
      </c>
    </row>
    <row r="355" spans="1:8">
      <c r="A355">
        <v>321040</v>
      </c>
      <c r="B355" t="str">
        <f>INDEX(TextData!B:B,MATCH(A355,TextData!A:A))</f>
        <v>光の祭壇</v>
      </c>
      <c r="C355">
        <v>40050</v>
      </c>
      <c r="D355" t="str">
        <f>INDEX(Define!Q:Q,MATCH(C355,Define!P:P))</f>
        <v>属性適正アップ</v>
      </c>
      <c r="E355">
        <v>4</v>
      </c>
      <c r="F355">
        <v>1</v>
      </c>
      <c r="G355">
        <v>0</v>
      </c>
      <c r="H355">
        <v>100</v>
      </c>
    </row>
    <row r="356" spans="1:8">
      <c r="A356">
        <v>321050</v>
      </c>
      <c r="B356" t="str">
        <f>INDEX(TextData!B:B,MATCH(A356,TextData!A:A))</f>
        <v>月の祭壇</v>
      </c>
      <c r="C356">
        <v>40050</v>
      </c>
      <c r="D356" t="str">
        <f>INDEX(Define!Q:Q,MATCH(C356,Define!P:P))</f>
        <v>属性適正アップ</v>
      </c>
      <c r="E356">
        <v>5</v>
      </c>
      <c r="F356">
        <v>1</v>
      </c>
      <c r="G356">
        <v>0</v>
      </c>
      <c r="H356">
        <v>100</v>
      </c>
    </row>
    <row r="357" spans="1:9">
      <c r="A357">
        <v>322010</v>
      </c>
      <c r="B357" t="str">
        <f>INDEX(TextData!B:B,MATCH(A357,TextData!A:A))</f>
        <v>食糧庫Lv1</v>
      </c>
      <c r="C357">
        <v>3010</v>
      </c>
      <c r="D357" t="str">
        <f>INDEX(Define!Q:Q,MATCH(C357,Define!P:P))</f>
        <v>ステート付与</v>
      </c>
      <c r="E357">
        <v>1020</v>
      </c>
      <c r="F357">
        <v>999</v>
      </c>
      <c r="G357">
        <v>5</v>
      </c>
      <c r="H357">
        <v>100</v>
      </c>
      <c r="I357" t="s">
        <v>47</v>
      </c>
    </row>
    <row r="358" spans="1:9">
      <c r="A358">
        <v>322020</v>
      </c>
      <c r="B358" t="str">
        <f>INDEX(TextData!B:B,MATCH(A358,TextData!A:A))</f>
        <v>攻撃技術Lv1</v>
      </c>
      <c r="C358">
        <v>3010</v>
      </c>
      <c r="D358" t="str">
        <f>INDEX(Define!Q:Q,MATCH(C358,Define!P:P))</f>
        <v>ステート付与</v>
      </c>
      <c r="E358">
        <v>1040</v>
      </c>
      <c r="F358">
        <v>999</v>
      </c>
      <c r="G358">
        <v>2</v>
      </c>
      <c r="H358">
        <v>100</v>
      </c>
      <c r="I358" t="s">
        <v>48</v>
      </c>
    </row>
    <row r="359" spans="1:9">
      <c r="A359">
        <v>322030</v>
      </c>
      <c r="B359" t="str">
        <f>INDEX(TextData!B:B,MATCH(A359,TextData!A:A))</f>
        <v>防御技術Lv1</v>
      </c>
      <c r="C359">
        <v>3010</v>
      </c>
      <c r="D359" t="str">
        <f>INDEX(Define!Q:Q,MATCH(C359,Define!P:P))</f>
        <v>ステート付与</v>
      </c>
      <c r="E359">
        <v>1050</v>
      </c>
      <c r="F359">
        <v>999</v>
      </c>
      <c r="G359">
        <v>2</v>
      </c>
      <c r="H359">
        <v>100</v>
      </c>
      <c r="I359" t="s">
        <v>38</v>
      </c>
    </row>
    <row r="360" spans="1:9">
      <c r="A360">
        <v>322040</v>
      </c>
      <c r="B360" t="str">
        <f>INDEX(TextData!B:B,MATCH(A360,TextData!A:A))</f>
        <v>詠唱技術Lv1</v>
      </c>
      <c r="C360">
        <v>3010</v>
      </c>
      <c r="D360" t="str">
        <f>INDEX(Define!Q:Q,MATCH(C360,Define!P:P))</f>
        <v>ステート付与</v>
      </c>
      <c r="E360">
        <v>1060</v>
      </c>
      <c r="F360">
        <v>999</v>
      </c>
      <c r="G360">
        <v>2</v>
      </c>
      <c r="H360">
        <v>100</v>
      </c>
      <c r="I360" t="s">
        <v>51</v>
      </c>
    </row>
    <row r="361" spans="1:8">
      <c r="A361">
        <v>401020</v>
      </c>
      <c r="B361" t="str">
        <f>INDEX(TextData!B:B,MATCH(A361,TextData!A:A))</f>
        <v>バーンストーム+</v>
      </c>
      <c r="C361">
        <v>6010</v>
      </c>
      <c r="D361" t="str">
        <f>INDEX(Define!Q:Q,MATCH(C361,Define!P:P))</f>
        <v>FeatureのParam1を指定値に上書き</v>
      </c>
      <c r="E361">
        <v>1020</v>
      </c>
      <c r="F361">
        <v>0</v>
      </c>
      <c r="G361">
        <v>250</v>
      </c>
      <c r="H361">
        <v>100</v>
      </c>
    </row>
    <row r="362" spans="1:8">
      <c r="A362">
        <v>401030</v>
      </c>
      <c r="B362" t="str">
        <f>INDEX(TextData!B:B,MATCH(A362,TextData!A:A))</f>
        <v>ヒートスタンプ+</v>
      </c>
      <c r="C362">
        <v>6010</v>
      </c>
      <c r="D362" t="str">
        <f>INDEX(Define!Q:Q,MATCH(C362,Define!P:P))</f>
        <v>FeatureのParam1を指定値に上書き</v>
      </c>
      <c r="E362">
        <v>1030</v>
      </c>
      <c r="F362">
        <v>0</v>
      </c>
      <c r="G362">
        <v>2</v>
      </c>
      <c r="H362">
        <v>100</v>
      </c>
    </row>
    <row r="363" spans="1:8">
      <c r="A363">
        <v>401040</v>
      </c>
      <c r="B363" t="str">
        <f>INDEX(TextData!B:B,MATCH(A363,TextData!A:A))</f>
        <v>ソードアダプト+</v>
      </c>
      <c r="C363">
        <v>6010</v>
      </c>
      <c r="D363" t="str">
        <f>INDEX(Define!Q:Q,MATCH(C363,Define!P:P))</f>
        <v>FeatureのParam1を指定値に上書き</v>
      </c>
      <c r="E363">
        <v>1040</v>
      </c>
      <c r="F363">
        <v>0</v>
      </c>
      <c r="G363">
        <v>15</v>
      </c>
      <c r="H363">
        <v>100</v>
      </c>
    </row>
    <row r="364" spans="1:8">
      <c r="A364">
        <v>401050</v>
      </c>
      <c r="B364" t="str">
        <f>INDEX(TextData!B:B,MATCH(A364,TextData!A:A))</f>
        <v>フレイムレイン+</v>
      </c>
      <c r="C364">
        <v>6010</v>
      </c>
      <c r="D364" t="str">
        <f>INDEX(Define!Q:Q,MATCH(C364,Define!P:P))</f>
        <v>FeatureのParam1を指定値に上書き</v>
      </c>
      <c r="E364">
        <v>1050</v>
      </c>
      <c r="F364">
        <v>0</v>
      </c>
      <c r="G364">
        <v>60</v>
      </c>
      <c r="H364">
        <v>100</v>
      </c>
    </row>
    <row r="365" spans="1:8">
      <c r="A365">
        <v>401060</v>
      </c>
      <c r="B365" t="str">
        <f>INDEX(TextData!B:B,MATCH(A365,TextData!A:A))</f>
        <v>イクスティンクション+</v>
      </c>
      <c r="C365">
        <v>6010</v>
      </c>
      <c r="D365" t="str">
        <f>INDEX(Define!Q:Q,MATCH(C365,Define!P:P))</f>
        <v>FeatureのParam1を指定値に上書き</v>
      </c>
      <c r="E365">
        <v>1060</v>
      </c>
      <c r="F365">
        <v>0</v>
      </c>
      <c r="G365">
        <v>400</v>
      </c>
      <c r="H365">
        <v>100</v>
      </c>
    </row>
    <row r="366" spans="1:8">
      <c r="A366">
        <v>401070</v>
      </c>
      <c r="B366" t="str">
        <f>INDEX(TextData!B:B,MATCH(A366,TextData!A:A))</f>
        <v>バーニングソウル+</v>
      </c>
      <c r="C366">
        <v>6080</v>
      </c>
      <c r="D366" t="str">
        <f>INDEX(Define!Q:Q,MATCH(C366,Define!P:P))</f>
        <v>指定魔法のCTリセット値を変更する</v>
      </c>
      <c r="E366">
        <v>1070</v>
      </c>
      <c r="F366">
        <v>0</v>
      </c>
      <c r="G366">
        <v>2</v>
      </c>
      <c r="H366">
        <v>100</v>
      </c>
    </row>
    <row r="367" spans="1:8">
      <c r="A367">
        <v>401080</v>
      </c>
      <c r="B367" t="str">
        <f>INDEX(TextData!B:B,MATCH(A367,TextData!A:A))</f>
        <v>レイジングバウンサー+</v>
      </c>
      <c r="C367">
        <v>6030</v>
      </c>
      <c r="D367" t="str">
        <f>INDEX(Define!Q:Q,MATCH(C367,Define!P:P))</f>
        <v>FeatureのParam3を指定値に上書き</v>
      </c>
      <c r="E367">
        <v>1080</v>
      </c>
      <c r="F367">
        <v>0</v>
      </c>
      <c r="G367">
        <v>45</v>
      </c>
      <c r="H367">
        <v>100</v>
      </c>
    </row>
    <row r="368" spans="1:8">
      <c r="A368">
        <v>402010</v>
      </c>
      <c r="B368" t="str">
        <f>INDEX(TextData!B:B,MATCH(A368,TextData!A:A))</f>
        <v>ディスチャージ+</v>
      </c>
      <c r="C368">
        <v>6010</v>
      </c>
      <c r="D368" t="str">
        <f>INDEX(Define!Q:Q,MATCH(C368,Define!P:P))</f>
        <v>FeatureのParam1を指定値に上書き</v>
      </c>
      <c r="E368">
        <v>2010</v>
      </c>
      <c r="F368">
        <v>0</v>
      </c>
      <c r="G368">
        <v>250</v>
      </c>
      <c r="H368">
        <v>100</v>
      </c>
    </row>
    <row r="369" spans="1:8">
      <c r="A369">
        <v>402020</v>
      </c>
      <c r="B369" t="str">
        <f>INDEX(TextData!B:B,MATCH(A369,TextData!A:A))</f>
        <v>イベイドコード+</v>
      </c>
      <c r="C369">
        <v>6030</v>
      </c>
      <c r="D369" t="str">
        <f>INDEX(Define!Q:Q,MATCH(C369,Define!P:P))</f>
        <v>FeatureのParam3を指定値に上書き</v>
      </c>
      <c r="E369">
        <v>2020</v>
      </c>
      <c r="F369">
        <v>0</v>
      </c>
      <c r="G369">
        <v>25</v>
      </c>
      <c r="H369">
        <v>100</v>
      </c>
    </row>
    <row r="370" spans="1:8">
      <c r="A370">
        <v>402030</v>
      </c>
      <c r="B370" t="str">
        <f>INDEX(TextData!B:B,MATCH(A370,TextData!A:A))</f>
        <v>ショックインパルス+</v>
      </c>
      <c r="C370">
        <v>6080</v>
      </c>
      <c r="D370" t="str">
        <f>INDEX(Define!Q:Q,MATCH(C370,Define!P:P))</f>
        <v>指定魔法のCTリセット値を変更する</v>
      </c>
      <c r="E370">
        <v>2030</v>
      </c>
      <c r="F370">
        <v>0</v>
      </c>
      <c r="G370">
        <v>2</v>
      </c>
      <c r="H370">
        <v>100</v>
      </c>
    </row>
    <row r="371" spans="1:8">
      <c r="A371">
        <v>402040</v>
      </c>
      <c r="B371" t="str">
        <f>INDEX(TextData!B:B,MATCH(A371,TextData!A:A))</f>
        <v>トラストチェイン+</v>
      </c>
      <c r="C371">
        <v>6010</v>
      </c>
      <c r="D371" t="str">
        <f>INDEX(Define!Q:Q,MATCH(C371,Define!P:P))</f>
        <v>FeatureのParam1を指定値に上書き</v>
      </c>
      <c r="E371">
        <v>2040</v>
      </c>
      <c r="F371">
        <v>0</v>
      </c>
      <c r="G371">
        <v>400</v>
      </c>
      <c r="H371">
        <v>100</v>
      </c>
    </row>
    <row r="372" spans="1:8">
      <c r="A372">
        <v>402050</v>
      </c>
      <c r="B372" t="str">
        <f>INDEX(TextData!B:B,MATCH(A372,TextData!A:A))</f>
        <v>スペルバニシング+</v>
      </c>
      <c r="C372">
        <v>6080</v>
      </c>
      <c r="D372" t="str">
        <f>INDEX(Define!Q:Q,MATCH(C372,Define!P:P))</f>
        <v>指定魔法のCTリセット値を変更する</v>
      </c>
      <c r="E372">
        <v>2050</v>
      </c>
      <c r="F372">
        <v>0</v>
      </c>
      <c r="G372">
        <v>1</v>
      </c>
      <c r="H372">
        <v>100</v>
      </c>
    </row>
    <row r="373" spans="1:8">
      <c r="A373">
        <v>402060</v>
      </c>
      <c r="B373" t="str">
        <f>INDEX(TextData!B:B,MATCH(A373,TextData!A:A))</f>
        <v>アーテニーストライク+</v>
      </c>
      <c r="C373">
        <v>6010</v>
      </c>
      <c r="D373" t="str">
        <f>INDEX(Define!Q:Q,MATCH(C373,Define!P:P))</f>
        <v>FeatureのParam1を指定値に上書き</v>
      </c>
      <c r="E373">
        <v>2060</v>
      </c>
      <c r="F373">
        <v>0</v>
      </c>
      <c r="G373">
        <v>250</v>
      </c>
      <c r="H373">
        <v>100</v>
      </c>
    </row>
    <row r="374" spans="1:8">
      <c r="A374">
        <v>402070</v>
      </c>
      <c r="B374" t="str">
        <f>INDEX(TextData!B:B,MATCH(A374,TextData!A:A))</f>
        <v>コンセントレイト+</v>
      </c>
      <c r="C374">
        <v>6030</v>
      </c>
      <c r="D374" t="str">
        <f>INDEX(Define!Q:Q,MATCH(C374,Define!P:P))</f>
        <v>FeatureのParam3を指定値に上書き</v>
      </c>
      <c r="E374">
        <v>2070</v>
      </c>
      <c r="F374">
        <v>0</v>
      </c>
      <c r="G374">
        <v>40</v>
      </c>
      <c r="H374">
        <v>100</v>
      </c>
    </row>
    <row r="375" spans="1:8">
      <c r="A375">
        <v>402080</v>
      </c>
      <c r="B375" t="str">
        <f>INDEX(TextData!B:B,MATCH(A375,TextData!A:A))</f>
        <v>ディレイマジック+</v>
      </c>
      <c r="C375">
        <v>6010</v>
      </c>
      <c r="D375" t="str">
        <f>INDEX(Define!Q:Q,MATCH(C375,Define!P:P))</f>
        <v>FeatureのParam1を指定値に上書き</v>
      </c>
      <c r="E375">
        <v>2080</v>
      </c>
      <c r="F375">
        <v>1</v>
      </c>
      <c r="G375">
        <v>2</v>
      </c>
      <c r="H375">
        <v>100</v>
      </c>
    </row>
    <row r="376" spans="1:8">
      <c r="A376">
        <v>403010</v>
      </c>
      <c r="B376" t="str">
        <f>INDEX(TextData!B:B,MATCH(A376,TextData!A:A))</f>
        <v>アイスブレイド+</v>
      </c>
      <c r="C376">
        <v>6010</v>
      </c>
      <c r="D376" t="str">
        <f>INDEX(Define!Q:Q,MATCH(C376,Define!P:P))</f>
        <v>FeatureのParam1を指定値に上書き</v>
      </c>
      <c r="E376">
        <v>3010</v>
      </c>
      <c r="F376">
        <v>0</v>
      </c>
      <c r="G376">
        <v>250</v>
      </c>
      <c r="H376">
        <v>100</v>
      </c>
    </row>
    <row r="377" spans="1:8">
      <c r="A377">
        <v>403020</v>
      </c>
      <c r="B377" t="str">
        <f>INDEX(TextData!B:B,MATCH(A377,TextData!A:A))</f>
        <v>カウンターオーラ+</v>
      </c>
      <c r="C377">
        <v>6030</v>
      </c>
      <c r="D377" t="str">
        <f>INDEX(Define!Q:Q,MATCH(C377,Define!P:P))</f>
        <v>FeatureのParam3を指定値に上書き</v>
      </c>
      <c r="E377">
        <v>3020</v>
      </c>
      <c r="F377">
        <v>0</v>
      </c>
      <c r="G377">
        <v>40</v>
      </c>
      <c r="H377">
        <v>100</v>
      </c>
    </row>
    <row r="378" spans="1:8">
      <c r="A378">
        <v>403030</v>
      </c>
      <c r="B378" t="str">
        <f>INDEX(TextData!B:B,MATCH(A378,TextData!A:A))</f>
        <v>ラインプロテクト+</v>
      </c>
      <c r="C378">
        <v>6030</v>
      </c>
      <c r="D378" t="str">
        <f>INDEX(Define!Q:Q,MATCH(C378,Define!P:P))</f>
        <v>FeatureのParam3を指定値に上書き</v>
      </c>
      <c r="E378">
        <v>3030</v>
      </c>
      <c r="F378">
        <v>0</v>
      </c>
      <c r="G378">
        <v>20</v>
      </c>
      <c r="H378">
        <v>100</v>
      </c>
    </row>
    <row r="379" spans="1:8">
      <c r="A379">
        <v>403040</v>
      </c>
      <c r="B379" t="str">
        <f>INDEX(TextData!B:B,MATCH(A379,TextData!A:A))</f>
        <v>エスコートソール+</v>
      </c>
      <c r="C379">
        <v>6030</v>
      </c>
      <c r="D379" t="str">
        <f>INDEX(Define!Q:Q,MATCH(C379,Define!P:P))</f>
        <v>FeatureのParam3を指定値に上書き</v>
      </c>
      <c r="E379">
        <v>3040</v>
      </c>
      <c r="F379">
        <v>0</v>
      </c>
      <c r="G379">
        <v>40</v>
      </c>
      <c r="H379">
        <v>100</v>
      </c>
    </row>
    <row r="380" spans="1:8">
      <c r="A380">
        <v>403050</v>
      </c>
      <c r="B380" t="str">
        <f>INDEX(TextData!B:B,MATCH(A380,TextData!A:A))</f>
        <v>ディープフリーズ+</v>
      </c>
      <c r="C380">
        <v>6030</v>
      </c>
      <c r="D380" t="str">
        <f>INDEX(Define!Q:Q,MATCH(C380,Define!P:P))</f>
        <v>FeatureのParam3を指定値に上書き</v>
      </c>
      <c r="E380">
        <v>3050</v>
      </c>
      <c r="F380">
        <v>0</v>
      </c>
      <c r="G380">
        <v>40</v>
      </c>
      <c r="H380">
        <v>100</v>
      </c>
    </row>
    <row r="381" spans="1:8">
      <c r="A381">
        <v>403060</v>
      </c>
      <c r="B381" t="str">
        <f>INDEX(TextData!B:B,MATCH(A381,TextData!A:A))</f>
        <v>バブルブロウ+</v>
      </c>
      <c r="C381">
        <v>6030</v>
      </c>
      <c r="D381" t="str">
        <f>INDEX(Define!Q:Q,MATCH(C381,Define!P:P))</f>
        <v>FeatureのParam3を指定値に上書き</v>
      </c>
      <c r="E381">
        <v>3060</v>
      </c>
      <c r="F381">
        <v>1</v>
      </c>
      <c r="G381">
        <v>12</v>
      </c>
      <c r="H381">
        <v>100</v>
      </c>
    </row>
    <row r="382" spans="1:8">
      <c r="A382">
        <v>403070</v>
      </c>
      <c r="B382" t="str">
        <f>INDEX(TextData!B:B,MATCH(A382,TextData!A:A))</f>
        <v>アクアミラージュ+</v>
      </c>
      <c r="C382">
        <v>6020</v>
      </c>
      <c r="D382" t="str">
        <f>INDEX(Define!Q:Q,MATCH(C382,Define!P:P))</f>
        <v>FeatureのParam2を指定値に上書き</v>
      </c>
      <c r="E382">
        <v>3070</v>
      </c>
      <c r="F382">
        <v>0</v>
      </c>
      <c r="G382">
        <v>2</v>
      </c>
      <c r="H382">
        <v>100</v>
      </c>
    </row>
    <row r="383" spans="1:8">
      <c r="A383">
        <v>403080</v>
      </c>
      <c r="B383" t="str">
        <f>INDEX(TextData!B:B,MATCH(A383,TextData!A:A))</f>
        <v>フロストシールド+</v>
      </c>
      <c r="C383">
        <v>6030</v>
      </c>
      <c r="D383" t="str">
        <f>INDEX(Define!Q:Q,MATCH(C383,Define!P:P))</f>
        <v>FeatureのParam3を指定値に上書き</v>
      </c>
      <c r="E383">
        <v>3080</v>
      </c>
      <c r="F383">
        <v>0</v>
      </c>
      <c r="G383">
        <v>30</v>
      </c>
      <c r="H383">
        <v>100</v>
      </c>
    </row>
    <row r="384" spans="1:8">
      <c r="A384">
        <v>404010</v>
      </c>
      <c r="B384" t="str">
        <f>INDEX(TextData!B:B,MATCH(A384,TextData!A:A))</f>
        <v>セイントレーザー+</v>
      </c>
      <c r="C384">
        <v>6010</v>
      </c>
      <c r="D384" t="str">
        <f>INDEX(Define!Q:Q,MATCH(C384,Define!P:P))</f>
        <v>FeatureのParam1を指定値に上書き</v>
      </c>
      <c r="E384">
        <v>4010</v>
      </c>
      <c r="F384">
        <v>0</v>
      </c>
      <c r="G384">
        <v>250</v>
      </c>
      <c r="H384">
        <v>100</v>
      </c>
    </row>
    <row r="385" spans="1:8">
      <c r="A385">
        <v>404020</v>
      </c>
      <c r="B385" t="str">
        <f>INDEX(TextData!B:B,MATCH(A385,TextData!A:A))</f>
        <v>ペネトレイト+</v>
      </c>
      <c r="C385">
        <v>6010</v>
      </c>
      <c r="D385" t="str">
        <f>INDEX(Define!Q:Q,MATCH(C385,Define!P:P))</f>
        <v>FeatureのParam1を指定値に上書き</v>
      </c>
      <c r="E385">
        <v>4020</v>
      </c>
      <c r="F385">
        <v>0</v>
      </c>
      <c r="G385">
        <v>250</v>
      </c>
      <c r="H385">
        <v>100</v>
      </c>
    </row>
    <row r="386" spans="1:8">
      <c r="A386">
        <v>404030</v>
      </c>
      <c r="B386" t="str">
        <f>INDEX(TextData!B:B,MATCH(A386,TextData!A:A))</f>
        <v>ヒーリング+</v>
      </c>
      <c r="C386">
        <v>6210</v>
      </c>
      <c r="D386" t="str">
        <f>INDEX(Define!Q:Q,MATCH(C386,Define!P:P))</f>
        <v>指定魔法の対象を変更（強化限定）</v>
      </c>
      <c r="E386">
        <v>4030</v>
      </c>
      <c r="F386">
        <v>0</v>
      </c>
      <c r="G386">
        <v>31</v>
      </c>
      <c r="H386">
        <v>100</v>
      </c>
    </row>
    <row r="387" spans="1:8">
      <c r="A387">
        <v>404040</v>
      </c>
      <c r="B387" t="str">
        <f>INDEX(TextData!B:B,MATCH(A387,TextData!A:A))</f>
        <v>リザイアフォトン+</v>
      </c>
      <c r="C387">
        <v>6030</v>
      </c>
      <c r="D387" t="str">
        <f>INDEX(Define!Q:Q,MATCH(C387,Define!P:P))</f>
        <v>FeatureのParam3を指定値に上書き</v>
      </c>
      <c r="E387">
        <v>4040</v>
      </c>
      <c r="F387">
        <v>1</v>
      </c>
      <c r="G387">
        <v>30</v>
      </c>
      <c r="H387">
        <v>100</v>
      </c>
    </row>
    <row r="388" spans="1:8">
      <c r="A388">
        <v>404050</v>
      </c>
      <c r="B388" t="str">
        <f>INDEX(TextData!B:B,MATCH(A388,TextData!A:A))</f>
        <v>べネディクション+</v>
      </c>
      <c r="C388">
        <v>6080</v>
      </c>
      <c r="D388" t="str">
        <f>INDEX(Define!Q:Q,MATCH(C388,Define!P:P))</f>
        <v>指定魔法のCTリセット値を変更する</v>
      </c>
      <c r="E388">
        <v>4050</v>
      </c>
      <c r="F388">
        <v>0</v>
      </c>
      <c r="G388">
        <v>2</v>
      </c>
      <c r="H388">
        <v>100</v>
      </c>
    </row>
    <row r="389" spans="1:8">
      <c r="A389">
        <v>404060</v>
      </c>
      <c r="B389" t="str">
        <f>INDEX(TextData!B:B,MATCH(A389,TextData!A:A))</f>
        <v>ホーリーグレイス+</v>
      </c>
      <c r="C389">
        <v>6080</v>
      </c>
      <c r="D389" t="str">
        <f>INDEX(Define!Q:Q,MATCH(C389,Define!P:P))</f>
        <v>指定魔法のCTリセット値を変更する</v>
      </c>
      <c r="E389">
        <v>4060</v>
      </c>
      <c r="F389">
        <v>0</v>
      </c>
      <c r="G389">
        <v>5</v>
      </c>
      <c r="H389">
        <v>100</v>
      </c>
    </row>
    <row r="390" spans="1:8">
      <c r="A390">
        <v>404070</v>
      </c>
      <c r="B390" t="str">
        <f>INDEX(TextData!B:B,MATCH(A390,TextData!A:A))</f>
        <v>キュアエール+</v>
      </c>
      <c r="C390">
        <v>6030</v>
      </c>
      <c r="D390" t="str">
        <f>INDEX(Define!Q:Q,MATCH(C390,Define!P:P))</f>
        <v>FeatureのParam3を指定値に上書き</v>
      </c>
      <c r="E390">
        <v>4070</v>
      </c>
      <c r="F390">
        <v>0</v>
      </c>
      <c r="G390">
        <v>25</v>
      </c>
      <c r="H390">
        <v>100</v>
      </c>
    </row>
    <row r="391" spans="1:8">
      <c r="A391">
        <v>404080</v>
      </c>
      <c r="B391" t="str">
        <f>INDEX(TextData!B:B,MATCH(A391,TextData!A:A))</f>
        <v>ラインバリア+</v>
      </c>
      <c r="C391">
        <v>6080</v>
      </c>
      <c r="D391" t="str">
        <f>INDEX(Define!Q:Q,MATCH(C391,Define!P:P))</f>
        <v>指定魔法のCTリセット値を変更する</v>
      </c>
      <c r="E391">
        <v>4080</v>
      </c>
      <c r="F391">
        <v>0</v>
      </c>
      <c r="G391">
        <v>3</v>
      </c>
      <c r="H391">
        <v>100</v>
      </c>
    </row>
    <row r="392" spans="1:8">
      <c r="A392">
        <v>405010</v>
      </c>
      <c r="B392" t="str">
        <f>INDEX(TextData!B:B,MATCH(A392,TextData!A:A))</f>
        <v>ダークプリズン+</v>
      </c>
      <c r="C392">
        <v>6010</v>
      </c>
      <c r="D392" t="str">
        <f>INDEX(Define!Q:Q,MATCH(C392,Define!P:P))</f>
        <v>FeatureのParam1を指定値に上書き</v>
      </c>
      <c r="E392">
        <v>5010</v>
      </c>
      <c r="F392">
        <v>0</v>
      </c>
      <c r="G392">
        <v>250</v>
      </c>
      <c r="H392">
        <v>100</v>
      </c>
    </row>
    <row r="393" spans="1:8">
      <c r="A393">
        <v>405020</v>
      </c>
      <c r="B393" t="str">
        <f>INDEX(TextData!B:B,MATCH(A393,TextData!A:A))</f>
        <v>ユーサネイジア+</v>
      </c>
      <c r="C393">
        <v>6010</v>
      </c>
      <c r="D393" t="str">
        <f>INDEX(Define!Q:Q,MATCH(C393,Define!P:P))</f>
        <v>FeatureのParam1を指定値に上書き</v>
      </c>
      <c r="E393">
        <v>5020</v>
      </c>
      <c r="F393">
        <v>0</v>
      </c>
      <c r="G393">
        <v>200</v>
      </c>
      <c r="H393">
        <v>100</v>
      </c>
    </row>
    <row r="394" spans="1:8">
      <c r="A394">
        <v>405030</v>
      </c>
      <c r="B394" t="str">
        <f>INDEX(TextData!B:B,MATCH(A394,TextData!A:A))</f>
        <v>ドレインヒール+</v>
      </c>
      <c r="C394">
        <v>6030</v>
      </c>
      <c r="D394" t="str">
        <f>INDEX(Define!Q:Q,MATCH(C394,Define!P:P))</f>
        <v>FeatureのParam3を指定値に上書き</v>
      </c>
      <c r="E394">
        <v>5030</v>
      </c>
      <c r="F394">
        <v>0</v>
      </c>
      <c r="G394">
        <v>100</v>
      </c>
      <c r="H394">
        <v>100</v>
      </c>
    </row>
    <row r="395" spans="1:8">
      <c r="A395">
        <v>405040</v>
      </c>
      <c r="B395" t="str">
        <f>INDEX(TextData!B:B,MATCH(A395,TextData!A:A))</f>
        <v>アビサルデスペア+</v>
      </c>
      <c r="C395">
        <v>6020</v>
      </c>
      <c r="D395" t="str">
        <f>INDEX(Define!Q:Q,MATCH(C395,Define!P:P))</f>
        <v>FeatureのParam2を指定値に上書き</v>
      </c>
      <c r="E395">
        <v>5040</v>
      </c>
      <c r="F395">
        <v>0</v>
      </c>
      <c r="G395">
        <v>5</v>
      </c>
      <c r="H395">
        <v>100</v>
      </c>
    </row>
    <row r="396" spans="1:8">
      <c r="A396">
        <v>405050</v>
      </c>
      <c r="B396" t="str">
        <f>INDEX(TextData!B:B,MATCH(A396,TextData!A:A))</f>
        <v>ディプラヴィティ+</v>
      </c>
      <c r="C396">
        <v>6030</v>
      </c>
      <c r="D396" t="str">
        <f>INDEX(Define!Q:Q,MATCH(C396,Define!P:P))</f>
        <v>FeatureのParam3を指定値に上書き</v>
      </c>
      <c r="E396">
        <v>5050</v>
      </c>
      <c r="F396">
        <v>0</v>
      </c>
      <c r="G396">
        <v>3</v>
      </c>
      <c r="H396">
        <v>100</v>
      </c>
    </row>
    <row r="397" spans="1:8">
      <c r="A397">
        <v>405060</v>
      </c>
      <c r="B397" t="str">
        <f>INDEX(TextData!B:B,MATCH(A397,TextData!A:A))</f>
        <v>ダークネス+</v>
      </c>
      <c r="C397">
        <v>6030</v>
      </c>
      <c r="D397" t="str">
        <f>INDEX(Define!Q:Q,MATCH(C397,Define!P:P))</f>
        <v>FeatureのParam3を指定値に上書き</v>
      </c>
      <c r="E397">
        <v>5060</v>
      </c>
      <c r="F397">
        <v>0</v>
      </c>
      <c r="G397">
        <v>50</v>
      </c>
      <c r="H397">
        <v>100</v>
      </c>
    </row>
    <row r="398" spans="1:8">
      <c r="A398">
        <v>405070</v>
      </c>
      <c r="B398" t="str">
        <f>INDEX(TextData!B:B,MATCH(A398,TextData!A:A))</f>
        <v>シェイディークラウド+</v>
      </c>
      <c r="C398">
        <v>6030</v>
      </c>
      <c r="D398" t="str">
        <f>INDEX(Define!Q:Q,MATCH(C398,Define!P:P))</f>
        <v>FeatureのParam3を指定値に上書き</v>
      </c>
      <c r="E398">
        <v>5070</v>
      </c>
      <c r="F398">
        <v>0</v>
      </c>
      <c r="G398">
        <v>12</v>
      </c>
      <c r="H398">
        <v>100</v>
      </c>
    </row>
    <row r="399" spans="1:8">
      <c r="A399">
        <v>405080</v>
      </c>
      <c r="B399" t="str">
        <f>INDEX(TextData!B:B,MATCH(A399,TextData!A:A))</f>
        <v>ポイズンブロウ+</v>
      </c>
      <c r="C399">
        <v>6030</v>
      </c>
      <c r="D399" t="str">
        <f>INDEX(Define!Q:Q,MATCH(C399,Define!P:P))</f>
        <v>FeatureのParam3を指定値に上書き</v>
      </c>
      <c r="E399">
        <v>5080</v>
      </c>
      <c r="F399">
        <v>0</v>
      </c>
      <c r="G399">
        <v>20</v>
      </c>
      <c r="H399">
        <v>100</v>
      </c>
    </row>
    <row r="400" spans="1:8">
      <c r="A400">
        <v>411010</v>
      </c>
      <c r="B400" t="str">
        <f>INDEX(TextData!B:B,MATCH(A400,TextData!A:A))</f>
        <v>ウルフソウル+</v>
      </c>
      <c r="C400">
        <v>6030</v>
      </c>
      <c r="D400" t="str">
        <f>INDEX(Define!Q:Q,MATCH(C400,Define!P:P))</f>
        <v>FeatureのParam3を指定値に上書き</v>
      </c>
      <c r="E400">
        <v>11010</v>
      </c>
      <c r="F400">
        <v>0</v>
      </c>
      <c r="G400">
        <v>8</v>
      </c>
      <c r="H400">
        <v>100</v>
      </c>
    </row>
    <row r="401" spans="1:8">
      <c r="A401">
        <v>411020</v>
      </c>
      <c r="B401" t="str">
        <f>INDEX(TextData!B:B,MATCH(A401,TextData!A:A))</f>
        <v>プリディカメント+</v>
      </c>
      <c r="C401">
        <v>6030</v>
      </c>
      <c r="D401" t="str">
        <f>INDEX(Define!Q:Q,MATCH(C401,Define!P:P))</f>
        <v>FeatureのParam3を指定値に上書き</v>
      </c>
      <c r="E401">
        <v>11020</v>
      </c>
      <c r="F401">
        <v>0</v>
      </c>
      <c r="G401">
        <v>16</v>
      </c>
      <c r="H401">
        <v>100</v>
      </c>
    </row>
    <row r="402" spans="1:8">
      <c r="A402">
        <v>411030</v>
      </c>
      <c r="B402" t="str">
        <f>INDEX(TextData!B:B,MATCH(A402,TextData!A:A))</f>
        <v>アサルトシフト+</v>
      </c>
      <c r="C402">
        <v>6030</v>
      </c>
      <c r="D402" t="str">
        <f>INDEX(Define!Q:Q,MATCH(C402,Define!P:P))</f>
        <v>FeatureのParam3を指定値に上書き</v>
      </c>
      <c r="E402">
        <v>11030</v>
      </c>
      <c r="F402">
        <v>0</v>
      </c>
      <c r="G402">
        <v>8</v>
      </c>
      <c r="H402">
        <v>100</v>
      </c>
    </row>
    <row r="403" spans="1:8">
      <c r="A403">
        <v>411030</v>
      </c>
      <c r="B403" t="str">
        <f>INDEX(TextData!B:B,MATCH(A403,TextData!A:A))</f>
        <v>アサルトシフト+</v>
      </c>
      <c r="C403">
        <v>6030</v>
      </c>
      <c r="D403" t="str">
        <f>INDEX(Define!Q:Q,MATCH(C403,Define!P:P))</f>
        <v>FeatureのParam3を指定値に上書き</v>
      </c>
      <c r="E403">
        <v>11030</v>
      </c>
      <c r="F403">
        <v>1</v>
      </c>
      <c r="G403">
        <v>8</v>
      </c>
      <c r="H403">
        <v>100</v>
      </c>
    </row>
    <row r="404" spans="1:8">
      <c r="A404">
        <v>411040</v>
      </c>
      <c r="B404" t="str">
        <f>INDEX(TextData!B:B,MATCH(A404,TextData!A:A))</f>
        <v>アクティブギフト+</v>
      </c>
      <c r="C404">
        <v>6080</v>
      </c>
      <c r="D404" t="str">
        <f>INDEX(Define!Q:Q,MATCH(C404,Define!P:P))</f>
        <v>指定魔法のCTリセット値を変更する</v>
      </c>
      <c r="E404">
        <v>11040</v>
      </c>
      <c r="F404">
        <v>0</v>
      </c>
      <c r="G404">
        <v>3</v>
      </c>
      <c r="H404">
        <v>100</v>
      </c>
    </row>
    <row r="405" spans="1:8">
      <c r="A405">
        <v>411050</v>
      </c>
      <c r="B405" t="str">
        <f>INDEX(TextData!B:B,MATCH(A405,TextData!A:A))</f>
        <v>イグナイテッド+</v>
      </c>
      <c r="C405">
        <v>6010</v>
      </c>
      <c r="D405" t="str">
        <f>INDEX(Define!Q:Q,MATCH(C405,Define!P:P))</f>
        <v>FeatureのParam1を指定値に上書き</v>
      </c>
      <c r="E405">
        <v>11050</v>
      </c>
      <c r="F405">
        <v>0</v>
      </c>
      <c r="G405">
        <v>6</v>
      </c>
      <c r="H405">
        <v>100</v>
      </c>
    </row>
    <row r="406" spans="1:8">
      <c r="A406">
        <v>411060</v>
      </c>
      <c r="B406" t="str">
        <f>INDEX(TextData!B:B,MATCH(A406,TextData!A:A))</f>
        <v>ライジングファイア+</v>
      </c>
      <c r="C406">
        <v>6010</v>
      </c>
      <c r="D406" t="str">
        <f>INDEX(Define!Q:Q,MATCH(C406,Define!P:P))</f>
        <v>FeatureのParam1を指定値に上書き</v>
      </c>
      <c r="E406">
        <v>11060</v>
      </c>
      <c r="F406">
        <v>0</v>
      </c>
      <c r="G406">
        <v>2</v>
      </c>
      <c r="H406">
        <v>100</v>
      </c>
    </row>
    <row r="407" spans="1:8">
      <c r="A407">
        <v>411070</v>
      </c>
      <c r="B407" t="str">
        <f>INDEX(TextData!B:B,MATCH(A407,TextData!A:A))</f>
        <v>ルージュバック+</v>
      </c>
      <c r="C407">
        <v>6030</v>
      </c>
      <c r="D407" t="str">
        <f>INDEX(Define!Q:Q,MATCH(C407,Define!P:P))</f>
        <v>FeatureのParam3を指定値に上書き</v>
      </c>
      <c r="E407">
        <v>11070</v>
      </c>
      <c r="F407">
        <v>0</v>
      </c>
      <c r="G407">
        <v>4</v>
      </c>
      <c r="H407">
        <v>100</v>
      </c>
    </row>
    <row r="408" spans="1:8">
      <c r="A408">
        <v>411080</v>
      </c>
      <c r="B408" t="str">
        <f>INDEX(TextData!B:B,MATCH(A408,TextData!A:A))</f>
        <v>パワーエール+</v>
      </c>
      <c r="C408">
        <v>6030</v>
      </c>
      <c r="D408" t="str">
        <f>INDEX(Define!Q:Q,MATCH(C408,Define!P:P))</f>
        <v>FeatureのParam3を指定値に上書き</v>
      </c>
      <c r="E408">
        <v>11080</v>
      </c>
      <c r="F408">
        <v>0</v>
      </c>
      <c r="G408">
        <v>8</v>
      </c>
      <c r="H408">
        <v>100</v>
      </c>
    </row>
    <row r="409" spans="1:8">
      <c r="A409">
        <v>411090</v>
      </c>
      <c r="B409" t="str">
        <f>INDEX(TextData!B:B,MATCH(A409,TextData!A:A))</f>
        <v>スレイプニル+</v>
      </c>
      <c r="C409">
        <v>6030</v>
      </c>
      <c r="D409" t="str">
        <f>INDEX(Define!Q:Q,MATCH(C409,Define!P:P))</f>
        <v>FeatureのParam3を指定値に上書き</v>
      </c>
      <c r="E409">
        <v>11090</v>
      </c>
      <c r="F409">
        <v>0</v>
      </c>
      <c r="G409">
        <v>25</v>
      </c>
      <c r="H409">
        <v>100</v>
      </c>
    </row>
    <row r="410" spans="1:8">
      <c r="A410">
        <v>412010</v>
      </c>
      <c r="B410" t="str">
        <f>INDEX(TextData!B:B,MATCH(A410,TextData!A:A))</f>
        <v>エクステンション+</v>
      </c>
      <c r="C410">
        <v>6210</v>
      </c>
      <c r="D410" t="str">
        <f>INDEX(Define!Q:Q,MATCH(C410,Define!P:P))</f>
        <v>指定魔法の対象を変更（強化限定）</v>
      </c>
      <c r="E410">
        <v>12010</v>
      </c>
      <c r="F410">
        <v>0</v>
      </c>
      <c r="G410">
        <v>31</v>
      </c>
      <c r="H410">
        <v>100</v>
      </c>
    </row>
    <row r="411" spans="1:8">
      <c r="A411">
        <v>412020</v>
      </c>
      <c r="B411" t="str">
        <f>INDEX(TextData!B:B,MATCH(A411,TextData!A:A))</f>
        <v>ヘブンリーラック+</v>
      </c>
      <c r="C411">
        <v>6030</v>
      </c>
      <c r="D411" t="str">
        <f>INDEX(Define!Q:Q,MATCH(C411,Define!P:P))</f>
        <v>FeatureのParam3を指定値に上書き</v>
      </c>
      <c r="E411">
        <v>12020</v>
      </c>
      <c r="F411">
        <v>0</v>
      </c>
      <c r="G411">
        <v>20</v>
      </c>
      <c r="H411">
        <v>100</v>
      </c>
    </row>
    <row r="412" spans="1:8">
      <c r="A412">
        <v>412030</v>
      </c>
      <c r="B412" t="str">
        <f>INDEX(TextData!B:B,MATCH(A412,TextData!A:A))</f>
        <v>スウィフトカレント+</v>
      </c>
      <c r="C412">
        <v>6030</v>
      </c>
      <c r="D412" t="str">
        <f>INDEX(Define!Q:Q,MATCH(C412,Define!P:P))</f>
        <v>FeatureのParam3を指定値に上書き</v>
      </c>
      <c r="E412">
        <v>12030</v>
      </c>
      <c r="F412">
        <v>0</v>
      </c>
      <c r="G412">
        <v>10</v>
      </c>
      <c r="H412">
        <v>100</v>
      </c>
    </row>
    <row r="413" spans="1:8">
      <c r="A413">
        <v>412040</v>
      </c>
      <c r="B413" t="str">
        <f>INDEX(TextData!B:B,MATCH(A413,TextData!A:A))</f>
        <v>イヴェイドオール+</v>
      </c>
      <c r="C413">
        <v>6030</v>
      </c>
      <c r="D413" t="str">
        <f>INDEX(Define!Q:Q,MATCH(C413,Define!P:P))</f>
        <v>FeatureのParam3を指定値に上書き</v>
      </c>
      <c r="E413">
        <v>12040</v>
      </c>
      <c r="F413">
        <v>0</v>
      </c>
      <c r="G413">
        <v>10</v>
      </c>
      <c r="H413">
        <v>100</v>
      </c>
    </row>
    <row r="414" spans="1:8">
      <c r="A414">
        <v>412050</v>
      </c>
      <c r="B414" t="str">
        <f>INDEX(TextData!B:B,MATCH(A414,TextData!A:A))</f>
        <v>クイックムーブ+</v>
      </c>
      <c r="C414">
        <v>6010</v>
      </c>
      <c r="D414" t="str">
        <f>INDEX(Define!Q:Q,MATCH(C414,Define!P:P))</f>
        <v>FeatureのParam1を指定値に上書き</v>
      </c>
      <c r="E414">
        <v>12050</v>
      </c>
      <c r="F414">
        <v>0</v>
      </c>
      <c r="G414">
        <v>400</v>
      </c>
      <c r="H414">
        <v>100</v>
      </c>
    </row>
    <row r="415" spans="1:8">
      <c r="A415">
        <v>412060</v>
      </c>
      <c r="B415" t="str">
        <f>INDEX(TextData!B:B,MATCH(A415,TextData!A:A))</f>
        <v>チェイスマジック+</v>
      </c>
      <c r="C415">
        <v>6010</v>
      </c>
      <c r="D415" t="str">
        <f>INDEX(Define!Q:Q,MATCH(C415,Define!P:P))</f>
        <v>FeatureのParam1を指定値に上書き</v>
      </c>
      <c r="E415">
        <v>12060</v>
      </c>
      <c r="F415">
        <v>0</v>
      </c>
      <c r="G415">
        <v>300</v>
      </c>
      <c r="H415">
        <v>100</v>
      </c>
    </row>
    <row r="416" spans="1:8">
      <c r="A416">
        <v>412070</v>
      </c>
      <c r="B416" t="str">
        <f>INDEX(TextData!B:B,MATCH(A416,TextData!A:A))</f>
        <v>ソーサリーコネクト+</v>
      </c>
      <c r="C416">
        <v>6030</v>
      </c>
      <c r="D416" t="str">
        <f>INDEX(Define!Q:Q,MATCH(C416,Define!P:P))</f>
        <v>FeatureのParam3を指定値に上書き</v>
      </c>
      <c r="E416">
        <v>12070</v>
      </c>
      <c r="F416">
        <v>0</v>
      </c>
      <c r="G416">
        <v>16</v>
      </c>
      <c r="H416">
        <v>100</v>
      </c>
    </row>
    <row r="417" spans="1:8">
      <c r="A417">
        <v>412080</v>
      </c>
      <c r="B417" t="str">
        <f>INDEX(TextData!B:B,MATCH(A417,TextData!A:A))</f>
        <v>ウィンドライズ+</v>
      </c>
      <c r="C417">
        <v>6010</v>
      </c>
      <c r="D417" t="str">
        <f>INDEX(Define!Q:Q,MATCH(C417,Define!P:P))</f>
        <v>FeatureのParam1を指定値に上書き</v>
      </c>
      <c r="E417">
        <v>12080</v>
      </c>
      <c r="F417">
        <v>0</v>
      </c>
      <c r="G417">
        <v>300</v>
      </c>
      <c r="H417">
        <v>100</v>
      </c>
    </row>
    <row r="418" spans="1:8">
      <c r="A418">
        <v>412090</v>
      </c>
      <c r="B418" t="str">
        <f>INDEX(TextData!B:B,MATCH(A418,TextData!A:A))</f>
        <v>アウトオブオーダー+</v>
      </c>
      <c r="C418">
        <v>6010</v>
      </c>
      <c r="D418" t="str">
        <f>INDEX(Define!Q:Q,MATCH(C418,Define!P:P))</f>
        <v>FeatureのParam1を指定値に上書き</v>
      </c>
      <c r="E418">
        <v>12090</v>
      </c>
      <c r="F418">
        <v>0</v>
      </c>
      <c r="G418">
        <v>400</v>
      </c>
      <c r="H418">
        <v>100</v>
      </c>
    </row>
    <row r="419" spans="1:8">
      <c r="A419">
        <v>413010</v>
      </c>
      <c r="B419" t="str">
        <f>INDEX(TextData!B:B,MATCH(A419,TextData!A:A))</f>
        <v>アーマーコード+</v>
      </c>
      <c r="C419">
        <v>6030</v>
      </c>
      <c r="D419" t="str">
        <f>INDEX(Define!Q:Q,MATCH(C419,Define!P:P))</f>
        <v>FeatureのParam3を指定値に上書き</v>
      </c>
      <c r="E419">
        <v>13010</v>
      </c>
      <c r="F419">
        <v>0</v>
      </c>
      <c r="G419">
        <v>8</v>
      </c>
      <c r="H419">
        <v>100</v>
      </c>
    </row>
    <row r="420" spans="1:8">
      <c r="A420">
        <v>413020</v>
      </c>
      <c r="B420" t="str">
        <f>INDEX(TextData!B:B,MATCH(A420,TextData!A:A))</f>
        <v>クイックバリア+</v>
      </c>
      <c r="C420">
        <v>6030</v>
      </c>
      <c r="D420" t="str">
        <f>INDEX(Define!Q:Q,MATCH(C420,Define!P:P))</f>
        <v>FeatureのParam3を指定値に上書き</v>
      </c>
      <c r="E420">
        <v>13020</v>
      </c>
      <c r="F420">
        <v>0</v>
      </c>
      <c r="G420">
        <v>50</v>
      </c>
      <c r="H420">
        <v>100</v>
      </c>
    </row>
    <row r="421" spans="1:8">
      <c r="A421">
        <v>413030</v>
      </c>
      <c r="B421" t="str">
        <f>INDEX(TextData!B:B,MATCH(A421,TextData!A:A))</f>
        <v>クイックキュア+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413040</v>
      </c>
      <c r="B422" t="str">
        <f>INDEX(TextData!B:B,MATCH(A422,TextData!A:A))</f>
        <v>セルフシールド+</v>
      </c>
      <c r="C422">
        <v>6030</v>
      </c>
      <c r="D422" t="str">
        <f>INDEX(Define!Q:Q,MATCH(C422,Define!P:P))</f>
        <v>FeatureのParam3を指定値に上書き</v>
      </c>
      <c r="E422">
        <v>13040</v>
      </c>
      <c r="F422">
        <v>0</v>
      </c>
      <c r="G422">
        <v>50</v>
      </c>
      <c r="H422">
        <v>100</v>
      </c>
    </row>
    <row r="423" spans="1:8">
      <c r="A423">
        <v>413050</v>
      </c>
      <c r="B423" t="str">
        <f>INDEX(TextData!B:B,MATCH(A423,TextData!A:A))</f>
        <v>パッシブジャミング+</v>
      </c>
      <c r="C423">
        <v>6080</v>
      </c>
      <c r="D423" t="str">
        <f>INDEX(Define!Q:Q,MATCH(C423,Define!P:P))</f>
        <v>指定魔法のCTリセット値を変更する</v>
      </c>
      <c r="E423">
        <v>14090</v>
      </c>
      <c r="F423">
        <v>0</v>
      </c>
      <c r="G423">
        <v>1</v>
      </c>
      <c r="H423">
        <v>100</v>
      </c>
    </row>
    <row r="424" spans="1:8">
      <c r="A424">
        <v>413060</v>
      </c>
      <c r="B424" t="str">
        <f>INDEX(TextData!B:B,MATCH(A424,TextData!A:A))</f>
        <v>サプライカバー+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1</v>
      </c>
      <c r="H424">
        <v>100</v>
      </c>
    </row>
    <row r="425" spans="1:8">
      <c r="A425">
        <v>413070</v>
      </c>
      <c r="B425" t="str">
        <f>INDEX(TextData!B:B,MATCH(A425,TextData!A:A))</f>
        <v>アシッドラッシュ+</v>
      </c>
      <c r="C425">
        <v>6010</v>
      </c>
      <c r="D425" t="str">
        <f>INDEX(Define!Q:Q,MATCH(C425,Define!P:P))</f>
        <v>FeatureのParam1を指定値に上書き</v>
      </c>
      <c r="E425">
        <v>13070</v>
      </c>
      <c r="F425">
        <v>0</v>
      </c>
      <c r="G425">
        <v>400</v>
      </c>
      <c r="H425">
        <v>100</v>
      </c>
    </row>
    <row r="426" spans="1:8">
      <c r="A426">
        <v>413080</v>
      </c>
      <c r="B426" t="str">
        <f>INDEX(TextData!B:B,MATCH(A426,TextData!A:A))</f>
        <v>ライフスティール+</v>
      </c>
      <c r="C426">
        <v>6030</v>
      </c>
      <c r="D426" t="str">
        <f>INDEX(Define!Q:Q,MATCH(C426,Define!P:P))</f>
        <v>FeatureのParam3を指定値に上書き</v>
      </c>
      <c r="E426">
        <v>13080</v>
      </c>
      <c r="F426">
        <v>0</v>
      </c>
      <c r="G426">
        <v>50</v>
      </c>
      <c r="H426">
        <v>100</v>
      </c>
    </row>
    <row r="427" spans="1:8">
      <c r="A427">
        <v>413090</v>
      </c>
      <c r="B427" t="str">
        <f>INDEX(TextData!B:B,MATCH(A427,TextData!A:A))</f>
        <v>アイスセイバー+</v>
      </c>
      <c r="C427">
        <v>6030</v>
      </c>
      <c r="D427" t="str">
        <f>INDEX(Define!Q:Q,MATCH(C427,Define!P:P))</f>
        <v>FeatureのParam3を指定値に上書き</v>
      </c>
      <c r="E427">
        <v>13090</v>
      </c>
      <c r="F427">
        <v>0</v>
      </c>
      <c r="G427">
        <v>50</v>
      </c>
      <c r="H427">
        <v>100</v>
      </c>
    </row>
    <row r="428" spans="1:8">
      <c r="A428">
        <v>414010</v>
      </c>
      <c r="B428" t="str">
        <f>INDEX(TextData!B:B,MATCH(A428,TextData!A:A))</f>
        <v>ディバインシールド+</v>
      </c>
      <c r="C428">
        <v>6020</v>
      </c>
      <c r="D428" t="str">
        <f>INDEX(Define!Q:Q,MATCH(C428,Define!P:P))</f>
        <v>FeatureのParam2を指定値に上書き</v>
      </c>
      <c r="E428">
        <v>14010</v>
      </c>
      <c r="F428">
        <v>0</v>
      </c>
      <c r="G428">
        <v>2</v>
      </c>
      <c r="H428">
        <v>100</v>
      </c>
    </row>
    <row r="429" spans="1:8">
      <c r="A429">
        <v>414020</v>
      </c>
      <c r="B429" t="str">
        <f>INDEX(TextData!B:B,MATCH(A429,TextData!A:A))</f>
        <v>ライフディバイド+</v>
      </c>
      <c r="C429">
        <v>6010</v>
      </c>
      <c r="D429" t="str">
        <f>INDEX(Define!Q:Q,MATCH(C429,Define!P:P))</f>
        <v>FeatureのParam1を指定値に上書き</v>
      </c>
      <c r="E429">
        <v>14020</v>
      </c>
      <c r="F429">
        <v>0</v>
      </c>
      <c r="G429">
        <v>50</v>
      </c>
      <c r="H429">
        <v>100</v>
      </c>
    </row>
    <row r="430" spans="1:8">
      <c r="A430">
        <v>414030</v>
      </c>
      <c r="B430" t="str">
        <f>INDEX(TextData!B:B,MATCH(A430,TextData!A:A))</f>
        <v>エイミングスコープ+</v>
      </c>
      <c r="C430">
        <v>6030</v>
      </c>
      <c r="D430" t="str">
        <f>INDEX(Define!Q:Q,MATCH(C430,Define!P:P))</f>
        <v>FeatureのParam3を指定値に上書き</v>
      </c>
      <c r="E430">
        <v>14030</v>
      </c>
      <c r="F430">
        <v>0</v>
      </c>
      <c r="G430">
        <v>10</v>
      </c>
      <c r="H430">
        <v>100</v>
      </c>
    </row>
    <row r="431" spans="1:8">
      <c r="A431">
        <v>414040</v>
      </c>
      <c r="B431" t="str">
        <f>INDEX(TextData!B:B,MATCH(A431,TextData!A:A))</f>
        <v>リジェネレーション+</v>
      </c>
      <c r="C431">
        <v>6030</v>
      </c>
      <c r="D431" t="str">
        <f>INDEX(Define!Q:Q,MATCH(C431,Define!P:P))</f>
        <v>FeatureのParam3を指定値に上書き</v>
      </c>
      <c r="E431">
        <v>14040</v>
      </c>
      <c r="F431">
        <v>0</v>
      </c>
      <c r="G431">
        <v>10</v>
      </c>
      <c r="H431">
        <v>100</v>
      </c>
    </row>
    <row r="432" spans="1:8">
      <c r="A432">
        <v>414050</v>
      </c>
      <c r="B432" t="str">
        <f>INDEX(TextData!B:B,MATCH(A432,TextData!A:A))</f>
        <v>ホープフルアイリス+</v>
      </c>
      <c r="C432">
        <v>6030</v>
      </c>
      <c r="D432" t="str">
        <f>INDEX(Define!Q:Q,MATCH(C432,Define!P:P))</f>
        <v>FeatureのParam3を指定値に上書き</v>
      </c>
      <c r="E432">
        <v>14050</v>
      </c>
      <c r="F432">
        <v>0</v>
      </c>
      <c r="G432">
        <v>15</v>
      </c>
      <c r="H432">
        <v>100</v>
      </c>
    </row>
    <row r="433" spans="1:8">
      <c r="A433">
        <v>414060</v>
      </c>
      <c r="B433" t="str">
        <f>INDEX(TextData!B:B,MATCH(A433,TextData!A:A))</f>
        <v>パッシブサプライ+</v>
      </c>
      <c r="C433">
        <v>6010</v>
      </c>
      <c r="D433" t="str">
        <f>INDEX(Define!Q:Q,MATCH(C433,Define!P:P))</f>
        <v>FeatureのParam1を指定値に上書き</v>
      </c>
      <c r="E433">
        <v>14060</v>
      </c>
      <c r="F433">
        <v>1</v>
      </c>
      <c r="G433">
        <v>2</v>
      </c>
      <c r="H433">
        <v>100</v>
      </c>
    </row>
    <row r="434" spans="1:8">
      <c r="A434">
        <v>414070</v>
      </c>
      <c r="B434" t="str">
        <f>INDEX(TextData!B:B,MATCH(A434,TextData!A:A))</f>
        <v>ホーミングクルセイド+</v>
      </c>
      <c r="C434">
        <v>6020</v>
      </c>
      <c r="D434" t="str">
        <f>INDEX(Define!Q:Q,MATCH(C434,Define!P:P))</f>
        <v>FeatureのParam2を指定値に上書き</v>
      </c>
      <c r="E434">
        <v>14070</v>
      </c>
      <c r="F434">
        <v>0</v>
      </c>
      <c r="G434">
        <v>5</v>
      </c>
      <c r="H434">
        <v>100</v>
      </c>
    </row>
    <row r="435" spans="1:8">
      <c r="A435">
        <v>414080</v>
      </c>
      <c r="B435" t="str">
        <f>INDEX(TextData!B:B,MATCH(A435,TextData!A:A))</f>
        <v>クイックヒール+</v>
      </c>
      <c r="C435">
        <v>6010</v>
      </c>
      <c r="D435" t="str">
        <f>INDEX(Define!Q:Q,MATCH(C435,Define!P:P))</f>
        <v>FeatureのParam1を指定値に上書き</v>
      </c>
      <c r="E435">
        <v>14080</v>
      </c>
      <c r="F435">
        <v>0</v>
      </c>
      <c r="G435">
        <v>15</v>
      </c>
      <c r="H435">
        <v>100</v>
      </c>
    </row>
    <row r="436" spans="1:8">
      <c r="A436">
        <v>414090</v>
      </c>
      <c r="B436" t="str">
        <f>INDEX(TextData!B:B,MATCH(A436,TextData!A:A))</f>
        <v>リレイズ+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4</v>
      </c>
      <c r="H436">
        <v>100</v>
      </c>
    </row>
    <row r="437" spans="1:8">
      <c r="A437">
        <v>415010</v>
      </c>
      <c r="B437" t="str">
        <f>INDEX(TextData!B:B,MATCH(A437,TextData!A:A))</f>
        <v>イーグルアイ+</v>
      </c>
      <c r="C437">
        <v>6030</v>
      </c>
      <c r="D437" t="str">
        <f>INDEX(Define!Q:Q,MATCH(C437,Define!P:P))</f>
        <v>FeatureのParam3を指定値に上書き</v>
      </c>
      <c r="E437">
        <v>15010</v>
      </c>
      <c r="F437">
        <v>0</v>
      </c>
      <c r="G437">
        <v>25</v>
      </c>
      <c r="H437">
        <v>100</v>
      </c>
    </row>
    <row r="438" spans="1:8">
      <c r="A438">
        <v>415020</v>
      </c>
      <c r="B438" t="str">
        <f>INDEX(TextData!B:B,MATCH(A438,TextData!A:A))</f>
        <v>ネヴァーエンド+</v>
      </c>
      <c r="C438">
        <v>6030</v>
      </c>
      <c r="D438" t="str">
        <f>INDEX(Define!Q:Q,MATCH(C438,Define!P:P))</f>
        <v>FeatureのParam3を指定値に上書き</v>
      </c>
      <c r="E438">
        <v>15020</v>
      </c>
      <c r="F438">
        <v>0</v>
      </c>
      <c r="G438">
        <v>50</v>
      </c>
      <c r="H438">
        <v>100</v>
      </c>
    </row>
    <row r="439" spans="1:8">
      <c r="A439">
        <v>415030</v>
      </c>
      <c r="B439" t="str">
        <f>INDEX(TextData!B:B,MATCH(A439,TextData!A:A))</f>
        <v>グレイブアクト+</v>
      </c>
      <c r="C439">
        <v>6010</v>
      </c>
      <c r="D439" t="str">
        <f>INDEX(Define!Q:Q,MATCH(C439,Define!P:P))</f>
        <v>FeatureのParam1を指定値に上書き</v>
      </c>
      <c r="E439">
        <v>15030</v>
      </c>
      <c r="F439">
        <v>0</v>
      </c>
      <c r="G439">
        <v>2</v>
      </c>
      <c r="H439">
        <v>100</v>
      </c>
    </row>
    <row r="440" spans="1:8">
      <c r="A440">
        <v>415040</v>
      </c>
      <c r="B440" t="str">
        <f>INDEX(TextData!B:B,MATCH(A440,TextData!A:A))</f>
        <v>スカルグラッジ+</v>
      </c>
      <c r="C440">
        <v>6030</v>
      </c>
      <c r="D440" t="str">
        <f>INDEX(Define!Q:Q,MATCH(C440,Define!P:P))</f>
        <v>FeatureのParam3を指定値に上書き</v>
      </c>
      <c r="E440">
        <v>15040</v>
      </c>
      <c r="F440">
        <v>0</v>
      </c>
      <c r="G440">
        <v>10</v>
      </c>
      <c r="H440">
        <v>100</v>
      </c>
    </row>
    <row r="441" spans="1:8">
      <c r="A441">
        <v>415050</v>
      </c>
      <c r="B441" t="str">
        <f>INDEX(TextData!B:B,MATCH(A441,TextData!A:A))</f>
        <v>ネガティブドレイン+</v>
      </c>
      <c r="C441">
        <v>6030</v>
      </c>
      <c r="D441" t="str">
        <f>INDEX(Define!Q:Q,MATCH(C441,Define!P:P))</f>
        <v>FeatureのParam3を指定値に上書き</v>
      </c>
      <c r="E441">
        <v>15050</v>
      </c>
      <c r="F441">
        <v>0</v>
      </c>
      <c r="G441">
        <v>25</v>
      </c>
      <c r="H441">
        <v>100</v>
      </c>
    </row>
    <row r="442" spans="1:8">
      <c r="A442">
        <v>415060</v>
      </c>
      <c r="B442" t="str">
        <f>INDEX(TextData!B:B,MATCH(A442,TextData!A:A))</f>
        <v>アンデッドペイン+</v>
      </c>
      <c r="C442">
        <v>6030</v>
      </c>
      <c r="D442" t="str">
        <f>INDEX(Define!Q:Q,MATCH(C442,Define!P:P))</f>
        <v>FeatureのParam3を指定値に上書き</v>
      </c>
      <c r="E442">
        <v>15060</v>
      </c>
      <c r="F442">
        <v>0</v>
      </c>
      <c r="G442">
        <v>15</v>
      </c>
      <c r="H442">
        <v>100</v>
      </c>
    </row>
    <row r="443" spans="1:8">
      <c r="A443">
        <v>415070</v>
      </c>
      <c r="B443" t="str">
        <f>INDEX(TextData!B:B,MATCH(A443,TextData!A:A))</f>
        <v>ジャックポッド+</v>
      </c>
      <c r="C443">
        <v>6030</v>
      </c>
      <c r="D443" t="str">
        <f>INDEX(Define!Q:Q,MATCH(C443,Define!P:P))</f>
        <v>FeatureのParam3を指定値に上書き</v>
      </c>
      <c r="E443">
        <v>15070</v>
      </c>
      <c r="F443">
        <v>0</v>
      </c>
      <c r="G443">
        <v>75</v>
      </c>
      <c r="H443">
        <v>100</v>
      </c>
    </row>
    <row r="444" spans="1:8">
      <c r="A444">
        <v>415080</v>
      </c>
      <c r="B444" t="str">
        <f>INDEX(TextData!B:B,MATCH(A444,TextData!A:A))</f>
        <v>ヒールハント+</v>
      </c>
      <c r="C444">
        <v>6030</v>
      </c>
      <c r="D444" t="str">
        <f>INDEX(Define!Q:Q,MATCH(C444,Define!P:P))</f>
        <v>FeatureのParam3を指定値に上書き</v>
      </c>
      <c r="E444">
        <v>15080</v>
      </c>
      <c r="F444">
        <v>0</v>
      </c>
      <c r="G444">
        <v>50</v>
      </c>
      <c r="H444">
        <v>100</v>
      </c>
    </row>
    <row r="445" spans="1:8">
      <c r="A445">
        <v>415090</v>
      </c>
      <c r="B445" t="str">
        <f>INDEX(TextData!B:B,MATCH(A445,TextData!A:A))</f>
        <v>クイックカース+</v>
      </c>
      <c r="C445">
        <v>6030</v>
      </c>
      <c r="D445" t="str">
        <f>INDEX(Define!Q:Q,MATCH(C445,Define!P:P))</f>
        <v>FeatureのParam3を指定値に上書き</v>
      </c>
      <c r="E445">
        <v>15090</v>
      </c>
      <c r="F445">
        <v>0</v>
      </c>
      <c r="G445">
        <v>35</v>
      </c>
      <c r="H445">
        <v>100</v>
      </c>
    </row>
    <row r="446" spans="1:8">
      <c r="A446">
        <v>501010</v>
      </c>
      <c r="B446" t="str">
        <f>INDEX(TextData!B:B,MATCH(A446,TextData!A:A))</f>
        <v>火傷耐性+20%</v>
      </c>
      <c r="C446">
        <v>3010</v>
      </c>
      <c r="D446" t="str">
        <f>INDEX(Define!Q:Q,MATCH(C446,Define!P:P))</f>
        <v>ステート付与</v>
      </c>
      <c r="E446">
        <v>1210</v>
      </c>
      <c r="F446">
        <v>999</v>
      </c>
      <c r="G446">
        <v>20</v>
      </c>
      <c r="H446">
        <v>100</v>
      </c>
    </row>
    <row r="447" spans="1:8">
      <c r="A447">
        <v>501020</v>
      </c>
      <c r="B447" t="str">
        <f>INDEX(TextData!B:B,MATCH(A447,TextData!A:A))</f>
        <v>命中率+5%</v>
      </c>
      <c r="C447">
        <v>14010</v>
      </c>
      <c r="D447" t="str">
        <f>INDEX(Define!Q:Q,MATCH(C447,Define!P:P))</f>
        <v>Param1のステータスをParam3アップ</v>
      </c>
      <c r="E447">
        <v>11</v>
      </c>
      <c r="F447">
        <v>0</v>
      </c>
      <c r="G447">
        <v>5</v>
      </c>
      <c r="H447">
        <v>100</v>
      </c>
    </row>
    <row r="448" spans="1:8">
      <c r="A448">
        <v>501030</v>
      </c>
      <c r="B448" t="str">
        <f>INDEX(TextData!B:B,MATCH(A448,TextData!A:A))</f>
        <v>最大HP+2</v>
      </c>
      <c r="C448">
        <v>14010</v>
      </c>
      <c r="D448" t="str">
        <f>INDEX(Define!Q:Q,MATCH(C448,Define!P:P))</f>
        <v>Param1のステータスをParam3アップ</v>
      </c>
      <c r="E448">
        <v>0</v>
      </c>
      <c r="F448">
        <v>0</v>
      </c>
      <c r="G448">
        <v>2</v>
      </c>
      <c r="H448">
        <v>100</v>
      </c>
    </row>
    <row r="449" spans="1:8">
      <c r="A449">
        <v>501040</v>
      </c>
      <c r="B449" t="str">
        <f>INDEX(TextData!B:B,MATCH(A449,TextData!A:A))</f>
        <v>ATK+2</v>
      </c>
      <c r="C449">
        <v>14010</v>
      </c>
      <c r="D449" t="str">
        <f>INDEX(Define!Q:Q,MATCH(C449,Define!P:P))</f>
        <v>Param1のステータスをParam3アップ</v>
      </c>
      <c r="E449">
        <v>2</v>
      </c>
      <c r="F449">
        <v>0</v>
      </c>
      <c r="G449">
        <v>2</v>
      </c>
      <c r="H449">
        <v>100</v>
      </c>
    </row>
    <row r="450" spans="1:8">
      <c r="A450">
        <v>502010</v>
      </c>
      <c r="B450" t="str">
        <f>INDEX(TextData!B:B,MATCH(A450,TextData!A:A))</f>
        <v>DEF+1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1</v>
      </c>
      <c r="H450">
        <v>100</v>
      </c>
    </row>
    <row r="451" spans="1:8">
      <c r="A451">
        <v>502020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502030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502040</v>
      </c>
      <c r="B453" t="str">
        <f>INDEX(TextData!B:B,MATCH(A453,TextData!A:A))</f>
        <v>回避率+5%</v>
      </c>
      <c r="C453">
        <v>14010</v>
      </c>
      <c r="D453" t="str">
        <f>INDEX(Define!Q:Q,MATCH(C453,Define!P:P))</f>
        <v>Param1のステータスをParam3アップ</v>
      </c>
      <c r="E453">
        <v>12</v>
      </c>
      <c r="F453">
        <v>0</v>
      </c>
      <c r="G453">
        <v>5</v>
      </c>
      <c r="H453">
        <v>100</v>
      </c>
    </row>
    <row r="454" spans="1:8">
      <c r="A454">
        <v>503010</v>
      </c>
      <c r="B454" t="str">
        <f>INDEX(TextData!B:B,MATCH(A454,TextData!A:A))</f>
        <v>DEF+1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1</v>
      </c>
      <c r="H454">
        <v>100</v>
      </c>
    </row>
    <row r="455" spans="1:8">
      <c r="A455">
        <v>503020</v>
      </c>
      <c r="B455" t="str">
        <f>INDEX(TextData!B:B,MATCH(A455,TextData!A:A))</f>
        <v>凍結耐性+20%</v>
      </c>
      <c r="C455">
        <v>3010</v>
      </c>
      <c r="D455" t="str">
        <f>INDEX(Define!Q:Q,MATCH(C455,Define!P:P))</f>
        <v>ステート付与</v>
      </c>
      <c r="E455">
        <v>1220</v>
      </c>
      <c r="F455">
        <v>999</v>
      </c>
      <c r="G455">
        <v>20</v>
      </c>
      <c r="H455">
        <v>100</v>
      </c>
    </row>
    <row r="456" spans="1:8">
      <c r="A456">
        <v>503030</v>
      </c>
      <c r="B456" t="str">
        <f>INDEX(TextData!B:B,MATCH(A456,TextData!A:A))</f>
        <v>最大HP+2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2</v>
      </c>
      <c r="H456">
        <v>100</v>
      </c>
    </row>
    <row r="457" spans="1:8">
      <c r="A457">
        <v>503040</v>
      </c>
      <c r="B457" t="str">
        <f>INDEX(TextData!B:B,MATCH(A457,TextData!A:A))</f>
        <v>DEF+2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2</v>
      </c>
      <c r="H457">
        <v>100</v>
      </c>
    </row>
    <row r="458" spans="1:8">
      <c r="A458">
        <v>504010</v>
      </c>
      <c r="B458" t="str">
        <f>INDEX(TextData!B:B,MATCH(A458,TextData!A:A))</f>
        <v>Hp回復効果+2</v>
      </c>
      <c r="C458">
        <v>3010</v>
      </c>
      <c r="D458" t="str">
        <f>INDEX(Define!Q:Q,MATCH(C458,Define!P:P))</f>
        <v>ステート付与</v>
      </c>
      <c r="E458">
        <v>2460</v>
      </c>
      <c r="F458">
        <v>999</v>
      </c>
      <c r="G458">
        <v>2</v>
      </c>
      <c r="H458">
        <v>100</v>
      </c>
    </row>
    <row r="459" spans="1:8">
      <c r="A459">
        <v>504020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504030</v>
      </c>
      <c r="B460" t="str">
        <f>INDEX(TextData!B:B,MATCH(A460,TextData!A:A))</f>
        <v>命中率+5%</v>
      </c>
      <c r="C460">
        <v>14010</v>
      </c>
      <c r="D460" t="str">
        <f>INDEX(Define!Q:Q,MATCH(C460,Define!P:P))</f>
        <v>Param1のステータスをParam3アップ</v>
      </c>
      <c r="E460">
        <v>11</v>
      </c>
      <c r="F460">
        <v>0</v>
      </c>
      <c r="G460">
        <v>5</v>
      </c>
      <c r="H460">
        <v>100</v>
      </c>
    </row>
    <row r="461" spans="1:8">
      <c r="A461">
        <v>504040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505010</v>
      </c>
      <c r="B462" t="str">
        <f>INDEX(TextData!B:B,MATCH(A462,TextData!A:A))</f>
        <v>回避率+5%</v>
      </c>
      <c r="C462">
        <v>14010</v>
      </c>
      <c r="D462" t="str">
        <f>INDEX(Define!Q:Q,MATCH(C462,Define!P:P))</f>
        <v>Param1のステータスをParam3アップ</v>
      </c>
      <c r="E462">
        <v>12</v>
      </c>
      <c r="F462">
        <v>0</v>
      </c>
      <c r="G462">
        <v>5</v>
      </c>
      <c r="H462">
        <v>100</v>
      </c>
    </row>
    <row r="463" spans="1:8">
      <c r="A463">
        <v>505020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505030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505040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506010</v>
      </c>
      <c r="B466" t="str">
        <f>INDEX(TextData!B:B,MATCH(A466,TextData!A:A))</f>
        <v>最大HP+3</v>
      </c>
      <c r="C466">
        <v>14010</v>
      </c>
      <c r="D466" t="str">
        <f>INDEX(Define!Q:Q,MATCH(C466,Define!P:P))</f>
        <v>Param1のステータスをParam3アップ</v>
      </c>
      <c r="E466">
        <v>0</v>
      </c>
      <c r="F466">
        <v>0</v>
      </c>
      <c r="G466">
        <v>3</v>
      </c>
      <c r="H466">
        <v>100</v>
      </c>
    </row>
    <row r="467" spans="1:8">
      <c r="A467">
        <v>506011</v>
      </c>
      <c r="B467" t="str">
        <f>INDEX(TextData!B:B,MATCH(A467,TextData!A:A))</f>
        <v>ATK+1</v>
      </c>
      <c r="C467">
        <v>14010</v>
      </c>
      <c r="D467" t="str">
        <f>INDEX(Define!Q:Q,MATCH(C467,Define!P:P))</f>
        <v>Param1のステータスをParam3アップ</v>
      </c>
      <c r="E467">
        <v>2</v>
      </c>
      <c r="F467">
        <v>0</v>
      </c>
      <c r="G467">
        <v>1</v>
      </c>
      <c r="H467">
        <v>100</v>
      </c>
    </row>
    <row r="468" spans="1:8">
      <c r="A468">
        <v>506012</v>
      </c>
      <c r="B468" t="str">
        <f>INDEX(TextData!B:B,MATCH(A468,TextData!A:A))</f>
        <v>DEF+1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1</v>
      </c>
      <c r="H468">
        <v>100</v>
      </c>
    </row>
    <row r="469" spans="1:8">
      <c r="A469">
        <v>506013</v>
      </c>
      <c r="B469" t="str">
        <f>INDEX(TextData!B:B,MATCH(A469,TextData!A:A))</f>
        <v>SPD+1</v>
      </c>
      <c r="C469">
        <v>14010</v>
      </c>
      <c r="D469" t="str">
        <f>INDEX(Define!Q:Q,MATCH(C469,Define!P:P))</f>
        <v>Param1のステータスをParam3アップ</v>
      </c>
      <c r="E469">
        <v>4</v>
      </c>
      <c r="F469">
        <v>0</v>
      </c>
      <c r="G469">
        <v>1</v>
      </c>
      <c r="H469">
        <v>100</v>
      </c>
    </row>
    <row r="470" spans="1:8">
      <c r="A470">
        <v>506020</v>
      </c>
      <c r="B470" t="str">
        <f>INDEX(TextData!B:B,MATCH(A470,TextData!A:A))</f>
        <v>炎属性耐性+20%</v>
      </c>
      <c r="C470">
        <v>3010</v>
      </c>
      <c r="D470" t="str">
        <f>INDEX(Define!Q:Q,MATCH(C470,Define!P:P))</f>
        <v>ステート付与</v>
      </c>
      <c r="E470">
        <v>1310</v>
      </c>
      <c r="F470">
        <v>0</v>
      </c>
      <c r="G470">
        <v>15</v>
      </c>
      <c r="H470">
        <v>100</v>
      </c>
    </row>
    <row r="471" spans="1:8">
      <c r="A471">
        <v>506030</v>
      </c>
      <c r="B471" t="str">
        <f>INDEX(TextData!B:B,MATCH(A471,TextData!A:A))</f>
        <v>雷属性耐性+20%</v>
      </c>
      <c r="C471">
        <v>3010</v>
      </c>
      <c r="D471" t="str">
        <f>INDEX(Define!Q:Q,MATCH(C471,Define!P:P))</f>
        <v>ステート付与</v>
      </c>
      <c r="E471">
        <v>1320</v>
      </c>
      <c r="F471">
        <v>0</v>
      </c>
      <c r="G471">
        <v>15</v>
      </c>
      <c r="H471">
        <v>100</v>
      </c>
    </row>
    <row r="472" spans="1:8">
      <c r="A472">
        <v>506040</v>
      </c>
      <c r="B472" t="str">
        <f>INDEX(TextData!B:B,MATCH(A472,TextData!A:A))</f>
        <v>氷属性耐性+20%</v>
      </c>
      <c r="C472">
        <v>3010</v>
      </c>
      <c r="D472" t="str">
        <f>INDEX(Define!Q:Q,MATCH(C472,Define!P:P))</f>
        <v>ステート付与</v>
      </c>
      <c r="E472">
        <v>1330</v>
      </c>
      <c r="F472">
        <v>0</v>
      </c>
      <c r="G472">
        <v>15</v>
      </c>
      <c r="H472">
        <v>100</v>
      </c>
    </row>
    <row r="473" spans="1:8">
      <c r="A473">
        <v>506050</v>
      </c>
      <c r="B473" t="str">
        <f>INDEX(TextData!B:B,MATCH(A473,TextData!A:A))</f>
        <v>光属性耐性+20%</v>
      </c>
      <c r="C473">
        <v>3010</v>
      </c>
      <c r="D473" t="str">
        <f>INDEX(Define!Q:Q,MATCH(C473,Define!P:P))</f>
        <v>ステート付与</v>
      </c>
      <c r="E473">
        <v>1340</v>
      </c>
      <c r="F473">
        <v>0</v>
      </c>
      <c r="G473">
        <v>15</v>
      </c>
      <c r="H473">
        <v>100</v>
      </c>
    </row>
    <row r="474" spans="1:8">
      <c r="A474">
        <v>506060</v>
      </c>
      <c r="B474" t="str">
        <f>INDEX(TextData!B:B,MATCH(A474,TextData!A:A))</f>
        <v>闇属性耐性+20%</v>
      </c>
      <c r="C474">
        <v>3010</v>
      </c>
      <c r="D474" t="str">
        <f>INDEX(Define!Q:Q,MATCH(C474,Define!P:P))</f>
        <v>ステート付与</v>
      </c>
      <c r="E474">
        <v>1350</v>
      </c>
      <c r="F474">
        <v>0</v>
      </c>
      <c r="G474">
        <v>15</v>
      </c>
      <c r="H474">
        <v>100</v>
      </c>
    </row>
    <row r="475" spans="1:8">
      <c r="A475">
        <v>507010</v>
      </c>
      <c r="B475" t="str">
        <f>INDEX(TextData!B:B,MATCH(A475,TextData!A:A))</f>
        <v>獲得Exp+30%</v>
      </c>
      <c r="C475">
        <v>40020</v>
      </c>
      <c r="D475" t="str">
        <f>INDEX(Define!Q:Q,MATCH(C475,Define!P:P))</f>
        <v>獲得Eｘｐ％アップ</v>
      </c>
      <c r="E475">
        <v>30</v>
      </c>
      <c r="F475">
        <v>0</v>
      </c>
      <c r="G475">
        <v>0</v>
      </c>
      <c r="H475">
        <v>100</v>
      </c>
    </row>
    <row r="476" spans="1:8">
      <c r="A476">
        <v>507020</v>
      </c>
      <c r="B476" t="str">
        <f>INDEX(TextData!B:B,MATCH(A476,TextData!A:A))</f>
        <v>ATK⇔DEF交換</v>
      </c>
      <c r="C476">
        <v>14080</v>
      </c>
      <c r="D476" t="str">
        <f>INDEX(Define!Q:Q,MATCH(C476,Define!P:P))</f>
        <v>Param1とParam2のステータス値を交換する</v>
      </c>
      <c r="E476">
        <v>2</v>
      </c>
      <c r="F476">
        <v>3</v>
      </c>
      <c r="G476">
        <v>0</v>
      </c>
      <c r="H47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70" workbookViewId="0">
      <selection activeCell="H94" sqref="H9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アブソリュートパリィ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アブソリュートパリィ</v>
      </c>
      <c r="C113">
        <v>17040</v>
      </c>
      <c r="D113" t="str">
        <f>INDEX(Define!V:V,MATCH(C113,Define!U:U))</f>
        <v>回避を〇回行う</v>
      </c>
      <c r="E113">
        <v>61</v>
      </c>
      <c r="F113">
        <v>3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96" workbookViewId="0">
      <selection activeCell="A102" sqref="A102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410</v>
      </c>
      <c r="F94" t="s">
        <v>411</v>
      </c>
      <c r="G94" s="3" t="s">
        <v>412</v>
      </c>
    </row>
    <row r="95" spans="1:7">
      <c r="A95">
        <v>12040</v>
      </c>
      <c r="B95" t="s">
        <v>413</v>
      </c>
      <c r="C95" s="3" t="s">
        <v>414</v>
      </c>
      <c r="F95" t="s">
        <v>415</v>
      </c>
      <c r="G95" s="3" t="s">
        <v>416</v>
      </c>
    </row>
    <row r="96" ht="26" spans="1:7">
      <c r="A96">
        <v>12050</v>
      </c>
      <c r="B96" t="s">
        <v>417</v>
      </c>
      <c r="C96" s="4" t="s">
        <v>418</v>
      </c>
      <c r="F96" t="s">
        <v>419</v>
      </c>
      <c r="G96" s="3" t="s">
        <v>416</v>
      </c>
    </row>
    <row r="97" ht="39" spans="1:7">
      <c r="A97">
        <v>12070</v>
      </c>
      <c r="B97" t="s">
        <v>420</v>
      </c>
      <c r="C97" s="3" t="s">
        <v>421</v>
      </c>
      <c r="F97" t="s">
        <v>422</v>
      </c>
      <c r="G97" s="3" t="s">
        <v>423</v>
      </c>
    </row>
    <row r="98" ht="39" spans="1:7">
      <c r="A98">
        <v>12090</v>
      </c>
      <c r="B98" t="s">
        <v>424</v>
      </c>
      <c r="C98" s="3" t="s">
        <v>425</v>
      </c>
      <c r="F98" t="s">
        <v>426</v>
      </c>
      <c r="G98" s="3" t="s">
        <v>427</v>
      </c>
    </row>
    <row r="99" customFormat="1" ht="39" spans="1:7">
      <c r="A99">
        <v>12100</v>
      </c>
      <c r="B99" t="s">
        <v>428</v>
      </c>
      <c r="C99" s="3" t="s">
        <v>429</v>
      </c>
      <c r="F99" t="s">
        <v>430</v>
      </c>
      <c r="G99" s="3" t="s">
        <v>431</v>
      </c>
    </row>
    <row r="100" customFormat="1" ht="39" spans="1:7">
      <c r="A100">
        <v>12110</v>
      </c>
      <c r="B100" t="s">
        <v>146</v>
      </c>
      <c r="C100" s="3" t="s">
        <v>432</v>
      </c>
      <c r="F100" t="s">
        <v>148</v>
      </c>
      <c r="G100" s="3" t="s">
        <v>433</v>
      </c>
    </row>
    <row r="101" customFormat="1" ht="26" spans="1:7">
      <c r="A101">
        <v>12120</v>
      </c>
      <c r="B101" t="s">
        <v>434</v>
      </c>
      <c r="C101" s="3" t="s">
        <v>435</v>
      </c>
      <c r="F101" t="s">
        <v>436</v>
      </c>
      <c r="G101" s="3" t="s">
        <v>437</v>
      </c>
    </row>
    <row r="102" ht="26" spans="1:7">
      <c r="A102">
        <v>12130</v>
      </c>
      <c r="B102" t="s">
        <v>438</v>
      </c>
      <c r="C102" s="3" t="s">
        <v>439</v>
      </c>
      <c r="F102" t="s">
        <v>440</v>
      </c>
      <c r="G102" s="3" t="s">
        <v>441</v>
      </c>
    </row>
    <row r="103" ht="26" spans="1:7">
      <c r="A103">
        <v>12140</v>
      </c>
      <c r="B103" t="s">
        <v>442</v>
      </c>
      <c r="C103" s="3" t="s">
        <v>443</v>
      </c>
      <c r="F103" t="s">
        <v>444</v>
      </c>
      <c r="G103" s="3" t="s">
        <v>445</v>
      </c>
    </row>
    <row r="104" customFormat="1" ht="39" spans="1:7">
      <c r="A104">
        <v>12510</v>
      </c>
      <c r="B104" t="s">
        <v>446</v>
      </c>
      <c r="C104" s="3" t="s">
        <v>447</v>
      </c>
      <c r="F104" t="s">
        <v>448</v>
      </c>
      <c r="G104" s="3" t="s">
        <v>449</v>
      </c>
    </row>
    <row r="105" spans="1:7">
      <c r="A105">
        <v>12910</v>
      </c>
      <c r="B105" t="s">
        <v>146</v>
      </c>
      <c r="C105" s="3" t="s">
        <v>450</v>
      </c>
      <c r="F105" t="s">
        <v>148</v>
      </c>
      <c r="G105" s="3" t="s">
        <v>451</v>
      </c>
    </row>
    <row r="106" ht="26" spans="1:7">
      <c r="A106">
        <v>12930</v>
      </c>
      <c r="B106" t="s">
        <v>452</v>
      </c>
      <c r="C106" s="3" t="s">
        <v>453</v>
      </c>
      <c r="F106" t="s">
        <v>454</v>
      </c>
      <c r="G106" s="3" t="s">
        <v>455</v>
      </c>
    </row>
    <row r="107" ht="39" spans="1:7">
      <c r="A107">
        <v>12940</v>
      </c>
      <c r="B107" t="s">
        <v>456</v>
      </c>
      <c r="C107" s="3" t="s">
        <v>457</v>
      </c>
      <c r="F107" t="s">
        <v>458</v>
      </c>
      <c r="G107" s="3" t="s">
        <v>459</v>
      </c>
    </row>
    <row r="108" ht="39" spans="1:7">
      <c r="A108">
        <v>13010</v>
      </c>
      <c r="B108" t="s">
        <v>460</v>
      </c>
      <c r="C108" s="3" t="s">
        <v>461</v>
      </c>
      <c r="F108" t="s">
        <v>462</v>
      </c>
      <c r="G108" s="3" t="s">
        <v>463</v>
      </c>
    </row>
    <row r="109" ht="39" spans="1:7">
      <c r="A109">
        <v>13020</v>
      </c>
      <c r="B109" t="s">
        <v>464</v>
      </c>
      <c r="C109" s="3" t="s">
        <v>465</v>
      </c>
      <c r="F109" t="s">
        <v>466</v>
      </c>
      <c r="G109" s="3" t="s">
        <v>467</v>
      </c>
    </row>
    <row r="110" ht="26" spans="1:7">
      <c r="A110">
        <v>13030</v>
      </c>
      <c r="B110" t="s">
        <v>468</v>
      </c>
      <c r="C110" s="3" t="s">
        <v>469</v>
      </c>
      <c r="F110" t="s">
        <v>470</v>
      </c>
      <c r="G110" s="3" t="s">
        <v>471</v>
      </c>
    </row>
    <row r="111" ht="26" spans="1:7">
      <c r="A111">
        <v>13040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26" spans="1:7">
      <c r="A112">
        <v>13050</v>
      </c>
      <c r="B112" t="s">
        <v>476</v>
      </c>
      <c r="C112" s="4" t="s">
        <v>477</v>
      </c>
      <c r="F112" t="s">
        <v>478</v>
      </c>
      <c r="G112" s="3" t="s">
        <v>416</v>
      </c>
    </row>
    <row r="113" ht="26" spans="1:7">
      <c r="A113">
        <v>13070</v>
      </c>
      <c r="B113" t="s">
        <v>479</v>
      </c>
      <c r="C113" s="3" t="s">
        <v>480</v>
      </c>
      <c r="F113" t="s">
        <v>481</v>
      </c>
      <c r="G113" s="3" t="s">
        <v>482</v>
      </c>
    </row>
    <row r="114" ht="52" spans="1:7">
      <c r="A114">
        <v>13090</v>
      </c>
      <c r="B114" t="s">
        <v>483</v>
      </c>
      <c r="C114" s="3" t="s">
        <v>484</v>
      </c>
      <c r="F114" t="s">
        <v>485</v>
      </c>
      <c r="G114" s="3" t="s">
        <v>486</v>
      </c>
    </row>
    <row r="115" customFormat="1" ht="26" spans="1:7">
      <c r="A115">
        <v>13110</v>
      </c>
      <c r="B115" t="s">
        <v>487</v>
      </c>
      <c r="C115" s="3" t="s">
        <v>488</v>
      </c>
      <c r="F115" t="s">
        <v>489</v>
      </c>
      <c r="G115" s="3" t="s">
        <v>490</v>
      </c>
    </row>
    <row r="116" customFormat="1" ht="39" spans="1:7">
      <c r="A116">
        <v>13120</v>
      </c>
      <c r="B116" t="s">
        <v>491</v>
      </c>
      <c r="C116" s="3" t="s">
        <v>492</v>
      </c>
      <c r="F116" t="s">
        <v>493</v>
      </c>
      <c r="G116" s="3" t="s">
        <v>494</v>
      </c>
    </row>
    <row r="117" ht="26" spans="1:7">
      <c r="A117">
        <v>13130</v>
      </c>
      <c r="B117" t="s">
        <v>495</v>
      </c>
      <c r="C117" s="3" t="s">
        <v>496</v>
      </c>
      <c r="F117" t="s">
        <v>497</v>
      </c>
      <c r="G117" s="3" t="s">
        <v>498</v>
      </c>
    </row>
    <row r="118" customFormat="1" ht="39" spans="1:7">
      <c r="A118">
        <v>13210</v>
      </c>
      <c r="B118" t="s">
        <v>499</v>
      </c>
      <c r="C118" s="3" t="s">
        <v>500</v>
      </c>
      <c r="F118" t="s">
        <v>501</v>
      </c>
      <c r="G118" s="3" t="s">
        <v>502</v>
      </c>
    </row>
    <row r="119" customFormat="1" ht="52" spans="1:7">
      <c r="A119">
        <v>13510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52" spans="1:7">
      <c r="A120">
        <v>13511</v>
      </c>
      <c r="B120" t="s">
        <v>503</v>
      </c>
      <c r="C120" s="3" t="s">
        <v>504</v>
      </c>
      <c r="F120" t="s">
        <v>505</v>
      </c>
      <c r="G120" s="3" t="s">
        <v>506</v>
      </c>
    </row>
    <row r="121" customFormat="1" ht="52" spans="1:7">
      <c r="A121">
        <v>13520</v>
      </c>
      <c r="B121" t="s">
        <v>507</v>
      </c>
      <c r="C121" s="3" t="s">
        <v>508</v>
      </c>
      <c r="F121" t="s">
        <v>509</v>
      </c>
      <c r="G121" s="3" t="s">
        <v>510</v>
      </c>
    </row>
    <row r="122" customFormat="1" ht="52" spans="1:7">
      <c r="A122">
        <v>13530</v>
      </c>
      <c r="B122" t="s">
        <v>511</v>
      </c>
      <c r="C122" s="3" t="s">
        <v>512</v>
      </c>
      <c r="F122" t="s">
        <v>513</v>
      </c>
      <c r="G122" s="3" t="s">
        <v>514</v>
      </c>
    </row>
    <row r="123" ht="26" spans="1:7">
      <c r="A123">
        <v>13920</v>
      </c>
      <c r="B123" t="s">
        <v>515</v>
      </c>
      <c r="C123" s="3" t="s">
        <v>516</v>
      </c>
      <c r="F123" t="s">
        <v>517</v>
      </c>
      <c r="G123" s="3" t="s">
        <v>518</v>
      </c>
    </row>
    <row r="124" ht="39" spans="1:7">
      <c r="A124">
        <v>13930</v>
      </c>
      <c r="B124" t="s">
        <v>519</v>
      </c>
      <c r="C124" s="3" t="s">
        <v>520</v>
      </c>
      <c r="F124" t="s">
        <v>521</v>
      </c>
      <c r="G124" s="3" t="s">
        <v>522</v>
      </c>
    </row>
    <row r="125" ht="26" spans="1:7">
      <c r="A125">
        <v>13940</v>
      </c>
      <c r="B125" t="s">
        <v>523</v>
      </c>
      <c r="C125" s="3" t="s">
        <v>524</v>
      </c>
      <c r="F125" t="s">
        <v>525</v>
      </c>
      <c r="G125" s="3" t="s">
        <v>526</v>
      </c>
    </row>
    <row r="126" ht="39" spans="1:7">
      <c r="A126">
        <v>13950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26" spans="1:7">
      <c r="A127">
        <v>14010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14020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26" spans="1:7">
      <c r="A129">
        <v>14030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14040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26" spans="1:7">
      <c r="A131">
        <v>14050</v>
      </c>
      <c r="B131" t="s">
        <v>547</v>
      </c>
      <c r="C131" s="4" t="s">
        <v>548</v>
      </c>
      <c r="F131" t="s">
        <v>549</v>
      </c>
      <c r="G131" s="3" t="s">
        <v>546</v>
      </c>
    </row>
    <row r="132" ht="39" spans="1:7">
      <c r="A132">
        <v>14060</v>
      </c>
      <c r="B132" t="s">
        <v>550</v>
      </c>
      <c r="C132" s="3" t="s">
        <v>551</v>
      </c>
      <c r="F132" t="s">
        <v>552</v>
      </c>
      <c r="G132" s="3" t="s">
        <v>553</v>
      </c>
    </row>
    <row r="133" ht="39" spans="1:7">
      <c r="A133">
        <v>14070</v>
      </c>
      <c r="B133" t="s">
        <v>554</v>
      </c>
      <c r="C133" s="3" t="s">
        <v>555</v>
      </c>
      <c r="F133" t="s">
        <v>556</v>
      </c>
      <c r="G133" s="3" t="s">
        <v>557</v>
      </c>
    </row>
    <row r="134" ht="39" spans="1:7">
      <c r="A134">
        <v>14090</v>
      </c>
      <c r="B134" t="s">
        <v>558</v>
      </c>
      <c r="C134" s="3" t="s">
        <v>559</v>
      </c>
      <c r="D134" t="s">
        <v>560</v>
      </c>
      <c r="F134" t="s">
        <v>561</v>
      </c>
      <c r="G134" s="3" t="s">
        <v>562</v>
      </c>
    </row>
    <row r="135" customFormat="1" ht="26" spans="1:7">
      <c r="A135">
        <v>14100</v>
      </c>
      <c r="B135" t="s">
        <v>563</v>
      </c>
      <c r="C135" s="3" t="s">
        <v>564</v>
      </c>
      <c r="F135" t="s">
        <v>565</v>
      </c>
      <c r="G135" s="3" t="s">
        <v>566</v>
      </c>
    </row>
    <row r="136" customFormat="1" ht="26" spans="1:7">
      <c r="A136">
        <v>14110</v>
      </c>
      <c r="B136" t="s">
        <v>567</v>
      </c>
      <c r="C136" s="3" t="s">
        <v>568</v>
      </c>
      <c r="F136" t="s">
        <v>569</v>
      </c>
      <c r="G136" s="3" t="s">
        <v>570</v>
      </c>
    </row>
    <row r="137" customFormat="1" ht="26" spans="1:7">
      <c r="A137">
        <v>14120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14130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14920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14930</v>
      </c>
      <c r="B140" t="s">
        <v>583</v>
      </c>
      <c r="C140" s="3" t="s">
        <v>584</v>
      </c>
      <c r="F140" t="s">
        <v>585</v>
      </c>
      <c r="G140" s="3" t="s">
        <v>586</v>
      </c>
    </row>
    <row r="141" spans="1:7">
      <c r="A141">
        <v>14940</v>
      </c>
      <c r="B141" t="s">
        <v>587</v>
      </c>
      <c r="C141" t="s">
        <v>588</v>
      </c>
      <c r="F141" t="s">
        <v>589</v>
      </c>
      <c r="G141" t="s">
        <v>590</v>
      </c>
    </row>
    <row r="142" customFormat="1" ht="39" spans="1:7">
      <c r="A142">
        <v>15010</v>
      </c>
      <c r="B142" t="s">
        <v>428</v>
      </c>
      <c r="C142" s="3" t="s">
        <v>429</v>
      </c>
      <c r="F142" t="s">
        <v>430</v>
      </c>
      <c r="G142" s="3" t="s">
        <v>431</v>
      </c>
    </row>
    <row r="143" ht="26" spans="1:7">
      <c r="A143">
        <v>15020</v>
      </c>
      <c r="B143" t="s">
        <v>591</v>
      </c>
      <c r="C143" s="3" t="s">
        <v>592</v>
      </c>
      <c r="F143" t="s">
        <v>593</v>
      </c>
      <c r="G143" s="3" t="s">
        <v>594</v>
      </c>
    </row>
    <row r="144" ht="26" spans="1:7">
      <c r="A144">
        <v>15030</v>
      </c>
      <c r="B144" t="s">
        <v>595</v>
      </c>
      <c r="C144" s="3" t="s">
        <v>596</v>
      </c>
      <c r="F144" t="s">
        <v>597</v>
      </c>
      <c r="G144" s="3" t="s">
        <v>598</v>
      </c>
    </row>
    <row r="145" ht="26" spans="1:7">
      <c r="A145">
        <v>15040</v>
      </c>
      <c r="B145" t="s">
        <v>599</v>
      </c>
      <c r="C145" s="3" t="s">
        <v>600</v>
      </c>
      <c r="F145" t="s">
        <v>601</v>
      </c>
      <c r="G145" s="3" t="s">
        <v>602</v>
      </c>
    </row>
    <row r="146" ht="26" spans="1:7">
      <c r="A146">
        <v>15050</v>
      </c>
      <c r="B146" t="s">
        <v>603</v>
      </c>
      <c r="C146" s="4" t="s">
        <v>604</v>
      </c>
      <c r="F146" t="s">
        <v>605</v>
      </c>
      <c r="G146" s="3" t="s">
        <v>602</v>
      </c>
    </row>
    <row r="147" ht="26" spans="1:7">
      <c r="A147">
        <v>15060</v>
      </c>
      <c r="B147" t="s">
        <v>606</v>
      </c>
      <c r="C147" s="3" t="s">
        <v>607</v>
      </c>
      <c r="F147" t="s">
        <v>608</v>
      </c>
      <c r="G147" s="3" t="s">
        <v>609</v>
      </c>
    </row>
    <row r="148" ht="39" spans="1:7">
      <c r="A148">
        <v>15070</v>
      </c>
      <c r="B148" t="s">
        <v>610</v>
      </c>
      <c r="C148" s="3" t="s">
        <v>611</v>
      </c>
      <c r="D148" t="s">
        <v>612</v>
      </c>
      <c r="F148" t="s">
        <v>613</v>
      </c>
      <c r="G148" s="3" t="s">
        <v>614</v>
      </c>
    </row>
    <row r="149" ht="39" spans="1:7">
      <c r="A149">
        <v>15080</v>
      </c>
      <c r="B149" t="s">
        <v>615</v>
      </c>
      <c r="C149" s="3" t="s">
        <v>616</v>
      </c>
      <c r="F149" t="s">
        <v>617</v>
      </c>
      <c r="G149" s="3" t="s">
        <v>618</v>
      </c>
    </row>
    <row r="150" customFormat="1" ht="26" spans="1:7">
      <c r="A150">
        <v>15110</v>
      </c>
      <c r="B150" t="s">
        <v>619</v>
      </c>
      <c r="C150" s="3" t="s">
        <v>620</v>
      </c>
      <c r="F150" t="s">
        <v>621</v>
      </c>
      <c r="G150" s="3" t="s">
        <v>622</v>
      </c>
    </row>
    <row r="151" customFormat="1" ht="39" spans="1:7">
      <c r="A151">
        <v>15120</v>
      </c>
      <c r="B151" t="s">
        <v>623</v>
      </c>
      <c r="C151" s="3" t="s">
        <v>624</v>
      </c>
      <c r="F151" t="s">
        <v>625</v>
      </c>
      <c r="G151" s="3" t="s">
        <v>626</v>
      </c>
    </row>
    <row r="152" customFormat="1" ht="39" spans="1:7">
      <c r="A152">
        <v>15130</v>
      </c>
      <c r="B152" t="s">
        <v>627</v>
      </c>
      <c r="C152" s="3" t="s">
        <v>628</v>
      </c>
      <c r="F152" t="s">
        <v>629</v>
      </c>
      <c r="G152" s="3" t="s">
        <v>630</v>
      </c>
    </row>
    <row r="153" customFormat="1" ht="52" spans="1:7">
      <c r="A153">
        <v>15510</v>
      </c>
      <c r="B153" t="s">
        <v>631</v>
      </c>
      <c r="C153" s="3" t="s">
        <v>632</v>
      </c>
      <c r="F153" t="s">
        <v>633</v>
      </c>
      <c r="G153" s="3" t="s">
        <v>634</v>
      </c>
    </row>
    <row r="154" customFormat="1" ht="52" spans="1:7">
      <c r="A154">
        <v>15512</v>
      </c>
      <c r="B154" t="s">
        <v>631</v>
      </c>
      <c r="C154" s="3" t="s">
        <v>632</v>
      </c>
      <c r="F154" t="s">
        <v>633</v>
      </c>
      <c r="G154" s="3" t="s">
        <v>634</v>
      </c>
    </row>
    <row r="155" customFormat="1" ht="26" spans="1:7">
      <c r="A155">
        <v>15520</v>
      </c>
      <c r="B155" t="s">
        <v>635</v>
      </c>
      <c r="C155" s="3" t="s">
        <v>636</v>
      </c>
      <c r="F155" t="s">
        <v>637</v>
      </c>
      <c r="G155" s="3" t="s">
        <v>638</v>
      </c>
    </row>
    <row r="156" customFormat="1" ht="39" spans="1:7">
      <c r="A156">
        <v>15530</v>
      </c>
      <c r="B156" t="s">
        <v>639</v>
      </c>
      <c r="C156" s="3" t="s">
        <v>640</v>
      </c>
      <c r="F156" t="s">
        <v>641</v>
      </c>
      <c r="G156" s="3" t="s">
        <v>642</v>
      </c>
    </row>
    <row r="157" ht="26" spans="1:7">
      <c r="A157">
        <v>15910</v>
      </c>
      <c r="B157" t="s">
        <v>344</v>
      </c>
      <c r="C157" s="3" t="s">
        <v>643</v>
      </c>
      <c r="F157" t="s">
        <v>346</v>
      </c>
      <c r="G157" s="3" t="s">
        <v>644</v>
      </c>
    </row>
    <row r="158" ht="26" spans="1:7">
      <c r="A158">
        <v>15920</v>
      </c>
      <c r="B158" t="s">
        <v>645</v>
      </c>
      <c r="C158" s="3" t="s">
        <v>646</v>
      </c>
      <c r="F158" t="s">
        <v>647</v>
      </c>
      <c r="G158" s="3" t="s">
        <v>648</v>
      </c>
    </row>
    <row r="159" ht="26" spans="1:7">
      <c r="A159">
        <v>15930</v>
      </c>
      <c r="B159" t="s">
        <v>649</v>
      </c>
      <c r="C159" s="3" t="s">
        <v>650</v>
      </c>
      <c r="F159" t="s">
        <v>651</v>
      </c>
      <c r="G159" s="3" t="s">
        <v>652</v>
      </c>
    </row>
    <row r="160" ht="52" spans="1:7">
      <c r="A160">
        <v>15940</v>
      </c>
      <c r="B160" t="s">
        <v>653</v>
      </c>
      <c r="C160" s="3" t="s">
        <v>654</v>
      </c>
      <c r="F160" t="s">
        <v>655</v>
      </c>
      <c r="G160" s="3" t="s">
        <v>656</v>
      </c>
    </row>
    <row r="161" spans="1:7">
      <c r="A161">
        <v>20010</v>
      </c>
      <c r="B161" t="s">
        <v>657</v>
      </c>
      <c r="C161" s="4" t="s">
        <v>658</v>
      </c>
      <c r="F161" t="s">
        <v>659</v>
      </c>
      <c r="G161" s="4" t="s">
        <v>660</v>
      </c>
    </row>
    <row r="162" customFormat="1" ht="26" spans="1:7">
      <c r="A162">
        <v>30010</v>
      </c>
      <c r="B162" t="s">
        <v>661</v>
      </c>
      <c r="C162" s="4" t="s">
        <v>662</v>
      </c>
      <c r="F162" t="s">
        <v>663</v>
      </c>
      <c r="G162" s="4" t="s">
        <v>664</v>
      </c>
    </row>
    <row r="163" customFormat="1" ht="39" spans="1:7">
      <c r="A163">
        <v>30020</v>
      </c>
      <c r="B163" t="s">
        <v>665</v>
      </c>
      <c r="C163" s="4" t="s">
        <v>666</v>
      </c>
      <c r="F163" t="s">
        <v>667</v>
      </c>
      <c r="G163" s="4" t="s">
        <v>668</v>
      </c>
    </row>
    <row r="164" customFormat="1" ht="26" spans="1:7">
      <c r="A164">
        <v>30030</v>
      </c>
      <c r="B164" t="s">
        <v>669</v>
      </c>
      <c r="C164" s="4" t="s">
        <v>670</v>
      </c>
      <c r="F164" t="s">
        <v>671</v>
      </c>
      <c r="G164" s="4" t="s">
        <v>672</v>
      </c>
    </row>
    <row r="165" ht="65" spans="1:7">
      <c r="A165">
        <v>100110</v>
      </c>
      <c r="B165" t="s">
        <v>673</v>
      </c>
      <c r="C165" s="3" t="s">
        <v>674</v>
      </c>
      <c r="F165" t="s">
        <v>675</v>
      </c>
      <c r="G165" s="3" t="s">
        <v>676</v>
      </c>
    </row>
    <row r="166" ht="39" spans="1:7">
      <c r="A166">
        <v>100120</v>
      </c>
      <c r="B166" t="s">
        <v>677</v>
      </c>
      <c r="C166" s="3" t="s">
        <v>678</v>
      </c>
      <c r="F166" t="s">
        <v>679</v>
      </c>
      <c r="G166" s="3" t="s">
        <v>680</v>
      </c>
    </row>
    <row r="167" ht="52" spans="1:7">
      <c r="A167">
        <v>100210</v>
      </c>
      <c r="B167" t="s">
        <v>681</v>
      </c>
      <c r="C167" s="3" t="s">
        <v>682</v>
      </c>
      <c r="F167" t="s">
        <v>683</v>
      </c>
      <c r="G167" s="3" t="s">
        <v>684</v>
      </c>
    </row>
    <row r="168" ht="28" customHeight="1" spans="1:7">
      <c r="A168">
        <v>100220</v>
      </c>
      <c r="B168" t="s">
        <v>685</v>
      </c>
      <c r="C168" s="3" t="s">
        <v>686</v>
      </c>
      <c r="F168" t="s">
        <v>687</v>
      </c>
      <c r="G168" s="3" t="s">
        <v>688</v>
      </c>
    </row>
    <row r="169" ht="52" spans="1:7">
      <c r="A169">
        <v>100310</v>
      </c>
      <c r="B169" t="s">
        <v>689</v>
      </c>
      <c r="C169" s="3" t="s">
        <v>690</v>
      </c>
      <c r="F169" t="s">
        <v>691</v>
      </c>
      <c r="G169" s="3" t="s">
        <v>692</v>
      </c>
    </row>
    <row r="170" ht="39" spans="1:7">
      <c r="A170">
        <v>100320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52" spans="1:7">
      <c r="A171">
        <v>100410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52" spans="1:7">
      <c r="A172">
        <v>100420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65" spans="1:7">
      <c r="A173">
        <v>100510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65" spans="1:7">
      <c r="A174">
        <v>100520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52" spans="1:7">
      <c r="A175">
        <v>100610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100620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65" spans="1:7">
      <c r="A177">
        <v>100710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26" spans="1:7">
      <c r="A178">
        <v>100720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52" spans="1:7">
      <c r="A179">
        <v>100810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39" spans="1:7">
      <c r="A180">
        <v>100820</v>
      </c>
      <c r="B180" t="s">
        <v>733</v>
      </c>
      <c r="C180" s="3" t="s">
        <v>678</v>
      </c>
      <c r="F180" t="s">
        <v>734</v>
      </c>
      <c r="G180" s="3" t="s">
        <v>735</v>
      </c>
    </row>
    <row r="181" ht="39" spans="1:7">
      <c r="A181">
        <v>100910</v>
      </c>
      <c r="B181" t="s">
        <v>736</v>
      </c>
      <c r="C181" s="3" t="s">
        <v>737</v>
      </c>
      <c r="F181" t="s">
        <v>738</v>
      </c>
      <c r="G181" s="3" t="s">
        <v>739</v>
      </c>
    </row>
    <row r="182" ht="39" spans="1:7">
      <c r="A182">
        <v>100911</v>
      </c>
      <c r="B182" t="s">
        <v>736</v>
      </c>
      <c r="C182" s="3" t="s">
        <v>737</v>
      </c>
      <c r="F182" t="s">
        <v>738</v>
      </c>
      <c r="G182" s="3" t="s">
        <v>739</v>
      </c>
    </row>
    <row r="183" ht="65" spans="1:7">
      <c r="A183">
        <v>100920</v>
      </c>
      <c r="B183" t="s">
        <v>740</v>
      </c>
      <c r="C183" s="3" t="s">
        <v>741</v>
      </c>
      <c r="F183" t="s">
        <v>742</v>
      </c>
      <c r="G183" s="3" t="s">
        <v>743</v>
      </c>
    </row>
    <row r="184" ht="65" spans="1:7">
      <c r="A184">
        <v>100921</v>
      </c>
      <c r="B184" t="s">
        <v>740</v>
      </c>
      <c r="C184" s="3" t="s">
        <v>741</v>
      </c>
      <c r="F184" t="s">
        <v>742</v>
      </c>
      <c r="G184" s="3" t="s">
        <v>743</v>
      </c>
    </row>
    <row r="185" ht="39" spans="1:7">
      <c r="A185">
        <v>101010</v>
      </c>
      <c r="B185" t="s">
        <v>744</v>
      </c>
      <c r="C185" s="3" t="s">
        <v>745</v>
      </c>
      <c r="D185" s="3"/>
      <c r="F185" t="s">
        <v>746</v>
      </c>
      <c r="G185" s="3" t="s">
        <v>747</v>
      </c>
    </row>
    <row r="186" ht="39" spans="1:7">
      <c r="A186">
        <v>101020</v>
      </c>
      <c r="B186" t="s">
        <v>748</v>
      </c>
      <c r="C186" s="3" t="s">
        <v>678</v>
      </c>
      <c r="F186" t="s">
        <v>749</v>
      </c>
      <c r="G186" s="3" t="s">
        <v>735</v>
      </c>
    </row>
    <row r="187" ht="39" spans="1:7">
      <c r="A187">
        <v>101110</v>
      </c>
      <c r="B187" t="s">
        <v>750</v>
      </c>
      <c r="C187" s="3" t="s">
        <v>751</v>
      </c>
      <c r="F187" t="s">
        <v>752</v>
      </c>
      <c r="G187" s="3" t="s">
        <v>753</v>
      </c>
    </row>
    <row r="188" ht="65" spans="1:7">
      <c r="A188">
        <v>101120</v>
      </c>
      <c r="B188" t="s">
        <v>754</v>
      </c>
      <c r="C188" s="3" t="s">
        <v>755</v>
      </c>
      <c r="F188" t="s">
        <v>756</v>
      </c>
      <c r="G188" s="3" t="s">
        <v>757</v>
      </c>
    </row>
    <row r="189" customFormat="1" ht="52" spans="1:7">
      <c r="A189">
        <v>110110</v>
      </c>
      <c r="B189" t="s">
        <v>758</v>
      </c>
      <c r="C189" s="3" t="s">
        <v>759</v>
      </c>
      <c r="F189" t="s">
        <v>760</v>
      </c>
      <c r="G189" s="3" t="s">
        <v>761</v>
      </c>
    </row>
    <row r="190" customFormat="1" ht="39" spans="1:7">
      <c r="A190">
        <v>110120</v>
      </c>
      <c r="B190" t="s">
        <v>762</v>
      </c>
      <c r="C190" s="3" t="s">
        <v>763</v>
      </c>
      <c r="F190" t="s">
        <v>764</v>
      </c>
      <c r="G190" s="3" t="s">
        <v>765</v>
      </c>
    </row>
    <row r="191" customFormat="1" ht="52" spans="1:7">
      <c r="A191">
        <v>110210</v>
      </c>
      <c r="B191" t="s">
        <v>766</v>
      </c>
      <c r="C191" s="3" t="s">
        <v>767</v>
      </c>
      <c r="F191" t="s">
        <v>768</v>
      </c>
      <c r="G191" s="3" t="s">
        <v>769</v>
      </c>
    </row>
    <row r="192" customFormat="1" ht="39" spans="1:7">
      <c r="A192">
        <v>110220</v>
      </c>
      <c r="B192" t="s">
        <v>770</v>
      </c>
      <c r="C192" s="3" t="s">
        <v>678</v>
      </c>
      <c r="F192" t="s">
        <v>771</v>
      </c>
      <c r="G192" s="3" t="s">
        <v>735</v>
      </c>
    </row>
    <row r="193" customFormat="1" ht="39" spans="1:7">
      <c r="A193">
        <v>200110</v>
      </c>
      <c r="B193" t="s">
        <v>772</v>
      </c>
      <c r="C193" s="3" t="s">
        <v>773</v>
      </c>
      <c r="F193" t="s">
        <v>774</v>
      </c>
      <c r="G193" s="3" t="s">
        <v>775</v>
      </c>
    </row>
    <row r="194" customFormat="1" ht="39" spans="1:7">
      <c r="A194">
        <v>200120</v>
      </c>
      <c r="B194" t="s">
        <v>776</v>
      </c>
      <c r="C194" s="3" t="s">
        <v>678</v>
      </c>
      <c r="F194" t="s">
        <v>777</v>
      </c>
      <c r="G194" s="3" t="s">
        <v>735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678</v>
      </c>
      <c r="F196" t="s">
        <v>783</v>
      </c>
      <c r="G196" s="3" t="s">
        <v>735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640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564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661</v>
      </c>
      <c r="C239" s="4" t="s">
        <v>903</v>
      </c>
      <c r="F239" t="s">
        <v>663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P91" workbookViewId="0">
      <selection activeCell="V98" sqref="V9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17030</v>
      </c>
      <c r="V123" t="s">
        <v>1416</v>
      </c>
    </row>
    <row r="124" spans="21:22">
      <c r="U124">
        <v>17040</v>
      </c>
      <c r="V124" t="s">
        <v>1417</v>
      </c>
    </row>
    <row r="125" spans="21:22">
      <c r="U125">
        <v>17050</v>
      </c>
      <c r="V125" t="s">
        <v>1418</v>
      </c>
    </row>
    <row r="126" spans="21:22">
      <c r="U126">
        <v>17060</v>
      </c>
      <c r="V126" t="s">
        <v>1419</v>
      </c>
    </row>
    <row r="127" spans="21:22">
      <c r="U127">
        <v>18010</v>
      </c>
      <c r="V127" t="s">
        <v>1420</v>
      </c>
    </row>
    <row r="128" spans="21:22">
      <c r="U128">
        <v>18020</v>
      </c>
      <c r="V128" t="s">
        <v>1421</v>
      </c>
    </row>
    <row r="129" spans="21:22">
      <c r="U129">
        <v>19010</v>
      </c>
      <c r="V129" t="s">
        <v>1422</v>
      </c>
    </row>
    <row r="130" spans="21:22">
      <c r="U130">
        <v>19020</v>
      </c>
      <c r="V130" t="s">
        <v>1423</v>
      </c>
    </row>
    <row r="131" spans="21:22">
      <c r="U131">
        <v>19030</v>
      </c>
      <c r="V131" t="s">
        <v>1424</v>
      </c>
    </row>
    <row r="132" spans="21:22">
      <c r="U132">
        <v>20030</v>
      </c>
      <c r="V132" t="s">
        <v>1398</v>
      </c>
    </row>
    <row r="133" spans="21:22">
      <c r="U133">
        <v>20040</v>
      </c>
      <c r="V133" t="s">
        <v>1425</v>
      </c>
    </row>
    <row r="134" spans="21:22">
      <c r="U134">
        <v>20050</v>
      </c>
      <c r="V134" t="s">
        <v>1426</v>
      </c>
    </row>
    <row r="135" spans="21:22">
      <c r="U135">
        <v>20070</v>
      </c>
      <c r="V135" t="s">
        <v>1427</v>
      </c>
    </row>
    <row r="136" spans="21:22">
      <c r="U136">
        <v>20071</v>
      </c>
      <c r="V136" t="s">
        <v>1428</v>
      </c>
    </row>
    <row r="137" spans="21:22">
      <c r="U137">
        <v>20110</v>
      </c>
      <c r="V137" t="s">
        <v>1429</v>
      </c>
    </row>
    <row r="138" spans="21:22">
      <c r="U138">
        <v>20120</v>
      </c>
      <c r="V138" t="s">
        <v>1430</v>
      </c>
    </row>
    <row r="139" spans="21:22">
      <c r="U139">
        <v>20130</v>
      </c>
      <c r="V139" t="s">
        <v>1431</v>
      </c>
    </row>
    <row r="140" spans="21:22">
      <c r="U140">
        <v>20140</v>
      </c>
      <c r="V140" t="s">
        <v>1432</v>
      </c>
    </row>
    <row r="141" spans="21:22">
      <c r="U141">
        <v>20150</v>
      </c>
      <c r="V141" t="s">
        <v>1433</v>
      </c>
    </row>
    <row r="142" spans="21:22">
      <c r="U142">
        <v>20160</v>
      </c>
      <c r="V142" t="s">
        <v>1434</v>
      </c>
    </row>
    <row r="143" spans="21:22">
      <c r="U143">
        <v>23010</v>
      </c>
      <c r="V143" t="s">
        <v>1435</v>
      </c>
    </row>
    <row r="144" spans="21:22">
      <c r="U144">
        <v>24010</v>
      </c>
      <c r="V144" t="s">
        <v>1436</v>
      </c>
    </row>
    <row r="145" spans="21:22">
      <c r="U145">
        <v>30010</v>
      </c>
      <c r="V145" t="s">
        <v>1437</v>
      </c>
    </row>
    <row r="146" spans="21:22">
      <c r="U146">
        <v>30020</v>
      </c>
      <c r="V146" t="s">
        <v>1438</v>
      </c>
    </row>
    <row r="147" spans="21:22">
      <c r="U147">
        <v>40010</v>
      </c>
      <c r="V147" t="s">
        <v>1439</v>
      </c>
    </row>
    <row r="148" spans="21:22">
      <c r="U148">
        <v>40020</v>
      </c>
      <c r="V148" t="s">
        <v>1440</v>
      </c>
    </row>
    <row r="149" spans="21:22">
      <c r="U149">
        <v>40030</v>
      </c>
      <c r="V149" t="s">
        <v>1441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2026-09-12T06:44:43Z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