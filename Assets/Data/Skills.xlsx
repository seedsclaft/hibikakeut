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<sst xmlns="http://schemas.openxmlformats.org/spreadsheetml/2006/main" count="931" uniqueCount="811">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</sst>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6" borderId="1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tabSelected="1" workbookViewId="0">
      <pane ySplit="1" topLeftCell="A2" activePane="bottomLeft" state="frozen"/>
      <selection/>
      <selection pane="bottomLeft" activeCell="O5" sqref="O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1501</v>
      </c>
      <c r="G68" t="str">
        <f>INDEX([1]Animations!B:B,MATCH(F68,[1]Animations!A:A))</f>
        <v>BallsOfLight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1501</v>
      </c>
      <c r="G69" t="str">
        <f>INDEX([1]Animations!B:B,MATCH(F69,[1]Animations!A:A))</f>
        <v>BallsOfLight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3005</v>
      </c>
      <c r="G74" t="str">
        <f>INDEX([1]Animations!B:B,MATCH(F74,[1]Animations!A:A))</f>
        <v>Genfulew_Effect/B&amp;S_MinMax_AttackUp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3006</v>
      </c>
      <c r="G75" t="str">
        <f>INDEX([1]Animations!B:B,MATCH(F75,[1]Animations!A:A))</f>
        <v>Genfulew_Effect/B&amp;S_MinMax_AttackDown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3007</v>
      </c>
      <c r="G78" t="str">
        <f>INDEX([1]Animations!B:B,MATCH(F78,[1]Animations!A:A))</f>
        <v>Genfulew_Effect/B&amp;S_MinMax_DefenseUp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803</v>
      </c>
      <c r="G79" t="str">
        <f>INDEX([1]Animations!B:B,MATCH(F79,[1]Animations!A:A))</f>
        <v>Powerup3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3023</v>
      </c>
      <c r="G80" t="str">
        <f>INDEX([1]Animations!B:B,MATCH(F80,[1]Animations!A:A))</f>
        <v>Genfulew_Effect/B&amp;S_MinMax_Cure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3007</v>
      </c>
      <c r="G81" t="str">
        <f>INDEX([1]Animations!B:B,MATCH(F81,[1]Animations!A:A))</f>
        <v>Genfulew_Effect/B&amp;S_MinMax_DefenseUp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1109</v>
      </c>
      <c r="G82" t="str">
        <f>INDEX([1]Animations!B:B,MATCH(F82,[1]Animations!A:A))</f>
        <v>Flash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Flash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1024</v>
      </c>
      <c r="G84" t="str">
        <f>INDEX([1]Animations!B:B,MATCH(F84,[1]Animations!A:A))</f>
        <v>PierceIce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3024</v>
      </c>
      <c r="G85" t="str">
        <f>INDEX([1]Animations!B:B,MATCH(F85,[1]Animations!A:A))</f>
        <v>Genfulew_Effect/B&amp;S_MinMax_HpAbsorp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1024</v>
      </c>
      <c r="G86" t="str">
        <f>INDEX([1]Animations!B:B,MATCH(F86,[1]Animations!A:A))</f>
        <v>PierceIce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3023</v>
      </c>
      <c r="G92" t="str">
        <f>INDEX([1]Animations!B:B,MATCH(F92,[1]Animations!A:A))</f>
        <v>Genfulew_Effect/B&amp;S_MinMax_Cure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Flash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3023</v>
      </c>
      <c r="G96" t="str">
        <f>INDEX([1]Animations!B:B,MATCH(F96,[1]Animations!A:A))</f>
        <v>Genfulew_Effect/B&amp;S_MinMax_Cure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3027</v>
      </c>
      <c r="G97" t="str">
        <f>INDEX([1]Animations!B:B,MATCH(F97,[1]Animations!A:A))</f>
        <v>Genfulew_Effect/B&amp;S_MinMax_Regeneration1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3009</v>
      </c>
      <c r="G98" t="str">
        <f>INDEX([1]Animations!B:B,MATCH(F98,[1]Animations!A:A))</f>
        <v>Genfulew_Effect/B&amp;S_MinMax_MagicAttackUp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3047</v>
      </c>
      <c r="G99" t="str">
        <f>INDEX([1]Animations!B:B,MATCH(F99,[1]Animations!A:A))</f>
        <v>Genfulew_Effect/B&amp;S_MinMax_Dispel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3047</v>
      </c>
      <c r="G100" t="str">
        <f>INDEX([1]Animations!B:B,MATCH(F100,[1]Animations!A:A))</f>
        <v>Genfulew_Effect/B&amp;S_MinMax_Dispel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3047</v>
      </c>
      <c r="G101" t="str">
        <f>INDEX([1]Animations!B:B,MATCH(F101,[1]Animations!A:A))</f>
        <v>Genfulew_Effect/B&amp;S_MinMax_Dispel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3047</v>
      </c>
      <c r="G102" t="str">
        <f>INDEX([1]Animations!B:B,MATCH(F102,[1]Animations!A:A))</f>
        <v>Genfulew_Effect/B&amp;S_MinMax_Dispel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3047</v>
      </c>
      <c r="G103" t="str">
        <f>INDEX([1]Animations!B:B,MATCH(F103,[1]Animations!A:A))</f>
        <v>Genfulew_Effect/B&amp;S_MinMax_Dispel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3047</v>
      </c>
      <c r="G104" t="str">
        <f>INDEX([1]Animations!B:B,MATCH(F104,[1]Animations!A:A))</f>
        <v>Genfulew_Effect/B&amp;S_MinMax_Dispel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3047</v>
      </c>
      <c r="G105" t="str">
        <f>INDEX([1]Animations!B:B,MATCH(F105,[1]Animations!A:A))</f>
        <v>Genfulew_Effect/B&amp;S_MinMax_Dispel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3047</v>
      </c>
      <c r="G106" t="str">
        <f>INDEX([1]Animations!B:B,MATCH(F106,[1]Animations!A:A))</f>
        <v>Genfulew_Effect/B&amp;S_MinMax_Dispel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opLeftCell="A196" workbookViewId="0">
      <selection activeCell="E250" sqref="E25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5040</v>
      </c>
      <c r="D249" t="str">
        <f>INDEX(Define!Q:Q,MATCH(C249,Define!P:P))</f>
        <v>先制攻撃</v>
      </c>
      <c r="E249">
        <v>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topLeftCell="A25" workbookViewId="0">
      <selection activeCell="G41" sqref="G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12010</v>
      </c>
      <c r="D39" t="str">
        <f>INDEX(Define!V:V,MATCH(C39,Define!U:U))</f>
        <v>かばうが成立する</v>
      </c>
      <c r="E39">
        <v>41</v>
      </c>
      <c r="F39">
        <v>0</v>
      </c>
      <c r="G39">
        <v>13</v>
      </c>
      <c r="H39">
        <v>0</v>
      </c>
    </row>
    <row r="40" spans="1:8">
      <c r="A40">
        <v>13101</v>
      </c>
      <c r="B40" t="str">
        <f>INDEX(TextData!B:B,MATCH(A40,TextData!A:A))</f>
        <v>ルミナスカバー</v>
      </c>
      <c r="C40">
        <v>12011</v>
      </c>
      <c r="D40" t="str">
        <f>INDEX(Define!V:V,MATCH(C40,Define!U:U))</f>
        <v>かばう成立後かばった対象</v>
      </c>
      <c r="E40">
        <v>2</v>
      </c>
      <c r="F40">
        <v>0</v>
      </c>
      <c r="G40">
        <v>0</v>
      </c>
      <c r="H40">
        <v>0</v>
      </c>
    </row>
    <row r="41" spans="1:8">
      <c r="A41">
        <v>14010</v>
      </c>
      <c r="B41" t="str">
        <f>INDEX(TextData!B:B,MATCH(A41,TextData!A:A))</f>
        <v>ディバインシールド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14020</v>
      </c>
      <c r="B42" t="str">
        <f>INDEX(TextData!B:B,MATCH(A42,TextData!A:A))</f>
        <v>ライフディバイド</v>
      </c>
      <c r="C42">
        <v>12040</v>
      </c>
      <c r="D42" t="str">
        <f>INDEX(Define!V:V,MATCH(C42,Define!U:U))</f>
        <v>攻撃を受けた対象のHpがParam1%以下 Param2==1で生存判定しない</v>
      </c>
      <c r="E42">
        <v>11</v>
      </c>
      <c r="F42">
        <v>100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1020</v>
      </c>
      <c r="D43" t="str">
        <f>INDEX(Define!V:V,MATCH(C43,Define!U:U))</f>
        <v>自身のHpが〇%以上</v>
      </c>
      <c r="E43">
        <v>11</v>
      </c>
      <c r="F43">
        <v>25</v>
      </c>
      <c r="G43">
        <v>0</v>
      </c>
      <c r="H43">
        <v>1</v>
      </c>
    </row>
    <row r="44" spans="1:8">
      <c r="A44">
        <v>14020</v>
      </c>
      <c r="B44" t="str">
        <f>INDEX(TextData!B:B,MATCH(A44,TextData!A:A))</f>
        <v>ライフディバイド</v>
      </c>
      <c r="C44">
        <v>9120</v>
      </c>
      <c r="D44" t="str">
        <f>INDEX(Define!V:V,MATCH(C44,Define!U:U))</f>
        <v>自身を対象にしない</v>
      </c>
      <c r="E44">
        <v>11</v>
      </c>
      <c r="F44">
        <v>0</v>
      </c>
      <c r="G44">
        <v>0</v>
      </c>
      <c r="H44">
        <v>0</v>
      </c>
    </row>
    <row r="45" spans="1:8">
      <c r="A45">
        <v>14030</v>
      </c>
      <c r="B45" t="str">
        <f>INDEX(TextData!B:B,MATCH(A45,TextData!A:A))</f>
        <v>エイミングスコープ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14040</v>
      </c>
      <c r="B46" t="str">
        <f>INDEX(TextData!B:B,MATCH(A46,TextData!A:A))</f>
        <v>リジェネレーション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14050</v>
      </c>
      <c r="B47" t="str">
        <f>INDEX(TextData!B:B,MATCH(A47,TextData!A:A))</f>
        <v>ホープフルアイリス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14060</v>
      </c>
      <c r="B48" t="str">
        <f>INDEX(TextData!B:B,MATCH(A48,TextData!A:A))</f>
        <v>パッシブサプライ</v>
      </c>
      <c r="C48">
        <v>12066</v>
      </c>
      <c r="D48" t="str">
        <f>INDEX(Define!V:V,MATCH(C48,Define!U:U))</f>
        <v>自身がパッシブを受ける</v>
      </c>
      <c r="E48">
        <v>2</v>
      </c>
      <c r="F48">
        <v>0</v>
      </c>
      <c r="G48">
        <v>0</v>
      </c>
      <c r="H48">
        <v>1</v>
      </c>
    </row>
    <row r="49" spans="1:8">
      <c r="A49">
        <v>14060</v>
      </c>
      <c r="B49" t="str">
        <f>INDEX(TextData!B:B,MATCH(A49,TextData!A:A))</f>
        <v>パッシブサプライ</v>
      </c>
      <c r="C49">
        <v>11020</v>
      </c>
      <c r="D49" t="str">
        <f>INDEX(Define!V:V,MATCH(C49,Define!U:U))</f>
        <v>ターン中使用回数が〇回に満たない</v>
      </c>
      <c r="E49">
        <v>2</v>
      </c>
      <c r="F49">
        <v>1</v>
      </c>
      <c r="G49">
        <v>0</v>
      </c>
      <c r="H49">
        <v>0</v>
      </c>
    </row>
    <row r="50" spans="1:8">
      <c r="A50">
        <v>14070</v>
      </c>
      <c r="B50" t="str">
        <f>INDEX(TextData!B:B,MATCH(A50,TextData!A:A))</f>
        <v>ホーミングクルセイド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14080</v>
      </c>
      <c r="B51" t="str">
        <f>INDEX(TextData!B:B,MATCH(A51,TextData!A:A))</f>
        <v>クイックヒール</v>
      </c>
      <c r="C51">
        <v>12040</v>
      </c>
      <c r="D51" t="str">
        <f>INDEX(Define!V:V,MATCH(C51,Define!U:U))</f>
        <v>攻撃を受けた対象のHpがParam1%以下 Param2==1で生存判定しない</v>
      </c>
      <c r="E51">
        <v>11</v>
      </c>
      <c r="F51">
        <v>100</v>
      </c>
      <c r="G51">
        <v>0</v>
      </c>
      <c r="H51">
        <v>1</v>
      </c>
    </row>
    <row r="52" spans="1:8">
      <c r="A52">
        <v>14080</v>
      </c>
      <c r="B52" t="str">
        <f>INDEX(TextData!B:B,MATCH(A52,TextData!A:A))</f>
        <v>クイックヒール</v>
      </c>
      <c r="C52">
        <v>18010</v>
      </c>
      <c r="D52" t="str">
        <f>INDEX(Define!V:V,MATCH(C52,Define!U:U))</f>
        <v>自分の味方である</v>
      </c>
      <c r="E52">
        <v>11</v>
      </c>
      <c r="F52">
        <v>0</v>
      </c>
      <c r="G52">
        <v>0</v>
      </c>
      <c r="H52">
        <v>0</v>
      </c>
    </row>
    <row r="53" spans="1:8">
      <c r="A53">
        <v>14090</v>
      </c>
      <c r="B53" t="str">
        <f>INDEX(TextData!B:B,MATCH(A53,TextData!A:A))</f>
        <v>リレイズ</v>
      </c>
      <c r="C53">
        <v>20050</v>
      </c>
      <c r="D53" t="str">
        <f>INDEX(Define!V:V,MATCH(C53,Define!U:U))</f>
        <v>自身が戦闘不能になる</v>
      </c>
      <c r="E53">
        <v>3</v>
      </c>
      <c r="F53">
        <v>0</v>
      </c>
      <c r="G53">
        <v>0</v>
      </c>
      <c r="H53">
        <v>0</v>
      </c>
    </row>
    <row r="54" spans="1:8">
      <c r="A54">
        <v>15010</v>
      </c>
      <c r="B54" t="str">
        <f>INDEX(TextData!B:B,MATCH(A54,TextData!A:A))</f>
        <v>イーグルアイ</v>
      </c>
      <c r="C54">
        <v>0</v>
      </c>
      <c r="D54" t="str">
        <f>INDEX(Define!V:V,MATCH(C54,Define!U:U))</f>
        <v>なし</v>
      </c>
      <c r="E54">
        <v>4</v>
      </c>
      <c r="F54">
        <v>0</v>
      </c>
      <c r="G54">
        <v>0</v>
      </c>
      <c r="H54">
        <v>0</v>
      </c>
    </row>
    <row r="55" spans="1:8">
      <c r="A55">
        <v>15020</v>
      </c>
      <c r="B55" t="str">
        <f>INDEX(TextData!B:B,MATCH(A55,TextData!A:A))</f>
        <v>ネヴァーエンド</v>
      </c>
      <c r="C55">
        <v>1010</v>
      </c>
      <c r="D55" t="str">
        <f>INDEX(Define!V:V,MATCH(C55,Define!U:U))</f>
        <v>自身のHpが〇%以下</v>
      </c>
      <c r="E55">
        <v>2</v>
      </c>
      <c r="F55">
        <v>25</v>
      </c>
      <c r="G55">
        <v>0</v>
      </c>
      <c r="H55">
        <v>0</v>
      </c>
    </row>
    <row r="56" spans="1:8">
      <c r="A56">
        <v>15030</v>
      </c>
      <c r="B56" t="str">
        <f>INDEX(TextData!B:B,MATCH(A56,TextData!A:A))</f>
        <v>グレイブアクト</v>
      </c>
      <c r="C56">
        <v>12041</v>
      </c>
      <c r="D56" t="str">
        <f>INDEX(Define!V:V,MATCH(C56,Define!U:U))</f>
        <v>攻撃を受けた対象が戦闘不能になった</v>
      </c>
      <c r="E56">
        <v>2</v>
      </c>
      <c r="F56">
        <v>0</v>
      </c>
      <c r="G56">
        <v>0</v>
      </c>
      <c r="H56">
        <v>0</v>
      </c>
    </row>
    <row r="57" spans="1:8">
      <c r="A57">
        <v>15040</v>
      </c>
      <c r="B57" t="str">
        <f>INDEX(TextData!B:B,MATCH(A57,TextData!A:A))</f>
        <v>スカルグラッジ</v>
      </c>
      <c r="C57">
        <v>1020</v>
      </c>
      <c r="D57" t="str">
        <f>INDEX(Define!V:V,MATCH(C57,Define!U:U))</f>
        <v>自身のHpが〇%以上</v>
      </c>
      <c r="E57">
        <v>2</v>
      </c>
      <c r="F57">
        <v>100</v>
      </c>
      <c r="G57">
        <v>0</v>
      </c>
      <c r="H57">
        <v>0</v>
      </c>
    </row>
    <row r="58" spans="1:8">
      <c r="A58">
        <v>15050</v>
      </c>
      <c r="B58" t="str">
        <f>INDEX(TextData!B:B,MATCH(A58,TextData!A:A))</f>
        <v>ネガティブドレイン</v>
      </c>
      <c r="C58">
        <v>1010</v>
      </c>
      <c r="D58" t="str">
        <f>INDEX(Define!V:V,MATCH(C58,Define!U:U))</f>
        <v>自身のHpが〇%以下</v>
      </c>
      <c r="E58">
        <v>2</v>
      </c>
      <c r="F58">
        <v>50</v>
      </c>
      <c r="G58">
        <v>0</v>
      </c>
      <c r="H58">
        <v>0</v>
      </c>
    </row>
    <row r="59" spans="1:8">
      <c r="A59">
        <v>15060</v>
      </c>
      <c r="B59" t="str">
        <f>INDEX(TextData!B:B,MATCH(A59,TextData!A:A))</f>
        <v>アンデッドペイン</v>
      </c>
      <c r="C59">
        <v>0</v>
      </c>
      <c r="D59" t="str">
        <f>INDEX(Define!V:V,MATCH(C59,Define!U:U))</f>
        <v>なし</v>
      </c>
      <c r="E59">
        <v>4</v>
      </c>
      <c r="F59">
        <v>0</v>
      </c>
      <c r="G59">
        <v>0</v>
      </c>
      <c r="H59">
        <v>0</v>
      </c>
    </row>
    <row r="60" spans="1:8">
      <c r="A60">
        <v>15070</v>
      </c>
      <c r="B60" t="str">
        <f>INDEX(TextData!B:B,MATCH(A60,TextData!A:A))</f>
        <v>ジャックポッド</v>
      </c>
      <c r="C60">
        <v>15011</v>
      </c>
      <c r="D60" t="str">
        <f>INDEX(Define!V:V,MATCH(C60,Define!U:U))</f>
        <v>味方が攻撃タイプの行動をしようとしている</v>
      </c>
      <c r="E60">
        <v>33</v>
      </c>
      <c r="F60">
        <v>0</v>
      </c>
      <c r="G60">
        <v>0</v>
      </c>
      <c r="H60">
        <v>0</v>
      </c>
    </row>
    <row r="61" spans="1:8">
      <c r="A61">
        <v>15080</v>
      </c>
      <c r="B61" t="str">
        <f>INDEX(TextData!B:B,MATCH(A61,TextData!A:A))</f>
        <v>ヒールハント</v>
      </c>
      <c r="C61">
        <v>12082</v>
      </c>
      <c r="D61" t="str">
        <f>INDEX(Define!V:V,MATCH(C61,Define!U:U))</f>
        <v>相手が回復をする</v>
      </c>
      <c r="E61">
        <v>2</v>
      </c>
      <c r="F61">
        <v>0</v>
      </c>
      <c r="G61">
        <v>0</v>
      </c>
      <c r="H61">
        <v>0</v>
      </c>
    </row>
    <row r="62" spans="1:8">
      <c r="A62">
        <v>15090</v>
      </c>
      <c r="B62" t="str">
        <f>INDEX(TextData!B:B,MATCH(A62,TextData!A:A))</f>
        <v>クイックカース</v>
      </c>
      <c r="C62">
        <v>12060</v>
      </c>
      <c r="D62" t="str">
        <f>INDEX(Define!V:V,MATCH(C62,Define!U:U))</f>
        <v>味方が攻撃を受ける。Param2で対象指定</v>
      </c>
      <c r="E62">
        <v>3</v>
      </c>
      <c r="F62">
        <v>0</v>
      </c>
      <c r="G62">
        <v>0</v>
      </c>
      <c r="H62">
        <v>0</v>
      </c>
    </row>
    <row r="63" spans="1:8">
      <c r="A63">
        <v>30020</v>
      </c>
      <c r="B63" t="str">
        <f>INDEX(TextData!B:B,MATCH(A63,TextData!A:A))</f>
        <v>スティールヒール</v>
      </c>
      <c r="C63">
        <v>20140</v>
      </c>
      <c r="D63" t="str">
        <f>INDEX(Define!V:V,MATCH(C63,Define!U:U))</f>
        <v>自身の攻撃で敵を倒す</v>
      </c>
      <c r="E63">
        <v>11</v>
      </c>
      <c r="F63">
        <v>0</v>
      </c>
      <c r="G63">
        <v>0</v>
      </c>
      <c r="H63">
        <v>0</v>
      </c>
    </row>
    <row r="64" spans="1:8">
      <c r="A64">
        <v>100110</v>
      </c>
      <c r="B64" t="str">
        <f>INDEX(TextData!B:B,MATCH(A64,TextData!A:A))</f>
        <v>ソーイングアームド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100110</v>
      </c>
      <c r="B65" t="str">
        <f>INDEX(TextData!B:B,MATCH(A65,TextData!A:A))</f>
        <v>ソーイングアームド</v>
      </c>
      <c r="C65">
        <v>17010</v>
      </c>
      <c r="D65" t="str">
        <f>INDEX(Define!V:V,MATCH(C65,Define!U:U))</f>
        <v>魔法を〇回使用する</v>
      </c>
      <c r="E65">
        <v>2</v>
      </c>
      <c r="F65">
        <v>3</v>
      </c>
      <c r="G65">
        <v>1060</v>
      </c>
      <c r="H65">
        <v>0</v>
      </c>
    </row>
    <row r="66" spans="1:8">
      <c r="A66">
        <v>100210</v>
      </c>
      <c r="B66" t="str">
        <f>INDEX(TextData!B:B,MATCH(A66,TextData!A:A))</f>
        <v>アブソリュートパリィ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100210</v>
      </c>
      <c r="B67" t="str">
        <f>INDEX(TextData!B:B,MATCH(A67,TextData!A:A))</f>
        <v>アブソリュートパリィ</v>
      </c>
      <c r="C67">
        <v>17040</v>
      </c>
      <c r="D67" t="str">
        <f>INDEX(Define!V:V,MATCH(C67,Define!U:U))</f>
        <v>回避を〇回行う</v>
      </c>
      <c r="E67">
        <v>2</v>
      </c>
      <c r="F67">
        <v>3</v>
      </c>
      <c r="G67">
        <v>0</v>
      </c>
      <c r="H67">
        <v>0</v>
      </c>
    </row>
    <row r="68" spans="1:8">
      <c r="A68">
        <v>100310</v>
      </c>
      <c r="B68" t="str">
        <f>INDEX(TextData!B:B,MATCH(A68,TextData!A:A))</f>
        <v>セイクリッドバリア</v>
      </c>
      <c r="C68">
        <v>7010</v>
      </c>
      <c r="D68" t="str">
        <f>INDEX(Define!V:V,MATCH(C68,Define!U:U))</f>
        <v>神化発動前</v>
      </c>
      <c r="E68">
        <v>11</v>
      </c>
      <c r="F68">
        <v>0</v>
      </c>
      <c r="G68">
        <v>0</v>
      </c>
      <c r="H68">
        <v>1</v>
      </c>
    </row>
    <row r="69" spans="1:8">
      <c r="A69">
        <v>100310</v>
      </c>
      <c r="B69" t="str">
        <f>INDEX(TextData!B:B,MATCH(A69,TextData!A:A))</f>
        <v>セイクリッドバリア</v>
      </c>
      <c r="C69">
        <v>17020</v>
      </c>
      <c r="D69" t="str">
        <f>INDEX(Define!V:V,MATCH(C69,Define!U:U))</f>
        <v>攻撃を〇回受ける</v>
      </c>
      <c r="E69">
        <v>11</v>
      </c>
      <c r="F69">
        <v>5</v>
      </c>
      <c r="G69">
        <v>0</v>
      </c>
      <c r="H69">
        <v>0</v>
      </c>
    </row>
    <row r="70" spans="1:8">
      <c r="A70">
        <v>100410</v>
      </c>
      <c r="B70" t="str">
        <f>INDEX(TextData!B:B,MATCH(A70,TextData!A:A))</f>
        <v>アバンデンス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100410</v>
      </c>
      <c r="B71" t="str">
        <f>INDEX(TextData!B:B,MATCH(A71,TextData!A:A))</f>
        <v>アバンデンス</v>
      </c>
      <c r="C71">
        <v>20040</v>
      </c>
      <c r="D71" t="str">
        <f>INDEX(Define!V:V,MATCH(C71,Define!U:U))</f>
        <v>自分以外が戦闘不能</v>
      </c>
      <c r="E71">
        <v>2</v>
      </c>
      <c r="F71">
        <v>0</v>
      </c>
      <c r="G71">
        <v>0</v>
      </c>
      <c r="H71">
        <v>0</v>
      </c>
    </row>
    <row r="72" spans="1:8">
      <c r="A72">
        <v>100510</v>
      </c>
      <c r="B72" t="str">
        <f>INDEX(TextData!B:B,MATCH(A72,TextData!A:A))</f>
        <v>カースドブレイク</v>
      </c>
      <c r="C72">
        <v>7010</v>
      </c>
      <c r="D72" t="str">
        <f>INDEX(Define!V:V,MATCH(C72,Define!U:U))</f>
        <v>神化発動前</v>
      </c>
      <c r="E72">
        <v>3</v>
      </c>
      <c r="F72">
        <v>0</v>
      </c>
      <c r="G72">
        <v>0</v>
      </c>
      <c r="H72">
        <v>1</v>
      </c>
    </row>
    <row r="73" spans="1:8">
      <c r="A73">
        <v>100510</v>
      </c>
      <c r="B73" t="str">
        <f>INDEX(TextData!B:B,MATCH(A73,TextData!A:A))</f>
        <v>カースドブレイク</v>
      </c>
      <c r="C73">
        <v>20160</v>
      </c>
      <c r="D73" t="str">
        <f>INDEX(Define!V:V,MATCH(C73,Define!U:U))</f>
        <v>自身が戦闘不能になる攻撃を受ける</v>
      </c>
      <c r="E73">
        <v>3</v>
      </c>
      <c r="F73">
        <v>0</v>
      </c>
      <c r="G73">
        <v>0</v>
      </c>
      <c r="H73">
        <v>0</v>
      </c>
    </row>
    <row r="74" spans="1:8">
      <c r="A74">
        <v>100610</v>
      </c>
      <c r="B74" t="str">
        <f>INDEX(TextData!B:B,MATCH(A74,TextData!A:A))</f>
        <v>サンフレイム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>
      <c r="A75">
        <v>100610</v>
      </c>
      <c r="B75" t="str">
        <f>INDEX(TextData!B:B,MATCH(A75,TextData!A:A))</f>
        <v>サンフレイム</v>
      </c>
      <c r="C75">
        <v>7070</v>
      </c>
      <c r="D75" t="str">
        <f>INDEX(Define!V:V,MATCH(C75,Define!U:U))</f>
        <v>神化魔法使用回数の総計</v>
      </c>
      <c r="E75">
        <v>2</v>
      </c>
      <c r="F75">
        <v>0</v>
      </c>
      <c r="G75">
        <v>2</v>
      </c>
      <c r="H75">
        <v>0</v>
      </c>
    </row>
    <row r="76" spans="1:8">
      <c r="A76">
        <v>100710</v>
      </c>
      <c r="B76" t="str">
        <f>INDEX(TextData!B:B,MATCH(A76,TextData!A:A))</f>
        <v>ライズザフラッグ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100710</v>
      </c>
      <c r="B77" t="str">
        <f>INDEX(TextData!B:B,MATCH(A77,TextData!A:A))</f>
        <v>ライズザフラッグ</v>
      </c>
      <c r="C77">
        <v>20140</v>
      </c>
      <c r="D77" t="str">
        <f>INDEX(Define!V:V,MATCH(C77,Define!U:U))</f>
        <v>自身の攻撃で敵を倒す</v>
      </c>
      <c r="E77">
        <v>2</v>
      </c>
      <c r="F77">
        <v>0</v>
      </c>
      <c r="G77">
        <v>0</v>
      </c>
      <c r="H77">
        <v>0</v>
      </c>
    </row>
    <row r="78" spans="1:8">
      <c r="A78">
        <v>100810</v>
      </c>
      <c r="B78" t="str">
        <f>INDEX(TextData!B:B,MATCH(A78,TextData!A:A))</f>
        <v>テンパランス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100810</v>
      </c>
      <c r="B79" t="str">
        <f>INDEX(TextData!B:B,MATCH(A79,TextData!A:A))</f>
        <v>テンパランス</v>
      </c>
      <c r="C79">
        <v>9020</v>
      </c>
      <c r="D79" t="str">
        <f>INDEX(Define!V:V,MATCH(C79,Define!U:U))</f>
        <v>ターン数が〇</v>
      </c>
      <c r="E79">
        <v>2</v>
      </c>
      <c r="F79">
        <v>10</v>
      </c>
      <c r="G79">
        <v>0</v>
      </c>
      <c r="H79">
        <v>0</v>
      </c>
    </row>
    <row r="80" spans="1:8">
      <c r="A80">
        <v>100910</v>
      </c>
      <c r="B80" t="str">
        <f>INDEX(TextData!B:B,MATCH(A80,TextData!A:A))</f>
        <v>バーニングカウンター</v>
      </c>
      <c r="C80">
        <v>7010</v>
      </c>
      <c r="D80" t="str">
        <f>INDEX(Define!V:V,MATCH(C80,Define!U:U))</f>
        <v>神化発動前</v>
      </c>
      <c r="E80">
        <v>11</v>
      </c>
      <c r="F80">
        <v>0</v>
      </c>
      <c r="G80">
        <v>0</v>
      </c>
      <c r="H80">
        <v>1</v>
      </c>
    </row>
    <row r="81" ht="12" customHeight="1" spans="1:8">
      <c r="A81">
        <v>100910</v>
      </c>
      <c r="B81" t="str">
        <f>INDEX(TextData!B:B,MATCH(A81,TextData!A:A))</f>
        <v>バーニングカウンター</v>
      </c>
      <c r="C81">
        <v>12041</v>
      </c>
      <c r="D81" t="str">
        <f>INDEX(Define!V:V,MATCH(C81,Define!U:U))</f>
        <v>攻撃を受けた対象が戦闘不能になった</v>
      </c>
      <c r="E81">
        <v>11</v>
      </c>
      <c r="F81">
        <v>0</v>
      </c>
      <c r="G81">
        <v>0</v>
      </c>
      <c r="H81">
        <v>0</v>
      </c>
    </row>
    <row r="82" spans="1:8">
      <c r="A82">
        <v>101010</v>
      </c>
      <c r="B82" t="str">
        <f>INDEX(TextData!B:B,MATCH(A82,TextData!A:A))</f>
        <v>エウロス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101010</v>
      </c>
      <c r="B83" t="str">
        <f>INDEX(TextData!B:B,MATCH(A83,TextData!A:A))</f>
        <v>エウロス</v>
      </c>
      <c r="C83">
        <v>12063</v>
      </c>
      <c r="D83" t="str">
        <f>INDEX(Define!V:V,MATCH(C83,Define!U:U))</f>
        <v>自身が状態異常を受ける</v>
      </c>
      <c r="E83">
        <v>2</v>
      </c>
      <c r="F83">
        <v>0</v>
      </c>
      <c r="G83">
        <v>0</v>
      </c>
      <c r="H83">
        <v>0</v>
      </c>
    </row>
    <row r="84" spans="1:8">
      <c r="A84">
        <v>101110</v>
      </c>
      <c r="B84" t="str">
        <f>INDEX(TextData!B:B,MATCH(A84,TextData!A:A))</f>
        <v>アバランシュ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ht="12" customHeight="1" spans="1:8">
      <c r="A85">
        <v>101110</v>
      </c>
      <c r="B85" t="str">
        <f>INDEX(TextData!B:B,MATCH(A85,TextData!A:A))</f>
        <v>アバランシュ</v>
      </c>
      <c r="C85">
        <v>20071</v>
      </c>
      <c r="D85" t="str">
        <f>INDEX(Define!V:V,MATCH(C85,Define!U:U))</f>
        <v>敵全員が凍結状態</v>
      </c>
      <c r="E85">
        <v>2</v>
      </c>
      <c r="F85">
        <v>0</v>
      </c>
      <c r="G85">
        <v>0</v>
      </c>
      <c r="H85">
        <v>0</v>
      </c>
    </row>
    <row r="86" spans="1:8">
      <c r="A86">
        <v>200110</v>
      </c>
      <c r="B86" t="str">
        <f>INDEX(TextData!B:B,MATCH(A86,TextData!A:A))</f>
        <v>スリータイムス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200110</v>
      </c>
      <c r="B87" t="str">
        <f>INDEX(TextData!B:B,MATCH(A87,TextData!A:A))</f>
        <v>スリータイムス</v>
      </c>
      <c r="C87">
        <v>17010</v>
      </c>
      <c r="D87" t="str">
        <f>INDEX(Define!V:V,MATCH(C87,Define!U:U))</f>
        <v>魔法を〇回使用する</v>
      </c>
      <c r="E87">
        <v>2</v>
      </c>
      <c r="F87">
        <v>3</v>
      </c>
      <c r="G87">
        <v>1010</v>
      </c>
      <c r="H87">
        <v>0</v>
      </c>
    </row>
    <row r="88" spans="1:8">
      <c r="A88">
        <v>200210</v>
      </c>
      <c r="B88" t="str">
        <f>INDEX(TextData!B:B,MATCH(A88,TextData!A:A))</f>
        <v>マイトレインフォース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200210</v>
      </c>
      <c r="B89" t="str">
        <f>INDEX(TextData!B:B,MATCH(A89,TextData!A:A))</f>
        <v>マイトレインフォース</v>
      </c>
      <c r="C89">
        <v>20040</v>
      </c>
      <c r="D89" t="str">
        <f>INDEX(Define!V:V,MATCH(C89,Define!U:U))</f>
        <v>自分以外が戦闘不能</v>
      </c>
      <c r="E89">
        <v>2</v>
      </c>
      <c r="F89">
        <v>1</v>
      </c>
      <c r="G89">
        <v>0</v>
      </c>
      <c r="H89">
        <v>0</v>
      </c>
    </row>
    <row r="90" spans="1:8">
      <c r="A90">
        <v>200230</v>
      </c>
      <c r="B90" t="str">
        <f>INDEX(TextData!B:B,MATCH(A90,TextData!A:A))</f>
        <v>悪魔(ベリト)</v>
      </c>
      <c r="C90">
        <v>1010</v>
      </c>
      <c r="D90" t="str">
        <f>INDEX(Define!V:V,MATCH(C90,Define!U:U))</f>
        <v>自身のHpが〇%以下</v>
      </c>
      <c r="E90">
        <v>2</v>
      </c>
      <c r="F90">
        <v>25</v>
      </c>
      <c r="G90">
        <v>0</v>
      </c>
      <c r="H90">
        <v>0</v>
      </c>
    </row>
    <row r="91" spans="1:8">
      <c r="A91">
        <v>200310</v>
      </c>
      <c r="B91" t="str">
        <f>INDEX(TextData!B:B,MATCH(A91,TextData!A:A))</f>
        <v>プルガシオン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200310</v>
      </c>
      <c r="B92" t="str">
        <f>INDEX(TextData!B:B,MATCH(A92,TextData!A:A))</f>
        <v>プルガシオン</v>
      </c>
      <c r="C92">
        <v>1010</v>
      </c>
      <c r="D92" t="str">
        <f>INDEX(Define!V:V,MATCH(C92,Define!U:U))</f>
        <v>自身のHpが〇%以下</v>
      </c>
      <c r="E92">
        <v>2</v>
      </c>
      <c r="F92">
        <v>50</v>
      </c>
      <c r="G92">
        <v>0</v>
      </c>
      <c r="H92">
        <v>0</v>
      </c>
    </row>
    <row r="93" spans="1:8">
      <c r="A93">
        <v>200330</v>
      </c>
      <c r="B93" t="str">
        <f>INDEX(TextData!B:B,MATCH(A93,TextData!A:A))</f>
        <v>悪魔(パイモン)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200410</v>
      </c>
      <c r="B94" t="str">
        <f>INDEX(TextData!B:B,MATCH(A94,TextData!A:A))</f>
        <v>コウソクテンショウ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200410</v>
      </c>
      <c r="B95" t="str">
        <f>INDEX(TextData!B:B,MATCH(A95,TextData!A:A))</f>
        <v>コウソクテンショウ</v>
      </c>
      <c r="C95">
        <v>1010</v>
      </c>
      <c r="D95" t="str">
        <f>INDEX(Define!V:V,MATCH(C95,Define!U:U))</f>
        <v>自身のHpが〇%以下</v>
      </c>
      <c r="E95">
        <v>2</v>
      </c>
      <c r="F95">
        <v>40</v>
      </c>
      <c r="G95">
        <v>0</v>
      </c>
      <c r="H95">
        <v>0</v>
      </c>
    </row>
    <row r="96" spans="1:8">
      <c r="A96">
        <v>200430</v>
      </c>
      <c r="B96" t="str">
        <f>INDEX(TextData!B:B,MATCH(A96,TextData!A:A))</f>
        <v>悪魔(アンドラス)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200510</v>
      </c>
      <c r="B97" t="str">
        <f>INDEX(TextData!B:B,MATCH(A97,TextData!A:A))</f>
        <v>カウントダウン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200510</v>
      </c>
      <c r="B98" t="str">
        <f>INDEX(TextData!B:B,MATCH(A98,TextData!A:A))</f>
        <v>カウントダウン</v>
      </c>
      <c r="C98">
        <v>9040</v>
      </c>
      <c r="D98" t="str">
        <f>INDEX(Define!V:V,MATCH(C98,Define!U:U))</f>
        <v>全体の行動数がparam1 x 行動数 + param2</v>
      </c>
      <c r="E98">
        <v>2</v>
      </c>
      <c r="F98">
        <v>0</v>
      </c>
      <c r="G98">
        <v>100</v>
      </c>
      <c r="H98">
        <v>0</v>
      </c>
    </row>
    <row r="99" spans="1:8">
      <c r="A99">
        <v>200530</v>
      </c>
      <c r="B99" t="str">
        <f>INDEX(TextData!B:B,MATCH(A99,TextData!A:A))</f>
        <v>悪魔(ビフロンス)</v>
      </c>
      <c r="C99">
        <v>1010</v>
      </c>
      <c r="D99" t="str">
        <f>INDEX(Define!V:V,MATCH(C99,Define!U:U))</f>
        <v>自身のHpが〇%以下</v>
      </c>
      <c r="E99">
        <v>2</v>
      </c>
      <c r="F99">
        <v>50</v>
      </c>
      <c r="G99">
        <v>0</v>
      </c>
      <c r="H99">
        <v>0</v>
      </c>
    </row>
    <row r="100" spans="1:8">
      <c r="A100">
        <v>201010</v>
      </c>
      <c r="B100" t="str">
        <f>INDEX(TextData!B:B,MATCH(A100,TextData!A:A))</f>
        <v>カオスペイン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201010</v>
      </c>
      <c r="B101" t="str">
        <f>INDEX(TextData!B:B,MATCH(A101,TextData!A:A))</f>
        <v>カオスペイン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201030</v>
      </c>
      <c r="B102" t="str">
        <f>INDEX(TextData!B:B,MATCH(A102,TextData!A:A))</f>
        <v>アンリマユ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300010</v>
      </c>
      <c r="B103" t="str">
        <f>INDEX(TextData!B:B,MATCH(A103,TextData!A:A))</f>
        <v>ライフブースト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300020</v>
      </c>
      <c r="B104" t="str">
        <f>INDEX(TextData!B:B,MATCH(A104,TextData!A:A))</f>
        <v>スピリットチャージ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300030</v>
      </c>
      <c r="B105" t="str">
        <f>INDEX(TextData!B:B,MATCH(A105,TextData!A:A))</f>
        <v>フォースライズ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300040</v>
      </c>
      <c r="B106" t="str">
        <f>INDEX(TextData!B:B,MATCH(A106,TextData!A:A))</f>
        <v>ディフェンスオーラ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300050</v>
      </c>
      <c r="B107" t="str">
        <f>INDEX(TextData!B:B,MATCH(A107,TextData!A:A))</f>
        <v>ラピッドムーブ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300130</v>
      </c>
      <c r="B108" t="str">
        <f>INDEX(TextData!B:B,MATCH(A108,TextData!A:A))</f>
        <v>アタックブレイク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300140</v>
      </c>
      <c r="B109" t="str">
        <f>INDEX(TextData!B:B,MATCH(A109,TextData!A:A))</f>
        <v>シールドバニッシュ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300210</v>
      </c>
      <c r="B110" t="str">
        <f>INDEX(TextData!B:B,MATCH(A110,TextData!A:A))</f>
        <v>エーテルリチャージ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300220</v>
      </c>
      <c r="B111" t="str">
        <f>INDEX(TextData!B:B,MATCH(A111,TextData!A:A))</f>
        <v>リカバリーエンハンス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300230</v>
      </c>
      <c r="B112" t="str">
        <f>INDEX(TextData!B:B,MATCH(A112,TextData!A:A))</f>
        <v>ヴェンジェンス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301010</v>
      </c>
      <c r="B113" t="str">
        <f>INDEX(TextData!B:B,MATCH(A113,TextData!A:A))</f>
        <v>ディケイドリセット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301020</v>
      </c>
      <c r="B114" t="str">
        <f>INDEX(TextData!B:B,MATCH(A114,TextData!A:A))</f>
        <v>ウォーリアーブラッド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301030</v>
      </c>
      <c r="B115" t="str">
        <f>INDEX(TextData!B:B,MATCH(A115,TextData!A:A))</f>
        <v>トライアングルガード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0</v>
      </c>
      <c r="D116" t="str">
        <f>INDEX(Define!V:V,MATCH(C116,Define!U:U))</f>
        <v>なし</v>
      </c>
      <c r="E116">
        <v>2</v>
      </c>
      <c r="F116">
        <v>0</v>
      </c>
      <c r="G116">
        <v>0</v>
      </c>
      <c r="H116">
        <v>0</v>
      </c>
    </row>
    <row r="117" spans="1:8">
      <c r="A117">
        <v>301040</v>
      </c>
      <c r="B117" t="str">
        <f>INDEX(TextData!B:B,MATCH(A117,TextData!A:A))</f>
        <v>セーフティバリア</v>
      </c>
      <c r="C117">
        <v>11010</v>
      </c>
      <c r="D117" t="str">
        <f>INDEX(Define!V:V,MATCH(C117,Define!U:U))</f>
        <v>バトル中使用回数が〇以下</v>
      </c>
      <c r="E117">
        <v>2</v>
      </c>
      <c r="F117">
        <v>1</v>
      </c>
      <c r="G117">
        <v>0</v>
      </c>
      <c r="H117">
        <v>0</v>
      </c>
    </row>
    <row r="118" spans="1:8">
      <c r="A118">
        <v>301050</v>
      </c>
      <c r="B118" t="str">
        <f>INDEX(TextData!B:B,MATCH(A118,TextData!A:A))</f>
        <v>ヒロインズハイ</v>
      </c>
      <c r="C118">
        <v>13020</v>
      </c>
      <c r="D118" t="str">
        <f>INDEX(Define!V:V,MATCH(C118,Define!U:U))</f>
        <v>〇のKindを持っている敵</v>
      </c>
      <c r="E118">
        <v>4</v>
      </c>
      <c r="F118">
        <v>12</v>
      </c>
      <c r="G118">
        <v>0</v>
      </c>
      <c r="H118">
        <v>0</v>
      </c>
    </row>
    <row r="119" spans="1:8">
      <c r="A119">
        <v>301060</v>
      </c>
      <c r="B119" t="str">
        <f>INDEX(TextData!B:B,MATCH(A119,TextData!A:A))</f>
        <v>セカンドステージ</v>
      </c>
      <c r="C119">
        <v>0</v>
      </c>
      <c r="D119" t="str">
        <f>INDEX(Define!V:V,MATCH(C119,Define!U:U))</f>
        <v>なし</v>
      </c>
      <c r="E119">
        <v>11</v>
      </c>
      <c r="F119">
        <v>0</v>
      </c>
      <c r="G119">
        <v>0</v>
      </c>
      <c r="H119">
        <v>1</v>
      </c>
    </row>
    <row r="120" spans="1:8">
      <c r="A120">
        <v>301060</v>
      </c>
      <c r="B120" t="str">
        <f>INDEX(TextData!B:B,MATCH(A120,TextData!A:A))</f>
        <v>セカンドステージ</v>
      </c>
      <c r="C120">
        <v>11010</v>
      </c>
      <c r="D120" t="str">
        <f>INDEX(Define!V:V,MATCH(C120,Define!U:U))</f>
        <v>バトル中使用回数が〇以下</v>
      </c>
      <c r="E120">
        <v>11</v>
      </c>
      <c r="F120">
        <v>1</v>
      </c>
      <c r="G120">
        <v>0</v>
      </c>
      <c r="H120">
        <v>0</v>
      </c>
    </row>
    <row r="121" spans="1:8">
      <c r="A121">
        <v>301070</v>
      </c>
      <c r="B121" t="str">
        <f>INDEX(TextData!B:B,MATCH(A121,TextData!A:A))</f>
        <v>ハイヒットポイント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301080</v>
      </c>
      <c r="B122" t="str">
        <f>INDEX(TextData!B:B,MATCH(A122,TextData!A:A))</f>
        <v>セプタブラスト</v>
      </c>
      <c r="C122">
        <v>12070</v>
      </c>
      <c r="D122" t="str">
        <f>INDEX(Define!V:V,MATCH(C122,Define!U:U))</f>
        <v>味方が行動をする</v>
      </c>
      <c r="E122">
        <v>2</v>
      </c>
      <c r="F122">
        <v>0</v>
      </c>
      <c r="G122">
        <v>0</v>
      </c>
      <c r="H122">
        <v>1</v>
      </c>
    </row>
    <row r="123" spans="1:8">
      <c r="A123">
        <v>301080</v>
      </c>
      <c r="B123" t="str">
        <f>INDEX(TextData!B:B,MATCH(A123,TextData!A:A))</f>
        <v>セプタブラスト</v>
      </c>
      <c r="C123">
        <v>9031</v>
      </c>
      <c r="D123" t="str">
        <f>INDEX(Define!V:V,MATCH(C123,Define!U:U))</f>
        <v>行動者のターン数がparam1 x ターン数 + param2</v>
      </c>
      <c r="E123">
        <v>2</v>
      </c>
      <c r="F123">
        <v>0</v>
      </c>
      <c r="G123">
        <v>7</v>
      </c>
      <c r="H123">
        <v>0</v>
      </c>
    </row>
    <row r="124" spans="1:8">
      <c r="A124">
        <v>301090</v>
      </c>
      <c r="B124" t="str">
        <f>INDEX(TextData!B:B,MATCH(A124,TextData!A:A))</f>
        <v>イニシャルブロッカー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301100</v>
      </c>
      <c r="B125" t="str">
        <f>INDEX(TextData!B:B,MATCH(A125,TextData!A:A))</f>
        <v>ファーストテイク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310010</v>
      </c>
      <c r="B126" t="str">
        <f>INDEX(TextData!B:B,MATCH(A126,TextData!A:A))</f>
        <v>妖精の祈り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310020</v>
      </c>
      <c r="B127" t="str">
        <f>INDEX(TextData!B:B,MATCH(A127,TextData!A:A))</f>
        <v>月のかけら</v>
      </c>
      <c r="C127">
        <v>40020</v>
      </c>
      <c r="D127" t="str">
        <f>INDEX(Define!V:V,MATCH(C127,Define!U:U))</f>
        <v>ピリオド経過</v>
      </c>
      <c r="E127">
        <v>4</v>
      </c>
      <c r="F127">
        <v>0</v>
      </c>
      <c r="G127">
        <v>0</v>
      </c>
      <c r="H127">
        <v>0</v>
      </c>
    </row>
    <row r="128" spans="1:8">
      <c r="A128">
        <v>310030</v>
      </c>
      <c r="B128" t="str">
        <f>INDEX(TextData!B:B,MATCH(A128,TextData!A:A))</f>
        <v>商売の才覚書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310040</v>
      </c>
      <c r="B129" t="str">
        <f>INDEX(TextData!B:B,MATCH(A129,TextData!A:A))</f>
        <v>ワタリガラスの旗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310050</v>
      </c>
      <c r="B130" t="str">
        <f>INDEX(TextData!B:B,MATCH(A130,TextData!A:A))</f>
        <v>先陣の心得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310060</v>
      </c>
      <c r="B131" t="str">
        <f>INDEX(TextData!B:B,MATCH(A131,TextData!A:A))</f>
        <v>ヒスイの勾玉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310070</v>
      </c>
      <c r="B132" t="str">
        <f>INDEX(TextData!B:B,MATCH(A132,TextData!A:A))</f>
        <v>英傑の盾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310080</v>
      </c>
      <c r="B133" t="str">
        <f>INDEX(TextData!B:B,MATCH(A133,TextData!A:A))</f>
        <v>鷹の目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310130</v>
      </c>
      <c r="B134" t="str">
        <f>INDEX(TextData!B:B,MATCH(A134,TextData!A:A))</f>
        <v>ヒールユニット</v>
      </c>
      <c r="C134">
        <v>40010</v>
      </c>
      <c r="D134" t="str">
        <f>INDEX(Define!V:V,MATCH(C134,Define!U:U))</f>
        <v>ダンジョンで移動する param2%turncount == param1</v>
      </c>
      <c r="E134">
        <v>4</v>
      </c>
      <c r="F134">
        <v>1</v>
      </c>
      <c r="G134">
        <v>2</v>
      </c>
      <c r="H134">
        <v>0</v>
      </c>
    </row>
    <row r="135" spans="1:8">
      <c r="A135">
        <v>320010</v>
      </c>
      <c r="B135" t="str">
        <f>INDEX(TextData!B:B,MATCH(A135,TextData!A:A))</f>
        <v>訓練所Lv1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320011</v>
      </c>
      <c r="B136" t="str">
        <f>INDEX(TextData!B:B,MATCH(A136,TextData!A:A))</f>
        <v>訓練所Lv2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320012</v>
      </c>
      <c r="B137" t="str">
        <f>INDEX(TextData!B:B,MATCH(A137,TextData!A:A))</f>
        <v>訓練所Lv3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320020</v>
      </c>
      <c r="B138" t="str">
        <f>INDEX(TextData!B:B,MATCH(A138,TextData!A:A))</f>
        <v>研究施設Lv1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320021</v>
      </c>
      <c r="B139" t="str">
        <f>INDEX(TextData!B:B,MATCH(A139,TextData!A:A))</f>
        <v>研究施設Lv2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320022</v>
      </c>
      <c r="B140" t="str">
        <f>INDEX(TextData!B:B,MATCH(A140,TextData!A:A))</f>
        <v>研究施設Lv3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320030</v>
      </c>
      <c r="B141" t="str">
        <f>INDEX(TextData!B:B,MATCH(A141,TextData!A:A))</f>
        <v>資料館Lv1</v>
      </c>
      <c r="C141">
        <v>14420</v>
      </c>
      <c r="D141" t="str">
        <f>INDEX(Define!V:V,MATCH(C141,Define!U:U))</f>
        <v>Lvが〇以下</v>
      </c>
      <c r="E141">
        <v>4</v>
      </c>
      <c r="F141">
        <v>10</v>
      </c>
      <c r="G141">
        <v>0</v>
      </c>
      <c r="H141">
        <v>0</v>
      </c>
    </row>
    <row r="142" spans="1:8">
      <c r="A142">
        <v>320031</v>
      </c>
      <c r="B142" t="str">
        <f>INDEX(TextData!B:B,MATCH(A142,TextData!A:A))</f>
        <v>資料館Lv2</v>
      </c>
      <c r="C142">
        <v>14420</v>
      </c>
      <c r="D142" t="str">
        <f>INDEX(Define!V:V,MATCH(C142,Define!U:U))</f>
        <v>Lvが〇以下</v>
      </c>
      <c r="E142">
        <v>4</v>
      </c>
      <c r="F142">
        <v>15</v>
      </c>
      <c r="G142">
        <v>0</v>
      </c>
      <c r="H142">
        <v>0</v>
      </c>
    </row>
    <row r="143" spans="1:8">
      <c r="A143">
        <v>320032</v>
      </c>
      <c r="B143" t="str">
        <f>INDEX(TextData!B:B,MATCH(A143,TextData!A:A))</f>
        <v>資料館Lv3</v>
      </c>
      <c r="C143">
        <v>14420</v>
      </c>
      <c r="D143" t="str">
        <f>INDEX(Define!V:V,MATCH(C143,Define!U:U))</f>
        <v>Lvが〇以下</v>
      </c>
      <c r="E143">
        <v>4</v>
      </c>
      <c r="F143">
        <v>20</v>
      </c>
      <c r="G143">
        <v>0</v>
      </c>
      <c r="H143">
        <v>0</v>
      </c>
    </row>
    <row r="144" spans="1:8">
      <c r="A144">
        <v>320040</v>
      </c>
      <c r="B144" t="str">
        <f>INDEX(TextData!B:B,MATCH(A144,TextData!A:A))</f>
        <v>潜伏技術Lv1</v>
      </c>
      <c r="C144">
        <v>40030</v>
      </c>
      <c r="D144" t="str">
        <f>INDEX(Define!V:V,MATCH(C144,Define!U:U))</f>
        <v>ダンジョン開始時</v>
      </c>
      <c r="E144">
        <v>4</v>
      </c>
      <c r="F144">
        <v>0</v>
      </c>
      <c r="G144">
        <v>0</v>
      </c>
      <c r="H144">
        <v>0</v>
      </c>
    </row>
    <row r="145" spans="1:8">
      <c r="A145">
        <v>321010</v>
      </c>
      <c r="B145" t="str">
        <f>INDEX(TextData!B:B,MATCH(A145,TextData!A:A))</f>
        <v>炎の祭壇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321020</v>
      </c>
      <c r="B146" t="str">
        <f>INDEX(TextData!B:B,MATCH(A146,TextData!A:A))</f>
        <v>稲妻の祭壇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321030</v>
      </c>
      <c r="B147" t="str">
        <f>INDEX(TextData!B:B,MATCH(A147,TextData!A:A))</f>
        <v>蒼の祭壇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321040</v>
      </c>
      <c r="B148" t="str">
        <f>INDEX(TextData!B:B,MATCH(A148,TextData!A:A))</f>
        <v>光の祭壇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321050</v>
      </c>
      <c r="B149" t="str">
        <f>INDEX(TextData!B:B,MATCH(A149,TextData!A:A))</f>
        <v>月の祭壇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322010</v>
      </c>
      <c r="B150" t="str">
        <f>INDEX(TextData!B:B,MATCH(A150,TextData!A:A))</f>
        <v>食糧庫Lv1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322020</v>
      </c>
      <c r="B151" t="str">
        <f>INDEX(TextData!B:B,MATCH(A151,TextData!A:A))</f>
        <v>攻撃技術Lv1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322030</v>
      </c>
      <c r="B152" t="str">
        <f>INDEX(TextData!B:B,MATCH(A152,TextData!A:A))</f>
        <v>防御技術Lv1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322040</v>
      </c>
      <c r="B153" t="str">
        <f>INDEX(TextData!B:B,MATCH(A153,TextData!A:A))</f>
        <v>詠唱技術Lv1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1"/>
  <sheetViews>
    <sheetView topLeftCell="H16" workbookViewId="0">
      <selection activeCell="V85" sqref="V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42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51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Y17">
        <v>52</v>
      </c>
      <c r="Z17" t="s">
        <v>627</v>
      </c>
      <c r="AB17">
        <v>501</v>
      </c>
      <c r="AC17" t="s">
        <v>628</v>
      </c>
    </row>
    <row r="18" spans="16:29">
      <c r="P18">
        <v>2040</v>
      </c>
      <c r="Q18" t="s">
        <v>629</v>
      </c>
      <c r="U18">
        <v>3050</v>
      </c>
      <c r="V18" t="s">
        <v>630</v>
      </c>
      <c r="AB18">
        <v>502</v>
      </c>
      <c r="AC18" t="s">
        <v>631</v>
      </c>
    </row>
    <row r="19" spans="16:29">
      <c r="P19">
        <v>2110</v>
      </c>
      <c r="Q19" t="s">
        <v>632</v>
      </c>
      <c r="U19">
        <v>3060</v>
      </c>
      <c r="V19" t="s">
        <v>633</v>
      </c>
      <c r="AB19">
        <v>503</v>
      </c>
      <c r="AC19" t="s">
        <v>634</v>
      </c>
    </row>
    <row r="20" spans="16:29">
      <c r="P20">
        <v>2120</v>
      </c>
      <c r="Q20" t="s">
        <v>635</v>
      </c>
      <c r="U20">
        <v>4010</v>
      </c>
      <c r="V20" t="s">
        <v>636</v>
      </c>
      <c r="AB20">
        <v>504</v>
      </c>
      <c r="AC20" t="s">
        <v>637</v>
      </c>
    </row>
    <row r="21" spans="16:29">
      <c r="P21">
        <v>2130</v>
      </c>
      <c r="Q21" t="s">
        <v>638</v>
      </c>
      <c r="U21">
        <v>4020</v>
      </c>
      <c r="V21" t="s">
        <v>639</v>
      </c>
      <c r="AB21">
        <v>505</v>
      </c>
      <c r="AC21" t="s">
        <v>640</v>
      </c>
    </row>
    <row r="22" spans="16:29">
      <c r="P22">
        <v>3010</v>
      </c>
      <c r="Q22" t="s">
        <v>641</v>
      </c>
      <c r="U22">
        <v>5010</v>
      </c>
      <c r="V22" t="s">
        <v>642</v>
      </c>
      <c r="AB22">
        <v>506</v>
      </c>
      <c r="AC22" t="s">
        <v>643</v>
      </c>
    </row>
    <row r="23" spans="16:29">
      <c r="P23">
        <v>3020</v>
      </c>
      <c r="Q23" t="s">
        <v>644</v>
      </c>
      <c r="U23">
        <v>5020</v>
      </c>
      <c r="V23" t="s">
        <v>645</v>
      </c>
      <c r="AB23">
        <v>507</v>
      </c>
      <c r="AC23" t="s">
        <v>646</v>
      </c>
    </row>
    <row r="24" spans="16:29">
      <c r="P24">
        <v>3030</v>
      </c>
      <c r="Q24" t="s">
        <v>647</v>
      </c>
      <c r="U24">
        <v>5030</v>
      </c>
      <c r="V24" t="s">
        <v>648</v>
      </c>
      <c r="AB24">
        <v>508</v>
      </c>
      <c r="AC24" t="s">
        <v>612</v>
      </c>
    </row>
    <row r="25" spans="16:29">
      <c r="P25">
        <v>3040</v>
      </c>
      <c r="Q25" t="s">
        <v>649</v>
      </c>
      <c r="U25">
        <v>5040</v>
      </c>
      <c r="V25" t="s">
        <v>650</v>
      </c>
      <c r="AB25">
        <v>509</v>
      </c>
      <c r="AC25" t="s">
        <v>620</v>
      </c>
    </row>
    <row r="26" spans="16:22">
      <c r="P26">
        <v>3050</v>
      </c>
      <c r="Q26" t="s">
        <v>651</v>
      </c>
      <c r="U26">
        <v>5050</v>
      </c>
      <c r="V26" t="s">
        <v>652</v>
      </c>
    </row>
    <row r="27" spans="16:22">
      <c r="P27">
        <v>3060</v>
      </c>
      <c r="Q27" t="s">
        <v>653</v>
      </c>
      <c r="U27">
        <v>5060</v>
      </c>
      <c r="V27" t="s">
        <v>654</v>
      </c>
    </row>
    <row r="28" spans="16:22">
      <c r="P28">
        <v>3070</v>
      </c>
      <c r="Q28" t="s">
        <v>655</v>
      </c>
      <c r="U28">
        <v>5070</v>
      </c>
      <c r="V28" t="s">
        <v>656</v>
      </c>
    </row>
    <row r="29" spans="16:22">
      <c r="P29">
        <v>4010</v>
      </c>
      <c r="Q29" t="s">
        <v>657</v>
      </c>
      <c r="U29">
        <v>5080</v>
      </c>
      <c r="V29" t="s">
        <v>658</v>
      </c>
    </row>
    <row r="30" spans="16:22">
      <c r="P30">
        <v>4020</v>
      </c>
      <c r="Q30" t="s">
        <v>659</v>
      </c>
      <c r="U30">
        <v>5090</v>
      </c>
      <c r="V30" t="s">
        <v>660</v>
      </c>
    </row>
    <row r="31" spans="16:22">
      <c r="P31">
        <v>4030</v>
      </c>
      <c r="Q31" t="s">
        <v>661</v>
      </c>
      <c r="U31">
        <v>5100</v>
      </c>
      <c r="V31" t="s">
        <v>662</v>
      </c>
    </row>
    <row r="32" spans="16:22">
      <c r="P32">
        <v>4040</v>
      </c>
      <c r="Q32" t="s">
        <v>663</v>
      </c>
      <c r="U32">
        <v>5110</v>
      </c>
      <c r="V32" t="s">
        <v>664</v>
      </c>
    </row>
    <row r="33" spans="16:22">
      <c r="P33">
        <v>4041</v>
      </c>
      <c r="Q33" t="s">
        <v>665</v>
      </c>
      <c r="U33">
        <v>5120</v>
      </c>
      <c r="V33" t="s">
        <v>666</v>
      </c>
    </row>
    <row r="34" spans="16:22">
      <c r="P34">
        <v>5010</v>
      </c>
      <c r="Q34" t="s">
        <v>667</v>
      </c>
      <c r="U34">
        <v>5130</v>
      </c>
      <c r="V34" t="s">
        <v>668</v>
      </c>
    </row>
    <row r="35" spans="16:22">
      <c r="P35">
        <v>5011</v>
      </c>
      <c r="Q35" t="s">
        <v>669</v>
      </c>
      <c r="U35">
        <v>5140</v>
      </c>
      <c r="V35" t="s">
        <v>670</v>
      </c>
    </row>
    <row r="36" spans="16:22">
      <c r="P36">
        <v>5012</v>
      </c>
      <c r="Q36" t="s">
        <v>671</v>
      </c>
      <c r="U36">
        <v>5150</v>
      </c>
      <c r="V36" t="s">
        <v>672</v>
      </c>
    </row>
    <row r="37" spans="16:22">
      <c r="P37">
        <v>5020</v>
      </c>
      <c r="Q37" t="s">
        <v>673</v>
      </c>
      <c r="U37">
        <v>6010</v>
      </c>
      <c r="V37" t="s">
        <v>674</v>
      </c>
    </row>
    <row r="38" spans="16:22">
      <c r="P38">
        <v>5030</v>
      </c>
      <c r="Q38" t="s">
        <v>675</v>
      </c>
      <c r="U38">
        <v>6020</v>
      </c>
      <c r="V38" t="s">
        <v>676</v>
      </c>
    </row>
    <row r="39" spans="16:22">
      <c r="P39">
        <v>5040</v>
      </c>
      <c r="Q39" t="s">
        <v>677</v>
      </c>
      <c r="U39">
        <v>6030</v>
      </c>
      <c r="V39" t="s">
        <v>678</v>
      </c>
    </row>
    <row r="40" spans="16:22">
      <c r="P40">
        <v>5050</v>
      </c>
      <c r="Q40" t="s">
        <v>679</v>
      </c>
      <c r="U40">
        <v>6040</v>
      </c>
      <c r="V40" t="s">
        <v>680</v>
      </c>
    </row>
    <row r="41" spans="16:22">
      <c r="P41">
        <v>6010</v>
      </c>
      <c r="Q41" t="s">
        <v>681</v>
      </c>
      <c r="U41">
        <v>6050</v>
      </c>
      <c r="V41" t="s">
        <v>682</v>
      </c>
    </row>
    <row r="42" spans="16:22">
      <c r="P42">
        <v>6020</v>
      </c>
      <c r="Q42" t="s">
        <v>683</v>
      </c>
      <c r="U42">
        <v>6060</v>
      </c>
      <c r="V42" t="s">
        <v>684</v>
      </c>
    </row>
    <row r="43" spans="16:22">
      <c r="P43">
        <v>6030</v>
      </c>
      <c r="Q43" t="s">
        <v>685</v>
      </c>
      <c r="U43">
        <v>6110</v>
      </c>
      <c r="V43" t="s">
        <v>686</v>
      </c>
    </row>
    <row r="44" spans="16:22">
      <c r="P44">
        <v>6040</v>
      </c>
      <c r="Q44" t="s">
        <v>687</v>
      </c>
      <c r="U44">
        <v>6120</v>
      </c>
      <c r="V44" t="s">
        <v>688</v>
      </c>
    </row>
    <row r="45" spans="16:22">
      <c r="P45">
        <v>6050</v>
      </c>
      <c r="Q45" t="s">
        <v>689</v>
      </c>
      <c r="U45">
        <v>6130</v>
      </c>
      <c r="V45" t="s">
        <v>690</v>
      </c>
    </row>
    <row r="46" spans="16:22">
      <c r="P46">
        <v>6060</v>
      </c>
      <c r="Q46" t="s">
        <v>691</v>
      </c>
      <c r="U46">
        <v>6140</v>
      </c>
      <c r="V46" t="s">
        <v>692</v>
      </c>
    </row>
    <row r="47" spans="16:22">
      <c r="P47">
        <v>6070</v>
      </c>
      <c r="Q47" t="s">
        <v>693</v>
      </c>
      <c r="U47">
        <v>6150</v>
      </c>
      <c r="V47" t="s">
        <v>694</v>
      </c>
    </row>
    <row r="48" spans="16:22">
      <c r="P48">
        <v>6080</v>
      </c>
      <c r="Q48" t="s">
        <v>695</v>
      </c>
      <c r="U48">
        <v>6210</v>
      </c>
      <c r="V48" t="s">
        <v>696</v>
      </c>
    </row>
    <row r="49" spans="16:22">
      <c r="P49">
        <v>6100</v>
      </c>
      <c r="Q49" t="s">
        <v>697</v>
      </c>
      <c r="U49">
        <v>6220</v>
      </c>
      <c r="V49" t="s">
        <v>698</v>
      </c>
    </row>
    <row r="50" spans="16:22">
      <c r="P50">
        <v>6210</v>
      </c>
      <c r="Q50" t="s">
        <v>699</v>
      </c>
      <c r="U50">
        <v>6230</v>
      </c>
      <c r="V50" t="s">
        <v>700</v>
      </c>
    </row>
    <row r="51" spans="16:22">
      <c r="P51">
        <v>6310</v>
      </c>
      <c r="Q51" t="s">
        <v>701</v>
      </c>
      <c r="U51">
        <v>6240</v>
      </c>
      <c r="V51" t="s">
        <v>702</v>
      </c>
    </row>
    <row r="52" spans="16:22">
      <c r="P52">
        <v>7010</v>
      </c>
      <c r="Q52" t="s">
        <v>703</v>
      </c>
      <c r="U52">
        <v>6250</v>
      </c>
      <c r="V52" t="s">
        <v>704</v>
      </c>
    </row>
    <row r="53" spans="16:22">
      <c r="P53">
        <v>7020</v>
      </c>
      <c r="Q53" t="s">
        <v>705</v>
      </c>
      <c r="U53">
        <v>6310</v>
      </c>
      <c r="V53" t="s">
        <v>706</v>
      </c>
    </row>
    <row r="54" spans="16:22">
      <c r="P54">
        <v>7030</v>
      </c>
      <c r="Q54" t="s">
        <v>707</v>
      </c>
      <c r="U54">
        <v>6320</v>
      </c>
      <c r="V54" t="s">
        <v>708</v>
      </c>
    </row>
    <row r="55" spans="16:22">
      <c r="P55">
        <v>8010</v>
      </c>
      <c r="Q55" t="s">
        <v>709</v>
      </c>
      <c r="U55">
        <v>6330</v>
      </c>
      <c r="V55" t="s">
        <v>710</v>
      </c>
    </row>
    <row r="56" spans="16:22">
      <c r="P56">
        <v>8020</v>
      </c>
      <c r="Q56" t="s">
        <v>711</v>
      </c>
      <c r="U56">
        <v>6340</v>
      </c>
      <c r="V56" t="s">
        <v>712</v>
      </c>
    </row>
    <row r="57" spans="16:22">
      <c r="P57">
        <v>9010</v>
      </c>
      <c r="Q57" t="s">
        <v>713</v>
      </c>
      <c r="U57">
        <v>6350</v>
      </c>
      <c r="V57" t="s">
        <v>714</v>
      </c>
    </row>
    <row r="58" spans="16:22">
      <c r="P58">
        <v>10010</v>
      </c>
      <c r="Q58" t="s">
        <v>715</v>
      </c>
      <c r="U58">
        <v>7010</v>
      </c>
      <c r="V58" t="s">
        <v>716</v>
      </c>
    </row>
    <row r="59" spans="16:22">
      <c r="P59">
        <v>10020</v>
      </c>
      <c r="Q59" t="s">
        <v>717</v>
      </c>
      <c r="U59">
        <v>7020</v>
      </c>
      <c r="V59" t="s">
        <v>718</v>
      </c>
    </row>
    <row r="60" spans="16:22">
      <c r="P60">
        <v>11010</v>
      </c>
      <c r="Q60" t="s">
        <v>719</v>
      </c>
      <c r="U60">
        <v>7030</v>
      </c>
      <c r="V60" t="s">
        <v>720</v>
      </c>
    </row>
    <row r="61" spans="16:22">
      <c r="P61">
        <v>12010</v>
      </c>
      <c r="Q61" t="s">
        <v>721</v>
      </c>
      <c r="U61">
        <v>7040</v>
      </c>
      <c r="V61" t="s">
        <v>722</v>
      </c>
    </row>
    <row r="62" spans="16:22">
      <c r="P62">
        <v>13010</v>
      </c>
      <c r="Q62" t="s">
        <v>723</v>
      </c>
      <c r="U62">
        <v>7050</v>
      </c>
      <c r="V62" t="s">
        <v>724</v>
      </c>
    </row>
    <row r="63" spans="16:22">
      <c r="P63">
        <v>40010</v>
      </c>
      <c r="Q63" t="s">
        <v>725</v>
      </c>
      <c r="U63">
        <v>7060</v>
      </c>
      <c r="V63" t="s">
        <v>726</v>
      </c>
    </row>
    <row r="64" spans="16:22">
      <c r="P64">
        <v>40020</v>
      </c>
      <c r="Q64" t="s">
        <v>727</v>
      </c>
      <c r="U64">
        <v>7070</v>
      </c>
      <c r="V64" t="s">
        <v>728</v>
      </c>
    </row>
    <row r="65" spans="16:22">
      <c r="P65">
        <v>40030</v>
      </c>
      <c r="Q65" t="s">
        <v>729</v>
      </c>
      <c r="U65">
        <v>8010</v>
      </c>
      <c r="V65" t="s">
        <v>730</v>
      </c>
    </row>
    <row r="66" spans="16:22">
      <c r="P66">
        <v>40040</v>
      </c>
      <c r="Q66" t="s">
        <v>731</v>
      </c>
      <c r="U66">
        <v>8020</v>
      </c>
      <c r="V66" t="s">
        <v>732</v>
      </c>
    </row>
    <row r="67" spans="16:22">
      <c r="P67">
        <v>40050</v>
      </c>
      <c r="Q67" t="s">
        <v>733</v>
      </c>
      <c r="U67">
        <v>8030</v>
      </c>
      <c r="V67" t="s">
        <v>734</v>
      </c>
    </row>
    <row r="68" spans="16:22">
      <c r="P68">
        <v>40060</v>
      </c>
      <c r="Q68" t="s">
        <v>735</v>
      </c>
      <c r="U68">
        <v>8040</v>
      </c>
      <c r="V68" t="s">
        <v>736</v>
      </c>
    </row>
    <row r="69" spans="16:22">
      <c r="P69">
        <v>40070</v>
      </c>
      <c r="Q69" t="s">
        <v>737</v>
      </c>
      <c r="U69">
        <v>8050</v>
      </c>
      <c r="V69" t="s">
        <v>738</v>
      </c>
    </row>
    <row r="70" spans="21:22">
      <c r="U70">
        <v>8060</v>
      </c>
      <c r="V70" t="s">
        <v>739</v>
      </c>
    </row>
    <row r="71" spans="21:22">
      <c r="U71">
        <v>9010</v>
      </c>
      <c r="V71" t="s">
        <v>740</v>
      </c>
    </row>
    <row r="72" spans="21:22">
      <c r="U72">
        <v>9020</v>
      </c>
      <c r="V72" t="s">
        <v>741</v>
      </c>
    </row>
    <row r="73" spans="21:22">
      <c r="U73">
        <v>9030</v>
      </c>
      <c r="V73" t="s">
        <v>742</v>
      </c>
    </row>
    <row r="74" spans="21:22">
      <c r="U74">
        <v>9031</v>
      </c>
      <c r="V74" t="s">
        <v>743</v>
      </c>
    </row>
    <row r="75" spans="21:22">
      <c r="U75">
        <v>9040</v>
      </c>
      <c r="V75" t="s">
        <v>744</v>
      </c>
    </row>
    <row r="76" spans="21:22">
      <c r="U76">
        <v>9110</v>
      </c>
      <c r="V76" t="s">
        <v>745</v>
      </c>
    </row>
    <row r="77" spans="21:22">
      <c r="U77">
        <v>9120</v>
      </c>
      <c r="V77" t="s">
        <v>746</v>
      </c>
    </row>
    <row r="78" spans="21:22">
      <c r="U78">
        <v>10010</v>
      </c>
      <c r="V78" t="s">
        <v>747</v>
      </c>
    </row>
    <row r="79" spans="21:22">
      <c r="U79">
        <v>10020</v>
      </c>
      <c r="V79" t="s">
        <v>748</v>
      </c>
    </row>
    <row r="80" spans="21:22">
      <c r="U80">
        <v>10110</v>
      </c>
      <c r="V80" t="s">
        <v>749</v>
      </c>
    </row>
    <row r="81" spans="21:22">
      <c r="U81">
        <v>11010</v>
      </c>
      <c r="V81" t="s">
        <v>750</v>
      </c>
    </row>
    <row r="82" spans="21:22">
      <c r="U82">
        <v>11011</v>
      </c>
      <c r="V82" t="s">
        <v>751</v>
      </c>
    </row>
    <row r="83" spans="21:22">
      <c r="U83">
        <v>11020</v>
      </c>
      <c r="V83" t="s">
        <v>752</v>
      </c>
    </row>
    <row r="84" spans="21:22">
      <c r="U84">
        <v>12010</v>
      </c>
      <c r="V84" t="s">
        <v>753</v>
      </c>
    </row>
    <row r="85" spans="21:22">
      <c r="U85">
        <v>12011</v>
      </c>
      <c r="V85" t="s">
        <v>754</v>
      </c>
    </row>
    <row r="86" spans="21:22">
      <c r="U86">
        <v>12030</v>
      </c>
      <c r="V86" t="s">
        <v>755</v>
      </c>
    </row>
    <row r="87" spans="21:22">
      <c r="U87">
        <v>12040</v>
      </c>
      <c r="V87" t="s">
        <v>756</v>
      </c>
    </row>
    <row r="88" spans="21:22">
      <c r="U88">
        <v>12041</v>
      </c>
      <c r="V88" t="s">
        <v>757</v>
      </c>
    </row>
    <row r="89" spans="21:22">
      <c r="U89">
        <v>12042</v>
      </c>
      <c r="V89" t="s">
        <v>758</v>
      </c>
    </row>
    <row r="90" spans="21:22">
      <c r="U90">
        <v>12043</v>
      </c>
      <c r="V90" t="s">
        <v>759</v>
      </c>
    </row>
    <row r="91" spans="21:22">
      <c r="U91">
        <v>12050</v>
      </c>
      <c r="V91" t="s">
        <v>760</v>
      </c>
    </row>
    <row r="92" spans="21:22">
      <c r="U92">
        <v>12060</v>
      </c>
      <c r="V92" t="s">
        <v>761</v>
      </c>
    </row>
    <row r="93" spans="21:22">
      <c r="U93">
        <v>12063</v>
      </c>
      <c r="V93" t="s">
        <v>762</v>
      </c>
    </row>
    <row r="94" spans="21:22">
      <c r="U94">
        <v>12064</v>
      </c>
      <c r="V94" t="s">
        <v>763</v>
      </c>
    </row>
    <row r="95" spans="21:22">
      <c r="U95">
        <v>12066</v>
      </c>
      <c r="V95" t="s">
        <v>764</v>
      </c>
    </row>
    <row r="96" spans="21:22">
      <c r="U96">
        <v>12070</v>
      </c>
      <c r="V96" t="s">
        <v>765</v>
      </c>
    </row>
    <row r="97" spans="21:22">
      <c r="U97">
        <v>12071</v>
      </c>
      <c r="V97" t="s">
        <v>766</v>
      </c>
    </row>
    <row r="98" spans="21:22">
      <c r="U98">
        <v>12082</v>
      </c>
      <c r="V98" t="s">
        <v>767</v>
      </c>
    </row>
    <row r="99" spans="21:22">
      <c r="U99">
        <v>12092</v>
      </c>
      <c r="V99" t="s">
        <v>768</v>
      </c>
    </row>
    <row r="100" spans="21:22">
      <c r="U100">
        <v>13010</v>
      </c>
      <c r="V100" t="s">
        <v>769</v>
      </c>
    </row>
    <row r="101" spans="21:22">
      <c r="U101">
        <v>13020</v>
      </c>
      <c r="V101" t="s">
        <v>770</v>
      </c>
    </row>
    <row r="102" spans="21:22">
      <c r="U102">
        <v>14010</v>
      </c>
      <c r="V102" t="s">
        <v>771</v>
      </c>
    </row>
    <row r="103" spans="21:22">
      <c r="U103">
        <v>14110</v>
      </c>
      <c r="V103" t="s">
        <v>772</v>
      </c>
    </row>
    <row r="104" spans="21:22">
      <c r="U104">
        <v>14210</v>
      </c>
      <c r="V104" t="s">
        <v>773</v>
      </c>
    </row>
    <row r="105" spans="21:22">
      <c r="U105">
        <v>14310</v>
      </c>
      <c r="V105" t="s">
        <v>774</v>
      </c>
    </row>
    <row r="106" spans="21:22">
      <c r="U106">
        <v>14410</v>
      </c>
      <c r="V106" t="s">
        <v>775</v>
      </c>
    </row>
    <row r="107" spans="21:22">
      <c r="U107">
        <v>14420</v>
      </c>
      <c r="V107" t="s">
        <v>776</v>
      </c>
    </row>
    <row r="108" spans="21:22">
      <c r="U108">
        <v>14520</v>
      </c>
      <c r="V108" t="s">
        <v>777</v>
      </c>
    </row>
    <row r="109" spans="21:22">
      <c r="U109">
        <v>15010</v>
      </c>
      <c r="V109" t="s">
        <v>778</v>
      </c>
    </row>
    <row r="110" spans="21:22">
      <c r="U110">
        <v>15011</v>
      </c>
      <c r="V110" t="s">
        <v>779</v>
      </c>
    </row>
    <row r="111" spans="21:22">
      <c r="U111">
        <v>15022</v>
      </c>
      <c r="V111" t="s">
        <v>780</v>
      </c>
    </row>
    <row r="112" spans="21:22">
      <c r="U112">
        <v>16010</v>
      </c>
      <c r="V112" t="s">
        <v>781</v>
      </c>
    </row>
    <row r="113" spans="21:22">
      <c r="U113">
        <v>17010</v>
      </c>
      <c r="V113" t="s">
        <v>782</v>
      </c>
    </row>
    <row r="114" spans="21:22">
      <c r="U114">
        <v>17020</v>
      </c>
      <c r="V114" t="s">
        <v>783</v>
      </c>
    </row>
    <row r="115" spans="21:22">
      <c r="U115">
        <v>17030</v>
      </c>
      <c r="V115" t="s">
        <v>784</v>
      </c>
    </row>
    <row r="116" spans="21:22">
      <c r="U116">
        <v>17040</v>
      </c>
      <c r="V116" t="s">
        <v>785</v>
      </c>
    </row>
    <row r="117" spans="21:22">
      <c r="U117">
        <v>17050</v>
      </c>
      <c r="V117" t="s">
        <v>786</v>
      </c>
    </row>
    <row r="118" spans="21:22">
      <c r="U118">
        <v>17060</v>
      </c>
      <c r="V118" t="s">
        <v>787</v>
      </c>
    </row>
    <row r="119" spans="21:22">
      <c r="U119">
        <v>18010</v>
      </c>
      <c r="V119" t="s">
        <v>788</v>
      </c>
    </row>
    <row r="120" spans="21:22">
      <c r="U120">
        <v>18020</v>
      </c>
      <c r="V120" t="s">
        <v>789</v>
      </c>
    </row>
    <row r="121" spans="21:22">
      <c r="U121">
        <v>19010</v>
      </c>
      <c r="V121" t="s">
        <v>790</v>
      </c>
    </row>
    <row r="122" spans="21:22">
      <c r="U122">
        <v>19020</v>
      </c>
      <c r="V122" t="s">
        <v>791</v>
      </c>
    </row>
    <row r="123" spans="21:22">
      <c r="U123">
        <v>19030</v>
      </c>
      <c r="V123" t="s">
        <v>792</v>
      </c>
    </row>
    <row r="124" spans="21:22">
      <c r="U124">
        <v>20030</v>
      </c>
      <c r="V124" t="s">
        <v>793</v>
      </c>
    </row>
    <row r="125" spans="21:22">
      <c r="U125">
        <v>20040</v>
      </c>
      <c r="V125" t="s">
        <v>794</v>
      </c>
    </row>
    <row r="126" spans="21:22">
      <c r="U126">
        <v>20050</v>
      </c>
      <c r="V126" t="s">
        <v>795</v>
      </c>
    </row>
    <row r="127" spans="21:22">
      <c r="U127">
        <v>20070</v>
      </c>
      <c r="V127" t="s">
        <v>796</v>
      </c>
    </row>
    <row r="128" spans="21:22">
      <c r="U128">
        <v>20071</v>
      </c>
      <c r="V128" t="s">
        <v>797</v>
      </c>
    </row>
    <row r="129" spans="21:22">
      <c r="U129">
        <v>20110</v>
      </c>
      <c r="V129" t="s">
        <v>798</v>
      </c>
    </row>
    <row r="130" spans="21:22">
      <c r="U130">
        <v>20120</v>
      </c>
      <c r="V130" t="s">
        <v>799</v>
      </c>
    </row>
    <row r="131" spans="21:22">
      <c r="U131">
        <v>20130</v>
      </c>
      <c r="V131" t="s">
        <v>800</v>
      </c>
    </row>
    <row r="132" spans="21:22">
      <c r="U132">
        <v>20140</v>
      </c>
      <c r="V132" t="s">
        <v>801</v>
      </c>
    </row>
    <row r="133" spans="21:22">
      <c r="U133">
        <v>20150</v>
      </c>
      <c r="V133" t="s">
        <v>802</v>
      </c>
    </row>
    <row r="134" spans="21:22">
      <c r="U134">
        <v>20160</v>
      </c>
      <c r="V134" t="s">
        <v>803</v>
      </c>
    </row>
    <row r="135" spans="21:22">
      <c r="U135">
        <v>23010</v>
      </c>
      <c r="V135" t="s">
        <v>804</v>
      </c>
    </row>
    <row r="136" spans="21:22">
      <c r="U136">
        <v>24010</v>
      </c>
      <c r="V136" t="s">
        <v>805</v>
      </c>
    </row>
    <row r="137" spans="21:22">
      <c r="U137">
        <v>30010</v>
      </c>
      <c r="V137" t="s">
        <v>806</v>
      </c>
    </row>
    <row r="138" spans="21:22">
      <c r="U138">
        <v>30020</v>
      </c>
      <c r="V138" t="s">
        <v>807</v>
      </c>
    </row>
    <row r="139" spans="21:22">
      <c r="U139">
        <v>40010</v>
      </c>
      <c r="V139" t="s">
        <v>808</v>
      </c>
    </row>
    <row r="140" spans="21:22">
      <c r="U140">
        <v>40020</v>
      </c>
      <c r="V140" t="s">
        <v>809</v>
      </c>
    </row>
    <row r="141" spans="21:22">
      <c r="U141">
        <v>40030</v>
      </c>
      <c r="V141" t="s">
        <v>810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2025-09-29T12:37:39Z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