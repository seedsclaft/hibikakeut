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4"/>
  </bookViews>
  <sheets>
    <sheet name="Skills" sheetId="1" r:id="rId1"/>
    <sheet name="Features" sheetId="3" r:id="rId2"/>
    <sheet name="Triggers" sheetId="4" r:id="rId3"/>
    <sheet name="ScopeTriggers" sheetId="6" r:id="rId4"/>
    <sheet name="TextData" sheetId="2" r:id="rId5"/>
    <sheet name="Define" sheetId="5" r:id="rId6"/>
  </sheets>
  <externalReferences>
    <externalReference r:id="rId7"/>
    <externalReference r:id="rId8"/>
  </externalReferences>
  <definedNames>
    <definedName name="_xlnm._FilterDatabase" localSheetId="0" hidden="1">Skills!$F$1:$F$318</definedName>
    <definedName name="_xlnm._FilterDatabase" localSheetId="2" hidden="1">Triggers!$E$1:$E$214</definedName>
  </definedNames>
  <calcPr calcId="144525" concurrentCalc="0"/>
</workbook>
</file>

<file path=xl/sharedStrings.xml><?xml version="1.0" encoding="utf-8"?>
<sst xmlns="http://schemas.openxmlformats.org/spreadsheetml/2006/main" count="2158" uniqueCount="1503">
  <si>
    <t>Id</t>
  </si>
  <si>
    <t>NameId</t>
  </si>
  <si>
    <t>Name</t>
  </si>
  <si>
    <t>IconIndex</t>
  </si>
  <si>
    <t>_</t>
  </si>
  <si>
    <t>AnimationId</t>
  </si>
  <si>
    <t>AnimationType</t>
  </si>
  <si>
    <t>MpCost</t>
  </si>
  <si>
    <t>CountTurn</t>
  </si>
  <si>
    <t>Rank</t>
  </si>
  <si>
    <t>Attribute</t>
  </si>
  <si>
    <t>SkillType</t>
  </si>
  <si>
    <t>TargetType</t>
  </si>
  <si>
    <t>ScopeType</t>
  </si>
  <si>
    <t>Range</t>
  </si>
  <si>
    <t>RepeatTime</t>
  </si>
  <si>
    <t>AliveOnly</t>
  </si>
  <si>
    <t>TimingOnlyCount</t>
  </si>
  <si>
    <t>単体</t>
  </si>
  <si>
    <t>SkillId</t>
  </si>
  <si>
    <t>FeatureType</t>
  </si>
  <si>
    <t>Param1</t>
  </si>
  <si>
    <t>Param2</t>
  </si>
  <si>
    <t>Param3</t>
  </si>
  <si>
    <t>Rate</t>
  </si>
  <si>
    <t>会心率アップ</t>
  </si>
  <si>
    <t>ダメージ威力アップ</t>
  </si>
  <si>
    <t>バフ解除</t>
  </si>
  <si>
    <t>命中アップ</t>
  </si>
  <si>
    <t>回避アップ</t>
  </si>
  <si>
    <t>スタン</t>
  </si>
  <si>
    <t>凍結</t>
  </si>
  <si>
    <t>防御ダウン</t>
  </si>
  <si>
    <t>攻撃無効</t>
  </si>
  <si>
    <t>シールド</t>
  </si>
  <si>
    <t>毒</t>
  </si>
  <si>
    <t>カウンタ</t>
  </si>
  <si>
    <t>防御アップ</t>
  </si>
  <si>
    <t>挑発</t>
  </si>
  <si>
    <t>戦闘不能</t>
  </si>
  <si>
    <t>ダメージカット</t>
  </si>
  <si>
    <t>速度ダウン</t>
  </si>
  <si>
    <t>命中ダウン</t>
  </si>
  <si>
    <t>攻撃ダウン</t>
  </si>
  <si>
    <t>不治</t>
  </si>
  <si>
    <t>アンデッド</t>
  </si>
  <si>
    <t>対象範囲延長</t>
  </si>
  <si>
    <t>最大Mpアップ</t>
  </si>
  <si>
    <t>最大Hpアップ</t>
  </si>
  <si>
    <t>攻撃アップ</t>
  </si>
  <si>
    <t>貫通</t>
  </si>
  <si>
    <t>かばう</t>
  </si>
  <si>
    <t>速度アップ</t>
  </si>
  <si>
    <t>不死</t>
  </si>
  <si>
    <t>ドレイン</t>
  </si>
  <si>
    <t>パッシブ封じ</t>
  </si>
  <si>
    <t>ダメージカット無効</t>
  </si>
  <si>
    <t>必中</t>
  </si>
  <si>
    <t>リジェネ</t>
  </si>
  <si>
    <t>状態異常回避</t>
  </si>
  <si>
    <t>攻撃%ダウン</t>
  </si>
  <si>
    <t>即死付与</t>
  </si>
  <si>
    <t>呪詛</t>
  </si>
  <si>
    <t>フォロー</t>
  </si>
  <si>
    <t>火傷</t>
  </si>
  <si>
    <t>対象列化</t>
  </si>
  <si>
    <t>Hp回復効果アップ</t>
  </si>
  <si>
    <t>追加ダメージ</t>
  </si>
  <si>
    <t>TriggerType</t>
  </si>
  <si>
    <t>TriggerTiming</t>
  </si>
  <si>
    <t>Text</t>
  </si>
  <si>
    <t>Help</t>
  </si>
  <si>
    <t>EnglishText</t>
  </si>
  <si>
    <t>EnglishHelp</t>
  </si>
  <si>
    <t>-</t>
  </si>
  <si>
    <t>""</t>
  </si>
  <si>
    <t>はずす</t>
  </si>
  <si>
    <t>Remove</t>
  </si>
  <si>
    <t>覚醒</t>
  </si>
  <si>
    <t>覚醒状態になる
/s</t>
  </si>
  <si>
    <t>Awaken</t>
  </si>
  <si>
    <t>覚醒解除</t>
  </si>
  <si>
    <t>\sの覚醒を解除</t>
  </si>
  <si>
    <t>Awakening Cancel</t>
  </si>
  <si>
    <t>拘束制御</t>
  </si>
  <si>
    <t>\sにダメージ</t>
  </si>
  <si>
    <t>Bind Control</t>
  </si>
  <si>
    <t>拘束ダメージ解除</t>
  </si>
  <si>
    <t>Bind Damage Removal</t>
  </si>
  <si>
    <t>居合</t>
  </si>
  <si>
    <t>Ready Position</t>
  </si>
  <si>
    <t>ファイアボール</t>
  </si>
  <si>
    <t>\sにATKx/f[f,0,1]%ダメージ</t>
  </si>
  <si>
    <t>Fireball</t>
  </si>
  <si>
    <t>Deal ATKx/f[f,0,1]% damage to \s.</t>
  </si>
  <si>
    <t>フレイムクラッシュ</t>
  </si>
  <si>
    <t>\sにATKx/f[f,0,1]%ダメージ
/f[f,1,2]ターンDEF-/f[f,1,3]%</t>
  </si>
  <si>
    <t>Flame Crash</t>
  </si>
  <si>
    <t>Deal ATKx/f[f,0,1]% damage to \s for /f[f,1,2] turns.
DEF reduced by /f[f,1,3]%.</t>
  </si>
  <si>
    <t>ブレイクウォール</t>
  </si>
  <si>
    <t>\sにATKx/f[f,0,1]%ダメージ
氷属性の場合DEFを100%無視する</t>
  </si>
  <si>
    <t>Break Wall</t>
  </si>
  <si>
    <t>Deal ATKx/f[f,0,1]% damage to \s.
Ignore DEF completely if the target is Ice-type.</t>
  </si>
  <si>
    <t>フィニッシュスタブ</t>
  </si>
  <si>
    <t>\sにATKx/f[f,0,1]%ダメージ
対象を倒した場合/f[f,2,2]ターンATK+/f[f,2,3]%</t>
  </si>
  <si>
    <t>Finish Stub</t>
  </si>
  <si>
    <t>Deal ATKx/f[f,0,1]% damage to \s.
ATK increases by /f[f,1,3]. if target is defeated.</t>
  </si>
  <si>
    <t>フレイムレイン</t>
  </si>
  <si>
    <t>\sにATKx/f[f,0,1]%の5連ダメージ</t>
  </si>
  <si>
    <t>Flame Rain</t>
  </si>
  <si>
    <t>Deal ATKx/f[f,0,1]% damage 5 times to \s.</t>
  </si>
  <si>
    <t>バーニングソウル</t>
  </si>
  <si>
    <t>\sのデバフ効果を解除</t>
  </si>
  <si>
    <t>Burning Soul</t>
  </si>
  <si>
    <t>Remove \s's debuff effects.</t>
  </si>
  <si>
    <t>レイジングバウンサー</t>
  </si>
  <si>
    <t>次に行動するまで\sの致命攻撃発生率を/f[f,0,3]%アップ
使用後再行動できる</t>
  </si>
  <si>
    <t>Raging Bouncer</t>
  </si>
  <si>
    <t>Increase critical hit rate of \s by /f[f,0,3]% until next action.
Can re-act after use.</t>
  </si>
  <si>
    <t>バーンストーム</t>
  </si>
  <si>
    <t>\sにATKx/f[f,0,1]%ダメージ
/f[f,1,2]ターンDEF-/f[f,1,1]%</t>
  </si>
  <si>
    <t>Burning Storm</t>
  </si>
  <si>
    <t>Deal ATKx/f[f,0,1]% damage to \s for /f[f,1,2] turns.
DEF reduced by /f[f,1,1]%.</t>
  </si>
  <si>
    <t>イクスティンクション</t>
  </si>
  <si>
    <t>Extermination</t>
  </si>
  <si>
    <t>ヒートスタンプ</t>
  </si>
  <si>
    <t>\sのCT-/f[f,0,1]</t>
  </si>
  <si>
    <t>Heat Stamp</t>
  </si>
  <si>
    <t>Decrease \s's CT by /f[f,0,1].</t>
  </si>
  <si>
    <t>ソードアダプト</t>
  </si>
  <si>
    <t>\sの与ダメージ率を/f[f,0,3]%アップ(永続) 重ね掛け可能</t>
  </si>
  <si>
    <t>Sword Adaptation</t>
  </si>
  <si>
    <t>\s's damage dealt rate by /f[f,0,3]% (permanently).
Stacking possible.</t>
  </si>
  <si>
    <t>ディスチャージ</t>
  </si>
  <si>
    <t>Discharge</t>
  </si>
  <si>
    <t>シャープエッジ</t>
  </si>
  <si>
    <t>\sに会心率+50%のATKx/f[f,0,1]%ダメージ</t>
  </si>
  <si>
    <t>Sharp Edge</t>
  </si>
  <si>
    <t>Deal ATKx/f[f,0,1]% damage (+50% critical rate) to \s.</t>
  </si>
  <si>
    <t>ロングスラスト</t>
  </si>
  <si>
    <t>Long Thrust</t>
  </si>
  <si>
    <t>スパイラルソード</t>
  </si>
  <si>
    <t>\sにATKx/f[f,0,1]%ダメージ
\sに/f[f,1,2]ターン回避率/f[f,1,3]%ダウンを付与
自身に/f[f,1,2]ターン回避率/f[f,1,3]%アップを付与</t>
  </si>
  <si>
    <t>Spriral Sword</t>
  </si>
  <si>
    <t>Deal ATKx/f[f,0,1]% damage to \s.
Decrease \s's evasion rate by /f[f,0,3]%
Increase self's evasion rate by /f[f,0,3]%</t>
  </si>
  <si>
    <t>スペルバニシング</t>
  </si>
  <si>
    <t>\sにATKx/f[f,0,1]%ダメージ
対象のバフ効果を解除する</t>
  </si>
  <si>
    <t>Spell Vanishing</t>
  </si>
  <si>
    <t>Deal ATKx/f[f,0,1]% damage to \s.
Remove any buff effects on target.</t>
  </si>
  <si>
    <t>アーテニーストライク</t>
  </si>
  <si>
    <t>\sにATKx150%必中ダメージ
対象を倒した場合CT-2
行動後の待機時間を半分に抑える</t>
  </si>
  <si>
    <t>Aterna Strike</t>
  </si>
  <si>
    <t>Deal 150% ATK critical hit (guaranteed) damage to \s.
CT -2 if target is defeated.
Halve wait time after action.</t>
  </si>
  <si>
    <t>コンセントレイト</t>
  </si>
  <si>
    <t>次に行動するまで\sの命中と回避を/f[f,0,3]%アップ
使用後再行動できる</t>
  </si>
  <si>
    <t>Concentrate</t>
  </si>
  <si>
    <t>Increase \s's accuracy and evasion by /f[f,0,3]% until next action.
Can re-act after use.</t>
  </si>
  <si>
    <t>ディレイマジック</t>
  </si>
  <si>
    <t>\sにATKx/f[f,0,1]%ダメージ
\sのCT+/f[f,1,1]</t>
  </si>
  <si>
    <t>Delay Magic</t>
  </si>
  <si>
    <t>Deal ATKx/f[f,0,1]% damage to \s.
and CT+/f[f,1,1]</t>
  </si>
  <si>
    <t>ショックインパルス</t>
  </si>
  <si>
    <t>\sにATKx/f[f,0,1]%ダメージ
スタン付与
/s</t>
  </si>
  <si>
    <t>Shock Impulse</t>
  </si>
  <si>
    <t>Deal ATKx/f[f,0,1]% damage to \s.
Apply stun effect.
/s</t>
  </si>
  <si>
    <t>インペイル</t>
  </si>
  <si>
    <t>\sにATKx150%ダメージ
対象を倒した場合
行動後の待機時間を半分に抑える</t>
  </si>
  <si>
    <t>Impale</t>
  </si>
  <si>
    <t>Deal ATKx150% damage to \s.
Halve wait time after action if target is defeated.</t>
  </si>
  <si>
    <t>イベイドコード</t>
  </si>
  <si>
    <t>\sに回避率/f[f,0,3]%アップを付与(永続)</t>
  </si>
  <si>
    <t>Evade Code</t>
  </si>
  <si>
    <t>Increase \s's evasion rate by /f[f,0,3]% (permanently).</t>
  </si>
  <si>
    <t>トラストチェイン</t>
  </si>
  <si>
    <t>\sの待機時間を/f[f,0,1]短縮する</t>
  </si>
  <si>
    <t>Trust Chain</t>
  </si>
  <si>
    <t>Shorten \s's wait time by /f[f,0,1].</t>
  </si>
  <si>
    <t>アイスブレイド</t>
  </si>
  <si>
    <t>Ice Blade</t>
  </si>
  <si>
    <t>シールドバッシュ</t>
  </si>
  <si>
    <t>\sにATKx/f[f,0,1]%ダメージ
自身に/f[f,1,2]ターンDEF+/f[f,1,3]%</t>
  </si>
  <si>
    <t>Shield Bash</t>
  </si>
  <si>
    <t>Deal ATKx/f[f,0,1]% damage to \s.
Boost own DEF by /f[f,1,3]% for /f[f,1,2] turns.</t>
  </si>
  <si>
    <t>フレンジー</t>
  </si>
  <si>
    <t>\sにATKx/f[f,0,1]%ダメージ
自身のHP50%以下の場合ダメージ効果+50%</t>
  </si>
  <si>
    <t>Frenzy</t>
  </si>
  <si>
    <t>Deal ATKx/f[f,0,1]% damage to \s.
Increase damage effect by 50% if HP is below 50%.</t>
  </si>
  <si>
    <t>スカルブレイカー</t>
  </si>
  <si>
    <t>\sにATKx/f[f,0,1]%ダメージ
かばう無効</t>
  </si>
  <si>
    <t>Skull breaker</t>
  </si>
  <si>
    <t>Deal ATKx/f[f,0,1]% damage to \s.
Ignore Covering efffect.</t>
  </si>
  <si>
    <t>ディープフリーズ</t>
  </si>
  <si>
    <t>\sに/f[f,0,3]%ダメージの凍結付与
/s</t>
  </si>
  <si>
    <t>Deep Freeze</t>
  </si>
  <si>
    <t>Deal /f[f,0,3]% damage to \s and apply freeze effect.
/s</t>
  </si>
  <si>
    <t>バブルブロウ</t>
  </si>
  <si>
    <t>\sにATKx/f[f,0,1]%ダメージ
DEFを/f[f,1,3]ダウン</t>
  </si>
  <si>
    <t>Bubble Blow</t>
  </si>
  <si>
    <t>Deal ATKx/f[f,0,1]% damage to \s.
Decrease DEF by /f[f,1,3].</t>
  </si>
  <si>
    <t>アクアミラージュ</t>
  </si>
  <si>
    <t>\sに/f[f,0,2]回有効の攻撃無効を付与
/s</t>
  </si>
  <si>
    <t>Aqua Mirage</t>
  </si>
  <si>
    <t>Apply /f[f,0,2] hits of attack immunity to \s.
/s</t>
  </si>
  <si>
    <t>フロストシールド</t>
  </si>
  <si>
    <t>\sに/f[f,0,2]ターン/f[f,0,3]ダメージまでのシールド付与
/s</t>
  </si>
  <si>
    <t>Frost Shield</t>
  </si>
  <si>
    <t>Grant shield to \s for /f[f,0,2] turns up to /f[f,0,3] damage absorbed.
/s</t>
  </si>
  <si>
    <t>ポイズン</t>
  </si>
  <si>
    <t>\sにATKx/f[f,0,1]%ダメージ
/f[f,1,2]ターン/f[f,1,3]ダメージの毒付与
/s</t>
  </si>
  <si>
    <t>Poison</t>
  </si>
  <si>
    <t>Deal ATKx/f[f,0,1]% damage to \s.
Apply poison that deals /f[f,1,3] damage over /f[f,1,2] turns.
/s</t>
  </si>
  <si>
    <t>カウンターオーラ</t>
  </si>
  <si>
    <t>\sに/f[f,0,2]ターン/f[f,0,3]%ダメージのカウンタを付与
/s</t>
  </si>
  <si>
    <t>Counter Aura</t>
  </si>
  <si>
    <t>Grant a counter that deals /f[f,0,3]% damage to \s for /f[f,0,2] turns.
/s</t>
  </si>
  <si>
    <t>アクアウォール</t>
  </si>
  <si>
    <t>Aqua Wall</t>
  </si>
  <si>
    <t>Apply attack immunity to \s for /f[f,0,2] hits.
/s</t>
  </si>
  <si>
    <t>ラインプロテクト</t>
  </si>
  <si>
    <t>\sに/f[f,0,2]ターンDEFを/f[f,0,3]アップ</t>
  </si>
  <si>
    <t>Line Protect</t>
  </si>
  <si>
    <t>Increase \s's DEF by /f[f,0,3] for /f[f,0,2] turns.</t>
  </si>
  <si>
    <t>エスコートソール</t>
  </si>
  <si>
    <t>\sに挑発付与
挑発した相手からのダメージを/f[f,0,3]%ダウン
/s</t>
  </si>
  <si>
    <t>Escort Soul</t>
  </si>
  <si>
    <t>Apply taunt to \s.
Reduce incoming damage from taunted target by /f[f,0,3]%.
/s</t>
  </si>
  <si>
    <t>セイントレーザー</t>
  </si>
  <si>
    <t>Saint Laser</t>
  </si>
  <si>
    <t>Deal ATKx/f[f,0,1]% damage to \s.
Deals double damage to Undead enemies.</t>
  </si>
  <si>
    <t>ペネトレイト</t>
  </si>
  <si>
    <t>\sにATKx/f[f,0,1]%ダメージ
敵前後列に貫通する攻撃を行う</t>
  </si>
  <si>
    <t>Penetrate</t>
  </si>
  <si>
    <t>Deal ATKx/f[f,0,1]% damage to \s
with a piercing attack that hits front and back rows.
Deals double damage to Undead enemies.</t>
  </si>
  <si>
    <t>ヒーリング</t>
  </si>
  <si>
    <t>(制限)出撃中10回まで
敵味方一人のHpを/f[f,0,1]回復</t>
  </si>
  <si>
    <t>Healing</t>
  </si>
  <si>
    <t>(Limit: 5 uses per sortie) 
Restore HP of one ally or enemy by /f[f,0,1].</t>
  </si>
  <si>
    <t>ピアシングランス</t>
  </si>
  <si>
    <t>\sにATKx/f[f,0,1]%ダメージ
\sにダメージ軽減効果無視を付与</t>
  </si>
  <si>
    <t>Piercing Lance</t>
  </si>
  <si>
    <t>Deal ATKx/f[f,0,1]% damage to \s
Ignore guard activation for /f[f,1,2] turns.</t>
  </si>
  <si>
    <t>べネディクション</t>
  </si>
  <si>
    <t>自身以外のHpを/f[f,0,1]回復</t>
  </si>
  <si>
    <t>アクトヒール</t>
  </si>
  <si>
    <t>Benediction</t>
  </si>
  <si>
    <t>Restore HP of all allies except self by /f[f,0,1].</t>
  </si>
  <si>
    <t>ホーリーグレイス</t>
  </si>
  <si>
    <t>\sを蘇生してHpを/f[f,0,1]回復</t>
  </si>
  <si>
    <t>Holy Grace</t>
  </si>
  <si>
    <t>Resurrect \s and restore their HP by /f[f,0,1] points.</t>
  </si>
  <si>
    <t>キュアエール</t>
  </si>
  <si>
    <t>\sのHpを/f[f,0,1]回復
状態異常を回復</t>
  </si>
  <si>
    <t xml:space="preserve">Cure Ale </t>
  </si>
  <si>
    <t>Restore \s's HP by /f[f,0,1].
Remove status ailments.</t>
  </si>
  <si>
    <t>ラインバリア</t>
  </si>
  <si>
    <t>1回だけ\sが受けるダメージを/f[f,0,3]%カット</t>
  </si>
  <si>
    <t>Line Barrier</t>
  </si>
  <si>
    <t>Reduce damage taken by \s by /f[f,0,3]% for one hit.</t>
  </si>
  <si>
    <t>ダブルレーザー</t>
  </si>
  <si>
    <t>\sにATKx/f[f,0,1]%2連ダメージ</t>
  </si>
  <si>
    <t>Photon</t>
  </si>
  <si>
    <t>リザイアフォトン</t>
  </si>
  <si>
    <t>\sにATKx/f[f,0,1]%ダメージ
味方全員に攻撃成功回数x/f[f,1,3]のHp回復</t>
  </si>
  <si>
    <t>Resia Photon</t>
  </si>
  <si>
    <t>Deal ATKx/f[f,0,1]% damage to \s.
Restore HP of all allies by attack success count x /f[f,1,3].</t>
  </si>
  <si>
    <t>チャクラ</t>
  </si>
  <si>
    <t>(制限)出撃中3回まで
自身以外の\sのHpを/f[f,0,1]回復</t>
  </si>
  <si>
    <t>Chakra</t>
  </si>
  <si>
    <t>(Limit: 3 uses per sortie) 
Restore HP of other ally units by /f[f,0,1] points.</t>
  </si>
  <si>
    <t>ダークプリズン</t>
  </si>
  <si>
    <t>Dark Prison</t>
  </si>
  <si>
    <t>カウントジャグラー</t>
  </si>
  <si>
    <t>\sにATKx/f[f,0,1]%ダメージ
CT+/f[f,1,1]
自身のCT-/f[f,1,1]</t>
  </si>
  <si>
    <t>Count Juggler</t>
  </si>
  <si>
    <t>Deal ATKx/f[f,0,1]% damage to \s.
Increase CT by /f[f,1,1] for the target
and decrease CT by /f[f,1,1] for self.</t>
  </si>
  <si>
    <t>パッシブカース</t>
  </si>
  <si>
    <t>\sのCT+/f[f,1,1]し行動が少し遅くなる</t>
  </si>
  <si>
    <t>Passive Curse</t>
  </si>
  <si>
    <t>Increase \s's CT by /f[f,1,1].
making their actions slightly slower.</t>
  </si>
  <si>
    <t>ディレイショット</t>
  </si>
  <si>
    <t>\sにATKx/f[f,0,1]%ダメージ
\sのSPDを/f[f,1,2]ターン/f[f,1,3]%ダウン</t>
  </si>
  <si>
    <t>Delay Shot</t>
  </si>
  <si>
    <t>Deal ATKx/f[f,0,1]% damage to \s.
Decrease \s`s SPD by /f[f,0,3]% for /f[f,0,2] turns.</t>
  </si>
  <si>
    <t>ディプラヴィティ</t>
  </si>
  <si>
    <t>\sにATKx/f[f,0,1]%ダメージ
CT+/f[f,1,1]</t>
  </si>
  <si>
    <t>ランペイジ,パッシブブレイク</t>
  </si>
  <si>
    <t>Diplaviti</t>
  </si>
  <si>
    <t>Deal ATKx/f[f,0,1]% damage to \s.
CT+/f[f,1,1]</t>
  </si>
  <si>
    <t>ダークネス</t>
  </si>
  <si>
    <t>\sに/f[f,0,2]ターン命中率/f[f,0,3]%ダウンを付与</t>
  </si>
  <si>
    <t>Darkness</t>
  </si>
  <si>
    <t>Reduce \s's accuracy by /f[f,0,3]% for /f[f,0,2] turns.</t>
  </si>
  <si>
    <t>ポイズンブロウ</t>
  </si>
  <si>
    <t>Poison Breath</t>
  </si>
  <si>
    <t>ドレインヒール</t>
  </si>
  <si>
    <t>\sにATKx/f[f,0,1]%ダメージ
ダメージの/f[f,0,3]%分Hp回復</t>
  </si>
  <si>
    <t>Drain Heal</t>
  </si>
  <si>
    <t>Deal ATKx/f[f,0,1]% damage to \s.
Restore HP by /f[f,0,3]% of the damage dealt.</t>
  </si>
  <si>
    <t>ユーサネイジア</t>
  </si>
  <si>
    <t>Ouse Negaisa</t>
  </si>
  <si>
    <t>シェイディークラウド</t>
  </si>
  <si>
    <t>\sのATKを/f[f,0,3]%ダウン</t>
  </si>
  <si>
    <t>Shady Cloud</t>
  </si>
  <si>
    <t>Reduce \s's ATK by /f[f,0,3]%.</t>
  </si>
  <si>
    <t>アビサルデスペア</t>
  </si>
  <si>
    <t>\sにATKx/f[f,0,1]%ダメージ
/f[f,1,2]ターンの不治付与
/s</t>
  </si>
  <si>
    <t>Abyssal Despair</t>
  </si>
  <si>
    <t>Deal ATKx/f[f,0,1]% damage to \s.
Apply /f[f,1,2] turns of incurable status.
/s</t>
  </si>
  <si>
    <t>待機</t>
  </si>
  <si>
    <t>何もしない</t>
  </si>
  <si>
    <t>Waiting</t>
  </si>
  <si>
    <t>Do nothing.</t>
  </si>
  <si>
    <t>交代</t>
  </si>
  <si>
    <t>仲間と交代する</t>
  </si>
  <si>
    <t>Shift</t>
  </si>
  <si>
    <t>Swap positions with an ally unit.</t>
  </si>
  <si>
    <t>(条件)Lv20以上
アンデッド状態になる
行動後自身のHpを/f[f,0,3]%回復する</t>
  </si>
  <si>
    <t>Undead</t>
  </si>
  <si>
    <t>(Condition: Level 20 or higher)
Become Undead.
Restore self's HP by /f[f,0,3]% after action.</t>
  </si>
  <si>
    <t>エアリアル</t>
  </si>
  <si>
    <t>(条件)Lv10以上
攻撃範囲が延長する
/s</t>
  </si>
  <si>
    <t>Aerial</t>
  </si>
  <si>
    <t>(Condition: Level 10 or higher) 
Extend attack range.
/s</t>
  </si>
  <si>
    <t>悪魔</t>
  </si>
  <si>
    <t>(条件)Lv10以上
最大AP+/f[f,0,3]</t>
  </si>
  <si>
    <t>Devil</t>
  </si>
  <si>
    <t>(Condition: Level 10 or higher)
Increase maximum AP by /f[f,0,3].</t>
  </si>
  <si>
    <t>クリーチャー</t>
  </si>
  <si>
    <t>(条件)Lv10以上
最大Hpが/f[f,0,3]アップ</t>
  </si>
  <si>
    <t>Creature</t>
  </si>
  <si>
    <t>(Condition: Level 10 or higher)
Max HP increases by /f[f,0,3].</t>
  </si>
  <si>
    <t>野生の記憶</t>
  </si>
  <si>
    <t>(条件)Lv10以上
ATKが/f[f,0,3]アップ</t>
  </si>
  <si>
    <t>Wild Memory</t>
  </si>
  <si>
    <t>(Condition: Level 10 or higher)
ATK increases by /f[f,0,3].</t>
  </si>
  <si>
    <t>変異生物</t>
  </si>
  <si>
    <t>(条件)Lv10以上
DEFが/f[f,0,3]アップ</t>
  </si>
  <si>
    <t>Mutant</t>
  </si>
  <si>
    <t>(Condition: Level 10 or higher)
DEF increases by /f[f,0,3].</t>
  </si>
  <si>
    <t>先天属性・炎</t>
  </si>
  <si>
    <t>炎属性適性が高く
氷属性攻撃に弱くなる</t>
  </si>
  <si>
    <t>Innate Attribute - Flame</t>
  </si>
  <si>
    <t>Has high affinity for Fire attributes
becomes weak to Ice attacks.</t>
  </si>
  <si>
    <t>先天属性・雷</t>
  </si>
  <si>
    <t>雷属性適性が高く
炎属性攻撃に弱くなる</t>
  </si>
  <si>
    <t>Innate Attribute - Thunder</t>
  </si>
  <si>
    <t>Has high affinity for Thunder attributes
becomes weak to Fire attacks.</t>
  </si>
  <si>
    <t>先天属性・氷</t>
  </si>
  <si>
    <t>氷属性適性が高く
雷属性攻撃に弱くなる</t>
  </si>
  <si>
    <t>Innate Attribute - Ice</t>
  </si>
  <si>
    <t>Has high affinity for Ice attributes
becomes weak to Thunder attacks.</t>
  </si>
  <si>
    <t>先天属性・光</t>
  </si>
  <si>
    <t>光属性適性が高く
闇属性攻撃に弱くなる</t>
  </si>
  <si>
    <t>Innate Attribute - Light</t>
  </si>
  <si>
    <t>Has high affinity for Light attributes
becomes weak to Dark attacks.</t>
  </si>
  <si>
    <t>先天属性・闇</t>
  </si>
  <si>
    <t>闇属性適性が高く
光属性攻撃に弱くなる</t>
  </si>
  <si>
    <t>Innate Attribute - Darkness</t>
  </si>
  <si>
    <t>Has high affinity for Dark attributes
becomes weak to Light attacks.</t>
  </si>
  <si>
    <t>装備スロット数+1</t>
  </si>
  <si>
    <t>装備スロットが1つ増える</t>
  </si>
  <si>
    <t>Equip Slot +1</t>
  </si>
  <si>
    <t>Gain one additional equipment slot.</t>
  </si>
  <si>
    <t>フレイムセイバー</t>
  </si>
  <si>
    <t>(条件)自身の攻撃成功時
/f[f,0,2]ターン/f[f,0,3]%ダメージの火傷付与
/s</t>
  </si>
  <si>
    <t>Flame Saber</t>
  </si>
  <si>
    <t>(Condition: On successful attack by self)
Apply burn damage of /f[f,0,3]% over /f[f,0,2] turns.
/s</t>
  </si>
  <si>
    <t>イーグルアイ</t>
  </si>
  <si>
    <t>(条件)自身の攻撃時
一度だけ\sの命中率が/f[f,0,3]%アップ</t>
  </si>
  <si>
    <t>Eagle Eye</t>
  </si>
  <si>
    <t>(Condition: When attacking)
Make next attack guaranteed to hit.</t>
  </si>
  <si>
    <t>ウォークライ</t>
  </si>
  <si>
    <t>(条件)バトル開始時
/f[f,0,2]ターン\sのATKが/f[f,0,3]%アップ</t>
  </si>
  <si>
    <t>WarCry</t>
  </si>
  <si>
    <t>(Condition: At the start of battle)
Increase \s's ATK by /f[f,0,3]% for /f[f,0,2] turns.</t>
  </si>
  <si>
    <t>ウルフソウル</t>
  </si>
  <si>
    <t>(条件)バトル開始時
\sのATKが/f[f,0,3]アップ</t>
  </si>
  <si>
    <t>Wolf Soul</t>
  </si>
  <si>
    <t>(Condition: At the start of battle)
Increase \s's ATK by /f[f,0,3].</t>
  </si>
  <si>
    <t>キュアファイア</t>
  </si>
  <si>
    <t>(条件)味方に火傷が付与された際に発動
\sの火傷を回復しHPを10%回復する</t>
  </si>
  <si>
    <t>Cure Fire</t>
  </si>
  <si>
    <t>ルージュバック</t>
  </si>
  <si>
    <t>(条件)攻撃を受けた時
\sのATKが/f[f,0,3]アップ
最大5回まで重ね掛け可能</t>
  </si>
  <si>
    <t>Ruby Back</t>
  </si>
  <si>
    <t>(Condition: When attacked)
Increase \s's ATK by /f[f,0,3].
Stackable up to 5 times.</t>
  </si>
  <si>
    <t>スレイプニル</t>
  </si>
  <si>
    <t>(条件)自身が行動する前に発動
一回だけ\sにDEF/f[f,0,3]%無視の貫通を付与
/s</t>
  </si>
  <si>
    <t>Sleipnir</t>
  </si>
  <si>
    <t>(Condition: Before taking an action)
Grant one-time DEF ignore piercing attack to \s.
/s</t>
  </si>
  <si>
    <t>レストア</t>
  </si>
  <si>
    <t>(条件)他の味方がPassive魔法を使用する際に発動
\sのCT-/f[f,0,1]</t>
  </si>
  <si>
    <t>Restore</t>
  </si>
  <si>
    <t>(Condition: When another ally uses a Passive spell)
Decrease \s's CT by /f[f,0,1].</t>
  </si>
  <si>
    <t>レイジカウンター</t>
  </si>
  <si>
    <t>(条件)自身が攻撃を受けた際
\sにATKx/f[f,0,1]%反撃ダメージ</t>
  </si>
  <si>
    <t>Rage Counter</t>
  </si>
  <si>
    <t>(Condition: When an ally is attacked)
Deal ATKx/f[f,0,1]% retaliatory damage to the attacker.</t>
  </si>
  <si>
    <t>パワーエール</t>
  </si>
  <si>
    <t>(条件)他の味方が攻撃する直前に発動
一回だけ\sのATKを/f[f,0,3]%アップ</t>
  </si>
  <si>
    <t>Power Ale</t>
  </si>
  <si>
    <t>(Condition: Just before another ally attacks)
Increase \s's ATK by /f[f,0,3]% once.</t>
  </si>
  <si>
    <t>ワイドカウンター</t>
  </si>
  <si>
    <t>Wide Counter</t>
  </si>
  <si>
    <t>ライジングファイア</t>
  </si>
  <si>
    <t>(条件)自身の行動で敵を倒した時
\sのCT-/f[f,0,1]</t>
  </si>
  <si>
    <t>Rising Fire</t>
  </si>
  <si>
    <t>(Condition: When \s defeats an enemy with their action)
Decrease \s's CT by /f[f,0,1].</t>
  </si>
  <si>
    <t>プリディカメント</t>
  </si>
  <si>
    <t>(条件)Hpが25%以下
\sのATKが/f[f,0,3]アップ</t>
  </si>
  <si>
    <t>Predicament</t>
  </si>
  <si>
    <t>(Condition: When HP is 25% or lower)
Increase \s's ATK by /f[f,0,3] and decrease DEF by /f[f,0,3].</t>
  </si>
  <si>
    <t>アサルトシフト</t>
  </si>
  <si>
    <t>(条件)バトル開始時
\sのDEFが/f[f,0,3]ダウンしATKが/f[f,0,3]アップ</t>
  </si>
  <si>
    <t>Assault Shift</t>
  </si>
  <si>
    <t>(Condition: At the start of battle)
Decrease \s's DEF by /f[f,0,3] and increase ATK by /f[f,0,3].</t>
  </si>
  <si>
    <t>アクティブギフト</t>
  </si>
  <si>
    <t>(条件)他の味方が攻撃する際に発動
\sのCT-/f[f,0,1]</t>
  </si>
  <si>
    <t>Active Gift</t>
  </si>
  <si>
    <t>(Condition: When another ally attacks)
Decrease \s's CT by /f[f,0,1].</t>
  </si>
  <si>
    <t>イグナイテッド</t>
  </si>
  <si>
    <t>(条件)覚醒状態になった時
(制限)バトル中1回まで
\sのCT-/f[f,0,1]</t>
  </si>
  <si>
    <t>Ignited</t>
  </si>
  <si>
    <t>(Condition: When awoken)
(Limit: Once per battle)
Decrease \s's CT by /f[f,0,1].</t>
  </si>
  <si>
    <t>クロースエッジ</t>
  </si>
  <si>
    <t>(条件)味方がRange.Lの攻撃を受ける直前
ダメージを100%カットし
味方の代わりにダメージを受ける</t>
  </si>
  <si>
    <t>Close Edge</t>
  </si>
  <si>
    <t>(Condition: Just before an ally receives a Range.L attack)
Block 100% of the damage and take it instead.</t>
  </si>
  <si>
    <t>ファストファクション</t>
  </si>
  <si>
    <t>(条件)バトル開始時
\sの初動がわずかに早くなる</t>
  </si>
  <si>
    <t>Fast Fuction</t>
  </si>
  <si>
    <t>(Condition: At the start of battle)
Allow \s to take a preemptive action.</t>
  </si>
  <si>
    <t>クイックムーブ</t>
  </si>
  <si>
    <t>(条件)バトル開始時
\sの初動が少し早くなる</t>
  </si>
  <si>
    <t>Quick Move</t>
  </si>
  <si>
    <t>(Condition: At the start of battle)
Make \s's initial actions faster.</t>
  </si>
  <si>
    <t>ヘブンリーラック</t>
  </si>
  <si>
    <t>\sの回避率が/f[f,0,3]%アップ</t>
  </si>
  <si>
    <t>Heavenly Luck</t>
  </si>
  <si>
    <t>Increase \s's evasion rate by /f[f,0,3]%.</t>
  </si>
  <si>
    <t>キュアスタン</t>
  </si>
  <si>
    <t>(条件)味方にスタンが付与された際に発動
\sのスタンを回復しHPを10%回復する</t>
  </si>
  <si>
    <t>Cure Stun</t>
  </si>
  <si>
    <t>アウトオブオーダー</t>
  </si>
  <si>
    <t>(条件)バトル開始時
自身と同列の味方の待機時間を/f[f,0,1]減少する</t>
  </si>
  <si>
    <t>Out of Order</t>
  </si>
  <si>
    <t>(Condition: At the start of battle)
Decrease wait time for allies in the same row as self by /f[f,0,1].</t>
  </si>
  <si>
    <t>ワンスパニッシュ</t>
  </si>
  <si>
    <t>(条件)自身が攻撃を受ける直前
(制限)バトル中1回まで
1回だけ全ての攻撃を無効化する</t>
  </si>
  <si>
    <t>Once Spanish</t>
  </si>
  <si>
    <t>(Condition: Just before receiving an attack)
(Limit: Once per battle)
Block all incoming attacks once.</t>
  </si>
  <si>
    <t>(条件)自身が行動する前に発動
次に行動するまで\sの命中と回避を/f[f,0,3]%アップ</t>
  </si>
  <si>
    <t>(Condition: Before taking an action)
Increase \s's accuracy and evasion by /f[f,0,3]% until next action.</t>
  </si>
  <si>
    <t>パリィ</t>
  </si>
  <si>
    <t>(条件)自身が攻撃を受ける直前
1回だけ全ての攻撃を無効化する</t>
  </si>
  <si>
    <t>Parry</t>
  </si>
  <si>
    <t>(Condition: Just before receiving an attack)
Block all incoming attacks once.</t>
  </si>
  <si>
    <t>チェイスマジック</t>
  </si>
  <si>
    <t>(条件)他の味方が攻撃した際に発動
\sにATKx/f[f,0,1]%ダメージ</t>
  </si>
  <si>
    <t>Chase Magic</t>
  </si>
  <si>
    <t>(Condition: When another ally attacks)
Deal ATKx/f[f,0,1]% damage to \s.</t>
  </si>
  <si>
    <t>ウィンドライズ</t>
  </si>
  <si>
    <t>(条件)攻撃を回避した時
ATKx/f[f,0,1]%ダメージの反撃する</t>
  </si>
  <si>
    <t>Wind Rise</t>
  </si>
  <si>
    <t>(Condition: When an attack is avoided)
Counterattack with ATKx/f[f,0,1]% damage.</t>
  </si>
  <si>
    <t>アクトスタンス</t>
  </si>
  <si>
    <t>(条件)バトル開始時
\sの初動が少し早くなる
自身のATKを/f[f,1,2]ターン/f[f,1,3]ダウン</t>
  </si>
  <si>
    <t>Act Stance</t>
  </si>
  <si>
    <t>(Condition: At the start of battle)
Slightly increase \s's initial speed.
Decrease own ATK by /f[f,1,3] for /f[f,1,2] turns.</t>
  </si>
  <si>
    <t>\sの命中と回避を/f[f,0,3]%アップ</t>
  </si>
  <si>
    <t>Increase \s's accuracy and evasion by /f[f,0,3]%.</t>
  </si>
  <si>
    <t>スウィフトカレント</t>
  </si>
  <si>
    <t>(条件)バトル開始時
\sのSPDが/f[f,0,3]アップ</t>
  </si>
  <si>
    <t>Swift Current</t>
  </si>
  <si>
    <t>(Condition: At the start of battle)
Increase \s's SPD by /f[f,0,3].</t>
  </si>
  <si>
    <t>イヴェイドオール</t>
  </si>
  <si>
    <t>(条件)バトル開始時
\sの回避率を/f[f,0,3]%アップ(永続)
最大5回まで重ね掛け可能</t>
  </si>
  <si>
    <t>Evasion All</t>
  </si>
  <si>
    <t>(Condition: At the start of battle)
Increase \s's evasion rate by /f[f,0,3]% permanently.
Stackable up to 5 times.</t>
  </si>
  <si>
    <t>ヘビィカバー</t>
  </si>
  <si>
    <t>(条件)味方が攻撃を受ける直前
ダメージを75%カットし
代わりにダメージを受ける</t>
  </si>
  <si>
    <t>Heavy Cover</t>
  </si>
  <si>
    <t>(Condition: Just before an ally is attacked)
Reduce damage taken by 75% and take it instead.</t>
  </si>
  <si>
    <t>アイシクルエッジ</t>
  </si>
  <si>
    <t>(条件)自身の攻撃成功時
/f[f,0,3]%ダメージの凍結付与
/s</t>
  </si>
  <si>
    <t>Icicle Edge</t>
  </si>
  <si>
    <t>(Condition: On successful attack by self)
Apply freeze effect with /f[f,0,3]% damage to \s.
/s</t>
  </si>
  <si>
    <t>カウンターマジック</t>
  </si>
  <si>
    <t>(条件)自身が攻撃された際に発動
\sにATKx/f[f,0,1]%反撃ダメージ</t>
  </si>
  <si>
    <t>Counter Magic</t>
  </si>
  <si>
    <t>(Condition: When self is attacked)
Deal ATKx/f[f,0,1]% retaliatory damage to the attacker.</t>
  </si>
  <si>
    <t>アーマーコード</t>
  </si>
  <si>
    <t>(条件)バトル開始時
\sのDEFが/f[f,0,3]アップ</t>
  </si>
  <si>
    <t>Armor Code</t>
  </si>
  <si>
    <t>(Condition: At the start of battle)
Increase \s's DEF by /f[f,0,3].</t>
  </si>
  <si>
    <t>キュアフリーズ</t>
  </si>
  <si>
    <t>(条件)味方に凍結が付与された際に発動
\sの凍結を回復しHPを10%回復する</t>
  </si>
  <si>
    <t>Cure Freeze</t>
  </si>
  <si>
    <t>アシッドラッシュ</t>
  </si>
  <si>
    <t>(条件)攻撃成功時33%の確率で
行動待機時間を/f[f,0,1]延長</t>
  </si>
  <si>
    <t>Assist Rush</t>
  </si>
  <si>
    <t>(Condition: On successful attack with 33% chance)
Extend action wait time by /f[f,0,1].</t>
  </si>
  <si>
    <t>アイスセイバー</t>
  </si>
  <si>
    <t>(条件)自身の攻撃成功時
凍結状態ではない対象に/f[f,0,3]%ダメージの凍結付与
/s</t>
  </si>
  <si>
    <t>Ice Saber</t>
  </si>
  <si>
    <t>(Condition: On successful attack by self)
Apply freeze effect with /f[f,0,3]% damage to non-frozen targets.
/s</t>
  </si>
  <si>
    <t>ガーディアン</t>
  </si>
  <si>
    <t>(条件)自身が攻撃を受けた直後
/f[f,0,2]ターンDEFを/f[f,0,3]アップ</t>
  </si>
  <si>
    <t>Gurdian</t>
  </si>
  <si>
    <t>(Condition: After receiving an attack)
Increase \s's DEF by /f[f,0,3] for /f[f,0,2] turns.</t>
  </si>
  <si>
    <t>ライフセーブ</t>
  </si>
  <si>
    <t>(条件)自身が戦闘不能になる攻撃を受ける前
\sに不死を付与
/s</t>
  </si>
  <si>
    <t>Life Save</t>
  </si>
  <si>
    <t>(Condition: Just before receiving a fatal attack)
Grant invincibility to \s.</t>
  </si>
  <si>
    <t>ライフスティール</t>
  </si>
  <si>
    <t>(条件)自身が行動する前に発動
ダメージの/f[f,0,3]%分Hp回復</t>
  </si>
  <si>
    <t>Life Steal</t>
  </si>
  <si>
    <t>(Condition: Before taking an action)
Restore HP by /f[f,0,3]% of damage taken.</t>
  </si>
  <si>
    <t>クイックバリア</t>
  </si>
  <si>
    <t>(条件)味方が攻撃を受ける直前
対象のダメージを/f[f,0,3]%カット</t>
  </si>
  <si>
    <t>Quick Barrier</t>
  </si>
  <si>
    <t>(Condition: Just before an ally is attacked)
Reduce damage taken by target by /f[f,0,3]%.</t>
  </si>
  <si>
    <t>ルミナスカバー</t>
  </si>
  <si>
    <t>(条件)味方が攻撃を受ける直前
ダメージを25%カットし
味方の代わりにダメージを受ける</t>
  </si>
  <si>
    <t>Luminous Cover</t>
  </si>
  <si>
    <t>(Condition: Just before an ally is attacked)
Reduce incoming damage by 25% and take it instead.</t>
  </si>
  <si>
    <t>デコイプラス</t>
  </si>
  <si>
    <t>(条件)自身の攻撃成功時
挑発状態ではない対象に挑発付与
自身のDEFを1ターン2アップ
/s</t>
  </si>
  <si>
    <t>Decoy Plus</t>
  </si>
  <si>
    <t>(Condition: On successful attack by self)
Apply taunt to non-taunted target.
Increase own DEF by 2 for 1 turn.
/s</t>
  </si>
  <si>
    <t>アフターシールド</t>
  </si>
  <si>
    <t>(条件)自身の攻撃成功時
ダメージを/f[f,0,3]%カット
/s</t>
  </si>
  <si>
    <t>After Shield</t>
  </si>
  <si>
    <t>(Condition: On successful attack by self)
Reduce incoming damage by /f[f,0,3]% for the next attack on \s.
/s</t>
  </si>
  <si>
    <t>カバープラス</t>
  </si>
  <si>
    <t>(条件)自身がかばう状態で攻撃を受ける直前
自身のDEFを/f[f,0,2]ターン/f[f,0,3]%アップ
/s</t>
  </si>
  <si>
    <t>Cover Plus</t>
  </si>
  <si>
    <t>(Condition: Just before receiving an attack while guarding)
Increase own DEF by /f[f,0,3]% for /f[f,0,2] turns.
/s</t>
  </si>
  <si>
    <t>クイックキュア</t>
  </si>
  <si>
    <t>(条件)味方が状態異常になった時
\sの状態異常を回復</t>
  </si>
  <si>
    <t>Quick Cure</t>
  </si>
  <si>
    <t>(Condition: When an ally becomes afflicted with a status ailment)
Remove \s's status ailments.</t>
  </si>
  <si>
    <t>セルフシールド</t>
  </si>
  <si>
    <t>(条件)自身が攻撃を受ける直前
ダメージを/f[f,0,3]%カット</t>
  </si>
  <si>
    <t>Self Shield</t>
  </si>
  <si>
    <t>(Condition: Just before receiving an attack)
Reduce incoming damage by /f[f,0,3]%.</t>
  </si>
  <si>
    <t>パッシブジャミング</t>
  </si>
  <si>
    <t>(条件)相手がバフを付与する直前
\sに/f[f,0,2]ターンのパッシブ封じを付与
/s</t>
  </si>
  <si>
    <t>Passive Jamming</t>
  </si>
  <si>
    <t>(Condition: Just before the opponent applies a buff)
Grant \s passive skill lock for /f[f,0,2] turns.
/s</t>
  </si>
  <si>
    <t>ファーストエイド</t>
  </si>
  <si>
    <t>(制限)出撃中5回まで
(条件)バトル終了時
Hpの低い味方のHpを/f[f,0,1]回復</t>
  </si>
  <si>
    <t>First Aid</t>
  </si>
  <si>
    <t>(Limit: 5 uses per sortie) 
(Condition: At the end of battle)
Restore HP of allies below full health by /f[f,0,1].</t>
  </si>
  <si>
    <t>クイックヒール</t>
  </si>
  <si>
    <t>(制限)出撃中5回まで
(条件)味方が攻撃を受けた際に発動
対象のHpを/f[f,0,1]回復</t>
  </si>
  <si>
    <t>Quick Heal</t>
  </si>
  <si>
    <t>(Limit: 5 uses per sortie) 
(Condition: When an ally is attacked)
Restore target's HP by /f[f,0,1].</t>
  </si>
  <si>
    <t>ガードバインド</t>
  </si>
  <si>
    <t>(条件)自身が攻撃する前
ダメージ軽減効果無視を付与</t>
  </si>
  <si>
    <t>Guard Bind</t>
  </si>
  <si>
    <t>(Condition: Before attacking)
Ignore guard activation for /f[f,0,2] turns.</t>
  </si>
  <si>
    <t>ホープフルアイリス</t>
  </si>
  <si>
    <t>(条件)バトル開始時
\sの最大Hpが/f[f,0,3]アップ</t>
  </si>
  <si>
    <t>Hopeful Iris</t>
  </si>
  <si>
    <t>(Condition: At the start of battle)
Increase \s's max HP by /f[f,0,3].</t>
  </si>
  <si>
    <t>キュアパッシブ</t>
  </si>
  <si>
    <t>(条件)味方にパッシブ封じが付与された際に発動
\sのパッシブ封じを回復しHPを10%回復する</t>
  </si>
  <si>
    <t>Cure Passive</t>
  </si>
  <si>
    <t>パッシブサプライ</t>
  </si>
  <si>
    <t>(条件)味方からPassiveを受けた際に発動
(制限)ターン中1回まで
\sのCT-/f[f,0,1]</t>
  </si>
  <si>
    <t>Passive Supply</t>
  </si>
  <si>
    <t>(Condition: When receiving a Passive from an ally)
(Limit: Once per turn)
Decrease \s's CT by /f[f,0,1].</t>
  </si>
  <si>
    <t>ホーミングクルセイド</t>
  </si>
  <si>
    <t>(制限)バトル中/f[f,0,2]回まで
命中判定を無視して効果を発揮する
/s</t>
  </si>
  <si>
    <t>Homing Crusade</t>
  </si>
  <si>
    <t>(Limit: Up to /f[f,0,2] times per battle)
Ignore hit chance and activate effect.
/s</t>
  </si>
  <si>
    <t>リレイズ</t>
  </si>
  <si>
    <t>(条件)バトル開始時
/f[f,0,3]回復のリジェネ付与(永続)</t>
  </si>
  <si>
    <t>タフネス</t>
  </si>
  <si>
    <t>Relayze</t>
  </si>
  <si>
    <t>(Condition: At the start of battle)
Grant /f[f,0,3] healing regeneration effect permanently.
/s</t>
  </si>
  <si>
    <t>ファストヒール</t>
  </si>
  <si>
    <t>(条件)バトル開始時
\sのHpを/f[f,0,1]回復</t>
  </si>
  <si>
    <t>Fast Heal</t>
  </si>
  <si>
    <t>(Condition: At the start of battle)
Restore \s's HP by /f[f,0,1].</t>
  </si>
  <si>
    <t>リフレッシュ</t>
  </si>
  <si>
    <t>(条件)味方にデバフを付与された際に発動
\sのデバフを全て解除する</t>
  </si>
  <si>
    <t>Self Care</t>
  </si>
  <si>
    <t>(Condition: When an ally is afflicted with a debuff)
Remove all debuffs from \s.</t>
  </si>
  <si>
    <t>ファストメディック</t>
  </si>
  <si>
    <t>(条件)バトル開始時
/f[f,0,2]ターン/f[f,0,3]回復のリジェネ付与</t>
  </si>
  <si>
    <t>ReHeal</t>
  </si>
  <si>
    <t>(Condition: At the start of battle)
Grant /f[f,0,2] turns of /f[f,0,3] healing regeneration.</t>
  </si>
  <si>
    <t>ディバインシールド</t>
  </si>
  <si>
    <t>(制限)バトル中/f[f,0,2]回まで
状態異常を回避する
/s</t>
  </si>
  <si>
    <t>Divine Shield</t>
  </si>
  <si>
    <t>(Limit: Up to /f[f,0,2] times per battle)
Avoid status ailments.
/s</t>
  </si>
  <si>
    <t>ライフディバイド</t>
  </si>
  <si>
    <t>(条件)味方が攻撃を受けた際に発動
(制限)自身のHpの25%分まで
\sにHpを分け与える</t>
  </si>
  <si>
    <t>Life Divide</t>
  </si>
  <si>
    <t>(Condition: When an ally is attacked)
(Limit: Up to 25% of own HP)
Share HP with \s.</t>
  </si>
  <si>
    <t>エイミングスコープ</t>
  </si>
  <si>
    <t>\sの命中率が/f[f,0,3]%アップ
最大5回まで重ね掛け可能</t>
  </si>
  <si>
    <t>Aiming Scope</t>
  </si>
  <si>
    <t>Increase \s's accuracy by /f[f,0,3]%,
up to a maximum of 5 times.</t>
  </si>
  <si>
    <t>リジェネレーション</t>
  </si>
  <si>
    <t>行動後自身のHpを/f[f,0,3]回復する</t>
  </si>
  <si>
    <t>Regeneration</t>
  </si>
  <si>
    <t>Restore own HP by /f[f,0,3] after taking an action.</t>
  </si>
  <si>
    <t>クイックカース</t>
  </si>
  <si>
    <t>(条件)相手が攻撃する前に発動
\sのATKを/f[f,0,3]%ダウン</t>
  </si>
  <si>
    <t>Quick Curse</t>
  </si>
  <si>
    <t>(Condition: Just before the opponent attacks)
Decrease \s's ATK by /f[f,0,3]%.</t>
  </si>
  <si>
    <t>バイタリティ</t>
  </si>
  <si>
    <t>(条件)自身が行動する前に発動
自身がHP100%の場合ダメージ効果+50%</t>
  </si>
  <si>
    <t>Vitality</t>
  </si>
  <si>
    <t>(Condition: Before taking an action)
Increase damage effectiveness by 50% if HP is at 100%.</t>
  </si>
  <si>
    <t>ネガティブドレイン</t>
  </si>
  <si>
    <t>(条件)Hpが50%以下
ダメージの/f[f,0,3]%分Hp回復</t>
  </si>
  <si>
    <t>Negative Drain</t>
  </si>
  <si>
    <t>(Condition: When HP is below 50%)
Restore HP by /f[f,0,3]% of damage taken.</t>
  </si>
  <si>
    <t>キュアシェイド</t>
  </si>
  <si>
    <t>(条件)味方に暗闇が付与された際に発動
\sの暗闇を回復しHPを10%回復する</t>
  </si>
  <si>
    <t>Cure Shade</t>
  </si>
  <si>
    <t>アンデッドペイン</t>
  </si>
  <si>
    <t>アンデッド状態になる
行動後自身のHpを/f[f,0,3]%回復する</t>
  </si>
  <si>
    <t>Undead Pain</t>
  </si>
  <si>
    <t>Become Undead.
Restore own HP by /f[f,0,3]% after action.</t>
  </si>
  <si>
    <t>ジャックポッド</t>
  </si>
  <si>
    <t>(条件)他の味方が攻撃する直前に発動
\sの命中率を半減し会心率が/f[f,0,3]%アップ</t>
  </si>
  <si>
    <t>チャンス</t>
  </si>
  <si>
    <t>Jackpot</t>
  </si>
  <si>
    <t>(Condition: Just before another ally attacks)
Halve \s's accuracy and increase critical hit rate by /f[f,0,3]% for the target.</t>
  </si>
  <si>
    <t>ヒールハント</t>
  </si>
  <si>
    <t>(条件)敵が回復魔法を使用した際に発動
\sでDEF/f[f,0,3]%無視のATKx/f[f,0,1]%ダメージ</t>
  </si>
  <si>
    <t>Heal Hunt</t>
  </si>
  <si>
    <t>(Condition: When an enemy uses a healing spell)
Deal ATKx/f[f,0,1]% damage that ignores DEF /f[f,0,3]% to \s.</t>
  </si>
  <si>
    <t>フォーカサイト</t>
  </si>
  <si>
    <t>(条件)他の味方が攻撃する直前に発動
\sの攻撃を必中にする</t>
  </si>
  <si>
    <t>Focus Sight</t>
  </si>
  <si>
    <t>(Condition: Just before another ally attacks)
Make \s's attack guaranteed to hit.</t>
  </si>
  <si>
    <t>ガードハント</t>
  </si>
  <si>
    <t>(条件)敵のかばうが発動した後
\sにATKx/f[f,0,1]%ダメージ
DEFを30%無視する</t>
  </si>
  <si>
    <t>Guard Hunt</t>
  </si>
  <si>
    <t>(Condition: After an enemy guards successfully)
Deal ATKx/f[f,0,1]% damage to \s.
Ignore 30% of DEF.</t>
  </si>
  <si>
    <t>リヴェンジャー</t>
  </si>
  <si>
    <t>(条件)自身が攻撃を受けた際に発動
\sのATKとDEFが/f[f,0,2]ターン/f[f,0,3]アップ</t>
  </si>
  <si>
    <t>Revenger</t>
  </si>
  <si>
    <t>(Condition: When self is attacked)
Increase \s's ATK and DEF by /f[f,0,3] for /f[f,0,2] turns.</t>
  </si>
  <si>
    <t>ソーサリーコネクト</t>
  </si>
  <si>
    <t>(条件)他の味方が攻撃する直前に発動
2ターンの間
\sのATKを/f[f,0,3]アップし自身のATKを/f[f,0,3]ダウン</t>
  </si>
  <si>
    <t>Sorcery Connect</t>
  </si>
  <si>
    <t>(Condition: Just before another ally attacks)
For 2 turns, increase \s's ATK by /f[f,0,3]
and decrease own ATK by /f[f,0,3].</t>
  </si>
  <si>
    <t>リープリアクト</t>
  </si>
  <si>
    <t>(条件)会心攻撃をした後
再行動できる
\sの会心率が/f[f,1,2]ターン/f[f,1,3]%ダウン</t>
  </si>
  <si>
    <t>Leap React</t>
  </si>
  <si>
    <t>(Condition: After a critical hit attack)
Can re-act after use.
Decrease \s's critical hit rate by /f[f,1,3]% for /f[f,1,2] turns.</t>
  </si>
  <si>
    <t>ディレイドパッシブ</t>
  </si>
  <si>
    <t>(条件)自身の攻撃成功時
PassiveタイプのCT+1</t>
  </si>
  <si>
    <t>Delayed Passive</t>
  </si>
  <si>
    <t>(Condition: On successful attack by self)
Increase CT of Passive-type skills by 1.</t>
  </si>
  <si>
    <t>シャドウケイプ</t>
  </si>
  <si>
    <t>(条件)バトル開始時
\sに/f[f,0,2]回有効の攻撃無効を付与
/s</t>
  </si>
  <si>
    <t>Shadow Cape</t>
  </si>
  <si>
    <t>(Condition: At the start of battle)
Grant attack immunity to \s for /f[f,0,2] hits.
/s</t>
  </si>
  <si>
    <t>(条件)バトル開始時
\sの会心率が/f[f,0,3]%アップ</t>
  </si>
  <si>
    <t>(Condition: At the start of battle)
Increase \s's critical hit rate by /f[f,0,3]%.</t>
  </si>
  <si>
    <t>ネヴァーエンド</t>
  </si>
  <si>
    <t>(条件)Hpが25%以下
\sの会心率が/f[f,0,3]%アップ</t>
  </si>
  <si>
    <t>Never End</t>
  </si>
  <si>
    <t>(Condition: When HP is below 25%)
Increase \s's critical hit rate by /f[f,0,3]%.</t>
  </si>
  <si>
    <t>グレイブアクト</t>
  </si>
  <si>
    <t>(条件)味方が攻撃で戦闘不能になった際に発動
\sのCT-/f[f,0,1]</t>
  </si>
  <si>
    <t>Grave Act</t>
  </si>
  <si>
    <t>(Condition: When an ally is defeated by an attack)
Decrease \s's CT by /f[f,0,1].</t>
  </si>
  <si>
    <t>スカルグラッジ</t>
  </si>
  <si>
    <t>(条件)Hpが100%以上
/f[f,0,3]%の確率で即死付与
対象がボスの場合は残りHp50%分ダメージ</t>
  </si>
  <si>
    <t>Skull Grudge</t>
  </si>
  <si>
    <t>(Condition: When HP is above 100%)
Have a /f[f,0,3]% chance to instantly kill the target.
If the target is a boss,
deal damage equivalent to 50% of their remaining HP.</t>
  </si>
  <si>
    <t>ウェイトユニゾン</t>
  </si>
  <si>
    <t>味方が次の行動をするまで待機する</t>
  </si>
  <si>
    <t>Wait Unison</t>
  </si>
  <si>
    <t>Wait until an ally takes their next action.</t>
  </si>
  <si>
    <t>ラーニングピアス</t>
  </si>
  <si>
    <t>バトルで得るExp+30%</t>
  </si>
  <si>
    <t>Learning Pierce</t>
  </si>
  <si>
    <t>(Condition: When equipped)
Increase EXP gained in battle by 30%.</t>
  </si>
  <si>
    <t>スティールヒール</t>
  </si>
  <si>
    <t>(条件)自身の行動で敵を倒した時
\sのHpを対象の最大Hpに比例して回復</t>
  </si>
  <si>
    <t>Steel Heal</t>
  </si>
  <si>
    <t>(Condition: When self defeats an enemy with an attack)
Restore \s's HP proportionally to the defeated enemy’s maximum HP.</t>
  </si>
  <si>
    <t>ガッツ</t>
  </si>
  <si>
    <t>\sに不死を付与
/s</t>
  </si>
  <si>
    <t>Guts</t>
  </si>
  <si>
    <t>Grant invincibility to \s.
/s</t>
  </si>
  <si>
    <t>ソーイングアームド</t>
  </si>
  <si>
    <t>(条件)敵を撃破する
\sのATKが/f[f,0,3]アップ（永続）
覚醒状態に移行
/s</t>
  </si>
  <si>
    <t>Sewing Armored</t>
  </si>
  <si>
    <t>(Condition: When an enemy is defeated)
Increase \s's ATK by /f[f,0,3]. (permanent).
Transition to Awakened state.
/s</t>
  </si>
  <si>
    <t>エターナルロンド</t>
  </si>
  <si>
    <t>(条件)覚醒状態
\sにATKx/f[f,0,1]%ダメージ 覚醒解除</t>
  </si>
  <si>
    <t>Eternal Round</t>
  </si>
  <si>
    <t>(Condition: While in Awakened state)
Deal ATKx/f[f,0,1]% damage.
Revert to normal state.</t>
  </si>
  <si>
    <t>ピースメーカー</t>
  </si>
  <si>
    <t>(条件)アクティブスキルの攻撃を5回成功する
\sに3ターン/f[f,0,3]%の会心率アップを付与
覚醒状態に移行</t>
  </si>
  <si>
    <t>Piece Maker</t>
  </si>
  <si>
    <t>(Condition: After hiting 5 Active attacks)
Grant \s increased critical rate by /f[f,0,3]% for 3 turns.
Transition to Awakened state.</t>
  </si>
  <si>
    <t>レヴェリー</t>
  </si>
  <si>
    <t>(条件)覚醒状態
\sにATKx/f[f,0,1]%の7連ダメージ 覚醒解除</t>
  </si>
  <si>
    <t>Reverie</t>
  </si>
  <si>
    <t>(Condition: While in Awakened state)
Deal ATKx/f[f,0,1]% damage in a 7-hit combo.
Revert to normal state.</t>
  </si>
  <si>
    <t>セイクリッドバリア</t>
  </si>
  <si>
    <t>(条件)バトル中攻撃を5回受ける
\sに/f[f,0,2]回有効の攻撃無効を付与
覚醒状態に移行
/s</t>
  </si>
  <si>
    <t>Sacred Barrier</t>
  </si>
  <si>
    <t>(Condition: When receiving 5 attacks)
Grant \s attack immunity for /f[f,0,2] hits.
Transition to Awakened state.
/s</t>
  </si>
  <si>
    <t>リベンジニードル</t>
  </si>
  <si>
    <t>(条件)覚醒状態
\sに被ダメージ合計分のダメージ 覚醒解除</t>
  </si>
  <si>
    <t>Revenge Needle</t>
  </si>
  <si>
    <t>(Condition: While in Awakened state)
Deal damage equal to total received damage to \s.
Revert to normal state.</t>
  </si>
  <si>
    <t>アバンデンス</t>
  </si>
  <si>
    <t>(条件)自分以外が戦闘不能になる
\sを蘇生しHpを/f[f,1,1]回復
覚醒状態に移行</t>
  </si>
  <si>
    <t>Abundance</t>
  </si>
  <si>
    <t>(Condition: When a teammate other than self is defeated)
Revive \s and restore HP by /f[f,1,1] points.
Transition to Awakened state.</t>
  </si>
  <si>
    <t>ハーヴェスト</t>
  </si>
  <si>
    <t>(条件)覚醒状態
/f[f,0,3]回復のリジェネ付与(永続)
覚醒解除
/s</t>
  </si>
  <si>
    <t>Harvest</t>
  </si>
  <si>
    <t>(Condition: While in Awakened state)
Grant /f[f,0,3] recovery regeneration (permanent) to \s.
Revert to normal state.
/s</t>
  </si>
  <si>
    <t>カースドブレイク</t>
  </si>
  <si>
    <t>(条件)自身が戦闘不能になる攻撃を受ける前
\sに呪詛を付与
覚醒状態に移行
/s</t>
  </si>
  <si>
    <t>Cursed Break</t>
  </si>
  <si>
    <t>(Condition: Before receiving an attack that would defeat self)
Apply curse effect to \s.
Transition to Awakened state.
/s</t>
  </si>
  <si>
    <t>ムーンライトレイ</t>
  </si>
  <si>
    <t>(条件)覚醒状態
/f[f,0,2]ターン/f[f,0,3]ダメージの毒付与
覚醒解除
/s</t>
  </si>
  <si>
    <t>Moonlight Ray</t>
  </si>
  <si>
    <t>(Condition: While in Awakened state)
Deal poison damage of /f[f,0,3] per turn for /f[f,0,2] turns.
Revert to normal state.
/s</t>
  </si>
  <si>
    <t>サンフレイム</t>
  </si>
  <si>
    <t>(条件)バトル中2回覚醒魔法が発動した後
自身と両隣の味方のCT-5
覚醒状態に移行</t>
  </si>
  <si>
    <t>Sun Flame</t>
  </si>
  <si>
    <t>(Condition: After two Awakened spells have been cast during battle)
Reduce CT of self and adjacent allies by 5.
Transition to Awakened state.</t>
  </si>
  <si>
    <t>フレイムタン</t>
  </si>
  <si>
    <t>(条件)覚醒状態
\sにATKx/f[f,0,1]%ダメージ 覚醒解除
\sのCT+2</t>
  </si>
  <si>
    <t>Flame Tan</t>
  </si>
  <si>
    <t>(Condition: While in Awakened state)
Deal ATKx/f[f,0,1]% damage to \s.
Revert to normal state.
Increase \s's CT by 2.</t>
  </si>
  <si>
    <t>ライズザフラッグ</t>
  </si>
  <si>
    <t>(条件)自分の攻撃で敵を倒す
\sに/f[f,0,2]ターンのフォロー付与
覚醒状態に移行
/s</t>
  </si>
  <si>
    <t>Raise the Flag</t>
  </si>
  <si>
    <t>(Condition: When an enemy is defeated with a self-attack)
Grant \s follow-up attacks for /f[f,0,2] turns.
Transition to Awakened state.
/s</t>
  </si>
  <si>
    <t>オーバーリミット</t>
  </si>
  <si>
    <t>(条件)覚醒状態
\sのATKとDEFを/f[f,0,3]アップ（永続）</t>
  </si>
  <si>
    <t>Overlimit</t>
  </si>
  <si>
    <t>(Condition: While in Awakened state)
Permanently increase \s's ATK and DEF by /f[f,0,3].</t>
  </si>
  <si>
    <t>テンパランス</t>
  </si>
  <si>
    <t>(条件)自身が10回行動した後
\sのATKとDEFを/f[f,0,3]アップ(永続)
覚醒状態に移行</t>
  </si>
  <si>
    <t>Temperance</t>
  </si>
  <si>
    <t>(Condition: After self has taken 10 actions during battle)
Permanently increase \s's ATK and DEF by /f[f,0,3].
Transition to Awakened state.</t>
  </si>
  <si>
    <t>シエルクルセイダー</t>
  </si>
  <si>
    <t>Ciel Crusader</t>
  </si>
  <si>
    <t>(Condition: While in Awakened state)
Deal ATKx/f[f,0,1]% damage to \s.
Revert to normal state.</t>
  </si>
  <si>
    <t>バーニングカウンター</t>
  </si>
  <si>
    <t>(条件)味方が戦闘不能になる
最後に攻撃した対象にATKx/f[f,0,1]%ダメージ
覚醒状態に移行</t>
  </si>
  <si>
    <t>Burning Counter</t>
  </si>
  <si>
    <t>(Condition: When an ally is defeated)
Deal ATKx/f[f,0,1]% damage to the last attacked target.
Transition to Awakened state.</t>
  </si>
  <si>
    <t>プロミネンス</t>
  </si>
  <si>
    <t>(条件)覚醒状態
味方全体に致命攻撃発生率を30%アップ(永続)
\sにATKx/f[f,0,1]%ダメージ 覚醒解除</t>
  </si>
  <si>
    <t>Prominence</t>
  </si>
  <si>
    <t>(Condition: While in Awakened state)
Permanently increase critical hit rate for all allies by 30%.
Deal ATKx/f[f,0,1]% damage to \s.
Revert to normal state.</t>
  </si>
  <si>
    <t>エウロス</t>
  </si>
  <si>
    <t>(条件)自身が状態異常を受けた際
\sに状態異常を反射しバフを1つ奪い取る
覚醒状態に移行</t>
  </si>
  <si>
    <t>Eurus</t>
  </si>
  <si>
    <t>(Condition: When self receives a status ailment)
Reflect the status ailment to \s and steal one buff.
Transition to Awakened state.</t>
  </si>
  <si>
    <t>ボレアス</t>
  </si>
  <si>
    <t>Boreas</t>
  </si>
  <si>
    <t>アバランシュ</t>
  </si>
  <si>
    <t>(条件)敵全員が凍結状態になる
\sの凍結ダメージ効果を/f[f,0,3]%にする
覚醒状態に移行</t>
  </si>
  <si>
    <t>Avalanche</t>
  </si>
  <si>
    <t>(Condition: When all enemies are frozen)
Increase \s's freeze damage effect by /f[f,0,3]%.
Transition to Awakened state.</t>
  </si>
  <si>
    <t>ブリザードコフィン</t>
  </si>
  <si>
    <t>(条件)覚醒状態
\sにATKx/f[f,0,1]%ダメージ 覚醒解除
凍結状態の対象にはさらにATKx/f[f,0,2]%ダメージ</t>
  </si>
  <si>
    <t>Blizzard Coffin</t>
  </si>
  <si>
    <t>(Condition: While in Awakened state)
Deal ATKx/f[f,0,1]% damage to \s.
Revert to normal state.
Additionally deal ATKx/f[f,0,2]% damage to frozen targets.</t>
  </si>
  <si>
    <t>ウィビングヒストリー</t>
  </si>
  <si>
    <t>(条件)自身が戦闘不能になる攻撃を受ける前
\sに不死を付与
覚醒状態に移行
/s</t>
  </si>
  <si>
    <t>Woven History</t>
  </si>
  <si>
    <t>(Condition: Before self is defeated)
Grant invulnerability to \s.
Transition to Awakened state.
/s</t>
  </si>
  <si>
    <t>アンライバルド</t>
  </si>
  <si>
    <t>(条件)覚醒状態
\sに自身のHpが少ないほど大ダメージ 覚醒解除</t>
  </si>
  <si>
    <t>Unleveled</t>
  </si>
  <si>
    <t>(Condition: While in Awakened state)
Deal more damage to \s if self's HP is lower.
Revert to normal state.</t>
  </si>
  <si>
    <t>リベリオンスピリッツ</t>
  </si>
  <si>
    <t>(条件)自身が戦闘不能になる攻撃を受ける前
\sにATKx/f[f,0,1]%ダメージ
覚醒状態に移行
/s</t>
  </si>
  <si>
    <t>Rebellion Spirits</t>
  </si>
  <si>
    <t>(Condition: Before self is defeated)
Deal ATKx/f[f,0,1]% damage to \s.
Transition to Awakened state.
/s</t>
  </si>
  <si>
    <t>ファイナリティアビス</t>
  </si>
  <si>
    <t>Finalety Abyss</t>
  </si>
  <si>
    <t>ティアーズスクリプト</t>
  </si>
  <si>
    <t>(条件)攻撃を3回成功する
\sのSPDを/f[f,0,3]アップ(永続) 覚醒状態に移行</t>
  </si>
  <si>
    <t>Tear`s Script</t>
  </si>
  <si>
    <t>(Condition: After using an active skill 3 times)
Permanently increase \s's ATK by /f[f,0,3].
Transition to Awakened state.</t>
  </si>
  <si>
    <t>アングリークライ</t>
  </si>
  <si>
    <t>(条件)覚醒状態
\sにATKx/f[f,0,1]%ダメージ
スタン付与 覚醒解除</t>
  </si>
  <si>
    <t>Angry Cry</t>
  </si>
  <si>
    <t>インフェルノ</t>
  </si>
  <si>
    <t>(条件)自身のHpが50%以下
/f[f,0,3]%ダメージの火傷付与(永続)
覚醒状態に移行
/s</t>
  </si>
  <si>
    <t>Inferno</t>
  </si>
  <si>
    <t>(Condition: When self`s HP is 50% or lower)
Permanently apply burn damage of /f[f,0,3]%.
Transition to Awakened state.
/s</t>
  </si>
  <si>
    <t>ハートアブレイズ</t>
  </si>
  <si>
    <t>(条件)覚醒状態
\sのHpを/f[f,0,1]%回復
覚醒解除</t>
  </si>
  <si>
    <t>Heart ablaze</t>
  </si>
  <si>
    <t>(Condition: While in Awakened state)
Restore HP of self by /f[f,0,1]%.
Revert to normal state.</t>
  </si>
  <si>
    <t>悪魔(ベリト)</t>
  </si>
  <si>
    <t>(条件)Hpが25%未満
\sのATKを/f[f,0,3]アップ(永続)</t>
  </si>
  <si>
    <t>Demon (Vellit)</t>
  </si>
  <si>
    <t>(Condition: When HP is below 25%)
Permanently increase \s's ATK by /f[f,0,3].</t>
  </si>
  <si>
    <t>ハードウォール</t>
  </si>
  <si>
    <t>(条件)自身が攻撃を受けたとき
\sのDEFが/f[f,0,3]アップ(永続)
覚醒状態に移行
/s</t>
  </si>
  <si>
    <t>Hard Wall</t>
  </si>
  <si>
    <t>(Condition: When an self is attacked)
Permanently increase \s's DEF by /f[f,0,3].
Transition to Awakened state.
/s</t>
  </si>
  <si>
    <t>リファクター</t>
  </si>
  <si>
    <t>(条件)覚醒状態
\sのHpを/f[f,0,1]%回復しATKが/f[f,1,3]アップ(永続)
覚醒解除
/s</t>
  </si>
  <si>
    <t>Refactor</t>
  </si>
  <si>
    <t>(Condition: While in Awakened state)
Restore HP of self by /f[f,0,1]%.
Permanently Increase \s's ATK by /f[f,0,3]%.
Revert to normal state.
/s</t>
  </si>
  <si>
    <t>悪魔(アモン)</t>
  </si>
  <si>
    <t>(条件)Hpが25%未満
\sのDEFを/f[f,0,3]アップ(永続)</t>
  </si>
  <si>
    <t>Demon (Ammon)</t>
  </si>
  <si>
    <t>(Condition: When HP is below 25%)
Permanently increase \s's DEF by /f[f,0,3].</t>
  </si>
  <si>
    <t>コウソクテンショウ</t>
  </si>
  <si>
    <t>(条件)自身のHpが40%以下
\sにATKx/f[f,0,1]%ダメージ 覚醒状態に移行
自身にダメージの25%分Hp回復ドレインを付与
/s</t>
  </si>
  <si>
    <t>Kousoku Tenshou</t>
  </si>
  <si>
    <t>(Condition: When self’s HP is 40% or lower)
Deal ATKx/f[f,0,1]% damage to \s
Transition to Awakened state.
Grant self 25% of damage as HP recovery drain.
/s</t>
  </si>
  <si>
    <t>(条件)自身のHpが40%以下
\sにATKx/f[f,0,3]%ダメージ 覚醒状態に移行
自身に25%分Hp回復ドレインを付与(永続)
/s</t>
  </si>
  <si>
    <t>(Condition: When self’s HP is 40% or lower)
Deal ATKx/f[f,0,3]% damage to \s
Transition to Awakened state.
Permanently grant self 25% of damage as HP recovery drain.
/s</t>
  </si>
  <si>
    <t>アンチバフ</t>
  </si>
  <si>
    <t>(条件)覚醒状態
\sにバフ解除
覚醒解除</t>
  </si>
  <si>
    <t>Anti-Buff</t>
  </si>
  <si>
    <t>(Condition: While in Awakened state)
Remove buffs from \s.
Revert to normal state.</t>
  </si>
  <si>
    <t>悪魔(アンドラス)</t>
  </si>
  <si>
    <t>ディスチャージの攻撃回数が/f[f,0,3]回になる</t>
  </si>
  <si>
    <t>Demon (Andras)</t>
  </si>
  <si>
    <t>Number of attacks for Discharge is /f[f,0,3].</t>
  </si>
  <si>
    <t>カウントダウン</t>
  </si>
  <si>
    <t>(条件)総ターン数が100を超える
\sに/f[f,0,2]回有効の攻撃無効を付与
覚醒状態に移行
/s</t>
  </si>
  <si>
    <t>Countdown</t>
  </si>
  <si>
    <t>(Condition: When total turns exceed 100)
Grant \s attack immunity for /f[f,0,2] hits.
Transition to Awakened state.
/s</t>
  </si>
  <si>
    <t>グラウンドゼロ</t>
  </si>
  <si>
    <t>(条件)覚醒状態
必中で\sに戦闘不能を付与
覚醒解除</t>
  </si>
  <si>
    <t>Ground Zero</t>
  </si>
  <si>
    <t>(Condition: While in Awakened state)
Inflict defeat with a guaranteed hit against \s.
Revert to normal state.</t>
  </si>
  <si>
    <t>悪魔(ビフロンス)</t>
  </si>
  <si>
    <t>(条件)自身のHpが50%以下
\sに/f[f,0,2]ターン/f[f,0,3]ダメージまでのシールド付与
/s</t>
  </si>
  <si>
    <t>Demon (Bifrons)</t>
  </si>
  <si>
    <t>(Condition: When self’s HP is 50% or lower)
Grant \s shield for /f[f,0,3] damage over /f[f,0,2] turns.
/s</t>
  </si>
  <si>
    <t>カオスペイン</t>
  </si>
  <si>
    <t>(条件)自身のHpが25%以下
/f[f,0,2]ターン/f[f,0,3]ダメージの毒付与
覚醒状態に移行
/s</t>
  </si>
  <si>
    <t>Chaos Pain</t>
  </si>
  <si>
    <t>(Condition: When self’s HP is 25% or lower)
Apply poison damage of /f[f,0,3] per turn for /f[f,0,2] turns.
Transition to Awakened state.
/s</t>
  </si>
  <si>
    <t>フォールンワン</t>
  </si>
  <si>
    <t>(条件)覚醒状態
必中で\sのHpを1にする
覚醒解除</t>
  </si>
  <si>
    <t>Fallen One</t>
  </si>
  <si>
    <t>(Condition: While in Awakened state)
Inflict guaranteed hit that reduces \s's HP to 1.
Revert to normal state.</t>
  </si>
  <si>
    <t>アンリマユ</t>
  </si>
  <si>
    <t>Unruly</t>
  </si>
  <si>
    <t>(Condition: At battle start)
Grant \s attack immunity for /f[f,0,2] hits.
/s</t>
  </si>
  <si>
    <t>プルガシオン</t>
  </si>
  <si>
    <t>(条件)自身のHpが50%以下
\sに/f[f,0,2]ターンの/f[f,0,3]回復のリジェネ付与
覚醒状態に移行
/s</t>
  </si>
  <si>
    <t>Purgation</t>
  </si>
  <si>
    <t>(Condition: When self`s HP is 50% or lower)
Grant \s /f[f,0,2] turns of regeneration for /f[f,0,3] recovery.
Transition to Awakened state.
/s</t>
  </si>
  <si>
    <t>プリエステス</t>
  </si>
  <si>
    <t>(条件)覚醒状態
\sに/f[f,0,3]%反射ダメージのカウンタを付与(永続)
覚醒解除
/s</t>
  </si>
  <si>
    <t>Priestess</t>
  </si>
  <si>
    <t>(Condition: While in Awakened state)
Permanently grant counter damage reflection of /f[f,0,3]% to \s.
Revert to normal state.
/s</t>
  </si>
  <si>
    <t>悪魔(パイモン)</t>
  </si>
  <si>
    <t>攻撃範囲が列になる(永続)
攻撃範囲が延長する(永続)</t>
  </si>
  <si>
    <t>Demon (Paemon)</t>
  </si>
  <si>
    <t>(Permanent effect)
Attack range becomes a column.
Attack range is extended.</t>
  </si>
  <si>
    <t>ライフブースト</t>
  </si>
  <si>
    <t>(条件)バトル開始時
\sの最大Hｐを/f[f,0,3]アップ(永続)</t>
  </si>
  <si>
    <t>スピリットチャージ</t>
  </si>
  <si>
    <t>(条件)自身が最初にActive魔法を発動した時
発動した魔法のCT-/f[f,0,1]</t>
  </si>
  <si>
    <t>フォースライズ</t>
  </si>
  <si>
    <t>(条件)バトル開始時
\sのATKを/f[f,0,3]アップ(永続)</t>
  </si>
  <si>
    <t>ディフェンスオーラ</t>
  </si>
  <si>
    <t>(条件)バトル開始時
\sのDEFを/f[f,0,3]アップ(永続)</t>
  </si>
  <si>
    <t>ラピッドムーブ</t>
  </si>
  <si>
    <t>(条件)バトル開始時
\sのSPDを/f[f,0,3]アップ(永続)</t>
  </si>
  <si>
    <t>アタックブレイク</t>
  </si>
  <si>
    <t>(条件)バトル開始時
\sのATKを/f[f,0,3]ダウン(永続)</t>
  </si>
  <si>
    <t>シールドバニッシュ</t>
  </si>
  <si>
    <t>(条件)バトル開始時
\sのDEFを/f[f,0,3]ダウン(永続)</t>
  </si>
  <si>
    <t>エーテルリチャージ</t>
  </si>
  <si>
    <t>(条件)3回行動する毎に
自身のCT-/f[f,0,1]</t>
  </si>
  <si>
    <t>リカバリーエンハンス</t>
  </si>
  <si>
    <t>(条件)Hp回復する効果を受けるとき
\sのHp回復量を/f[f,0,3]アップ(永続)</t>
  </si>
  <si>
    <t>ヴェンジェンス</t>
  </si>
  <si>
    <t>(条件)バトル開始時
/f[f,0,3]%ダメージのカウンタを付与(永続)
/s</t>
  </si>
  <si>
    <t>ディケイドリセット</t>
  </si>
  <si>
    <t>(条件)10回目の行動後
1回だけ再行動できる</t>
  </si>
  <si>
    <t>ウォーリアーブラッド</t>
  </si>
  <si>
    <t>(条件)自身の行動で敵を倒した時
\sのATKを/f[f,0,3]アップ(永続)</t>
  </si>
  <si>
    <t>トライアングルガード</t>
  </si>
  <si>
    <t>(条件)3回行動する毎に
1回だけ\sの受けるダメージを/f[f,0,3]ダウン</t>
  </si>
  <si>
    <t>セーフティバリア</t>
  </si>
  <si>
    <t>(条件)2回目の行動後
(制限)バトル中1回
\sに/f[f,0,2]回有効の攻撃無効を付与
/s</t>
  </si>
  <si>
    <t>ヒロインズハイ</t>
  </si>
  <si>
    <t>(条件)ステージのボスとバトルする時
\sの最大Hｐを/f[f,0,3]アップ(永続)</t>
  </si>
  <si>
    <t>セカンドステージ</t>
  </si>
  <si>
    <t>(条件)戦闘不能になった時
(制限)バトル中1回
\sを蘇生しHpを/f[f,0,1]回復する</t>
  </si>
  <si>
    <t>ハイヒットポイント</t>
  </si>
  <si>
    <t>セプタブラスト</t>
  </si>
  <si>
    <t>(条件)7回目の行動後
(制限)バトル中1回
追撃で\sに/f[f,0,1]ダメージ</t>
  </si>
  <si>
    <t>イニシャルブロッカー</t>
  </si>
  <si>
    <t>(条件)バトル開始時
\sに/f[f,0,2]ターン/f[f,0,3]ダメージまでのシールド付与
/s</t>
  </si>
  <si>
    <t>ファーストテイク</t>
  </si>
  <si>
    <t>(条件)バトル開始時
\sの待機時間を/f[f,0,1]減少する</t>
  </si>
  <si>
    <t>妖精の祈り</t>
  </si>
  <si>
    <t>Fairy's Prayer</t>
  </si>
  <si>
    <t>(Condition: At battle start)
Restore \s's HP by /f[f,0,1].</t>
  </si>
  <si>
    <t>月のかけら</t>
  </si>
  <si>
    <t>(条件)Period経過時
ランダムで指南書（見習い）を1つ入手</t>
  </si>
  <si>
    <t>Shard of the Moon</t>
  </si>
  <si>
    <t>(Condition: After a Period passes)
Randomly obtain one Gear Summon (Beginner).</t>
  </si>
  <si>
    <t>商売の才覚書</t>
  </si>
  <si>
    <t>取引コマンドのコストを20%下げる</t>
  </si>
  <si>
    <t>Book of Business Talent</t>
  </si>
  <si>
    <t>Reduce the cost of trade commands by 20%.</t>
  </si>
  <si>
    <t>レイピッドブースト</t>
  </si>
  <si>
    <t>Rapid Boost</t>
  </si>
  <si>
    <t>(Condition: At the start of battle)
Allow \s to take a little preemptive action.</t>
  </si>
  <si>
    <t>黄金の守護精霊</t>
  </si>
  <si>
    <t>(条件)Period経過時
ランダムで換金アイテムを1つ入手</t>
  </si>
  <si>
    <t>Golden Spirit</t>
  </si>
  <si>
    <t>(Condition: After a Period passes)
Randomly obtain one Sellable item.</t>
  </si>
  <si>
    <t>ヒスイの勾玉</t>
  </si>
  <si>
    <t>Jade Talisman</t>
  </si>
  <si>
    <t>(Condition: At battle start)
Permanently increase \s's ATK by /f[f,0,3].</t>
  </si>
  <si>
    <t>英傑の盾</t>
  </si>
  <si>
    <t>Champion's Shield</t>
  </si>
  <si>
    <t>(Condition: At battle start)
Permanently increase \s's DEF by /f[f,0,3].</t>
  </si>
  <si>
    <t>鷹の目</t>
  </si>
  <si>
    <t>(Condition: At battle start)
Permanently increase \s's SPD by /f[f,0,3].</t>
  </si>
  <si>
    <t>バトルで得るExp+10%</t>
  </si>
  <si>
    <t>Increase EXP gained in battle by 10%.</t>
  </si>
  <si>
    <t>セブンズストーン</t>
  </si>
  <si>
    <t>(条件)7回目の行動後
(制限)バトル中1回
追撃で/f[f,0,1]ダメージ</t>
  </si>
  <si>
    <t>Seven`s Stone</t>
  </si>
  <si>
    <t>ファーストトリック</t>
  </si>
  <si>
    <t>(条件)バトル開始時
\sに追加ダメージ+/f[f,0,3]効果を付与</t>
  </si>
  <si>
    <t>First Trick</t>
  </si>
  <si>
    <t>(Condition: At battle start)
\sに追加ダメージ+/f[f,0,3]効果を付与</t>
  </si>
  <si>
    <t>(条件)バトル開始時
\sのHp回復量を/f[f,0,3]アップ(永続)</t>
  </si>
  <si>
    <t>Recovery Enhance</t>
  </si>
  <si>
    <t>(Condition: At battle start)
\sのHp回復量を/f[f,0,3]アップ(永続)</t>
  </si>
  <si>
    <t>ヒールユニット</t>
  </si>
  <si>
    <t>(条件)未開示のマスに移動した時
Hpを1回復</t>
  </si>
  <si>
    <t>Heal Unit</t>
  </si>
  <si>
    <t>(Condition: Effect is automatically applied when possessed)
Restore HP by 1 every time movement is performed at a distance of 1 space.</t>
  </si>
  <si>
    <t>訓練所Lv1</t>
  </si>
  <si>
    <t>(条件)Period経過時
Lvの低い3人までExp+25</t>
  </si>
  <si>
    <t>訓練所Lv2</t>
  </si>
  <si>
    <t>(条件)Period経過時
Lvの低い3人までExp+50</t>
  </si>
  <si>
    <t>訓練所Lv3</t>
  </si>
  <si>
    <t>(条件)Period経過時
Lvの低い3人までExp+75</t>
  </si>
  <si>
    <t>研究施設Lv1</t>
  </si>
  <si>
    <t>(条件)Period経過時
(Nu)を2入手</t>
  </si>
  <si>
    <t>研究施設Lv2</t>
  </si>
  <si>
    <t>(条件)Period経過時
(Nu)を4入手</t>
  </si>
  <si>
    <t>研究施設Lv3</t>
  </si>
  <si>
    <t>(条件)Period経過時
(Nu)を6入手</t>
  </si>
  <si>
    <t>資料館Lv1</t>
  </si>
  <si>
    <t>(条件)バトル勝利時
Lv10以下の仲間のバトル入手経験値+50%</t>
  </si>
  <si>
    <t>資料館Lv2</t>
  </si>
  <si>
    <t>(条件)バトル勝利時
Lv15以下の仲間のバトル入手経験値+50%</t>
  </si>
  <si>
    <t>資料館Lv3</t>
  </si>
  <si>
    <t>(条件)バトル勝利時
Lv20以下の仲間のバトル入手経験値+50%</t>
  </si>
  <si>
    <t>潜伏技術Lv1</t>
  </si>
  <si>
    <t>ステージ探索猶予+10ターン</t>
  </si>
  <si>
    <t>炎の祭壇</t>
  </si>
  <si>
    <t>\sの炎属性適性をアップ</t>
  </si>
  <si>
    <t>稲妻の祭壇</t>
  </si>
  <si>
    <t>\sの雷属性適性をアップ</t>
  </si>
  <si>
    <t>蒼の祭壇</t>
  </si>
  <si>
    <t>\sの氷属性適性をアップ</t>
  </si>
  <si>
    <t>光の祭壇</t>
  </si>
  <si>
    <t>\sの光属性適性をアップ</t>
  </si>
  <si>
    <t>月の祭壇</t>
  </si>
  <si>
    <t>\sの闇属性適性をアップ</t>
  </si>
  <si>
    <t>食糧庫Lv1</t>
  </si>
  <si>
    <t>\sの最大Hpが/f[f,0,3]アップ</t>
  </si>
  <si>
    <t>攻撃技術Lv1</t>
  </si>
  <si>
    <t>\sのATKが/f[f,0,3]アップ</t>
  </si>
  <si>
    <t>防御技術Lv1</t>
  </si>
  <si>
    <t>\sのDEFが/f[f,0,3]アップ</t>
  </si>
  <si>
    <t>詠唱技術Lv1</t>
  </si>
  <si>
    <t>\sのSPDが/f[f,0,3]アップ</t>
  </si>
  <si>
    <t>ファイアボール+</t>
  </si>
  <si>
    <t>/nのダメージがATKx/f[f,0,3]%になる</t>
  </si>
  <si>
    <t>バーンストーム+</t>
  </si>
  <si>
    <t>ヒートスタンプ+</t>
  </si>
  <si>
    <t>/nのCT減少値が/f[f,0,3]になる</t>
  </si>
  <si>
    <t>ソードアダプト+</t>
  </si>
  <si>
    <t>/nの与ダメージ率をアップ値が/f[f,0,3]になる</t>
  </si>
  <si>
    <t>フレイムレイン+</t>
  </si>
  <si>
    <t>イクスティンクション+</t>
  </si>
  <si>
    <t>バーニングソウル+</t>
  </si>
  <si>
    <t>/nのCTリセット値が/f[f,0,3]になる</t>
  </si>
  <si>
    <t>レイジングバウンサー+</t>
  </si>
  <si>
    <t>/nの致命攻撃発生アップ率が/f[f,0,3]%になる</t>
  </si>
  <si>
    <t>ディスチャージ+</t>
  </si>
  <si>
    <t>イベイドコード+</t>
  </si>
  <si>
    <t>/nの回避率アップ値が/f[f,0,3]になる</t>
  </si>
  <si>
    <t>ショックインパルス+</t>
  </si>
  <si>
    <t>トラストチェイン+</t>
  </si>
  <si>
    <t>/nの待機時間短縮値が/f[f,0,3]になる</t>
  </si>
  <si>
    <t>スペルバニシング+</t>
  </si>
  <si>
    <t>アーテニーストライク+</t>
  </si>
  <si>
    <t>コンセントレイト+</t>
  </si>
  <si>
    <t>/nの命中率アップ値が/f[f,0,3]%になる</t>
  </si>
  <si>
    <t>ディレイマジック+</t>
  </si>
  <si>
    <t>/nのCT+値が/f[f,0,3]になる</t>
  </si>
  <si>
    <t>アイスブレイド+</t>
  </si>
  <si>
    <t>カウンターオーラ+</t>
  </si>
  <si>
    <t>/nのカウンタダメージ率が/f[f,0,3]%になる</t>
  </si>
  <si>
    <t>ラインプロテクト+</t>
  </si>
  <si>
    <t>/nのDEFアップ値が/f[f,0,3]になる</t>
  </si>
  <si>
    <t>エスコートソール+</t>
  </si>
  <si>
    <t>/nのダメージカット値が/f[f,0,3]%になる</t>
  </si>
  <si>
    <t>ディープフリーズ+</t>
  </si>
  <si>
    <t>/nの凍結ダメージ率が/f[f,0,3]%になる</t>
  </si>
  <si>
    <t>バブルブロウ+</t>
  </si>
  <si>
    <t>/nのDEFダウン値が/f[f,0,3]になる</t>
  </si>
  <si>
    <t>アクアミラージュ+</t>
  </si>
  <si>
    <t>/nの攻撃無効回数が/f[f,0,3]回になる</t>
  </si>
  <si>
    <t>フロストシールド+</t>
  </si>
  <si>
    <t>/nのダメージ無効値が/f[f,0,3]までになる</t>
  </si>
  <si>
    <t>セイントレーザー+</t>
  </si>
  <si>
    <t>ペネトレイト+</t>
  </si>
  <si>
    <t>ヒーリング+</t>
  </si>
  <si>
    <t>/nの対象が選択対象の両隣まで拡張する</t>
  </si>
  <si>
    <t>リザイアフォトン+</t>
  </si>
  <si>
    <t>/nのHp回復値が/f[f,0,3]%になる</t>
  </si>
  <si>
    <t>べネディクション+</t>
  </si>
  <si>
    <t>/nのCT-値が/f[f,0,3]になる</t>
  </si>
  <si>
    <t>ホーリーグレイス+</t>
  </si>
  <si>
    <t>キュアエール+</t>
  </si>
  <si>
    <t>/nのHp回復値が/f[f,0,3]になる</t>
  </si>
  <si>
    <t>ラインバリア+</t>
  </si>
  <si>
    <t>ダークプリズン+</t>
  </si>
  <si>
    <t>ユーサネイジア+</t>
  </si>
  <si>
    <t>ドレインヒール+</t>
  </si>
  <si>
    <t>アビサルデスペア+</t>
  </si>
  <si>
    <t>/nの不死ターン数が/f[f,0,3]になる</t>
  </si>
  <si>
    <t>ディプラヴィティ+</t>
  </si>
  <si>
    <t>ダークネス+</t>
  </si>
  <si>
    <t>/nの命中率ダウン値が/f[f,0,3]%になる</t>
  </si>
  <si>
    <t>シェイディークラウド+</t>
  </si>
  <si>
    <t>/nのATKダウン値が/f[f,0,3]になる</t>
  </si>
  <si>
    <t>ポイズンブロウ+</t>
  </si>
  <si>
    <t>/nの毒ダメージが/f[f,0,3]になる</t>
  </si>
  <si>
    <t>ウルフソウル+</t>
  </si>
  <si>
    <t>/nのATKアップ値が/f[f,0,3]になる</t>
  </si>
  <si>
    <t>プリディカメント+</t>
  </si>
  <si>
    <t>アサルトシフト+</t>
  </si>
  <si>
    <t>/nのATKアップ値DEFダウン値が/f[f,0,3]になる</t>
  </si>
  <si>
    <t>アクティブギフト+</t>
  </si>
  <si>
    <t>イグナイテッド+</t>
  </si>
  <si>
    <t>ライジングファイア+</t>
  </si>
  <si>
    <t>ルージュバック+</t>
  </si>
  <si>
    <t>パワーエール+</t>
  </si>
  <si>
    <t>スレイプニル+</t>
  </si>
  <si>
    <t>/nの貫通効果値が/f[f,0,3]になる</t>
  </si>
  <si>
    <t>エクステンション+</t>
  </si>
  <si>
    <t>/nの対象範囲が自身と両隣になる</t>
  </si>
  <si>
    <t>ヘブンリーラック+</t>
  </si>
  <si>
    <t>スウィフトカレント+</t>
  </si>
  <si>
    <t>/nのSPDアップ値が/f[f,0,3]になる</t>
  </si>
  <si>
    <t>イヴェイドオール+</t>
  </si>
  <si>
    <t>/nの回避率アップ値が/f[f,0,3]%になる</t>
  </si>
  <si>
    <t>クイックムーブ+</t>
  </si>
  <si>
    <t>チェイスマジック+</t>
  </si>
  <si>
    <t>ソーサリーコネクト+</t>
  </si>
  <si>
    <t>ウィンドライズ+</t>
  </si>
  <si>
    <t>アウトオブオーダー+</t>
  </si>
  <si>
    <t>/nの待機時間ダウン値が/f[f,0,3]になる</t>
  </si>
  <si>
    <t>アーマーコード+</t>
  </si>
  <si>
    <t>クイックバリア+</t>
  </si>
  <si>
    <t>クイックキュア+</t>
  </si>
  <si>
    <t>セルフシールド+</t>
  </si>
  <si>
    <t>パッシブジャミング+</t>
  </si>
  <si>
    <t>サプライカバー+</t>
  </si>
  <si>
    <t>アシッドラッシュ+</t>
  </si>
  <si>
    <t>/nの待機時間延長値が/f[f,0,3]になる</t>
  </si>
  <si>
    <t>ライフスティール+</t>
  </si>
  <si>
    <t>アイスセイバー+</t>
  </si>
  <si>
    <t>/nの凍結ダメージ値が/f[f,0,3]%になる</t>
  </si>
  <si>
    <t>ディバインシールド+</t>
  </si>
  <si>
    <t>/nの状態異常回避数が/f[f,0,3]になる</t>
  </si>
  <si>
    <t>ライフディバイド+</t>
  </si>
  <si>
    <t>/nの最大Hp回復量が/f[f,0,3]になる</t>
  </si>
  <si>
    <t>エイミングスコープ+</t>
  </si>
  <si>
    <t>リジェネレーション+</t>
  </si>
  <si>
    <t>ホープフルアイリス+</t>
  </si>
  <si>
    <t>/nの最大Hpアップ値が/f[f,0,3]になる</t>
  </si>
  <si>
    <t>パッシブサプライ+</t>
  </si>
  <si>
    <t>ホーミングクルセイド+</t>
  </si>
  <si>
    <t>/nの効果発動回数が/f[f,0,3]になる</t>
  </si>
  <si>
    <t>クイックヒール+</t>
  </si>
  <si>
    <t>リレイズ+</t>
  </si>
  <si>
    <t>イーグルアイ+</t>
  </si>
  <si>
    <t>/nの会心率アップ値が/f[f,0,3]%になる</t>
  </si>
  <si>
    <t>ネヴァーエンド+</t>
  </si>
  <si>
    <t>グレイブアクト+</t>
  </si>
  <si>
    <t>スカルグラッジ+</t>
  </si>
  <si>
    <t>/nの即死成功確率が/f[f,0,3]%になる</t>
  </si>
  <si>
    <t>ネガティブドレイン+</t>
  </si>
  <si>
    <t>アンデッドペイン+</t>
  </si>
  <si>
    <t>ジャックポッド+</t>
  </si>
  <si>
    <t>ヒールハント+</t>
  </si>
  <si>
    <t>/nのDEF無視値が/f[f,0,3]%になる</t>
  </si>
  <si>
    <t>クイックカース+</t>
  </si>
  <si>
    <t>/nのATKダウン値が/f[f,0,3]%になる</t>
  </si>
  <si>
    <t>火傷耐性+20%</t>
  </si>
  <si>
    <t>\sの火傷ダメージを/f[f,0,3]%カット</t>
  </si>
  <si>
    <t>Burn Resist +25%</t>
  </si>
  <si>
    <t>Reduce \s's burn damage by /f[f,0,3]%.</t>
  </si>
  <si>
    <t>命中率+5%</t>
  </si>
  <si>
    <t>\sの命中率が/f[f,0,3]アップ</t>
  </si>
  <si>
    <t>Accuracy Rate +5%</t>
  </si>
  <si>
    <t>Increase \s's Accuracy rate by /f[f,0,3].</t>
  </si>
  <si>
    <t>最大HP+2</t>
  </si>
  <si>
    <t>\sの最大HPが/f[f,0,3]アップ</t>
  </si>
  <si>
    <t>MaxHP+2</t>
  </si>
  <si>
    <t>Increase \s's maximum HP by /f[f,0,3].</t>
  </si>
  <si>
    <t>ATK+2</t>
  </si>
  <si>
    <t>Increase \s's ATK by /f[f,0,3].</t>
  </si>
  <si>
    <t>DEF+2</t>
  </si>
  <si>
    <t>Increase \s's DEF by /f[f,0,3].</t>
  </si>
  <si>
    <t>命中率+10%</t>
  </si>
  <si>
    <t>Accuracy Rate +10%</t>
  </si>
  <si>
    <t>SPD+2</t>
  </si>
  <si>
    <t>Increase \s's SPD by /f[f,0,3].</t>
  </si>
  <si>
    <t>DEF+1</t>
  </si>
  <si>
    <t>SPD+1</t>
  </si>
  <si>
    <t>回避率+5%</t>
  </si>
  <si>
    <t>\sの回避率が/f[f,0,3]アップ</t>
  </si>
  <si>
    <t>Avoidance Rate +5%</t>
  </si>
  <si>
    <t>Increase \s's Avoidance rate by /f[f,0,3].</t>
  </si>
  <si>
    <t>会心ダメージ率+25%</t>
  </si>
  <si>
    <t>\sの会心ダメージ率が/f[f,0,3]アップ</t>
  </si>
  <si>
    <t>Critical Damage Rate+25%</t>
  </si>
  <si>
    <t>Increase \s's critical damage rate by /f[f,0,3]%.</t>
  </si>
  <si>
    <t>凍結耐性+20%</t>
  </si>
  <si>
    <t>\sの凍結ダメージを/f[f,0,3]%カット</t>
  </si>
  <si>
    <t>Freeze Resist +20%</t>
  </si>
  <si>
    <t>Reduce \s's freeze damage by /f[f,0,3]%</t>
  </si>
  <si>
    <t>ダメージ軽減効果無視+10%</t>
  </si>
  <si>
    <t>\sの攻撃対象のダメージ軽減効果を/f[f,0,3]%無視する</t>
  </si>
  <si>
    <t>.Ignore guard activation+10%</t>
  </si>
  <si>
    <t>.Ignore guard activation by /f[f,0,3]%.</t>
  </si>
  <si>
    <t>Hp回復効果+2</t>
  </si>
  <si>
    <t>\sのHp回復効果アップが/f[f,0,3]アップ</t>
  </si>
  <si>
    <t>HP recovery effect +2</t>
  </si>
  <si>
    <t>Increase \s's HP recovery effect boost by /f[f,0,3]</t>
  </si>
  <si>
    <t>ATK+1</t>
  </si>
  <si>
    <t>最大HP+3</t>
  </si>
  <si>
    <t>MaxHP+3</t>
  </si>
  <si>
    <t>EXP+20%</t>
  </si>
  <si>
    <t>バトルで得るExp+20%</t>
  </si>
  <si>
    <t>Increase EXP gained in battle by 20%.</t>
  </si>
  <si>
    <t>炎属性耐性+20%</t>
  </si>
  <si>
    <t>\sの炎属性ダメージを/f[f,0,3]%カット</t>
  </si>
  <si>
    <t>Fire Resist +25%</t>
  </si>
  <si>
    <t>Reduce \s's fire damage by /f[f,0,3]%.</t>
  </si>
  <si>
    <t>雷属性耐性+20%</t>
  </si>
  <si>
    <t>\sの雷属性ダメージを/f[f,0,3]%カット</t>
  </si>
  <si>
    <t>Thunder Resist +25%</t>
  </si>
  <si>
    <t>Reduce \s's thunder damage by /f[f,0,3]%.</t>
  </si>
  <si>
    <t>氷属性耐性+20%</t>
  </si>
  <si>
    <t>\sの氷属性ダメージを/f[f,0,3]%カット</t>
  </si>
  <si>
    <t>Ice Resist +25%</t>
  </si>
  <si>
    <t>Reduce \s's ice damage by /f[f,0,3]%.</t>
  </si>
  <si>
    <t>光属性耐性+20%</t>
  </si>
  <si>
    <t>\sの光属性ダメージを/f[f,0,3]%カット</t>
  </si>
  <si>
    <t>Shine Resist +25%</t>
  </si>
  <si>
    <t>Reduce \s's shine damage by /f[f,0,3]%.</t>
  </si>
  <si>
    <t>闇属性耐性+20%</t>
  </si>
  <si>
    <t>\sの闇属性ダメージを/f[f,0,3]%カット</t>
  </si>
  <si>
    <t>Dark Resist +25%</t>
  </si>
  <si>
    <t>Reduce \s's dark damage by /f[f,0,3]%.</t>
  </si>
  <si>
    <t>獲得Exp+30%</t>
  </si>
  <si>
    <t>\sの獲得EXPが/f[f,0,1]%アップ</t>
  </si>
  <si>
    <t>EXP Gain +30%</t>
  </si>
  <si>
    <t>Increase \s's EXP gain by /f[f,0,1]%</t>
  </si>
  <si>
    <t>ATK⇔DEF交換</t>
  </si>
  <si>
    <t>\sのATKとDEF値を交換する
同系統複数装備不可</t>
  </si>
  <si>
    <t>Swap ATK and DEF</t>
  </si>
  <si>
    <t>Swap \s's ATK and DEF values
Cannot equip multiple items of the same type</t>
  </si>
  <si>
    <t>Scope</t>
  </si>
  <si>
    <t>Feature</t>
  </si>
  <si>
    <t>State</t>
  </si>
  <si>
    <t>Trigger</t>
  </si>
  <si>
    <t>MagicType</t>
  </si>
  <si>
    <t>なし</t>
  </si>
  <si>
    <t>ない</t>
  </si>
  <si>
    <t>Numinous加算</t>
  </si>
  <si>
    <t>炎</t>
  </si>
  <si>
    <t>魔法</t>
  </si>
  <si>
    <t>相手</t>
  </si>
  <si>
    <t>Hpダメージ</t>
  </si>
  <si>
    <t>自身のHpが〇%以下</t>
  </si>
  <si>
    <t>元素</t>
  </si>
  <si>
    <t>バトル開始時</t>
  </si>
  <si>
    <t>Numinouse消費率</t>
  </si>
  <si>
    <t>列</t>
  </si>
  <si>
    <t>雷</t>
  </si>
  <si>
    <t>パッシブ</t>
  </si>
  <si>
    <t>味方</t>
  </si>
  <si>
    <t>Hp吸収ダメージ</t>
  </si>
  <si>
    <t>自身のHpが〇%以上</t>
  </si>
  <si>
    <t>光</t>
  </si>
  <si>
    <t>Hpが減る</t>
  </si>
  <si>
    <t>敵Lv</t>
  </si>
  <si>
    <t>全体</t>
  </si>
  <si>
    <t>氷</t>
  </si>
  <si>
    <t>神化</t>
  </si>
  <si>
    <t>全員</t>
  </si>
  <si>
    <t>Hp固定ダメージ</t>
  </si>
  <si>
    <t>Hp%〇以下の味方</t>
  </si>
  <si>
    <t>理術</t>
  </si>
  <si>
    <t>自身の行動前</t>
  </si>
  <si>
    <t>SP加算</t>
  </si>
  <si>
    <t>自身</t>
  </si>
  <si>
    <t>特定ステートダメージ</t>
  </si>
  <si>
    <t>Hp%〇以上の味方</t>
  </si>
  <si>
    <t>精神</t>
  </si>
  <si>
    <t>相手の行動前・対象決定前</t>
  </si>
  <si>
    <t>隷従属度</t>
  </si>
  <si>
    <t>闇</t>
  </si>
  <si>
    <t>レリック</t>
  </si>
  <si>
    <t>反撃</t>
  </si>
  <si>
    <t>最前列のみ</t>
  </si>
  <si>
    <t>効果無視Hpダメージ</t>
  </si>
  <si>
    <t>Hp%〇以下の敵</t>
  </si>
  <si>
    <t>超次元</t>
  </si>
  <si>
    <t>味方の行動前</t>
  </si>
  <si>
    <t>アルカナ変更</t>
  </si>
  <si>
    <t>無</t>
  </si>
  <si>
    <t>強化</t>
  </si>
  <si>
    <t>追撃</t>
  </si>
  <si>
    <t>前後貫通</t>
  </si>
  <si>
    <t>Hp割合固定ダメージ</t>
  </si>
  <si>
    <t>Hp%〇以上の敵</t>
  </si>
  <si>
    <t>自己強化</t>
  </si>
  <si>
    <t>割り込み(直前)</t>
  </si>
  <si>
    <t>ステータスコスト減算</t>
  </si>
  <si>
    <t>装備</t>
  </si>
  <si>
    <t>Triggerの条件を満たす</t>
  </si>
  <si>
    <t>単体・自身を除く</t>
  </si>
  <si>
    <t>Hpダメージ割合追加ダメージ</t>
  </si>
  <si>
    <t>最もHpが少ない味方</t>
  </si>
  <si>
    <t>工作</t>
  </si>
  <si>
    <t>かばう専用。割り込みの最優先</t>
  </si>
  <si>
    <t>敵前衛消滅</t>
  </si>
  <si>
    <t>カインド</t>
  </si>
  <si>
    <t>パーティ</t>
  </si>
  <si>
    <t>列・自身を除く</t>
  </si>
  <si>
    <t>Hp犠牲ダメージ</t>
  </si>
  <si>
    <t>最もHpが多い味方</t>
  </si>
  <si>
    <t>半神</t>
  </si>
  <si>
    <t>相手の行動前・対象決定後</t>
  </si>
  <si>
    <t>撃破SPアップ</t>
  </si>
  <si>
    <t>装備パッシブ</t>
  </si>
  <si>
    <t>全体・自身を除く</t>
  </si>
  <si>
    <t>受けたダメージ総計ダメージ</t>
  </si>
  <si>
    <t>最もHpが少ない敵</t>
  </si>
  <si>
    <t>使ったとき</t>
  </si>
  <si>
    <t>属性適性増加</t>
  </si>
  <si>
    <t>アルカナ使用</t>
  </si>
  <si>
    <t>ランダム</t>
  </si>
  <si>
    <t>Hp貫通ダメージ、Param2でKind指定可</t>
  </si>
  <si>
    <t>最もHpが多い敵</t>
  </si>
  <si>
    <t>その他</t>
  </si>
  <si>
    <t>使った後</t>
  </si>
  <si>
    <t>命令不可</t>
  </si>
  <si>
    <t>転生</t>
  </si>
  <si>
    <t>単体と両隣</t>
  </si>
  <si>
    <t>残りHp比例ダメージ</t>
  </si>
  <si>
    <t>味方にHpが〇%以下がいる</t>
  </si>
  <si>
    <t xml:space="preserve"> </t>
  </si>
  <si>
    <t>バトル終了時</t>
  </si>
  <si>
    <t>コマンドLvアップ</t>
  </si>
  <si>
    <t>自分を除いた両隣</t>
  </si>
  <si>
    <t>会心率ありHpダメージ</t>
  </si>
  <si>
    <t>自身のMpが〇以下</t>
  </si>
  <si>
    <t>ステータスアップ</t>
  </si>
  <si>
    <t>交代専用</t>
  </si>
  <si>
    <t>Hpダメージ。残りHpParam2以下%でダメージ+Param3</t>
  </si>
  <si>
    <t>自身のMpが〇以上</t>
  </si>
  <si>
    <t>魔法入手</t>
  </si>
  <si>
    <t>Hp回復</t>
  </si>
  <si>
    <t>Mp〇未満の味方</t>
  </si>
  <si>
    <t>最大HpとMpアップ</t>
  </si>
  <si>
    <t>攻撃対象の最大Hpに比例して回復</t>
  </si>
  <si>
    <t>Mp〇以上の味方</t>
  </si>
  <si>
    <t>ターン数アップ</t>
  </si>
  <si>
    <t>自身のHpを1にする</t>
  </si>
  <si>
    <t>Mp〇未満の敵</t>
  </si>
  <si>
    <t>Lvアップ</t>
  </si>
  <si>
    <t>対象のHpを1にする</t>
  </si>
  <si>
    <t>Mp〇以上の敵</t>
  </si>
  <si>
    <t>習得コスト0</t>
  </si>
  <si>
    <t>Hpを分け与える</t>
  </si>
  <si>
    <t>戦闘不能が〇以上存在する</t>
  </si>
  <si>
    <t>ロスト回避</t>
  </si>
  <si>
    <t>与ダメージを味方全体に回復</t>
  </si>
  <si>
    <t>生存者が〇以上存在する</t>
  </si>
  <si>
    <t>素子補充確定ボーナス</t>
  </si>
  <si>
    <t>与ダメージを味方全体にMp回復</t>
  </si>
  <si>
    <t>自分が前列にいる</t>
  </si>
  <si>
    <t>コマンドコスト0</t>
  </si>
  <si>
    <t>攻撃成功で味方全体に回復</t>
  </si>
  <si>
    <t>自分が後列にいる</t>
  </si>
  <si>
    <t>属性適正値アップ</t>
  </si>
  <si>
    <t>ステート付与</t>
  </si>
  <si>
    <t>前列の味方を狙う</t>
  </si>
  <si>
    <t>ステート解除</t>
  </si>
  <si>
    <t>後列の味方を狙う</t>
  </si>
  <si>
    <t>Abnormalステート解除</t>
  </si>
  <si>
    <t>前列の敵を狙う</t>
  </si>
  <si>
    <t>次の行動まで有効なステート付与</t>
  </si>
  <si>
    <t>後列の敵を狙う</t>
  </si>
  <si>
    <t>バフステート解除</t>
  </si>
  <si>
    <t>人数が多い列の味方</t>
  </si>
  <si>
    <t>デバフステート解除</t>
  </si>
  <si>
    <t>人数が多い列の敵</t>
  </si>
  <si>
    <t>ステートの効果を変更</t>
  </si>
  <si>
    <t>人数が少ない列の味方</t>
  </si>
  <si>
    <t>Ctダメージ</t>
  </si>
  <si>
    <t>人数が少ない列の敵</t>
  </si>
  <si>
    <t>CTダメージPassiveのみ</t>
  </si>
  <si>
    <t>〇人以上いる列の味方</t>
  </si>
  <si>
    <t>Ct回復</t>
  </si>
  <si>
    <t>〇人以上いる列の敵</t>
  </si>
  <si>
    <t>Ct吸収ダメージ</t>
  </si>
  <si>
    <t>〇番目の味方</t>
  </si>
  <si>
    <t>指定魔法のCｔ回復</t>
  </si>
  <si>
    <t>〇番目の敵</t>
  </si>
  <si>
    <t>1番Ctの高い魔法のCt回復</t>
  </si>
  <si>
    <t>後衛がいる</t>
  </si>
  <si>
    <t>行動後Ap設定</t>
  </si>
  <si>
    <t>StateId状態になっている</t>
  </si>
  <si>
    <t>行動後ApがParam1割</t>
  </si>
  <si>
    <t>StateId状態になっていない</t>
  </si>
  <si>
    <t>ActionResult扱いでAP指定</t>
  </si>
  <si>
    <t>StateId状態になっている味方</t>
  </si>
  <si>
    <t>Ap回復</t>
  </si>
  <si>
    <t>StateId状態になっている敵</t>
  </si>
  <si>
    <t>再行動する</t>
  </si>
  <si>
    <t>StateId状態になっていない味方</t>
  </si>
  <si>
    <t>先制攻撃</t>
  </si>
  <si>
    <t>StateId状態になっていない敵</t>
  </si>
  <si>
    <t>APダメージ</t>
  </si>
  <si>
    <t>AbnormalのStateにかかっている</t>
  </si>
  <si>
    <t>FeatureのParam1を指定値に上書き</t>
  </si>
  <si>
    <t>AbnormalのStateにかかっている味方</t>
  </si>
  <si>
    <t>FeatureのParam2を指定値に上書き</t>
  </si>
  <si>
    <t>AbnormalのStateにかかっている敵</t>
  </si>
  <si>
    <t>FeatureのParam3を指定値に上書き</t>
  </si>
  <si>
    <t>AbnormalのStateにかかっていない味方</t>
  </si>
  <si>
    <t>指定のFeatureのParam1をParam3xステージ勝利数増やす</t>
  </si>
  <si>
    <t>AbnormalのStateにかかっていない敵</t>
  </si>
  <si>
    <t>指定のFeatureのParam2をParam3xステージ勝利数増やす</t>
  </si>
  <si>
    <t>BuffのStateにかかっている</t>
  </si>
  <si>
    <t>指定のFeatureのParam3をParam3xステージ勝利数増やす</t>
  </si>
  <si>
    <t>BuffのStateにかかっている味方</t>
  </si>
  <si>
    <t>指定のFeatuerの成功率を増やす</t>
  </si>
  <si>
    <t>BuffのStateにかかっている敵</t>
  </si>
  <si>
    <t>指定魔法のCTリセット値を変更する</t>
  </si>
  <si>
    <t>BuffのStateにかかっていない味方</t>
  </si>
  <si>
    <t>指定魔法の攻撃回数を増やす(強化限定)</t>
  </si>
  <si>
    <t>BuffのStateにかかっていない敵</t>
  </si>
  <si>
    <t>指定魔法の対象を変更（強化限定）</t>
  </si>
  <si>
    <t>DeBuffのStateにかかっている</t>
  </si>
  <si>
    <t>指定魔法に行動後スキルを追加する</t>
  </si>
  <si>
    <t>DeBuffのStateにかかっている味方</t>
  </si>
  <si>
    <t>行動後スキル</t>
  </si>
  <si>
    <t>DeBuffのStateにかかっている敵</t>
  </si>
  <si>
    <t>行動後条件付きスキル</t>
  </si>
  <si>
    <t>DeBuffのStateにかかっていない味方</t>
  </si>
  <si>
    <t>スキルを習得する</t>
  </si>
  <si>
    <t>DeBuffのStateにかかっていない敵</t>
  </si>
  <si>
    <t>回復特性</t>
  </si>
  <si>
    <t>神化発動前</t>
  </si>
  <si>
    <t>アンデッド特攻</t>
  </si>
  <si>
    <t>神化発動後</t>
  </si>
  <si>
    <t>かばう判定無効</t>
  </si>
  <si>
    <t>神化発動前の味方</t>
  </si>
  <si>
    <t>隊列を入れ替え</t>
  </si>
  <si>
    <t>神化発動後の味方</t>
  </si>
  <si>
    <t>行動後にAp+</t>
  </si>
  <si>
    <t>神化発動前の敵</t>
  </si>
  <si>
    <t>行動後に交代</t>
  </si>
  <si>
    <t>神化発動後の敵</t>
  </si>
  <si>
    <t>命中判定しない</t>
  </si>
  <si>
    <t>神化魔法使用回数の総計</t>
  </si>
  <si>
    <t>最後に受けたAbnormalを相手に移す</t>
  </si>
  <si>
    <t>味方より敵が多い</t>
  </si>
  <si>
    <t>対象のバフを奪い取る</t>
  </si>
  <si>
    <t>味方より敵が少ない</t>
  </si>
  <si>
    <t>Param1のステータスをParam3アップ</t>
  </si>
  <si>
    <t>味方の数が〇以上</t>
  </si>
  <si>
    <t>Param1とParam2のステータス値を交換する</t>
  </si>
  <si>
    <t>味方の数が〇以下</t>
  </si>
  <si>
    <t>アイテム入手</t>
  </si>
  <si>
    <t>敵の数が〇以上</t>
  </si>
  <si>
    <t>獲得Eｘｐ％アップ</t>
  </si>
  <si>
    <t>敵の数が〇以下</t>
  </si>
  <si>
    <t>Eｘｐ入手</t>
  </si>
  <si>
    <t>ターン数が〇以内</t>
  </si>
  <si>
    <t>Nu入手</t>
  </si>
  <si>
    <t>ターン数が〇</t>
  </si>
  <si>
    <t>属性適正アップ</t>
  </si>
  <si>
    <t>ターン数がparam1 x ターン数 + param2</t>
  </si>
  <si>
    <t>ステージ探索猶予アップ</t>
  </si>
  <si>
    <t>行動者のターン数がparam1 x ターン数 + param2</t>
  </si>
  <si>
    <t>取引レートダウン</t>
  </si>
  <si>
    <t>全体の行動数がparam1 x 行動数 + param2</t>
  </si>
  <si>
    <t>ダンジョンから離れる時にPeriodが進まない</t>
  </si>
  <si>
    <t>自身を対象にする</t>
  </si>
  <si>
    <t>装備スロット増加</t>
  </si>
  <si>
    <t>自身を対象にしない</t>
  </si>
  <si>
    <t>攻撃成功時〇%で</t>
  </si>
  <si>
    <t>〇%で</t>
  </si>
  <si>
    <t>会心攻撃成功時</t>
  </si>
  <si>
    <t>攻撃成功時相手が凍結ではない</t>
  </si>
  <si>
    <t>攻撃成功時相手が火傷ではない</t>
  </si>
  <si>
    <t>攻撃成功時相手が挑発ではない</t>
  </si>
  <si>
    <t>バトル中使用回数が〇以下</t>
  </si>
  <si>
    <t>Period中使用回数が〇以下</t>
  </si>
  <si>
    <t>ターン中使用回数が〇回に満たない</t>
  </si>
  <si>
    <t>かばうが成立する</t>
  </si>
  <si>
    <t>かばう成立後かばった対象</t>
  </si>
  <si>
    <t>行動Magicの消費Mpが〇</t>
  </si>
  <si>
    <t>攻撃を受けた対象のHpがParam1%以下 Param2==1で生存判定しない</t>
  </si>
  <si>
    <t>攻撃を受けた対象が戦闘不能になった</t>
  </si>
  <si>
    <t>攻撃を受けた対象がAbnorml状態になった</t>
  </si>
  <si>
    <t>攻撃を受けた対象がバフ状態になった</t>
  </si>
  <si>
    <t>1回の攻撃で〇ダメージ以上受ける</t>
  </si>
  <si>
    <t>味方が攻撃を受ける。Param2で対象指定</t>
  </si>
  <si>
    <t>自身が状態異常を受ける</t>
  </si>
  <si>
    <t>味方が状態異常を受ける。Param2で対象指定。Param3でState指定</t>
  </si>
  <si>
    <t>自身がパッシブを受ける</t>
  </si>
  <si>
    <t>自身がデバフを受ける</t>
  </si>
  <si>
    <t>味方が行動をする</t>
  </si>
  <si>
    <t>味方が攻撃を成功する</t>
  </si>
  <si>
    <t>味方がPassive魔法を成功する</t>
  </si>
  <si>
    <t>相手が回復をする</t>
  </si>
  <si>
    <t>相手が攻撃無効を発揮する</t>
  </si>
  <si>
    <t>攻撃をした時に相手が戦闘不能になる</t>
  </si>
  <si>
    <t>〇のKindを持っている味方</t>
  </si>
  <si>
    <t>〇のKindを持っている敵</t>
  </si>
  <si>
    <t>ステータスの高い味方</t>
  </si>
  <si>
    <t>ステータスの低い味方</t>
  </si>
  <si>
    <t>ステータスの高い敵</t>
  </si>
  <si>
    <t>ステータスの低い敵</t>
  </si>
  <si>
    <t>Lvが〇以上</t>
  </si>
  <si>
    <t>Lvが〇以下</t>
  </si>
  <si>
    <t>Lvが低い味方</t>
  </si>
  <si>
    <t>自身が攻撃タイプの行動をしようとしている</t>
  </si>
  <si>
    <t>味方が攻撃タイプの行動をしようとしている</t>
  </si>
  <si>
    <t>相手がバフの行動をしようとしている</t>
  </si>
  <si>
    <t>相手がRangeLの行動をしようとしている</t>
  </si>
  <si>
    <t>攻撃したのが自身</t>
  </si>
  <si>
    <t>元スキルを会得している</t>
  </si>
  <si>
    <t>魔法を〇回使用する</t>
  </si>
  <si>
    <t>攻撃を〇回受ける</t>
  </si>
  <si>
    <t>攻撃を〇回成功する</t>
  </si>
  <si>
    <t>アクティブ攻撃を〇回成功する</t>
  </si>
  <si>
    <t>クリティカル攻撃を受ける</t>
  </si>
  <si>
    <t>回避を〇回行う</t>
  </si>
  <si>
    <t>回復効果魔法を〇回行う</t>
  </si>
  <si>
    <t>拘束3回成功</t>
  </si>
  <si>
    <t>自分の味方である</t>
  </si>
  <si>
    <t>自分の敵である</t>
  </si>
  <si>
    <t>自身がParam1=Sconeの攻撃を受けるとき</t>
  </si>
  <si>
    <t>自身がParam1=Kindから攻撃を受けるとき</t>
  </si>
  <si>
    <t>自身が〇状態の時に攻撃を受ける</t>
  </si>
  <si>
    <t>自分以外が戦闘不能</t>
  </si>
  <si>
    <t>自身が戦闘不能になる</t>
  </si>
  <si>
    <t>敵全員が呪い状態</t>
  </si>
  <si>
    <t>敵全員が凍結状態</t>
  </si>
  <si>
    <t>味方に神化状態が〇以上</t>
  </si>
  <si>
    <t>Demigod魔法の属性が〇の味方が神化する</t>
  </si>
  <si>
    <t>相手が状態異常を発動する</t>
  </si>
  <si>
    <t>自身の攻撃で敵を倒す</t>
  </si>
  <si>
    <t>Demigod魔法の属性が〇</t>
  </si>
  <si>
    <t>自身が戦闘不能になる攻撃を受ける</t>
  </si>
  <si>
    <t>攻撃を回避した時</t>
  </si>
  <si>
    <t>対象の中で1番CTの長い魔法を持っている(ScopeTrigger用)</t>
  </si>
  <si>
    <t>終焉まで〇ターン</t>
  </si>
  <si>
    <t>存在猶予を延長している</t>
  </si>
  <si>
    <t>ダンジョンで移動する param2%turncount == param1</t>
  </si>
  <si>
    <t>ピリオド経過</t>
  </si>
  <si>
    <t>ダンジョン開始時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</si>
</sst>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rgb="FFFFFF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3" borderId="0" xfId="0" applyFill="1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im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tat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imations"/>
    </sheetNames>
    <sheetDataSet>
      <sheetData sheetId="0">
        <row r="1">
          <cell r="A1" t="str">
            <v>Id</v>
          </cell>
          <cell r="B1" t="str">
            <v>AnimationPath</v>
          </cell>
        </row>
        <row r="2">
          <cell r="A2">
            <v>1</v>
          </cell>
          <cell r="B2" t="str">
            <v>tktk01/Sword5</v>
          </cell>
        </row>
        <row r="3">
          <cell r="A3">
            <v>11</v>
          </cell>
          <cell r="B3" t="str">
            <v>tktk01/Magic2</v>
          </cell>
        </row>
        <row r="4">
          <cell r="A4">
            <v>31</v>
          </cell>
          <cell r="B4" t="str">
            <v>NA_Effekseer/NA_shooting_002</v>
          </cell>
        </row>
        <row r="5">
          <cell r="A5">
            <v>51</v>
          </cell>
          <cell r="B5" t="str">
            <v>NA_Effekseer/NA_aura_001</v>
          </cell>
        </row>
        <row r="6">
          <cell r="A6">
            <v>61</v>
          </cell>
          <cell r="B6" t="str">
            <v>NA_Effekseer/NA_aura_002</v>
          </cell>
        </row>
        <row r="7">
          <cell r="A7">
            <v>62</v>
          </cell>
          <cell r="B7" t="str">
            <v>tktk01/Fire2</v>
          </cell>
        </row>
        <row r="8">
          <cell r="A8">
            <v>63</v>
          </cell>
          <cell r="B8" t="str">
            <v>NA_Effekseer/NA_Fire_001</v>
          </cell>
        </row>
        <row r="9">
          <cell r="A9">
            <v>101</v>
          </cell>
          <cell r="B9" t="str">
            <v>MakerEffect/FireOne1</v>
          </cell>
        </row>
        <row r="10">
          <cell r="A10">
            <v>102</v>
          </cell>
          <cell r="B10" t="str">
            <v>MakerEffect/FireOne2</v>
          </cell>
        </row>
        <row r="11">
          <cell r="A11">
            <v>111</v>
          </cell>
          <cell r="B11" t="str">
            <v>MakerEffect/FireAll1</v>
          </cell>
        </row>
        <row r="12">
          <cell r="A12">
            <v>112</v>
          </cell>
          <cell r="B12" t="str">
            <v>MakerEffect/FireAll2</v>
          </cell>
        </row>
        <row r="13">
          <cell r="A13">
            <v>113</v>
          </cell>
          <cell r="B13" t="str">
            <v>MakerEffect/FireAll3</v>
          </cell>
        </row>
        <row r="14">
          <cell r="A14">
            <v>201</v>
          </cell>
          <cell r="B14" t="str">
            <v>MakerEffect/ThunderOne1</v>
          </cell>
        </row>
        <row r="15">
          <cell r="A15">
            <v>202</v>
          </cell>
          <cell r="B15" t="str">
            <v>MakerEffect/ThunderOne2</v>
          </cell>
        </row>
        <row r="16">
          <cell r="A16">
            <v>211</v>
          </cell>
          <cell r="B16" t="str">
            <v>MakerEffect/ThunderAll1</v>
          </cell>
        </row>
        <row r="17">
          <cell r="A17">
            <v>212</v>
          </cell>
          <cell r="B17" t="str">
            <v>MakerEffect/ThunderAll2</v>
          </cell>
        </row>
        <row r="18">
          <cell r="A18">
            <v>213</v>
          </cell>
          <cell r="B18" t="str">
            <v>MakerEffect/ThunderAll3</v>
          </cell>
        </row>
        <row r="19">
          <cell r="A19">
            <v>301</v>
          </cell>
          <cell r="B19" t="str">
            <v>MakerEffect/IceOne1</v>
          </cell>
        </row>
        <row r="20">
          <cell r="A20">
            <v>302</v>
          </cell>
          <cell r="B20" t="str">
            <v>MakerEffect/IceOne2</v>
          </cell>
        </row>
        <row r="21">
          <cell r="A21">
            <v>311</v>
          </cell>
          <cell r="B21" t="str">
            <v>MakerEffect/IceAll1</v>
          </cell>
        </row>
        <row r="22">
          <cell r="A22">
            <v>312</v>
          </cell>
          <cell r="B22" t="str">
            <v>MakerEffect/IceAll2</v>
          </cell>
        </row>
        <row r="23">
          <cell r="A23">
            <v>313</v>
          </cell>
          <cell r="B23" t="str">
            <v>MakerEffect/IceAll3</v>
          </cell>
        </row>
        <row r="24">
          <cell r="A24">
            <v>401</v>
          </cell>
          <cell r="B24" t="str">
            <v>MakerEffect/LightOne1</v>
          </cell>
        </row>
        <row r="25">
          <cell r="A25">
            <v>402</v>
          </cell>
          <cell r="B25" t="str">
            <v>MakerEffect/LightOne2</v>
          </cell>
        </row>
        <row r="26">
          <cell r="A26">
            <v>411</v>
          </cell>
          <cell r="B26" t="str">
            <v>MakerEffect/LightAll1</v>
          </cell>
        </row>
        <row r="27">
          <cell r="A27">
            <v>412</v>
          </cell>
          <cell r="B27" t="str">
            <v>MakerEffect/LightAll2</v>
          </cell>
        </row>
        <row r="28">
          <cell r="A28">
            <v>413</v>
          </cell>
          <cell r="B28" t="str">
            <v>MakerEffect/LightAll3</v>
          </cell>
        </row>
        <row r="29">
          <cell r="A29">
            <v>501</v>
          </cell>
          <cell r="B29" t="str">
            <v>MakerEffect/DarknessOne1</v>
          </cell>
        </row>
        <row r="30">
          <cell r="A30">
            <v>502</v>
          </cell>
          <cell r="B30" t="str">
            <v>MakerEffect/DarknessOne2</v>
          </cell>
        </row>
        <row r="31">
          <cell r="A31">
            <v>511</v>
          </cell>
          <cell r="B31" t="str">
            <v>MakerEffect/DarknessAll1</v>
          </cell>
        </row>
        <row r="32">
          <cell r="A32">
            <v>512</v>
          </cell>
          <cell r="B32" t="str">
            <v>MakerEffect/DarknessAll2</v>
          </cell>
        </row>
        <row r="33">
          <cell r="A33">
            <v>513</v>
          </cell>
          <cell r="B33" t="str">
            <v>MakerEffect/DarknessAll3</v>
          </cell>
        </row>
        <row r="34">
          <cell r="A34">
            <v>601</v>
          </cell>
          <cell r="B34" t="str">
            <v>MakerEffect/NeutralOne1</v>
          </cell>
        </row>
        <row r="35">
          <cell r="A35">
            <v>602</v>
          </cell>
          <cell r="B35" t="str">
            <v>MakerEffect/NeutralOne2</v>
          </cell>
        </row>
        <row r="36">
          <cell r="A36">
            <v>611</v>
          </cell>
          <cell r="B36" t="str">
            <v>MakerEffect/NeutralAll1</v>
          </cell>
        </row>
        <row r="37">
          <cell r="A37">
            <v>612</v>
          </cell>
          <cell r="B37" t="str">
            <v>MakerEffect/NeutralAll2</v>
          </cell>
        </row>
        <row r="38">
          <cell r="A38">
            <v>613</v>
          </cell>
          <cell r="B38" t="str">
            <v>MakerEffect/NeutralAll3</v>
          </cell>
        </row>
        <row r="39">
          <cell r="A39">
            <v>701</v>
          </cell>
          <cell r="B39" t="str">
            <v>MakerEffect/HealOne1</v>
          </cell>
        </row>
        <row r="40">
          <cell r="A40">
            <v>702</v>
          </cell>
          <cell r="B40" t="str">
            <v>MakerEffect/HealOne2</v>
          </cell>
        </row>
        <row r="41">
          <cell r="A41">
            <v>711</v>
          </cell>
          <cell r="B41" t="str">
            <v>MakerEffect/HealAll1</v>
          </cell>
        </row>
        <row r="42">
          <cell r="A42">
            <v>712</v>
          </cell>
          <cell r="B42" t="str">
            <v>MakerEffect/HealAll2</v>
          </cell>
        </row>
        <row r="43">
          <cell r="A43">
            <v>721</v>
          </cell>
          <cell r="B43" t="str">
            <v>MakerEffect/CureOne1</v>
          </cell>
        </row>
        <row r="44">
          <cell r="A44">
            <v>722</v>
          </cell>
          <cell r="B44" t="str">
            <v>MakerEffect/CureOne2</v>
          </cell>
        </row>
        <row r="45">
          <cell r="A45">
            <v>731</v>
          </cell>
          <cell r="B45" t="str">
            <v>MakerEffect/CureAll1</v>
          </cell>
        </row>
        <row r="46">
          <cell r="A46">
            <v>732</v>
          </cell>
          <cell r="B46" t="str">
            <v>MakerEffect/CureAll2</v>
          </cell>
        </row>
        <row r="47">
          <cell r="A47">
            <v>741</v>
          </cell>
          <cell r="B47" t="str">
            <v>MakerEffect/Revive1</v>
          </cell>
        </row>
        <row r="48">
          <cell r="A48">
            <v>742</v>
          </cell>
          <cell r="B48" t="str">
            <v>MakerEffect/Revive2</v>
          </cell>
        </row>
        <row r="49">
          <cell r="A49">
            <v>801</v>
          </cell>
          <cell r="B49" t="str">
            <v>MakerEffect/Powerup1</v>
          </cell>
        </row>
        <row r="50">
          <cell r="A50">
            <v>802</v>
          </cell>
          <cell r="B50" t="str">
            <v>MakerEffect/Powerup2</v>
          </cell>
        </row>
        <row r="51">
          <cell r="A51">
            <v>803</v>
          </cell>
          <cell r="B51" t="str">
            <v>MakerEffect/Powerup3</v>
          </cell>
        </row>
        <row r="52">
          <cell r="A52">
            <v>811</v>
          </cell>
          <cell r="B52" t="str">
            <v>MakerEffect/Powerdown1</v>
          </cell>
        </row>
        <row r="53">
          <cell r="A53">
            <v>812</v>
          </cell>
          <cell r="B53" t="str">
            <v>MakerEffect/Powerdown2</v>
          </cell>
        </row>
        <row r="54">
          <cell r="A54">
            <v>813</v>
          </cell>
          <cell r="B54" t="str">
            <v>MakerEffect/Powerdown3</v>
          </cell>
        </row>
        <row r="55">
          <cell r="A55">
            <v>901</v>
          </cell>
          <cell r="B55" t="str">
            <v>MakerEffect/Bind</v>
          </cell>
        </row>
        <row r="56">
          <cell r="A56">
            <v>902</v>
          </cell>
          <cell r="B56" t="str">
            <v>MakerEffect/Absorb</v>
          </cell>
        </row>
        <row r="57">
          <cell r="A57">
            <v>903</v>
          </cell>
          <cell r="B57" t="str">
            <v>MakerEffect/Poison</v>
          </cell>
        </row>
        <row r="58">
          <cell r="A58">
            <v>904</v>
          </cell>
          <cell r="B58" t="str">
            <v>MakerEffect/Blind</v>
          </cell>
        </row>
        <row r="59">
          <cell r="A59">
            <v>905</v>
          </cell>
          <cell r="B59" t="str">
            <v>MakerEffect/Silence</v>
          </cell>
        </row>
        <row r="60">
          <cell r="A60">
            <v>906</v>
          </cell>
          <cell r="B60" t="str">
            <v>MakerEffect/Sleep</v>
          </cell>
        </row>
        <row r="61">
          <cell r="A61">
            <v>907</v>
          </cell>
          <cell r="B61" t="str">
            <v>MakerEffect/Confusion</v>
          </cell>
        </row>
        <row r="62">
          <cell r="A62">
            <v>908</v>
          </cell>
          <cell r="B62" t="str">
            <v>MakerEffect/Paralyze</v>
          </cell>
        </row>
        <row r="63">
          <cell r="A63">
            <v>909</v>
          </cell>
          <cell r="B63" t="str">
            <v>MakerEffect/Death</v>
          </cell>
        </row>
        <row r="64">
          <cell r="A64">
            <v>1001</v>
          </cell>
          <cell r="B64" t="str">
            <v>MakerEffect/HitPhysical</v>
          </cell>
        </row>
        <row r="65">
          <cell r="A65">
            <v>1002</v>
          </cell>
          <cell r="B65" t="str">
            <v>MakerEffect/HitEffect</v>
          </cell>
        </row>
        <row r="66">
          <cell r="A66">
            <v>1003</v>
          </cell>
          <cell r="B66" t="str">
            <v>MakerEffect/HitFire</v>
          </cell>
        </row>
        <row r="67">
          <cell r="A67">
            <v>1004</v>
          </cell>
          <cell r="B67" t="str">
            <v>MakerEffect/HitIce</v>
          </cell>
        </row>
        <row r="68">
          <cell r="A68">
            <v>1005</v>
          </cell>
          <cell r="B68" t="str">
            <v>MakerEffect/HitThunder</v>
          </cell>
        </row>
        <row r="69">
          <cell r="A69">
            <v>1011</v>
          </cell>
          <cell r="B69" t="str">
            <v>MakerEffect/SlashPhysical</v>
          </cell>
        </row>
        <row r="70">
          <cell r="A70">
            <v>1012</v>
          </cell>
          <cell r="B70" t="str">
            <v>MakerEffect/SlashEffect</v>
          </cell>
        </row>
        <row r="71">
          <cell r="A71">
            <v>1013</v>
          </cell>
          <cell r="B71" t="str">
            <v>MakerEffect/SlashFire</v>
          </cell>
        </row>
        <row r="72">
          <cell r="A72">
            <v>1014</v>
          </cell>
          <cell r="B72" t="str">
            <v>MakerEffect/SlashIce</v>
          </cell>
        </row>
        <row r="73">
          <cell r="A73">
            <v>1015</v>
          </cell>
          <cell r="B73" t="str">
            <v>MakerEffect/SlashThunder</v>
          </cell>
        </row>
        <row r="74">
          <cell r="A74">
            <v>1021</v>
          </cell>
          <cell r="B74" t="str">
            <v>MakerEffect/PiercePhysical</v>
          </cell>
        </row>
        <row r="75">
          <cell r="A75">
            <v>1022</v>
          </cell>
          <cell r="B75" t="str">
            <v>MakerEffect/PierceEffect</v>
          </cell>
        </row>
        <row r="76">
          <cell r="A76">
            <v>1023</v>
          </cell>
          <cell r="B76" t="str">
            <v>MakerEffect/PierceFire</v>
          </cell>
        </row>
        <row r="77">
          <cell r="A77">
            <v>1024</v>
          </cell>
          <cell r="B77" t="str">
            <v>MakerEffect/PierceIce</v>
          </cell>
        </row>
        <row r="78">
          <cell r="A78">
            <v>1025</v>
          </cell>
          <cell r="B78" t="str">
            <v>MakerEffect/PierceThunder</v>
          </cell>
        </row>
        <row r="79">
          <cell r="A79">
            <v>1031</v>
          </cell>
          <cell r="B79" t="str">
            <v>MakerEffect/ClawPhysical</v>
          </cell>
        </row>
        <row r="80">
          <cell r="A80">
            <v>1032</v>
          </cell>
          <cell r="B80" t="str">
            <v>MakerEffect/ClawEffect</v>
          </cell>
        </row>
        <row r="81">
          <cell r="A81">
            <v>1033</v>
          </cell>
          <cell r="B81" t="str">
            <v>MakerEffect/ClawFire</v>
          </cell>
        </row>
        <row r="82">
          <cell r="A82">
            <v>1034</v>
          </cell>
          <cell r="B82" t="str">
            <v>MakerEffect/ClawIce</v>
          </cell>
        </row>
        <row r="83">
          <cell r="A83">
            <v>1035</v>
          </cell>
          <cell r="B83" t="str">
            <v>MakerEffect/ClawThunder</v>
          </cell>
        </row>
        <row r="84">
          <cell r="A84">
            <v>1041</v>
          </cell>
          <cell r="B84" t="str">
            <v>MakerEffect/HitSpecial1</v>
          </cell>
        </row>
        <row r="85">
          <cell r="A85">
            <v>1042</v>
          </cell>
          <cell r="B85" t="str">
            <v>MakerEffect/HitSpecial2</v>
          </cell>
        </row>
        <row r="86">
          <cell r="A86">
            <v>1051</v>
          </cell>
          <cell r="B86" t="str">
            <v>MakerEffect/SlashSpecial1</v>
          </cell>
        </row>
        <row r="87">
          <cell r="A87">
            <v>1052</v>
          </cell>
          <cell r="B87" t="str">
            <v>MakerEffect/SlashSpecial2</v>
          </cell>
        </row>
        <row r="88">
          <cell r="A88">
            <v>1061</v>
          </cell>
          <cell r="B88" t="str">
            <v>MakerEffect/PierceSpecial1</v>
          </cell>
        </row>
        <row r="89">
          <cell r="A89">
            <v>1062</v>
          </cell>
          <cell r="B89" t="str">
            <v>MakerEffect/PierceSpecial2</v>
          </cell>
        </row>
        <row r="90">
          <cell r="A90">
            <v>1071</v>
          </cell>
          <cell r="B90" t="str">
            <v>MakerEffect/ClawSpecial</v>
          </cell>
        </row>
        <row r="91">
          <cell r="A91">
            <v>1081</v>
          </cell>
          <cell r="B91" t="str">
            <v>MakerEffect/ArrowSpecial</v>
          </cell>
        </row>
        <row r="92">
          <cell r="A92">
            <v>1091</v>
          </cell>
          <cell r="B92" t="str">
            <v>MakerEffect/GeneralSpecial1</v>
          </cell>
        </row>
        <row r="93">
          <cell r="A93">
            <v>1092</v>
          </cell>
          <cell r="B93" t="str">
            <v>MakerEffect/GeneralSpecial2</v>
          </cell>
        </row>
        <row r="94">
          <cell r="A94">
            <v>1101</v>
          </cell>
          <cell r="B94" t="str">
            <v>MakerEffect/Breath</v>
          </cell>
        </row>
        <row r="95">
          <cell r="A95">
            <v>1102</v>
          </cell>
          <cell r="B95" t="str">
            <v>MakerEffect/Pollen</v>
          </cell>
        </row>
        <row r="96">
          <cell r="A96">
            <v>1103</v>
          </cell>
          <cell r="B96" t="str">
            <v>MakerEffect/SonicWave</v>
          </cell>
        </row>
        <row r="97">
          <cell r="A97">
            <v>1104</v>
          </cell>
          <cell r="B97" t="str">
            <v>MakerEffect/Fog</v>
          </cell>
        </row>
        <row r="98">
          <cell r="A98">
            <v>1105</v>
          </cell>
          <cell r="B98" t="str">
            <v>MakerEffect/Song</v>
          </cell>
        </row>
        <row r="99">
          <cell r="A99">
            <v>1106</v>
          </cell>
          <cell r="B99" t="str">
            <v>MakerEffect/Shout</v>
          </cell>
        </row>
        <row r="100">
          <cell r="A100">
            <v>1107</v>
          </cell>
          <cell r="B100" t="str">
            <v>MakerEffect/Sweep</v>
          </cell>
        </row>
        <row r="101">
          <cell r="A101">
            <v>1108</v>
          </cell>
          <cell r="B101" t="str">
            <v>MakerEffect/Bodyslam</v>
          </cell>
        </row>
        <row r="102">
          <cell r="A102">
            <v>1109</v>
          </cell>
          <cell r="B102" t="str">
            <v>MakerEffect/Flash</v>
          </cell>
        </row>
        <row r="103">
          <cell r="A103">
            <v>1201</v>
          </cell>
          <cell r="B103" t="str">
            <v>MakerEffect/WaterOne1</v>
          </cell>
        </row>
        <row r="104">
          <cell r="A104">
            <v>1202</v>
          </cell>
          <cell r="B104" t="str">
            <v>MakerEffect/WaterOne2</v>
          </cell>
        </row>
        <row r="105">
          <cell r="A105">
            <v>1211</v>
          </cell>
          <cell r="B105" t="str">
            <v>MakerEffect/WaterAll1</v>
          </cell>
        </row>
        <row r="106">
          <cell r="A106">
            <v>1212</v>
          </cell>
          <cell r="B106" t="str">
            <v>MakerEffect/WaterAll2</v>
          </cell>
        </row>
        <row r="107">
          <cell r="A107">
            <v>1213</v>
          </cell>
          <cell r="B107" t="str">
            <v>MakerEffect/WaterAll3</v>
          </cell>
        </row>
        <row r="108">
          <cell r="A108">
            <v>1301</v>
          </cell>
          <cell r="B108" t="str">
            <v>MakerEffect/EarthOne1</v>
          </cell>
        </row>
        <row r="109">
          <cell r="A109">
            <v>1302</v>
          </cell>
          <cell r="B109" t="str">
            <v>MakerEffect/EarthOne2</v>
          </cell>
        </row>
        <row r="110">
          <cell r="A110">
            <v>1311</v>
          </cell>
          <cell r="B110" t="str">
            <v>MakerEffect/EarthAll1</v>
          </cell>
        </row>
        <row r="111">
          <cell r="A111">
            <v>1312</v>
          </cell>
          <cell r="B111" t="str">
            <v>MakerEffect/EarthAll2</v>
          </cell>
        </row>
        <row r="112">
          <cell r="A112">
            <v>1313</v>
          </cell>
          <cell r="B112" t="str">
            <v>MakerEffect/EarthAll3</v>
          </cell>
        </row>
        <row r="113">
          <cell r="A113">
            <v>1401</v>
          </cell>
          <cell r="B113" t="str">
            <v>MakerEffect/WindOne1</v>
          </cell>
        </row>
        <row r="114">
          <cell r="A114">
            <v>1402</v>
          </cell>
          <cell r="B114" t="str">
            <v>MakerEffect/WindOne2</v>
          </cell>
        </row>
        <row r="115">
          <cell r="A115">
            <v>1411</v>
          </cell>
          <cell r="B115" t="str">
            <v>MakerEffect/WindAll1</v>
          </cell>
        </row>
        <row r="116">
          <cell r="A116">
            <v>1412</v>
          </cell>
          <cell r="B116" t="str">
            <v>MakerEffect/WindAll2</v>
          </cell>
        </row>
        <row r="117">
          <cell r="A117">
            <v>1413</v>
          </cell>
          <cell r="B117" t="str">
            <v>MakerEffect/WindAll3</v>
          </cell>
        </row>
        <row r="118">
          <cell r="A118">
            <v>1501</v>
          </cell>
          <cell r="B118" t="str">
            <v>MakerEffect/BallsOfLight</v>
          </cell>
        </row>
        <row r="119">
          <cell r="A119">
            <v>2101</v>
          </cell>
          <cell r="B119" t="str">
            <v>tktk01/Fire2</v>
          </cell>
        </row>
        <row r="120">
          <cell r="A120">
            <v>2102</v>
          </cell>
          <cell r="B120" t="str">
            <v>NA_Effekseer/NA_Fire_001</v>
          </cell>
        </row>
        <row r="121">
          <cell r="A121">
            <v>2103</v>
          </cell>
          <cell r="B121" t="str">
            <v>NA_Effekseer/NA_sword_001</v>
          </cell>
        </row>
        <row r="122">
          <cell r="A122">
            <v>2104</v>
          </cell>
          <cell r="B122" t="str">
            <v>NA_Effekseer/NA_magic_006_c1</v>
          </cell>
        </row>
        <row r="123">
          <cell r="A123">
            <v>2105</v>
          </cell>
          <cell r="B123" t="str">
            <v>NA_Effekseer/NA_magic_004_c1</v>
          </cell>
        </row>
        <row r="124">
          <cell r="A124">
            <v>2106</v>
          </cell>
          <cell r="B124" t="str">
            <v>NA_Effekseer_Vol_2/NA_v2_2.5d_element reservoir_fire</v>
          </cell>
        </row>
        <row r="125">
          <cell r="A125">
            <v>2201</v>
          </cell>
          <cell r="B125" t="str">
            <v>NA_Effekseer/NA_shooting_002</v>
          </cell>
        </row>
        <row r="126">
          <cell r="A126">
            <v>2202</v>
          </cell>
          <cell r="B126" t="str">
            <v>NA_Effekseer/NA_net_001</v>
          </cell>
        </row>
        <row r="127">
          <cell r="A127">
            <v>2203</v>
          </cell>
          <cell r="B127" t="str">
            <v>NA_Effekseer/NA_status_005</v>
          </cell>
        </row>
        <row r="128">
          <cell r="A128">
            <v>2204</v>
          </cell>
          <cell r="B128" t="str">
            <v>NA_Effekseer/NA_magic_003</v>
          </cell>
        </row>
        <row r="129">
          <cell r="A129">
            <v>2205</v>
          </cell>
          <cell r="B129" t="str">
            <v>NA_Effekseer/NA_exchange_001</v>
          </cell>
        </row>
        <row r="130">
          <cell r="A130">
            <v>2206</v>
          </cell>
          <cell r="B130" t="str">
            <v>tktk01/Blow10</v>
          </cell>
        </row>
        <row r="131">
          <cell r="A131">
            <v>2207</v>
          </cell>
          <cell r="B131" t="str">
            <v>NA_Effekseer/NA_net_002</v>
          </cell>
        </row>
        <row r="132">
          <cell r="A132">
            <v>2208</v>
          </cell>
          <cell r="B132" t="str">
            <v>EffekseerVol_3/NA_v3_3d_element shot_electric</v>
          </cell>
        </row>
        <row r="133">
          <cell r="A133">
            <v>2209</v>
          </cell>
          <cell r="B133" t="str">
            <v>NA_Effekseer/NA_aura_003</v>
          </cell>
        </row>
        <row r="134">
          <cell r="A134">
            <v>2210</v>
          </cell>
          <cell r="B134" t="str">
            <v>NA_Effekseer/NA_magic_006_c5</v>
          </cell>
        </row>
        <row r="135">
          <cell r="A135">
            <v>2211</v>
          </cell>
          <cell r="B135" t="str">
            <v>NA_Effekseer_Vol_2/NA_v2_2.5d_jump move_normal</v>
          </cell>
        </row>
        <row r="136">
          <cell r="A136">
            <v>2301</v>
          </cell>
          <cell r="B136" t="str">
            <v>NA_Effekseer/NA_slash_003_c3</v>
          </cell>
        </row>
        <row r="137">
          <cell r="A137">
            <v>2302</v>
          </cell>
          <cell r="B137" t="str">
            <v>tktk02/Light1</v>
          </cell>
        </row>
        <row r="138">
          <cell r="A138">
            <v>2303</v>
          </cell>
          <cell r="B138" t="str">
            <v>tktk02/Gun2</v>
          </cell>
        </row>
        <row r="139">
          <cell r="A139">
            <v>2304</v>
          </cell>
          <cell r="B139" t="str">
            <v>NA_Effekseer/NA_wave_001</v>
          </cell>
        </row>
        <row r="140">
          <cell r="A140">
            <v>2305</v>
          </cell>
          <cell r="B140" t="str">
            <v>NA_Effekseer/NA_magic_006</v>
          </cell>
        </row>
        <row r="141">
          <cell r="A141">
            <v>2306</v>
          </cell>
          <cell r="B141" t="str">
            <v>NA_Effekseer/NA_barrier_001</v>
          </cell>
        </row>
        <row r="142">
          <cell r="A142">
            <v>2307</v>
          </cell>
          <cell r="B142" t="str">
            <v>NA_Effekseer/NA_magic_008_c3</v>
          </cell>
        </row>
        <row r="143">
          <cell r="A143">
            <v>2308</v>
          </cell>
          <cell r="B143" t="str">
            <v>EffekseerVol_3/NA_v3_3d_fairy light_1</v>
          </cell>
        </row>
        <row r="144">
          <cell r="A144">
            <v>2309</v>
          </cell>
          <cell r="B144" t="str">
            <v>EffekseerVol_3/NA_v3_2.5d_fog_2</v>
          </cell>
        </row>
        <row r="145">
          <cell r="A145">
            <v>2310</v>
          </cell>
          <cell r="B145" t="str">
            <v>NA_Effekseer/NA_magic_006_c2</v>
          </cell>
        </row>
        <row r="146">
          <cell r="A146">
            <v>2311</v>
          </cell>
          <cell r="B146" t="str">
            <v>EffekseerVol_3/NA_v3_3d_residue_water</v>
          </cell>
        </row>
        <row r="147">
          <cell r="A147">
            <v>2401</v>
          </cell>
          <cell r="B147" t="str">
            <v>NA_Effekseer/NA_magic_007</v>
          </cell>
        </row>
        <row r="148">
          <cell r="A148">
            <v>2402</v>
          </cell>
          <cell r="B148" t="str">
            <v>tktk01/Sword7</v>
          </cell>
        </row>
        <row r="149">
          <cell r="A149">
            <v>2403</v>
          </cell>
          <cell r="B149" t="str">
            <v>NA_Effekseer/NA_healing_001</v>
          </cell>
        </row>
        <row r="150">
          <cell r="A150">
            <v>2404</v>
          </cell>
          <cell r="B150" t="str">
            <v>tktk01/Light2</v>
          </cell>
        </row>
        <row r="151">
          <cell r="A151">
            <v>2405</v>
          </cell>
          <cell r="B151" t="str">
            <v>tktk02/Light3</v>
          </cell>
        </row>
        <row r="152">
          <cell r="A152">
            <v>2406</v>
          </cell>
          <cell r="B152" t="str">
            <v>tktk01/Cure2</v>
          </cell>
        </row>
        <row r="153">
          <cell r="A153">
            <v>2407</v>
          </cell>
          <cell r="B153" t="str">
            <v>NA_Effekseer/NA_aura_005</v>
          </cell>
        </row>
        <row r="154">
          <cell r="A154">
            <v>2408</v>
          </cell>
          <cell r="B154" t="str">
            <v>EffekseerVol_3/NA_v3_2.5d_crash_1</v>
          </cell>
        </row>
        <row r="155">
          <cell r="A155">
            <v>2409</v>
          </cell>
          <cell r="B155" t="str">
            <v>EffekseerVol_3/NA_v3_2.5d_shining_5</v>
          </cell>
        </row>
        <row r="156">
          <cell r="A156">
            <v>2410</v>
          </cell>
          <cell r="B156" t="str">
            <v>tktk01/Cure1</v>
          </cell>
        </row>
        <row r="157">
          <cell r="A157">
            <v>2411</v>
          </cell>
          <cell r="B157" t="str">
            <v>NA_Effekseer/NA_magic_006_c7</v>
          </cell>
        </row>
        <row r="158">
          <cell r="A158">
            <v>2501</v>
          </cell>
          <cell r="B158" t="str">
            <v>tktk02/Dark1</v>
          </cell>
        </row>
        <row r="159">
          <cell r="A159">
            <v>2502</v>
          </cell>
          <cell r="B159" t="str">
            <v>NA_Effekseer/NA_wave_003</v>
          </cell>
        </row>
        <row r="160">
          <cell r="A160">
            <v>2503</v>
          </cell>
          <cell r="B160" t="str">
            <v>tktk01/Dark3</v>
          </cell>
        </row>
        <row r="161">
          <cell r="A161">
            <v>2504</v>
          </cell>
          <cell r="B161" t="str">
            <v>NA_Effekseer/NA_magic_002</v>
          </cell>
        </row>
        <row r="162">
          <cell r="A162">
            <v>2505</v>
          </cell>
          <cell r="B162" t="str">
            <v>NA_Effekseer/NA_curse_001</v>
          </cell>
        </row>
        <row r="163">
          <cell r="A163">
            <v>2506</v>
          </cell>
          <cell r="B163" t="str">
            <v>NA_Effekseer/NA_smoke_003_c7</v>
          </cell>
        </row>
        <row r="164">
          <cell r="A164">
            <v>2507</v>
          </cell>
          <cell r="B164" t="str">
            <v>NA_Effekseer/NA_magic_009</v>
          </cell>
        </row>
        <row r="165">
          <cell r="A165">
            <v>2508</v>
          </cell>
          <cell r="B165" t="str">
            <v>MakerEffect/Death</v>
          </cell>
        </row>
        <row r="166">
          <cell r="A166">
            <v>2509</v>
          </cell>
          <cell r="B166" t="str">
            <v>MakerEffect/Darkness1</v>
          </cell>
        </row>
        <row r="167">
          <cell r="A167">
            <v>2510</v>
          </cell>
          <cell r="B167" t="str">
            <v>NA_Effekseer/NA_magic_006_c8</v>
          </cell>
        </row>
        <row r="168">
          <cell r="A168">
            <v>2511</v>
          </cell>
          <cell r="B168" t="str">
            <v>NA_Effekseer/NA_smoke_004</v>
          </cell>
        </row>
        <row r="169">
          <cell r="A169">
            <v>3001</v>
          </cell>
          <cell r="B169" t="str">
            <v>Genfulew_Effect/B&amp;S_MinMax_HpUp</v>
          </cell>
        </row>
        <row r="170">
          <cell r="A170">
            <v>3002</v>
          </cell>
          <cell r="B170" t="str">
            <v>Genfulew_Effect/B&amp;S_MinMax_HpDown</v>
          </cell>
        </row>
        <row r="171">
          <cell r="A171">
            <v>3003</v>
          </cell>
          <cell r="B171" t="str">
            <v>Genfulew_Effect/B&amp;S_MinMax_MpUp</v>
          </cell>
        </row>
        <row r="172">
          <cell r="A172">
            <v>3004</v>
          </cell>
          <cell r="B172" t="str">
            <v>Genfulew_Effect/B&amp;S_MinMax_MpDown</v>
          </cell>
        </row>
        <row r="173">
          <cell r="A173">
            <v>3005</v>
          </cell>
          <cell r="B173" t="str">
            <v>Genfulew_Effect/B&amp;S_MinMax_AttackUp</v>
          </cell>
        </row>
        <row r="174">
          <cell r="A174">
            <v>3006</v>
          </cell>
          <cell r="B174" t="str">
            <v>Genfulew_Effect/B&amp;S_MinMax_AttackDown</v>
          </cell>
        </row>
        <row r="175">
          <cell r="A175">
            <v>3007</v>
          </cell>
          <cell r="B175" t="str">
            <v>Genfulew_Effect/B&amp;S_MinMax_DefenseUp</v>
          </cell>
        </row>
        <row r="176">
          <cell r="A176">
            <v>3008</v>
          </cell>
          <cell r="B176" t="str">
            <v>Genfulew_Effect/B&amp;S_MinMax_DefenseDown</v>
          </cell>
        </row>
        <row r="177">
          <cell r="A177">
            <v>3009</v>
          </cell>
          <cell r="B177" t="str">
            <v>Genfulew_Effect/B&amp;S_MinMax_MagicAttackUp</v>
          </cell>
        </row>
        <row r="178">
          <cell r="A178">
            <v>3010</v>
          </cell>
          <cell r="B178" t="str">
            <v>Genfulew_Effect/B&amp;S_MinMax_MagicAttackDown</v>
          </cell>
        </row>
        <row r="179">
          <cell r="A179">
            <v>3011</v>
          </cell>
          <cell r="B179" t="str">
            <v>Genfulew_Effect/B&amp;S_MinMax_MagicDefenseUp</v>
          </cell>
        </row>
        <row r="180">
          <cell r="A180">
            <v>3012</v>
          </cell>
          <cell r="B180" t="str">
            <v>Genfulew_Effect/B&amp;S_MinMax_MagicDefenseDown</v>
          </cell>
        </row>
        <row r="181">
          <cell r="A181">
            <v>3013</v>
          </cell>
          <cell r="B181" t="str">
            <v>Genfulew_Effect/B&amp;S_MinMax_AgilityUp</v>
          </cell>
        </row>
        <row r="182">
          <cell r="A182">
            <v>3014</v>
          </cell>
          <cell r="B182" t="str">
            <v>Genfulew_Effect/B&amp;S_MinMax_AgilityDown</v>
          </cell>
        </row>
        <row r="183">
          <cell r="A183">
            <v>3015</v>
          </cell>
          <cell r="B183" t="str">
            <v>Genfulew_Effect/B&amp;S_MinMax_LuckUp</v>
          </cell>
        </row>
        <row r="184">
          <cell r="A184">
            <v>3016</v>
          </cell>
          <cell r="B184" t="str">
            <v>Genfulew_Effect/B&amp;S_MinMax_LuckDown</v>
          </cell>
        </row>
        <row r="185">
          <cell r="A185">
            <v>3017</v>
          </cell>
          <cell r="B185" t="str">
            <v>Genfulew_Effect/B&amp;S_MinMax_AllUp</v>
          </cell>
        </row>
        <row r="186">
          <cell r="A186">
            <v>3018</v>
          </cell>
          <cell r="B186" t="str">
            <v>Genfulew_Effect/B&amp;S_MinMax_AllDown</v>
          </cell>
        </row>
        <row r="187">
          <cell r="A187">
            <v>3019</v>
          </cell>
          <cell r="B187" t="str">
            <v>Genfulew_Effect/B&amp;S_MinMax_Resurrection1</v>
          </cell>
        </row>
        <row r="188">
          <cell r="A188">
            <v>3020</v>
          </cell>
          <cell r="B188" t="str">
            <v>Genfulew_Effect/B&amp;S_MinMax_Resurrection2</v>
          </cell>
        </row>
        <row r="189">
          <cell r="A189">
            <v>3021</v>
          </cell>
          <cell r="B189" t="str">
            <v>Genfulew_Effect/B&amp;S_MinMax_Resurrection3</v>
          </cell>
        </row>
        <row r="190">
          <cell r="A190">
            <v>3022</v>
          </cell>
          <cell r="B190" t="str">
            <v>Genfulew_Effect/B&amp;S_MinMax_Resurrection4</v>
          </cell>
        </row>
        <row r="191">
          <cell r="A191">
            <v>3023</v>
          </cell>
          <cell r="B191" t="str">
            <v>Genfulew_Effect/B&amp;S_MinMax_Cure</v>
          </cell>
        </row>
        <row r="192">
          <cell r="A192">
            <v>3024</v>
          </cell>
          <cell r="B192" t="str">
            <v>Genfulew_Effect/B&amp;S_MinMax_HpAbsorp</v>
          </cell>
        </row>
        <row r="193">
          <cell r="A193">
            <v>3025</v>
          </cell>
          <cell r="B193" t="str">
            <v>Genfulew_Effect/B&amp;S_MinMax_MpAbsorp</v>
          </cell>
        </row>
        <row r="194">
          <cell r="A194">
            <v>3026</v>
          </cell>
          <cell r="B194" t="str">
            <v>Genfulew_Effect/B&amp;S_MinMax_MpDamage</v>
          </cell>
        </row>
        <row r="195">
          <cell r="A195">
            <v>3027</v>
          </cell>
          <cell r="B195" t="str">
            <v>Genfulew_Effect/B&amp;S_MinMax_Regeneration1</v>
          </cell>
        </row>
        <row r="196">
          <cell r="A196">
            <v>3028</v>
          </cell>
          <cell r="B196" t="str">
            <v>Genfulew_Effect/B&amp;S_MinMax_Regeneration2</v>
          </cell>
        </row>
        <row r="197">
          <cell r="A197">
            <v>3029</v>
          </cell>
          <cell r="B197" t="str">
            <v>Genfulew_Effect/B&amp;S_MinMax_Regeneration3</v>
          </cell>
        </row>
        <row r="198">
          <cell r="A198">
            <v>3030</v>
          </cell>
          <cell r="B198" t="str">
            <v>Genfulew_Effect/B&amp;S_MinMax_Poison</v>
          </cell>
        </row>
        <row r="199">
          <cell r="A199">
            <v>3031</v>
          </cell>
          <cell r="B199" t="str">
            <v>Genfulew_Effect/B&amp;S_MinMax_Blind</v>
          </cell>
        </row>
        <row r="200">
          <cell r="A200">
            <v>3032</v>
          </cell>
          <cell r="B200" t="str">
            <v>Genfulew_Effect/B&amp;S_MinMax_Silent</v>
          </cell>
        </row>
        <row r="201">
          <cell r="A201">
            <v>3033</v>
          </cell>
          <cell r="B201" t="str">
            <v>Genfulew_Effect/B&amp;S_MinMax_Rage</v>
          </cell>
        </row>
        <row r="202">
          <cell r="A202">
            <v>3034</v>
          </cell>
          <cell r="B202" t="str">
            <v>Genfulew_Effect/B&amp;S_MinMax_Confusion</v>
          </cell>
        </row>
        <row r="203">
          <cell r="A203">
            <v>3035</v>
          </cell>
          <cell r="B203" t="str">
            <v>Genfulew_Effect/B&amp;S_MinMax_Charm</v>
          </cell>
        </row>
        <row r="204">
          <cell r="A204">
            <v>3036</v>
          </cell>
          <cell r="B204" t="str">
            <v>Genfulew_Effect/B&amp;S_MinMax_Sleep</v>
          </cell>
        </row>
        <row r="205">
          <cell r="A205">
            <v>3037</v>
          </cell>
          <cell r="B205" t="str">
            <v>Genfulew_Effect/B&amp;S_MinMax_Paralyze</v>
          </cell>
        </row>
        <row r="206">
          <cell r="A206">
            <v>3038</v>
          </cell>
          <cell r="B206" t="str">
            <v>Genfulew_Effect/B&amp;S_MinMax_Stun</v>
          </cell>
        </row>
        <row r="207">
          <cell r="A207">
            <v>3039</v>
          </cell>
          <cell r="B207" t="str">
            <v>Genfulew_Effect/B&amp;S_MinMax_Petrifaction</v>
          </cell>
        </row>
        <row r="208">
          <cell r="A208">
            <v>3040</v>
          </cell>
          <cell r="B208" t="str">
            <v>Genfulew_Effect/B&amp;S_MinMax_Death</v>
          </cell>
        </row>
        <row r="209">
          <cell r="A209">
            <v>3041</v>
          </cell>
          <cell r="B209" t="str">
            <v>Genfulew_Effect/B&amp;S_MinMax_Burn</v>
          </cell>
        </row>
        <row r="210">
          <cell r="A210">
            <v>3042</v>
          </cell>
          <cell r="B210" t="str">
            <v>Genfulew_Effect/B&amp;S_MinMax_Freeze</v>
          </cell>
        </row>
        <row r="211">
          <cell r="A211">
            <v>3043</v>
          </cell>
          <cell r="B211" t="str">
            <v>Genfulew_Effect/B&amp;S_MinMax_Reflect</v>
          </cell>
        </row>
        <row r="212">
          <cell r="A212">
            <v>3044</v>
          </cell>
          <cell r="B212" t="str">
            <v>Genfulew_Effect/B&amp;S_MinMax_Transparent</v>
          </cell>
        </row>
        <row r="213">
          <cell r="A213">
            <v>3045</v>
          </cell>
          <cell r="B213" t="str">
            <v>Genfulew_Effect/B&amp;S_MinMax_Float</v>
          </cell>
        </row>
        <row r="214">
          <cell r="A214">
            <v>3046</v>
          </cell>
          <cell r="B214" t="str">
            <v>Genfulew_Effect/B&amp;S_MinMax_Zombie</v>
          </cell>
        </row>
        <row r="215">
          <cell r="A215">
            <v>3047</v>
          </cell>
          <cell r="B215" t="str">
            <v>Genfulew_Effect/B&amp;S_MinMax_Dispel</v>
          </cell>
        </row>
        <row r="216">
          <cell r="A216">
            <v>3101</v>
          </cell>
          <cell r="B216" t="str">
            <v>Genfulew_Effect/EE10+1_FireOne1</v>
          </cell>
        </row>
        <row r="217">
          <cell r="A217">
            <v>3102</v>
          </cell>
          <cell r="B217" t="str">
            <v>Genfulew_Effect/EE10+1_FireOne2</v>
          </cell>
        </row>
        <row r="218">
          <cell r="A218">
            <v>3103</v>
          </cell>
          <cell r="B218" t="str">
            <v>Genfulew_Effect/EE10+1_FireOne3</v>
          </cell>
        </row>
        <row r="219">
          <cell r="A219">
            <v>3104</v>
          </cell>
          <cell r="B219" t="str">
            <v>Genfulew_Effect/EE10+1_FireAll1</v>
          </cell>
        </row>
        <row r="220">
          <cell r="A220">
            <v>3105</v>
          </cell>
          <cell r="B220" t="str">
            <v>Genfulew_Effect/EE10+1_FireAll2</v>
          </cell>
        </row>
        <row r="221">
          <cell r="A221">
            <v>3106</v>
          </cell>
          <cell r="B221" t="str">
            <v>Genfulew_Effect/EE10+1_IceOne1</v>
          </cell>
        </row>
        <row r="222">
          <cell r="A222">
            <v>3107</v>
          </cell>
          <cell r="B222" t="str">
            <v>Genfulew_Effect/EE10+1_IceOne2</v>
          </cell>
        </row>
        <row r="223">
          <cell r="A223">
            <v>3108</v>
          </cell>
          <cell r="B223" t="str">
            <v>Genfulew_Effect/EE10+1_IceOne3</v>
          </cell>
        </row>
        <row r="224">
          <cell r="A224">
            <v>3109</v>
          </cell>
          <cell r="B224" t="str">
            <v>Genfulew_Effect/EE10+1_IceAll1</v>
          </cell>
        </row>
        <row r="225">
          <cell r="A225">
            <v>3110</v>
          </cell>
          <cell r="B225" t="str">
            <v>Genfulew_Effect/EE10+1_IceAll2</v>
          </cell>
        </row>
        <row r="226">
          <cell r="A226">
            <v>3111</v>
          </cell>
          <cell r="B226" t="str">
            <v>Genfulew_Effect/EE10+1_ThunderOne1</v>
          </cell>
        </row>
        <row r="227">
          <cell r="A227">
            <v>3112</v>
          </cell>
          <cell r="B227" t="str">
            <v>Genfulew_Effect/EE10+1_ThunderOne2</v>
          </cell>
        </row>
        <row r="228">
          <cell r="A228">
            <v>3113</v>
          </cell>
          <cell r="B228" t="str">
            <v>Genfulew_Effect/EE10+1_ThunderOne3</v>
          </cell>
        </row>
        <row r="229">
          <cell r="A229">
            <v>3114</v>
          </cell>
          <cell r="B229" t="str">
            <v>Genfulew_Effect/EE10+1_ThunderAll1</v>
          </cell>
        </row>
        <row r="230">
          <cell r="A230">
            <v>3115</v>
          </cell>
          <cell r="B230" t="str">
            <v>Genfulew_Effect/EE10+1_ThunderAll2</v>
          </cell>
        </row>
        <row r="231">
          <cell r="A231">
            <v>3116</v>
          </cell>
          <cell r="B231" t="str">
            <v>Genfulew_Effect/EE10+1_WaterOne1</v>
          </cell>
        </row>
        <row r="232">
          <cell r="A232">
            <v>3117</v>
          </cell>
          <cell r="B232" t="str">
            <v>Genfulew_Effect/EE10+1_WaterOne2</v>
          </cell>
        </row>
        <row r="233">
          <cell r="A233">
            <v>3118</v>
          </cell>
          <cell r="B233" t="str">
            <v>Genfulew_Effect/EE10+1_WaterOne3</v>
          </cell>
        </row>
        <row r="234">
          <cell r="A234">
            <v>3119</v>
          </cell>
          <cell r="B234" t="str">
            <v>Genfulew_Effect/EE10+1_WaterAll1</v>
          </cell>
        </row>
        <row r="235">
          <cell r="A235">
            <v>3120</v>
          </cell>
          <cell r="B235" t="str">
            <v>Genfulew_Effect/EE10+1_WaterAll2</v>
          </cell>
        </row>
        <row r="236">
          <cell r="A236">
            <v>3121</v>
          </cell>
          <cell r="B236" t="str">
            <v>Genfulew_Effect/EE10+1_EarthOne1</v>
          </cell>
        </row>
        <row r="237">
          <cell r="A237">
            <v>3122</v>
          </cell>
          <cell r="B237" t="str">
            <v>Genfulew_Effect/EE10+1_EarthOne2</v>
          </cell>
        </row>
        <row r="238">
          <cell r="A238">
            <v>3123</v>
          </cell>
          <cell r="B238" t="str">
            <v>Genfulew_Effect/EE10+1_EarthOne3</v>
          </cell>
        </row>
        <row r="239">
          <cell r="A239">
            <v>3124</v>
          </cell>
          <cell r="B239" t="str">
            <v>Genfulew_Effect/EE10+1_EarthAll1</v>
          </cell>
        </row>
        <row r="240">
          <cell r="A240">
            <v>3125</v>
          </cell>
          <cell r="B240" t="str">
            <v>Genfulew_Effect/EE10+1_EarthAll2</v>
          </cell>
        </row>
        <row r="241">
          <cell r="A241">
            <v>3126</v>
          </cell>
          <cell r="B241" t="str">
            <v>Genfulew_Effect/EE10+1_WindOne1</v>
          </cell>
        </row>
        <row r="242">
          <cell r="A242">
            <v>3127</v>
          </cell>
          <cell r="B242" t="str">
            <v>Genfulew_Effect/EE10+1_WindOne2</v>
          </cell>
        </row>
        <row r="243">
          <cell r="A243">
            <v>3128</v>
          </cell>
          <cell r="B243" t="str">
            <v>Genfulew_Effect/EE10+1_WindOne3</v>
          </cell>
        </row>
        <row r="244">
          <cell r="A244">
            <v>3129</v>
          </cell>
          <cell r="B244" t="str">
            <v>Genfulew_Effect/EE10+1_WindAll1</v>
          </cell>
        </row>
        <row r="245">
          <cell r="A245">
            <v>3130</v>
          </cell>
          <cell r="B245" t="str">
            <v>Genfulew_Effect/EE10+1_WindAll2</v>
          </cell>
        </row>
        <row r="246">
          <cell r="A246">
            <v>3131</v>
          </cell>
          <cell r="B246" t="str">
            <v>Genfulew_Effect/EE10+1_LightOne1</v>
          </cell>
        </row>
        <row r="247">
          <cell r="A247">
            <v>3132</v>
          </cell>
          <cell r="B247" t="str">
            <v>Genfulew_Effect/EE10+1_LightOne2</v>
          </cell>
        </row>
        <row r="248">
          <cell r="A248">
            <v>3133</v>
          </cell>
          <cell r="B248" t="str">
            <v>Genfulew_Effect/EE10+1_LightOne3</v>
          </cell>
        </row>
        <row r="249">
          <cell r="A249">
            <v>3134</v>
          </cell>
          <cell r="B249" t="str">
            <v>Genfulew_Effect/EE10+1_LightAll1</v>
          </cell>
        </row>
        <row r="250">
          <cell r="A250">
            <v>3135</v>
          </cell>
          <cell r="B250" t="str">
            <v>Genfulew_Effect/EE10+1_LightAll2</v>
          </cell>
        </row>
        <row r="251">
          <cell r="A251">
            <v>3136</v>
          </cell>
          <cell r="B251" t="str">
            <v>Genfulew_Effect/EE10+1_DarknessOne1</v>
          </cell>
        </row>
        <row r="252">
          <cell r="A252">
            <v>3137</v>
          </cell>
          <cell r="B252" t="str">
            <v>Genfulew_Effect/EE10+1_DarknessOne2</v>
          </cell>
        </row>
        <row r="253">
          <cell r="A253">
            <v>3138</v>
          </cell>
          <cell r="B253" t="str">
            <v>Genfulew_Effect/EE10+1_DarknessOne3</v>
          </cell>
        </row>
        <row r="254">
          <cell r="A254">
            <v>3139</v>
          </cell>
          <cell r="B254" t="str">
            <v>Genfulew_Effect/EE10+1_DarknessAll1</v>
          </cell>
        </row>
        <row r="255">
          <cell r="A255">
            <v>3140</v>
          </cell>
          <cell r="B255" t="str">
            <v>Genfulew_Effect/EE10+1_DarknessAll2</v>
          </cell>
        </row>
        <row r="256">
          <cell r="A256">
            <v>3141</v>
          </cell>
          <cell r="B256" t="str">
            <v>Genfulew_Effect/EE10+1_StarOne1</v>
          </cell>
        </row>
        <row r="257">
          <cell r="A257">
            <v>3142</v>
          </cell>
          <cell r="B257" t="str">
            <v>Genfulew_Effect/EE10+1_StarOne2</v>
          </cell>
        </row>
        <row r="258">
          <cell r="A258">
            <v>3143</v>
          </cell>
          <cell r="B258" t="str">
            <v>Genfulew_Effect/EE10+1_StarOne3</v>
          </cell>
        </row>
        <row r="259">
          <cell r="A259">
            <v>3144</v>
          </cell>
          <cell r="B259" t="str">
            <v>Genfulew_Effect/EE10+1_StarAll1</v>
          </cell>
        </row>
        <row r="260">
          <cell r="A260">
            <v>3145</v>
          </cell>
          <cell r="B260" t="str">
            <v>Genfulew_Effect/EE10+1_StarAll2</v>
          </cell>
        </row>
        <row r="261">
          <cell r="A261">
            <v>3146</v>
          </cell>
          <cell r="B261" t="str">
            <v>Genfulew_Effect/EE10+1_NeutralOne1</v>
          </cell>
        </row>
        <row r="262">
          <cell r="A262">
            <v>3147</v>
          </cell>
          <cell r="B262" t="str">
            <v>Genfulew_Effect/EE10+1_NeutralOne2</v>
          </cell>
        </row>
        <row r="263">
          <cell r="A263">
            <v>3148</v>
          </cell>
          <cell r="B263" t="str">
            <v>Genfulew_Effect/EE10+1_NeutralOne3</v>
          </cell>
        </row>
        <row r="264">
          <cell r="A264">
            <v>3149</v>
          </cell>
          <cell r="B264" t="str">
            <v>Genfulew_Effect/EE10+1_NeutralAll1</v>
          </cell>
        </row>
        <row r="265">
          <cell r="A265">
            <v>3150</v>
          </cell>
          <cell r="B265" t="str">
            <v>Genfulew_Effect/EE10+1_NeutralAll2</v>
          </cell>
        </row>
        <row r="266">
          <cell r="A266">
            <v>3151</v>
          </cell>
          <cell r="B266" t="str">
            <v>Genfulew_Effect/EE10+1_HealOne1</v>
          </cell>
        </row>
        <row r="267">
          <cell r="A267">
            <v>3152</v>
          </cell>
          <cell r="B267" t="str">
            <v>Genfulew_Effect/EE10+1_HealOne2</v>
          </cell>
        </row>
        <row r="268">
          <cell r="A268">
            <v>3153</v>
          </cell>
          <cell r="B268" t="str">
            <v>Genfulew_Effect/EE10+1_HealOne3</v>
          </cell>
        </row>
        <row r="269">
          <cell r="A269">
            <v>3154</v>
          </cell>
          <cell r="B269" t="str">
            <v>Genfulew_Effect/EE10+1_HealAll1</v>
          </cell>
        </row>
        <row r="270">
          <cell r="A270">
            <v>3155</v>
          </cell>
          <cell r="B270" t="str">
            <v>Genfulew_Effect/EE10+1_HeallAll2</v>
          </cell>
        </row>
        <row r="271">
          <cell r="A271">
            <v>3201</v>
          </cell>
          <cell r="B271" t="str">
            <v>Genfulew_Effect/Arms_FB_Sword1</v>
          </cell>
        </row>
        <row r="272">
          <cell r="A272">
            <v>3202</v>
          </cell>
          <cell r="B272" t="str">
            <v>Genfulew_Effect/Arms_FB_Sword2</v>
          </cell>
        </row>
        <row r="273">
          <cell r="A273">
            <v>3203</v>
          </cell>
          <cell r="B273" t="str">
            <v>Genfulew_Effect/Arms_FB_Sword3E</v>
          </cell>
        </row>
        <row r="274">
          <cell r="A274">
            <v>3204</v>
          </cell>
          <cell r="B274" t="str">
            <v>Genfulew_Effect/Arms_FB_Sword4</v>
          </cell>
        </row>
        <row r="275">
          <cell r="A275">
            <v>3205</v>
          </cell>
          <cell r="B275" t="str">
            <v>Genfulew_Effect/Arms_FB_Sword5</v>
          </cell>
        </row>
        <row r="276">
          <cell r="A276">
            <v>3206</v>
          </cell>
          <cell r="B276" t="str">
            <v>Genfulew_Effect/Arms_FB_Sword6</v>
          </cell>
        </row>
        <row r="277">
          <cell r="A277">
            <v>3207</v>
          </cell>
          <cell r="B277" t="str">
            <v>Genfulew_Effect/Arms_FB_Sword7</v>
          </cell>
        </row>
        <row r="278">
          <cell r="A278">
            <v>3208</v>
          </cell>
          <cell r="B278" t="str">
            <v>Genfulew_Effect/Arms_FB_Sword8</v>
          </cell>
        </row>
        <row r="279">
          <cell r="A279">
            <v>3209</v>
          </cell>
          <cell r="B279" t="str">
            <v>Genfulew_Effect/Arms_FB_Spear1F</v>
          </cell>
        </row>
        <row r="280">
          <cell r="A280">
            <v>3210</v>
          </cell>
          <cell r="B280" t="str">
            <v>Genfulew_Effect/Arms_FB_Spear2</v>
          </cell>
        </row>
        <row r="281">
          <cell r="A281">
            <v>3211</v>
          </cell>
          <cell r="B281" t="str">
            <v>Genfulew_Effect/Arms_FB_Spear3</v>
          </cell>
        </row>
        <row r="282">
          <cell r="A282">
            <v>3212</v>
          </cell>
          <cell r="B282" t="str">
            <v>Genfulew_Effect/Arms_FB_Spear4F</v>
          </cell>
        </row>
        <row r="283">
          <cell r="A283">
            <v>3213</v>
          </cell>
          <cell r="B283" t="str">
            <v>Genfulew_Effect/Arms_FB_Spear5F</v>
          </cell>
        </row>
        <row r="284">
          <cell r="A284">
            <v>3214</v>
          </cell>
          <cell r="B284" t="str">
            <v>Genfulew_Effect/Arms_FB_Spear6</v>
          </cell>
        </row>
        <row r="285">
          <cell r="A285">
            <v>3215</v>
          </cell>
          <cell r="B285" t="str">
            <v>Genfulew_Effect/Arms_FB_Spear7</v>
          </cell>
        </row>
        <row r="286">
          <cell r="A286">
            <v>3216</v>
          </cell>
          <cell r="B286" t="str">
            <v>Genfulew_Effect/Arms_FB_Spear8</v>
          </cell>
        </row>
        <row r="287">
          <cell r="A287">
            <v>3217</v>
          </cell>
          <cell r="B287" t="str">
            <v>Genfulew_Effect/Arms_FB_Axe1</v>
          </cell>
        </row>
        <row r="288">
          <cell r="A288">
            <v>3218</v>
          </cell>
          <cell r="B288" t="str">
            <v>Genfulew_Effect/Arms_FB_Axe2</v>
          </cell>
        </row>
        <row r="289">
          <cell r="A289">
            <v>3219</v>
          </cell>
          <cell r="B289" t="str">
            <v>Genfulew_Effect/Arms_FB_Axe3F</v>
          </cell>
        </row>
        <row r="290">
          <cell r="A290">
            <v>3220</v>
          </cell>
          <cell r="B290" t="str">
            <v>Genfulew_Effect/Arms_FB_Axe4F</v>
          </cell>
        </row>
        <row r="291">
          <cell r="A291">
            <v>3221</v>
          </cell>
          <cell r="B291" t="str">
            <v>Genfulew_Effect/Arms_FB_Axe5</v>
          </cell>
        </row>
        <row r="292">
          <cell r="A292">
            <v>3222</v>
          </cell>
          <cell r="B292" t="str">
            <v>Genfulew_Effect/Arms_FB_Axe6</v>
          </cell>
        </row>
        <row r="293">
          <cell r="A293">
            <v>3223</v>
          </cell>
          <cell r="B293" t="str">
            <v>Genfulew_Effect/Arms_FB_Axe7</v>
          </cell>
        </row>
        <row r="294">
          <cell r="A294">
            <v>3224</v>
          </cell>
          <cell r="B294" t="str">
            <v>Genfulew_Effect/Arms_FB_Axe8F</v>
          </cell>
        </row>
        <row r="295">
          <cell r="A295">
            <v>3225</v>
          </cell>
          <cell r="B295" t="str">
            <v>Genfulew_Effect/Arms_FB_Arrow1F</v>
          </cell>
        </row>
        <row r="296">
          <cell r="A296">
            <v>3226</v>
          </cell>
          <cell r="B296" t="str">
            <v>Genfulew_Effect/Arms_FB_Arrow2F</v>
          </cell>
        </row>
        <row r="297">
          <cell r="A297">
            <v>3227</v>
          </cell>
          <cell r="B297" t="str">
            <v>Genfulew_Effect/Arms_FB_Arrow3F</v>
          </cell>
        </row>
        <row r="298">
          <cell r="A298">
            <v>3228</v>
          </cell>
          <cell r="B298" t="str">
            <v>Genfulew_Effect/Arms_FB_Arrow4</v>
          </cell>
        </row>
        <row r="299">
          <cell r="A299">
            <v>3229</v>
          </cell>
          <cell r="B299" t="str">
            <v>Genfulew_Effect/Arms_FB_Arrow5F</v>
          </cell>
        </row>
        <row r="300">
          <cell r="A300">
            <v>3230</v>
          </cell>
          <cell r="B300" t="str">
            <v>Genfulew_Effect/Arms_FB_Arrow6F</v>
          </cell>
        </row>
        <row r="301">
          <cell r="A301">
            <v>3231</v>
          </cell>
          <cell r="B301" t="str">
            <v>Genfulew_Effect/Arms_FB_Arrow7</v>
          </cell>
        </row>
        <row r="302">
          <cell r="A302">
            <v>3232</v>
          </cell>
          <cell r="B302" t="str">
            <v>Genfulew_Effect/Arms_FB_Arrow8F</v>
          </cell>
        </row>
        <row r="303">
          <cell r="A303">
            <v>3233</v>
          </cell>
          <cell r="B303" t="str">
            <v>Genfulew_Effect/Arms_FB_Dagger1</v>
          </cell>
        </row>
        <row r="304">
          <cell r="A304">
            <v>3234</v>
          </cell>
          <cell r="B304" t="str">
            <v>Genfulew_Effect/Arms_FB_Dagger2</v>
          </cell>
        </row>
        <row r="305">
          <cell r="A305">
            <v>3235</v>
          </cell>
          <cell r="B305" t="str">
            <v>Genfulew_Effect/Arms_FB_Dagger3F</v>
          </cell>
        </row>
        <row r="306">
          <cell r="A306">
            <v>3236</v>
          </cell>
          <cell r="B306" t="str">
            <v>Genfulew_Effect/Arms_FB_Dagger4F</v>
          </cell>
        </row>
        <row r="307">
          <cell r="A307">
            <v>3237</v>
          </cell>
          <cell r="B307" t="str">
            <v>Genfulew_Effect/Arms_FB_Dagger5</v>
          </cell>
        </row>
        <row r="308">
          <cell r="A308">
            <v>3238</v>
          </cell>
          <cell r="B308" t="str">
            <v>Genfulew_Effect/Arms_FB_Dagger6</v>
          </cell>
        </row>
        <row r="309">
          <cell r="A309">
            <v>3239</v>
          </cell>
          <cell r="B309" t="str">
            <v>Genfulew_Effect/Arms_FB_Dagger7</v>
          </cell>
        </row>
        <row r="310">
          <cell r="A310">
            <v>3240</v>
          </cell>
          <cell r="B310" t="str">
            <v>Genfulew_Effect/Arms_FB_Fist1</v>
          </cell>
        </row>
        <row r="311">
          <cell r="A311">
            <v>3241</v>
          </cell>
          <cell r="B311" t="str">
            <v>Genfulew_Effect/Arms_FB_Fist2F</v>
          </cell>
        </row>
        <row r="312">
          <cell r="A312">
            <v>3242</v>
          </cell>
          <cell r="B312" t="str">
            <v>Genfulew_Effect/Arms_FB_Fist3</v>
          </cell>
        </row>
        <row r="313">
          <cell r="A313">
            <v>3243</v>
          </cell>
          <cell r="B313" t="str">
            <v>Genfulew_Effect/Arms_FB_Fist4</v>
          </cell>
        </row>
        <row r="314">
          <cell r="A314">
            <v>3244</v>
          </cell>
          <cell r="B314" t="str">
            <v>Genfulew_Effect/Arms_FB_Fist5</v>
          </cell>
        </row>
        <row r="315">
          <cell r="A315">
            <v>3245</v>
          </cell>
          <cell r="B315" t="str">
            <v>Genfulew_Effect/Arms_FB_Fist6F</v>
          </cell>
        </row>
        <row r="316">
          <cell r="A316">
            <v>3246</v>
          </cell>
          <cell r="B316" t="str">
            <v>Genfulew_Effect/Arms_FB_Fist7F</v>
          </cell>
        </row>
        <row r="317">
          <cell r="A317">
            <v>3247</v>
          </cell>
          <cell r="B317" t="str">
            <v>Genfulew_Effect/Arms_FB_Gun1</v>
          </cell>
        </row>
        <row r="318">
          <cell r="A318">
            <v>3248</v>
          </cell>
          <cell r="B318" t="str">
            <v>Genfulew_Effect/Arms_FB_Gun2</v>
          </cell>
        </row>
        <row r="319">
          <cell r="A319">
            <v>3249</v>
          </cell>
          <cell r="B319" t="str">
            <v>Genfulew_Effect/Arms_FB_Gun3</v>
          </cell>
        </row>
        <row r="320">
          <cell r="A320">
            <v>3250</v>
          </cell>
          <cell r="B320" t="str">
            <v>Genfulew_Effect/Arms_FB_Gun4</v>
          </cell>
        </row>
        <row r="321">
          <cell r="A321">
            <v>3251</v>
          </cell>
          <cell r="B321" t="str">
            <v>Genfulew_Effect/Arms_FB_Gun5</v>
          </cell>
        </row>
        <row r="322">
          <cell r="A322">
            <v>3252</v>
          </cell>
          <cell r="B322" t="str">
            <v>Genfulew_Effect/Arms_FB_Gun6F</v>
          </cell>
        </row>
        <row r="323">
          <cell r="A323">
            <v>3253</v>
          </cell>
          <cell r="B323" t="str">
            <v>Genfulew_Effect/Arms_FB_Gun7F</v>
          </cell>
        </row>
        <row r="324">
          <cell r="A324">
            <v>3254</v>
          </cell>
          <cell r="B324" t="str">
            <v>Genfulew_Effect/Arms_FB_Katana1</v>
          </cell>
        </row>
        <row r="325">
          <cell r="A325">
            <v>3255</v>
          </cell>
          <cell r="B325" t="str">
            <v>Genfulew_Effect/Arms_FB_Katana2F</v>
          </cell>
        </row>
        <row r="326">
          <cell r="A326">
            <v>3256</v>
          </cell>
          <cell r="B326" t="str">
            <v>Genfulew_Effect/Arms_FB_Katana3</v>
          </cell>
        </row>
        <row r="327">
          <cell r="A327">
            <v>3257</v>
          </cell>
          <cell r="B327" t="str">
            <v>Genfulew_Effect/Arms_FB_Katana4F</v>
          </cell>
        </row>
        <row r="328">
          <cell r="A328">
            <v>3258</v>
          </cell>
          <cell r="B328" t="str">
            <v>Genfulew_Effect/Arms_FB_Katana5</v>
          </cell>
        </row>
        <row r="329">
          <cell r="A329">
            <v>3259</v>
          </cell>
          <cell r="B329" t="str">
            <v>Genfulew_Effect/Arms_FB_Katana6</v>
          </cell>
        </row>
        <row r="330">
          <cell r="A330">
            <v>3260</v>
          </cell>
          <cell r="B330" t="str">
            <v>Genfulew_Effect/Arms_FB_Katana7</v>
          </cell>
        </row>
        <row r="331">
          <cell r="A331">
            <v>3261</v>
          </cell>
          <cell r="B331" t="str">
            <v>Genfulew_Effect/Arms_FB_Sickle1</v>
          </cell>
        </row>
        <row r="332">
          <cell r="A332">
            <v>3262</v>
          </cell>
          <cell r="B332" t="str">
            <v>Genfulew_Effect/Arms_FB_Sickle2F</v>
          </cell>
        </row>
        <row r="333">
          <cell r="A333">
            <v>3263</v>
          </cell>
          <cell r="B333" t="str">
            <v>Genfulew_Effect/Arms_FB_Sickle3F</v>
          </cell>
        </row>
        <row r="334">
          <cell r="A334">
            <v>3264</v>
          </cell>
          <cell r="B334" t="str">
            <v>Genfulew_Effect/Arms_FB_Sickle4F</v>
          </cell>
        </row>
        <row r="335">
          <cell r="A335">
            <v>3265</v>
          </cell>
          <cell r="B335" t="str">
            <v>Genfulew_Effect/Arms_FB_Sickle5</v>
          </cell>
        </row>
        <row r="336">
          <cell r="A336">
            <v>3266</v>
          </cell>
          <cell r="B336" t="str">
            <v>Genfulew_Effect/Arms_FB_Sickle6</v>
          </cell>
        </row>
        <row r="337">
          <cell r="A337">
            <v>3267</v>
          </cell>
          <cell r="B337" t="str">
            <v>Genfulew_Effect/Arms_FB_Whip1</v>
          </cell>
        </row>
        <row r="338">
          <cell r="A338">
            <v>3268</v>
          </cell>
          <cell r="B338" t="str">
            <v>Genfulew_Effect/Arms_FB_Whip2</v>
          </cell>
        </row>
        <row r="339">
          <cell r="A339">
            <v>3269</v>
          </cell>
          <cell r="B339" t="str">
            <v>Genfulew_Effect/Arms_FB_Whip3F</v>
          </cell>
        </row>
        <row r="340">
          <cell r="A340">
            <v>3270</v>
          </cell>
          <cell r="B340" t="str">
            <v>Genfulew_Effect/Arms_FB_Whip4F</v>
          </cell>
        </row>
        <row r="341">
          <cell r="A341">
            <v>3271</v>
          </cell>
          <cell r="B341" t="str">
            <v>Genfulew_Effect/Arms_FB_Whip5F</v>
          </cell>
        </row>
        <row r="342">
          <cell r="A342">
            <v>3272</v>
          </cell>
          <cell r="B342" t="str">
            <v>Genfulew_Effect/Arms_FB_Whip6</v>
          </cell>
        </row>
        <row r="343">
          <cell r="A343">
            <v>3273</v>
          </cell>
          <cell r="B343" t="str">
            <v>Genfulew_Effect/Arms_FB_Blunt_Weapon1</v>
          </cell>
        </row>
        <row r="344">
          <cell r="A344">
            <v>3274</v>
          </cell>
          <cell r="B344" t="str">
            <v>Genfulew_Effect/Arms_FB_Blunt_Weapon2</v>
          </cell>
        </row>
        <row r="345">
          <cell r="A345">
            <v>3275</v>
          </cell>
          <cell r="B345" t="str">
            <v>Genfulew_Effect/Arms_FB_Blunt_Weapon3</v>
          </cell>
        </row>
        <row r="346">
          <cell r="A346">
            <v>3276</v>
          </cell>
          <cell r="B346" t="str">
            <v>Genfulew_Effect/Arms_FB_Blunt_Weapon4</v>
          </cell>
        </row>
        <row r="347">
          <cell r="A347">
            <v>3277</v>
          </cell>
          <cell r="B347" t="str">
            <v>Genfulew_Effect/Arms_FB_Blunt_Weapon5F</v>
          </cell>
        </row>
        <row r="348">
          <cell r="A348">
            <v>3278</v>
          </cell>
          <cell r="B348" t="str">
            <v>Genfulew_Effect/Arms_FB_Blunt_Weapon6F</v>
          </cell>
        </row>
        <row r="349">
          <cell r="A349">
            <v>3279</v>
          </cell>
          <cell r="B349" t="str">
            <v>Genfulew_Effect/Arms_FB_Musical_Instrument1</v>
          </cell>
        </row>
        <row r="350">
          <cell r="A350">
            <v>3280</v>
          </cell>
          <cell r="B350" t="str">
            <v>Genfulew_Effect/Arms_FB_Musical_Instrument2</v>
          </cell>
        </row>
        <row r="351">
          <cell r="A351">
            <v>3281</v>
          </cell>
          <cell r="B351" t="str">
            <v>Genfulew_Effect/Arms_FB_Musical_Instrument3</v>
          </cell>
        </row>
        <row r="352">
          <cell r="A352">
            <v>3282</v>
          </cell>
          <cell r="B352" t="str">
            <v>Genfulew_Effect/Arms_FB_Musical_Instrument4</v>
          </cell>
        </row>
        <row r="353">
          <cell r="A353">
            <v>3283</v>
          </cell>
          <cell r="B353" t="str">
            <v>Genfulew_Effect/Musical_Instrument5</v>
          </cell>
        </row>
        <row r="354">
          <cell r="A354">
            <v>3284</v>
          </cell>
          <cell r="B354" t="str">
            <v>Genfulew_Effect/Arms_FB_Heavy_Weapons1F</v>
          </cell>
        </row>
        <row r="355">
          <cell r="A355">
            <v>3285</v>
          </cell>
          <cell r="B355" t="str">
            <v>Genfulew_Effect/Arms_FB_Heavy_Weapons2F</v>
          </cell>
        </row>
        <row r="356">
          <cell r="A356">
            <v>3286</v>
          </cell>
          <cell r="B356" t="str">
            <v>Genfulew_Effect/Arms_FB_Heavy_Weapons3F</v>
          </cell>
        </row>
        <row r="357">
          <cell r="A357">
            <v>3287</v>
          </cell>
          <cell r="B357" t="str">
            <v>Genfulew_Effect/Arms_FB_Heavy_Weapons4F</v>
          </cell>
        </row>
        <row r="358">
          <cell r="A358">
            <v>3288</v>
          </cell>
          <cell r="B358" t="str">
            <v>Genfulew_Effect/Arms_FB_Heavy_Weapons5F</v>
          </cell>
        </row>
        <row r="359">
          <cell r="A359">
            <v>3301</v>
          </cell>
          <cell r="B359" t="str">
            <v>Genfulew_Effect/Enemy_CR_ActivationSkill</v>
          </cell>
        </row>
        <row r="360">
          <cell r="A360">
            <v>3302</v>
          </cell>
          <cell r="B360" t="str">
            <v>Genfulew_Effect/Enemy_CR_ActivationMagic</v>
          </cell>
        </row>
        <row r="361">
          <cell r="A361">
            <v>3303</v>
          </cell>
          <cell r="B361" t="str">
            <v>Genfulew_Effect/Enemy_CR_HpHeal1</v>
          </cell>
        </row>
        <row r="362">
          <cell r="A362">
            <v>3304</v>
          </cell>
          <cell r="B362" t="str">
            <v>Genfulew_Effect/Enemy_CR_HpHeal2</v>
          </cell>
        </row>
        <row r="363">
          <cell r="A363">
            <v>3305</v>
          </cell>
          <cell r="B363" t="str">
            <v>Genfulew_Effect/Enemy_CR_HpHeal3</v>
          </cell>
        </row>
        <row r="364">
          <cell r="A364">
            <v>3306</v>
          </cell>
          <cell r="B364" t="str">
            <v>Genfulew_Effect/Enemy_CR_MpHeal1</v>
          </cell>
        </row>
        <row r="365">
          <cell r="A365">
            <v>3307</v>
          </cell>
          <cell r="B365" t="str">
            <v>Genfulew_Effect/Enemy_CR_MpHeal2</v>
          </cell>
        </row>
        <row r="366">
          <cell r="A366">
            <v>3308</v>
          </cell>
          <cell r="B366" t="str">
            <v>Genfulew_Effect/Enemy_CR_MpHeal3</v>
          </cell>
        </row>
        <row r="367">
          <cell r="A367">
            <v>3309</v>
          </cell>
          <cell r="B367" t="str">
            <v>Genfulew_Effect/Enemy_CR_AllHeal</v>
          </cell>
        </row>
        <row r="368">
          <cell r="A368">
            <v>3310</v>
          </cell>
          <cell r="B368" t="str">
            <v>Genfulew_Effect/Enemy_CR_Cure</v>
          </cell>
        </row>
        <row r="369">
          <cell r="A369">
            <v>3311</v>
          </cell>
          <cell r="B369" t="str">
            <v>Genfulew_Effect/Enemy_CR_Resurrection</v>
          </cell>
        </row>
        <row r="370">
          <cell r="A370">
            <v>3312</v>
          </cell>
          <cell r="B370" t="str">
            <v>Genfulew_Effect/Enemy_CR_Shuriken</v>
          </cell>
        </row>
        <row r="371">
          <cell r="A371">
            <v>3313</v>
          </cell>
          <cell r="B371" t="str">
            <v>Genfulew_Effect/Enemy_CR_Kunai</v>
          </cell>
        </row>
        <row r="372">
          <cell r="A372">
            <v>3314</v>
          </cell>
          <cell r="B372" t="str">
            <v>Genfulew_Effect/Enemy_CR_Chain1</v>
          </cell>
        </row>
        <row r="373">
          <cell r="A373">
            <v>3315</v>
          </cell>
          <cell r="B373" t="str">
            <v>Genfulew_Effect/Enemy_CR_Chain2</v>
          </cell>
        </row>
        <row r="374">
          <cell r="A374">
            <v>3316</v>
          </cell>
          <cell r="B374" t="str">
            <v>Genfulew_Effect/Enemy_CR_Thread</v>
          </cell>
        </row>
        <row r="375">
          <cell r="A375">
            <v>3317</v>
          </cell>
          <cell r="B375" t="str">
            <v>Genfulew_Effect/Enemy_CR_NinjutuKaton</v>
          </cell>
        </row>
        <row r="376">
          <cell r="A376">
            <v>3318</v>
          </cell>
          <cell r="B376" t="str">
            <v>Genfulew_Effect/Enemy_CR_NinjutuSuiton</v>
          </cell>
        </row>
        <row r="377">
          <cell r="A377">
            <v>3319</v>
          </cell>
          <cell r="B377" t="str">
            <v>Genfulew_Effect/Enemy_CR_NinjutuMokuton</v>
          </cell>
        </row>
        <row r="378">
          <cell r="A378">
            <v>3320</v>
          </cell>
          <cell r="B378" t="str">
            <v>Genfulew_Effect/Enemy_CR_NinjutuKinton</v>
          </cell>
        </row>
        <row r="379">
          <cell r="A379">
            <v>3321</v>
          </cell>
          <cell r="B379" t="str">
            <v>Genfulew_Effect/Enemy_CR_NinjutuDoton</v>
          </cell>
        </row>
        <row r="380">
          <cell r="A380">
            <v>3322</v>
          </cell>
          <cell r="B380" t="str">
            <v>Genfulew_Effect/Enemy_CR_OnmyoZan</v>
          </cell>
        </row>
        <row r="381">
          <cell r="A381">
            <v>3323</v>
          </cell>
          <cell r="B381" t="str">
            <v>Genfulew_Effect/Enemy_CR_BreathFire</v>
          </cell>
        </row>
        <row r="382">
          <cell r="A382">
            <v>3324</v>
          </cell>
          <cell r="B382" t="str">
            <v>Genfulew_Effect/Enemy_CR_BreathIce</v>
          </cell>
        </row>
        <row r="383">
          <cell r="A383">
            <v>3325</v>
          </cell>
          <cell r="B383" t="str">
            <v>Genfulew_Effect/Enemy_CR_BreathThunder</v>
          </cell>
        </row>
        <row r="384">
          <cell r="A384">
            <v>3326</v>
          </cell>
          <cell r="B384" t="str">
            <v>Genfulew_Effect/Enemy_CR_BreathWater</v>
          </cell>
        </row>
        <row r="385">
          <cell r="A385">
            <v>3327</v>
          </cell>
          <cell r="B385" t="str">
            <v>Genfulew_Effect/Enemy_CR_BreathEarth</v>
          </cell>
        </row>
        <row r="386">
          <cell r="A386">
            <v>3328</v>
          </cell>
          <cell r="B386" t="str">
            <v>Genfulew_Effect/Enemy_CR_BreathWind</v>
          </cell>
        </row>
        <row r="387">
          <cell r="A387">
            <v>3329</v>
          </cell>
          <cell r="B387" t="str">
            <v>Genfulew_Effect/Enemy_CR_BreathLight</v>
          </cell>
        </row>
        <row r="388">
          <cell r="A388">
            <v>3340</v>
          </cell>
          <cell r="B388" t="str">
            <v>Genfulew_Effect/Enemy_CR_BreathDarkness</v>
          </cell>
        </row>
        <row r="389">
          <cell r="A389">
            <v>3341</v>
          </cell>
          <cell r="B389" t="str">
            <v>Genfulew_Effect/Enemy_CR_BreathStar</v>
          </cell>
        </row>
        <row r="390">
          <cell r="A390">
            <v>3342</v>
          </cell>
          <cell r="B390" t="str">
            <v>Genfulew_Effect/Enemy_CR_BreathNeutral</v>
          </cell>
        </row>
        <row r="391">
          <cell r="A391">
            <v>3343</v>
          </cell>
          <cell r="B391" t="str">
            <v>Genfulew_Effect/Enemy_CR_Fang1</v>
          </cell>
        </row>
        <row r="392">
          <cell r="A392">
            <v>3344</v>
          </cell>
          <cell r="B392" t="str">
            <v>Genfulew_Effect/Enemy_CR_Fang2</v>
          </cell>
        </row>
        <row r="393">
          <cell r="A393">
            <v>3345</v>
          </cell>
          <cell r="B393" t="str">
            <v>Genfulew_Effect/Enemy_CR_Fang3</v>
          </cell>
        </row>
        <row r="394">
          <cell r="A394">
            <v>3346</v>
          </cell>
          <cell r="B394" t="str">
            <v>Genfulew_Effect/Enemy_CR_Charge1</v>
          </cell>
        </row>
        <row r="395">
          <cell r="A395">
            <v>3347</v>
          </cell>
          <cell r="B395" t="str">
            <v>Genfulew_Effect/Enemy_CR_Charge2</v>
          </cell>
        </row>
        <row r="396">
          <cell r="A396">
            <v>3348</v>
          </cell>
          <cell r="B396" t="str">
            <v>Genfulew_Effect/Enemy_CR_Beak1</v>
          </cell>
        </row>
        <row r="397">
          <cell r="A397">
            <v>3349</v>
          </cell>
          <cell r="B397" t="str">
            <v>Genfulew_Effect/Enemy_CR_Beak2</v>
          </cell>
        </row>
        <row r="398">
          <cell r="A398">
            <v>3350</v>
          </cell>
          <cell r="B398" t="str">
            <v>Genfulew_Effect/Enemy_CR_Beak3</v>
          </cell>
        </row>
        <row r="399">
          <cell r="A399">
            <v>3351</v>
          </cell>
          <cell r="B399" t="str">
            <v>Genfulew_Effect/Enemy_CR_Tail</v>
          </cell>
        </row>
        <row r="400">
          <cell r="A400">
            <v>3352</v>
          </cell>
          <cell r="B400" t="str">
            <v>Genfulew_Effect/Enemy_CR_Wing1</v>
          </cell>
        </row>
        <row r="401">
          <cell r="A401">
            <v>3353</v>
          </cell>
          <cell r="B401" t="str">
            <v>Genfulew_Effect/Enemy_CR_Wing2</v>
          </cell>
        </row>
        <row r="402">
          <cell r="A402">
            <v>3354</v>
          </cell>
          <cell r="B402" t="str">
            <v>Genfulew_Effect/Enemy_CR_Horn1</v>
          </cell>
        </row>
        <row r="403">
          <cell r="A403">
            <v>3355</v>
          </cell>
          <cell r="B403" t="str">
            <v>Genfulew_Effect/Enemy_CR_Horn2</v>
          </cell>
        </row>
        <row r="404">
          <cell r="A404">
            <v>3356</v>
          </cell>
          <cell r="B404" t="str">
            <v>Genfulew_Effect/Enemy_CR_Scissor1</v>
          </cell>
        </row>
        <row r="405">
          <cell r="A405">
            <v>3357</v>
          </cell>
          <cell r="B405" t="str">
            <v>Genfulew_Effect/Enemy_CR_Scissor2</v>
          </cell>
        </row>
        <row r="406">
          <cell r="A406">
            <v>3358</v>
          </cell>
          <cell r="B406" t="str">
            <v>Genfulew_Effect/Enemy_CR_SpiderWeb1</v>
          </cell>
        </row>
        <row r="407">
          <cell r="A407">
            <v>3359</v>
          </cell>
          <cell r="B407" t="str">
            <v>Genfulew_Effect/Enemy_CR_SpiderWeb2</v>
          </cell>
        </row>
        <row r="408">
          <cell r="A408">
            <v>3360</v>
          </cell>
          <cell r="B408" t="str">
            <v>Genfulew_Effect/Enemy_CR_Needle1</v>
          </cell>
        </row>
        <row r="409">
          <cell r="A409">
            <v>3361</v>
          </cell>
          <cell r="B409" t="str">
            <v>Genfulew_Effect/Enemy_CR_Needle2</v>
          </cell>
        </row>
        <row r="410">
          <cell r="A410">
            <v>3362</v>
          </cell>
          <cell r="B410" t="str">
            <v>Genfulew_Effect/Enemy_CR_Pollen</v>
          </cell>
        </row>
        <row r="411">
          <cell r="A411">
            <v>3363</v>
          </cell>
          <cell r="B411" t="str">
            <v>Genfulew_Effect/Enemy_CR_SandSmoke</v>
          </cell>
        </row>
        <row r="412">
          <cell r="A412">
            <v>3364</v>
          </cell>
          <cell r="B412" t="str">
            <v>Genfulew_Effect/Enemy_CR_SandStorm</v>
          </cell>
        </row>
        <row r="413">
          <cell r="A413">
            <v>3365</v>
          </cell>
          <cell r="B413" t="str">
            <v>Genfulew_Effect/Enemy_CR_Blizzard</v>
          </cell>
        </row>
        <row r="414">
          <cell r="A414">
            <v>3366</v>
          </cell>
          <cell r="B414" t="str">
            <v>Genfulew_Effect/Enemy_CR_PoisonousFog</v>
          </cell>
        </row>
        <row r="415">
          <cell r="A415">
            <v>3367</v>
          </cell>
          <cell r="B415" t="str">
            <v>Genfulew_Effect/Enemy_CR_Venom</v>
          </cell>
        </row>
        <row r="416">
          <cell r="A416">
            <v>3368</v>
          </cell>
          <cell r="B416" t="str">
            <v>Genfulew_Effect/Enemy_CR_Liquid</v>
          </cell>
        </row>
        <row r="417">
          <cell r="A417">
            <v>3369</v>
          </cell>
          <cell r="B417" t="str">
            <v>Genfulew_Effect/Enemy_CR_Bubble</v>
          </cell>
        </row>
        <row r="418">
          <cell r="A418">
            <v>3370</v>
          </cell>
          <cell r="B418" t="str">
            <v>Genfulew_Effect/Enemy_CR_Tentacle</v>
          </cell>
        </row>
        <row r="419">
          <cell r="A419">
            <v>3371</v>
          </cell>
          <cell r="B419" t="str">
            <v>Genfulew_Effect/Enemy_CR_Photosynthesis</v>
          </cell>
        </row>
        <row r="420">
          <cell r="A420">
            <v>3372</v>
          </cell>
          <cell r="B420" t="str">
            <v>Genfulew_Effect/Enemy_CR_Melody</v>
          </cell>
        </row>
        <row r="421">
          <cell r="A421">
            <v>3373</v>
          </cell>
          <cell r="B421" t="str">
            <v>Genfulew_Effect/Enemy_CR_Bone</v>
          </cell>
        </row>
        <row r="422">
          <cell r="A422">
            <v>3374</v>
          </cell>
          <cell r="B422" t="str">
            <v>Genfulew_Effect/Enemy_CR_Gaze1</v>
          </cell>
        </row>
        <row r="423">
          <cell r="A423">
            <v>3375</v>
          </cell>
          <cell r="B423" t="str">
            <v>Genfulew_Effect/Enemy_CR_Gaze2</v>
          </cell>
        </row>
        <row r="424">
          <cell r="A424">
            <v>3376</v>
          </cell>
          <cell r="B424" t="str">
            <v>Genfulew_Effect/Enemy_CR_Gaze3</v>
          </cell>
        </row>
        <row r="425">
          <cell r="A425">
            <v>3377</v>
          </cell>
          <cell r="B425" t="str">
            <v>Genfulew_Effect/Enemy_CR_Gaze4</v>
          </cell>
        </row>
        <row r="426">
          <cell r="A426">
            <v>3378</v>
          </cell>
          <cell r="B426" t="str">
            <v>Genfulew_Effect/Enemy_CR_Magma</v>
          </cell>
        </row>
        <row r="427">
          <cell r="A427">
            <v>3379</v>
          </cell>
          <cell r="B427" t="str">
            <v>Genfulew_Effect/Enemy_CR_Icicle</v>
          </cell>
        </row>
        <row r="428">
          <cell r="A428">
            <v>3380</v>
          </cell>
          <cell r="B428" t="str">
            <v>Genfulew_Effect/Enemy_CR_Lightning</v>
          </cell>
        </row>
        <row r="429">
          <cell r="A429">
            <v>3381</v>
          </cell>
          <cell r="B429" t="str">
            <v>Genfulew_Effect/Enemy_CR_TidalWave</v>
          </cell>
        </row>
        <row r="430">
          <cell r="A430">
            <v>3382</v>
          </cell>
          <cell r="B430" t="str">
            <v>Genfulew_Effect/Enemy_CR_Earthquake</v>
          </cell>
        </row>
        <row r="431">
          <cell r="A431">
            <v>3383</v>
          </cell>
          <cell r="B431" t="str">
            <v>Genfulew_Effect/Enemy_CR_Tornado</v>
          </cell>
        </row>
        <row r="432">
          <cell r="A432">
            <v>3384</v>
          </cell>
          <cell r="B432" t="str">
            <v>Genfulew_Effect/Enemy_CR_Flash</v>
          </cell>
        </row>
        <row r="433">
          <cell r="A433">
            <v>3385</v>
          </cell>
          <cell r="B433" t="str">
            <v>Genfulew_Effect/Enemy_CR_Darkness</v>
          </cell>
        </row>
        <row r="434">
          <cell r="A434">
            <v>3386</v>
          </cell>
          <cell r="B434" t="str">
            <v>Genfulew_Effect/Enemy_CR_Meteo</v>
          </cell>
        </row>
        <row r="435">
          <cell r="A435">
            <v>3387</v>
          </cell>
          <cell r="B435" t="str">
            <v>Genfulew_Effect/Enemy_CR_Destruction</v>
          </cell>
        </row>
        <row r="436">
          <cell r="A436">
            <v>3401</v>
          </cell>
          <cell r="B436" t="str">
            <v>Genfulew_Effect/Memories_InB_Firefly_100</v>
          </cell>
        </row>
        <row r="437">
          <cell r="A437">
            <v>3402</v>
          </cell>
          <cell r="B437" t="str">
            <v>Genfulew_Effect/Memories_InB_Dust_100</v>
          </cell>
        </row>
        <row r="438">
          <cell r="A438">
            <v>3403</v>
          </cell>
          <cell r="B438" t="str">
            <v>Genfulew_Effect/Memories_InB_Rain_100</v>
          </cell>
        </row>
        <row r="439">
          <cell r="A439">
            <v>3404</v>
          </cell>
          <cell r="B439" t="str">
            <v>Genfulew_Effect/Memories_InB_ThunderStorm_100</v>
          </cell>
        </row>
        <row r="440">
          <cell r="A440">
            <v>3405</v>
          </cell>
          <cell r="B440" t="str">
            <v>Genfulew_Effect/Memories_InB_Snow_100</v>
          </cell>
        </row>
        <row r="441">
          <cell r="A441">
            <v>3405</v>
          </cell>
          <cell r="B441" t="str">
            <v>Genfulew_Effect/Memories_InB_Blizzard_100</v>
          </cell>
        </row>
        <row r="442">
          <cell r="A442">
            <v>3407</v>
          </cell>
          <cell r="B442" t="str">
            <v>Genfulew_Effect/Memories_InB_Fog_100</v>
          </cell>
        </row>
        <row r="443">
          <cell r="A443">
            <v>3408</v>
          </cell>
          <cell r="B443" t="str">
            <v>Genfulew_Effect/Memories_InB_SandStorm_100</v>
          </cell>
        </row>
        <row r="444">
          <cell r="A444">
            <v>3409</v>
          </cell>
          <cell r="B444" t="str">
            <v>Genfulew_Effect/Memories_InB_AutumnBreath_100</v>
          </cell>
        </row>
        <row r="445">
          <cell r="A445">
            <v>3410</v>
          </cell>
          <cell r="B445" t="str">
            <v>Genfulew_Effect/Memories_InB_CherryBlossomBlizzard_100</v>
          </cell>
        </row>
        <row r="446">
          <cell r="A446">
            <v>3411</v>
          </cell>
          <cell r="B446" t="str">
            <v>Genfulew_Effect/Memories_InB_Confetti_100</v>
          </cell>
        </row>
        <row r="447">
          <cell r="A447">
            <v>3412</v>
          </cell>
          <cell r="B447" t="str">
            <v>Genfulew_Effect/Memories_InB_DandelionFluff_100</v>
          </cell>
        </row>
        <row r="448">
          <cell r="A448">
            <v>3413</v>
          </cell>
          <cell r="B448" t="str">
            <v>Genfulew_Effect/Memories_InB_Cloud_100</v>
          </cell>
        </row>
        <row r="449">
          <cell r="A449">
            <v>3414</v>
          </cell>
          <cell r="B449" t="str">
            <v>Genfulew_Effect/Memories_InB_Bubble_100</v>
          </cell>
        </row>
        <row r="450">
          <cell r="A450">
            <v>3415</v>
          </cell>
          <cell r="B450" t="str">
            <v>Genfulew_Effect/Memories_InB_FallingRock_100</v>
          </cell>
        </row>
        <row r="451">
          <cell r="A451">
            <v>3416</v>
          </cell>
          <cell r="B451" t="str">
            <v>Genfulew_Effect/Memories_InB_SnowFlake_100</v>
          </cell>
        </row>
        <row r="452">
          <cell r="A452">
            <v>3417</v>
          </cell>
          <cell r="B452" t="str">
            <v>Genfulew_Effect/Memories_InB_Light_100</v>
          </cell>
        </row>
        <row r="453">
          <cell r="A453">
            <v>3418</v>
          </cell>
          <cell r="B453" t="str">
            <v>Genfulew_Effect/Memories_InB_Butterfly_100</v>
          </cell>
        </row>
        <row r="454">
          <cell r="A454">
            <v>3419</v>
          </cell>
          <cell r="B454" t="str">
            <v>Genfulew_Effect/Memories_InB_DappledSunlight1_100</v>
          </cell>
        </row>
        <row r="455">
          <cell r="A455">
            <v>3420</v>
          </cell>
          <cell r="B455" t="str">
            <v>Genfulew_Effect/Memories_InB_DappledSunlight2_100</v>
          </cell>
        </row>
        <row r="456">
          <cell r="A456">
            <v>3421</v>
          </cell>
          <cell r="B456" t="str">
            <v>Genfulew_Effect/Memories_InB_Fire1_100</v>
          </cell>
        </row>
        <row r="457">
          <cell r="A457">
            <v>3422</v>
          </cell>
          <cell r="B457" t="str">
            <v>Genfulew_Effect/Memories_InB_Fire2_100</v>
          </cell>
        </row>
        <row r="458">
          <cell r="A458">
            <v>3423</v>
          </cell>
          <cell r="B458" t="str">
            <v>Genfulew_Effect/Memories_InB_Fire3_100</v>
          </cell>
        </row>
        <row r="459">
          <cell r="A459">
            <v>3424</v>
          </cell>
          <cell r="B459" t="str">
            <v>Genfulew_Effect/Memories_InB_Spark_100</v>
          </cell>
        </row>
        <row r="460">
          <cell r="A460">
            <v>3425</v>
          </cell>
          <cell r="B460" t="str">
            <v>Genfulew_Effect/Memories_InB_WaterFall1_100</v>
          </cell>
        </row>
        <row r="461">
          <cell r="A461">
            <v>3426</v>
          </cell>
          <cell r="B461" t="str">
            <v>Genfulew_Effect/Memories_InB_WaterFall2_100</v>
          </cell>
        </row>
        <row r="462">
          <cell r="A462">
            <v>3427</v>
          </cell>
          <cell r="B462" t="str">
            <v>Genfulew_Effect/Memories_InB_WaterFall3_100</v>
          </cell>
        </row>
        <row r="463">
          <cell r="A463">
            <v>3428</v>
          </cell>
          <cell r="B463" t="str">
            <v>Genfulew_Effect/Memories_InB_Drop_100</v>
          </cell>
        </row>
        <row r="464">
          <cell r="A464">
            <v>3429</v>
          </cell>
          <cell r="B464" t="str">
            <v>Genfulew_Effect/Memories_InB_Fountain_100</v>
          </cell>
        </row>
        <row r="465">
          <cell r="A465">
            <v>3430</v>
          </cell>
          <cell r="B465" t="str">
            <v>Genfulew_Effect/Memories_InB_Torch_100</v>
          </cell>
        </row>
        <row r="466">
          <cell r="A466">
            <v>3431</v>
          </cell>
          <cell r="B466" t="str">
            <v>Genfulew_Effect/Memories_InB_Electric_100</v>
          </cell>
        </row>
        <row r="467">
          <cell r="A467">
            <v>3432</v>
          </cell>
          <cell r="B467" t="str">
            <v>Genfulew_Effect/Memories_InB_Firework1_100</v>
          </cell>
        </row>
        <row r="468">
          <cell r="A468">
            <v>3433</v>
          </cell>
          <cell r="B468" t="str">
            <v>Genfulew_Effect/Memories_InB_Firework2_100</v>
          </cell>
        </row>
        <row r="469">
          <cell r="A469">
            <v>3434</v>
          </cell>
          <cell r="B469" t="str">
            <v>Genfulew_Effect/Memories_InB_Firework3_100</v>
          </cell>
        </row>
        <row r="470">
          <cell r="A470">
            <v>3435</v>
          </cell>
          <cell r="B470" t="str">
            <v>Genfulew_Effect/Memories_InB_FireworkAll_100</v>
          </cell>
        </row>
        <row r="471">
          <cell r="A471">
            <v>3436</v>
          </cell>
          <cell r="B471" t="str">
            <v>Genfulew_Effect/Memories_InB_ShootingStar_100</v>
          </cell>
        </row>
        <row r="472">
          <cell r="A472">
            <v>3437</v>
          </cell>
          <cell r="B472" t="str">
            <v>Genfulew_Effect/Memories_InB_ShootingStarAll_100</v>
          </cell>
        </row>
        <row r="473">
          <cell r="A473">
            <v>3438</v>
          </cell>
          <cell r="B473" t="str">
            <v>Genfulew_Effect/Memories_InB_KusudamaAtari_100</v>
          </cell>
        </row>
        <row r="474">
          <cell r="A474">
            <v>3439</v>
          </cell>
          <cell r="B474" t="str">
            <v>Genfulew_Effect/Memories_InB_KusudamaHazure_100</v>
          </cell>
        </row>
        <row r="475">
          <cell r="A475">
            <v>3440</v>
          </cell>
          <cell r="B475" t="str">
            <v>Genfulew_Effect/Memories_InB_Monitor1_100</v>
          </cell>
        </row>
        <row r="476">
          <cell r="A476">
            <v>3441</v>
          </cell>
          <cell r="B476" t="str">
            <v>Genfulew_Effect/Memories_InB_Monitor2_100</v>
          </cell>
        </row>
        <row r="477">
          <cell r="A477">
            <v>3442</v>
          </cell>
          <cell r="B477" t="str">
            <v>Genfulew_Effect/Memories_InB_Monitor3_100</v>
          </cell>
        </row>
        <row r="478">
          <cell r="A478">
            <v>3443</v>
          </cell>
          <cell r="B478" t="str">
            <v>Genfulew_Effect/Memories_InB_Monitor4_100</v>
          </cell>
        </row>
        <row r="479">
          <cell r="A479">
            <v>3444</v>
          </cell>
          <cell r="B479" t="str">
            <v>Genfulew_Effect/Memories_InB_Warp1_100</v>
          </cell>
        </row>
        <row r="480">
          <cell r="A480">
            <v>3445</v>
          </cell>
          <cell r="B480" t="str">
            <v>Genfulew_Effect/Memories_InB_Warp2_100</v>
          </cell>
        </row>
        <row r="481">
          <cell r="A481">
            <v>3446</v>
          </cell>
          <cell r="B481" t="str">
            <v>Genfulew_Effect/Memories_InB_LensFlare1_100</v>
          </cell>
        </row>
        <row r="482">
          <cell r="A482">
            <v>3447</v>
          </cell>
          <cell r="B482" t="str">
            <v>Genfulew_Effect/Memories_InB_LensFlare2_100</v>
          </cell>
        </row>
        <row r="483">
          <cell r="A483">
            <v>3448</v>
          </cell>
          <cell r="B483" t="str">
            <v>Genfulew_Effect/Memories_InB_Rainbow_100</v>
          </cell>
        </row>
        <row r="484">
          <cell r="A484">
            <v>3449</v>
          </cell>
          <cell r="B484" t="str">
            <v>Genfulew_Effect/Memories_InB_ConcentrationLine_100</v>
          </cell>
        </row>
        <row r="485">
          <cell r="A485">
            <v>3450</v>
          </cell>
          <cell r="B485" t="str">
            <v>Genfulew_Effect/Memories_InB_LevelUp_100</v>
          </cell>
        </row>
        <row r="486">
          <cell r="A486">
            <v>3451</v>
          </cell>
          <cell r="B486" t="str">
            <v>Genfulew_Effect/Memories_InB_NewSkill_100</v>
          </cell>
        </row>
        <row r="487">
          <cell r="A487">
            <v>3452</v>
          </cell>
          <cell r="B487" t="str">
            <v>Genfulew_Effect/Memories_InB_QuestClear_100</v>
          </cell>
        </row>
        <row r="488">
          <cell r="A488">
            <v>3453</v>
          </cell>
          <cell r="B488" t="str">
            <v>Genfulew_Effect/Memories_InB_Warning_100</v>
          </cell>
        </row>
        <row r="489">
          <cell r="A489">
            <v>3454</v>
          </cell>
          <cell r="B489" t="str">
            <v>Genfulew_Effect/Memories_InB_Storm_100</v>
          </cell>
        </row>
        <row r="490">
          <cell r="A490">
            <v>3455</v>
          </cell>
          <cell r="B490" t="str">
            <v>Genfulew_Effect/Memories_InB_CloudShadow_100</v>
          </cell>
        </row>
        <row r="491">
          <cell r="A491">
            <v>3456</v>
          </cell>
          <cell r="B491" t="str">
            <v>Genfulew_Effect/Memories_InB_Ghost_100</v>
          </cell>
        </row>
        <row r="492">
          <cell r="A492">
            <v>3457</v>
          </cell>
          <cell r="B492" t="str">
            <v>Genfulew_Effect/Memories_InB_OldFilm_100</v>
          </cell>
        </row>
        <row r="493">
          <cell r="A493">
            <v>3458</v>
          </cell>
          <cell r="B493" t="str">
            <v>Genfulew_Effect/Memories_InB_Leaf_100</v>
          </cell>
        </row>
        <row r="494">
          <cell r="A494">
            <v>3459</v>
          </cell>
          <cell r="B494" t="str">
            <v>Genfulew_Effect/Memories_InB_Maple_100</v>
          </cell>
        </row>
        <row r="495">
          <cell r="A495">
            <v>3460</v>
          </cell>
          <cell r="B495" t="str">
            <v>Genfulew_Effect/Memories_InB_Smoke_100</v>
          </cell>
        </row>
        <row r="496">
          <cell r="A496">
            <v>3461</v>
          </cell>
          <cell r="B496" t="str">
            <v>Genfulew_Effect/Memories_InB_Aurora_100</v>
          </cell>
        </row>
        <row r="497">
          <cell r="A497">
            <v>3462</v>
          </cell>
          <cell r="B497" t="str">
            <v>Genfulew_Effect/Memories_InB_Vortex1_100</v>
          </cell>
        </row>
        <row r="498">
          <cell r="A498">
            <v>3463</v>
          </cell>
          <cell r="B498" t="str">
            <v>Genfulew_Effect/Memories_InB_Vortex2_100</v>
          </cell>
        </row>
        <row r="499">
          <cell r="A499">
            <v>3464</v>
          </cell>
          <cell r="B499" t="str">
            <v>Genfulew_Effect/Memories_InB_Vortex3_100</v>
          </cell>
        </row>
        <row r="500">
          <cell r="A500">
            <v>3465</v>
          </cell>
          <cell r="B500" t="str">
            <v>Genfulew_Effect/Memories_InB_Vortex4_100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ates"/>
      <sheetName val="TextData"/>
      <sheetName val="Define"/>
    </sheetNames>
    <sheetDataSet>
      <sheetData sheetId="0"/>
      <sheetData sheetId="1">
        <row r="1">
          <cell r="A1" t="str">
            <v>Id</v>
          </cell>
          <cell r="B1" t="str">
            <v>Text</v>
          </cell>
        </row>
        <row r="2">
          <cell r="A2">
            <v>1</v>
          </cell>
          <cell r="B2" t="str">
            <v>戦闘不能</v>
          </cell>
        </row>
        <row r="3">
          <cell r="A3">
            <v>10</v>
          </cell>
          <cell r="B3" t="str">
            <v>待機</v>
          </cell>
        </row>
        <row r="4">
          <cell r="A4">
            <v>201</v>
          </cell>
          <cell r="B4" t="str">
            <v>炎適正</v>
          </cell>
        </row>
        <row r="5">
          <cell r="A5">
            <v>202</v>
          </cell>
          <cell r="B5" t="str">
            <v>雷適性</v>
          </cell>
        </row>
        <row r="6">
          <cell r="A6">
            <v>203</v>
          </cell>
          <cell r="B6" t="str">
            <v>氷適性</v>
          </cell>
        </row>
        <row r="7">
          <cell r="A7">
            <v>204</v>
          </cell>
          <cell r="B7" t="str">
            <v>光適性</v>
          </cell>
        </row>
        <row r="8">
          <cell r="A8">
            <v>205</v>
          </cell>
          <cell r="B8" t="str">
            <v>闇適性</v>
          </cell>
        </row>
        <row r="9">
          <cell r="A9">
            <v>1010</v>
          </cell>
          <cell r="B9" t="str">
            <v>覚醒</v>
          </cell>
        </row>
        <row r="10">
          <cell r="A10">
            <v>1011</v>
          </cell>
          <cell r="B10" t="str">
            <v>全ステータスアップ</v>
          </cell>
        </row>
        <row r="11">
          <cell r="A11">
            <v>1020</v>
          </cell>
          <cell r="B11" t="str">
            <v>最大Hpアップ</v>
          </cell>
        </row>
        <row r="12">
          <cell r="A12">
            <v>1030</v>
          </cell>
          <cell r="B12" t="str">
            <v>最大Mpアップ</v>
          </cell>
        </row>
        <row r="13">
          <cell r="A13">
            <v>1040</v>
          </cell>
          <cell r="B13" t="str">
            <v>攻撃アップ</v>
          </cell>
        </row>
        <row r="14">
          <cell r="A14">
            <v>1041</v>
          </cell>
          <cell r="B14" t="str">
            <v>攻撃ダウン</v>
          </cell>
        </row>
        <row r="15">
          <cell r="A15">
            <v>1042</v>
          </cell>
          <cell r="B15" t="str">
            <v>攻撃%アップ</v>
          </cell>
        </row>
        <row r="16">
          <cell r="A16">
            <v>1043</v>
          </cell>
          <cell r="B16" t="str">
            <v>攻撃%ダウン</v>
          </cell>
        </row>
        <row r="17">
          <cell r="A17">
            <v>1044</v>
          </cell>
          <cell r="B17" t="str">
            <v>攻撃アップ</v>
          </cell>
        </row>
        <row r="18">
          <cell r="A18">
            <v>1050</v>
          </cell>
          <cell r="B18" t="str">
            <v>防御アップ</v>
          </cell>
        </row>
        <row r="19">
          <cell r="A19">
            <v>1051</v>
          </cell>
          <cell r="B19" t="str">
            <v>防御ダウン</v>
          </cell>
        </row>
        <row r="20">
          <cell r="A20">
            <v>1052</v>
          </cell>
          <cell r="B20" t="str">
            <v>防御アップ</v>
          </cell>
        </row>
        <row r="21">
          <cell r="A21">
            <v>1053</v>
          </cell>
          <cell r="B21" t="str">
            <v>防御ダウン</v>
          </cell>
        </row>
        <row r="22">
          <cell r="A22">
            <v>1060</v>
          </cell>
          <cell r="B22" t="str">
            <v>速度アップ</v>
          </cell>
        </row>
        <row r="23">
          <cell r="A23">
            <v>1061</v>
          </cell>
          <cell r="B23" t="str">
            <v>速度ダウン</v>
          </cell>
        </row>
        <row r="24">
          <cell r="A24">
            <v>1070</v>
          </cell>
          <cell r="B24" t="str">
            <v>会心率アップ</v>
          </cell>
        </row>
        <row r="25">
          <cell r="A25">
            <v>1071</v>
          </cell>
          <cell r="B25" t="str">
            <v>会心率ダウン</v>
          </cell>
        </row>
        <row r="26">
          <cell r="A26">
            <v>1074</v>
          </cell>
          <cell r="B26" t="str">
            <v>会心ダメージアップ</v>
          </cell>
        </row>
        <row r="27">
          <cell r="A27">
            <v>1080</v>
          </cell>
          <cell r="B27" t="str">
            <v>命中アップ</v>
          </cell>
        </row>
        <row r="28">
          <cell r="A28">
            <v>1081</v>
          </cell>
          <cell r="B28" t="str">
            <v>命中アップ</v>
          </cell>
        </row>
        <row r="29">
          <cell r="A29">
            <v>1082</v>
          </cell>
          <cell r="B29" t="str">
            <v>命中ダウン</v>
          </cell>
        </row>
        <row r="30">
          <cell r="A30">
            <v>1090</v>
          </cell>
          <cell r="B30" t="str">
            <v>回避アップ</v>
          </cell>
        </row>
        <row r="31">
          <cell r="A31">
            <v>1091</v>
          </cell>
          <cell r="B31" t="str">
            <v>回避ダウン</v>
          </cell>
        </row>
        <row r="32">
          <cell r="A32">
            <v>1092</v>
          </cell>
          <cell r="B32" t="str">
            <v>回避アップ</v>
          </cell>
        </row>
        <row r="33">
          <cell r="A33">
            <v>1100</v>
          </cell>
          <cell r="B33" t="str">
            <v>ダメージカット</v>
          </cell>
        </row>
        <row r="34">
          <cell r="A34">
            <v>1101</v>
          </cell>
          <cell r="B34" t="str">
            <v>ダメージカット</v>
          </cell>
        </row>
        <row r="35">
          <cell r="A35">
            <v>1210</v>
          </cell>
          <cell r="B35" t="str">
            <v>火傷耐性</v>
          </cell>
        </row>
        <row r="36">
          <cell r="A36">
            <v>1220</v>
          </cell>
          <cell r="B36" t="str">
            <v>凍結耐性</v>
          </cell>
        </row>
        <row r="37">
          <cell r="A37">
            <v>1310</v>
          </cell>
          <cell r="B37" t="str">
            <v>炎耐性</v>
          </cell>
        </row>
        <row r="38">
          <cell r="A38">
            <v>1320</v>
          </cell>
          <cell r="B38" t="str">
            <v>雷耐性</v>
          </cell>
        </row>
        <row r="39">
          <cell r="A39">
            <v>1330</v>
          </cell>
          <cell r="B39" t="str">
            <v>氷耐性</v>
          </cell>
        </row>
        <row r="40">
          <cell r="A40">
            <v>1340</v>
          </cell>
          <cell r="B40" t="str">
            <v>光耐性</v>
          </cell>
        </row>
        <row r="41">
          <cell r="A41">
            <v>1350</v>
          </cell>
          <cell r="B41" t="str">
            <v>闇耐性</v>
          </cell>
        </row>
        <row r="42">
          <cell r="A42">
            <v>2010</v>
          </cell>
          <cell r="B42" t="str">
            <v>毒</v>
          </cell>
        </row>
        <row r="43">
          <cell r="A43">
            <v>2012</v>
          </cell>
          <cell r="B43" t="str">
            <v>火傷</v>
          </cell>
        </row>
        <row r="44">
          <cell r="A44">
            <v>2020</v>
          </cell>
          <cell r="B44" t="str">
            <v>暗闇</v>
          </cell>
        </row>
        <row r="45">
          <cell r="A45">
            <v>2030</v>
          </cell>
          <cell r="B45" t="str">
            <v>カウンタ</v>
          </cell>
        </row>
        <row r="46">
          <cell r="A46">
            <v>2031</v>
          </cell>
          <cell r="B46" t="str">
            <v>CAダメージ</v>
          </cell>
        </row>
        <row r="47">
          <cell r="A47">
            <v>2032</v>
          </cell>
          <cell r="B47" t="str">
            <v>CAシェル</v>
          </cell>
        </row>
        <row r="48">
          <cell r="A48">
            <v>2040</v>
          </cell>
          <cell r="B48" t="str">
            <v>リジェネ</v>
          </cell>
        </row>
        <row r="49">
          <cell r="A49">
            <v>2050</v>
          </cell>
          <cell r="B49" t="str">
            <v>攻撃無効</v>
          </cell>
        </row>
        <row r="50">
          <cell r="A50">
            <v>2060</v>
          </cell>
          <cell r="B50" t="str">
            <v>ドレイン</v>
          </cell>
        </row>
        <row r="51">
          <cell r="A51">
            <v>2070</v>
          </cell>
          <cell r="B51" t="str">
            <v>状態異常CA</v>
          </cell>
        </row>
        <row r="52">
          <cell r="A52">
            <v>2080</v>
          </cell>
          <cell r="B52" t="str">
            <v>反撃</v>
          </cell>
        </row>
        <row r="53">
          <cell r="A53">
            <v>2090</v>
          </cell>
          <cell r="B53" t="str">
            <v>パッシブ封じ</v>
          </cell>
        </row>
        <row r="54">
          <cell r="A54">
            <v>2120</v>
          </cell>
          <cell r="B54" t="str">
            <v>デバフ強化</v>
          </cell>
        </row>
        <row r="55">
          <cell r="A55">
            <v>2130</v>
          </cell>
          <cell r="B55" t="str">
            <v>挑発</v>
          </cell>
        </row>
        <row r="56">
          <cell r="A56">
            <v>2140</v>
          </cell>
          <cell r="B56" t="str">
            <v>凍結</v>
          </cell>
        </row>
        <row r="57">
          <cell r="A57">
            <v>2150</v>
          </cell>
          <cell r="B57" t="str">
            <v>スタン</v>
          </cell>
        </row>
        <row r="58">
          <cell r="A58">
            <v>2180</v>
          </cell>
          <cell r="B58" t="str">
            <v>状態異常回避</v>
          </cell>
        </row>
        <row r="59">
          <cell r="A59">
            <v>2190</v>
          </cell>
          <cell r="B59" t="str">
            <v>対象範囲延長</v>
          </cell>
        </row>
        <row r="60">
          <cell r="A60">
            <v>2210</v>
          </cell>
          <cell r="B60" t="str">
            <v>アフターヒール</v>
          </cell>
        </row>
        <row r="61">
          <cell r="A61">
            <v>2220</v>
          </cell>
          <cell r="B61" t="str">
            <v>即死付与</v>
          </cell>
        </row>
        <row r="62">
          <cell r="A62">
            <v>2230</v>
          </cell>
          <cell r="B62" t="str">
            <v>同時回復</v>
          </cell>
        </row>
        <row r="63">
          <cell r="A63">
            <v>2240</v>
          </cell>
          <cell r="B63" t="str">
            <v>必中</v>
          </cell>
        </row>
        <row r="64">
          <cell r="A64">
            <v>2250</v>
          </cell>
          <cell r="B64" t="str">
            <v>アシストヒール</v>
          </cell>
        </row>
        <row r="65">
          <cell r="A65">
            <v>2270</v>
          </cell>
          <cell r="B65" t="str">
            <v>アンデッド</v>
          </cell>
        </row>
        <row r="66">
          <cell r="A66">
            <v>2280</v>
          </cell>
          <cell r="B66" t="str">
            <v>アクセル</v>
          </cell>
        </row>
        <row r="67">
          <cell r="A67">
            <v>2290</v>
          </cell>
          <cell r="B67" t="str">
            <v>ダメージ威力アップ</v>
          </cell>
        </row>
        <row r="68">
          <cell r="A68">
            <v>2320</v>
          </cell>
          <cell r="B68" t="str">
            <v>バフ解除</v>
          </cell>
        </row>
        <row r="69">
          <cell r="A69">
            <v>2330</v>
          </cell>
          <cell r="B69" t="str">
            <v>貫通</v>
          </cell>
        </row>
        <row r="70">
          <cell r="A70">
            <v>2340</v>
          </cell>
          <cell r="B70" t="str">
            <v>対象列化</v>
          </cell>
        </row>
        <row r="71">
          <cell r="A71">
            <v>2341</v>
          </cell>
          <cell r="B71" t="str">
            <v>対象全体化</v>
          </cell>
        </row>
        <row r="72">
          <cell r="A72">
            <v>2350</v>
          </cell>
          <cell r="B72" t="str">
            <v>聖棺</v>
          </cell>
        </row>
        <row r="73">
          <cell r="A73">
            <v>2360</v>
          </cell>
          <cell r="B73" t="str">
            <v>追加ダメージ</v>
          </cell>
        </row>
        <row r="74">
          <cell r="A74">
            <v>2370</v>
          </cell>
          <cell r="B74" t="str">
            <v>追加効果</v>
          </cell>
        </row>
        <row r="75">
          <cell r="A75">
            <v>2380</v>
          </cell>
          <cell r="B75" t="str">
            <v>透明</v>
          </cell>
        </row>
        <row r="76">
          <cell r="A76">
            <v>2390</v>
          </cell>
          <cell r="B76" t="str">
            <v>沈黙</v>
          </cell>
        </row>
        <row r="77">
          <cell r="A77">
            <v>2400</v>
          </cell>
          <cell r="B77" t="str">
            <v>不治</v>
          </cell>
        </row>
        <row r="78">
          <cell r="A78">
            <v>2410</v>
          </cell>
          <cell r="B78" t="str">
            <v>シールド</v>
          </cell>
        </row>
        <row r="79">
          <cell r="A79">
            <v>2420</v>
          </cell>
          <cell r="B79" t="str">
            <v>フォロー</v>
          </cell>
        </row>
        <row r="80">
          <cell r="A80">
            <v>2430</v>
          </cell>
          <cell r="B80" t="str">
            <v>かばう</v>
          </cell>
        </row>
        <row r="81">
          <cell r="A81">
            <v>2440</v>
          </cell>
          <cell r="B81" t="str">
            <v>Ap消費半減</v>
          </cell>
        </row>
        <row r="82">
          <cell r="A82">
            <v>2450</v>
          </cell>
          <cell r="B82" t="str">
            <v>不死</v>
          </cell>
        </row>
        <row r="83">
          <cell r="A83">
            <v>2460</v>
          </cell>
          <cell r="B83" t="str">
            <v>Hp回復効果アップ</v>
          </cell>
        </row>
        <row r="84">
          <cell r="A84">
            <v>2470</v>
          </cell>
          <cell r="B84" t="str">
            <v>呪詛</v>
          </cell>
        </row>
        <row r="85">
          <cell r="A85">
            <v>2480</v>
          </cell>
          <cell r="B85" t="str">
            <v>付与無効化</v>
          </cell>
        </row>
        <row r="86">
          <cell r="A86">
            <v>2490</v>
          </cell>
          <cell r="B86" t="str">
            <v>かばう無視</v>
          </cell>
        </row>
        <row r="87">
          <cell r="A87">
            <v>2500</v>
          </cell>
          <cell r="B87" t="str">
            <v>ダメージカット無効</v>
          </cell>
        </row>
        <row r="88">
          <cell r="A88">
            <v>3010</v>
          </cell>
          <cell r="B88" t="str">
            <v>チャージ</v>
          </cell>
        </row>
        <row r="89">
          <cell r="A89">
            <v>3020</v>
          </cell>
          <cell r="B89" t="str">
            <v>リンケージ</v>
          </cell>
        </row>
        <row r="90">
          <cell r="A90">
            <v>9999</v>
          </cell>
          <cell r="B90" t="str">
            <v>テスト用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2"/>
  <sheetViews>
    <sheetView zoomScale="115" zoomScaleNormal="115" workbookViewId="0">
      <pane ySplit="1" topLeftCell="A241" activePane="bottomLeft" state="frozen"/>
      <selection/>
      <selection pane="bottomLeft" activeCell="A258" sqref="A258"/>
    </sheetView>
  </sheetViews>
  <sheetFormatPr defaultColWidth="9" defaultRowHeight="13"/>
  <cols>
    <col min="1" max="2" width="7.63636363636364" customWidth="1"/>
    <col min="3" max="3" width="19.7272727272727" customWidth="1"/>
    <col min="6" max="6" width="8.84545454545455" customWidth="1"/>
    <col min="7" max="7" width="37.6363636363636" customWidth="1"/>
    <col min="8" max="8" width="8.06363636363636" customWidth="1"/>
    <col min="9" max="9" width="5.54545454545455" customWidth="1"/>
    <col min="10" max="10" width="7.19090909090909" customWidth="1"/>
    <col min="11" max="11" width="10.6636363636364" customWidth="1"/>
    <col min="12" max="12" width="5.63636363636364" customWidth="1"/>
    <col min="13" max="13" width="9.18181818181818" style="6" customWidth="1"/>
    <col min="14" max="14" width="4.90909090909091" style="6" customWidth="1"/>
    <col min="15" max="15" width="9.09090909090909" customWidth="1"/>
    <col min="16" max="16" width="5.54545454545455" customWidth="1"/>
    <col min="17" max="17" width="11.2727272727273" customWidth="1"/>
    <col min="18" max="18" width="6.90909090909091" customWidth="1"/>
    <col min="19" max="19" width="11" customWidth="1"/>
    <col min="20" max="20" width="17.7272727272727" customWidth="1"/>
    <col min="21" max="21" width="6.63636363636364" customWidth="1"/>
    <col min="22" max="22" width="11.8181818181818" customWidth="1"/>
    <col min="23" max="23" width="7.9090909090909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8</v>
      </c>
      <c r="L1" t="s">
        <v>9</v>
      </c>
      <c r="M1" t="s">
        <v>10</v>
      </c>
      <c r="N1" t="s">
        <v>4</v>
      </c>
      <c r="O1" t="s">
        <v>11</v>
      </c>
      <c r="P1" t="s">
        <v>4</v>
      </c>
      <c r="Q1" t="s">
        <v>12</v>
      </c>
      <c r="R1" t="s">
        <v>4</v>
      </c>
      <c r="S1" t="s">
        <v>13</v>
      </c>
      <c r="T1" t="s">
        <v>4</v>
      </c>
      <c r="U1" t="s">
        <v>14</v>
      </c>
      <c r="V1" t="s">
        <v>15</v>
      </c>
      <c r="W1" t="s">
        <v>16</v>
      </c>
      <c r="X1" t="s">
        <v>17</v>
      </c>
    </row>
    <row r="2" spans="1:24">
      <c r="A2">
        <v>0</v>
      </c>
      <c r="B2">
        <v>0</v>
      </c>
      <c r="C2" t="str">
        <f>INDEX(TextData!B:B,MATCH(B2,TextData!A:A))</f>
        <v>-</v>
      </c>
      <c r="D2">
        <v>0</v>
      </c>
      <c r="E2" t="str">
        <f>INDEX(Define!X:X,MATCH(D2,Define!W:W))</f>
        <v>なし</v>
      </c>
      <c r="F2">
        <v>0</v>
      </c>
      <c r="H2">
        <v>0</v>
      </c>
      <c r="I2" t="str">
        <f>INDEX(Define!B:B,MATCH(H2,Define!A:A))</f>
        <v>なし</v>
      </c>
      <c r="J2">
        <v>0</v>
      </c>
      <c r="K2">
        <v>0</v>
      </c>
      <c r="L2">
        <v>0</v>
      </c>
      <c r="M2">
        <v>0</v>
      </c>
      <c r="N2" t="str">
        <f>INDEX(Define!E:E,MATCH(M2,Define!D:D))</f>
        <v>なし</v>
      </c>
      <c r="O2">
        <v>0</v>
      </c>
      <c r="P2" t="str">
        <f>INDEX(Define!H:H,MATCH(O2,Define!G:G))</f>
        <v>なし</v>
      </c>
      <c r="Q2">
        <v>0</v>
      </c>
      <c r="R2" t="str">
        <f>INDEX(Define!K:K,MATCH(Q2,Define!J:J))</f>
        <v>なし</v>
      </c>
      <c r="S2">
        <v>0</v>
      </c>
      <c r="T2" t="str">
        <f>INDEX(Define!N:N,MATCH(S2,Define!M:M))</f>
        <v>なし</v>
      </c>
      <c r="U2">
        <v>1</v>
      </c>
      <c r="V2">
        <v>1</v>
      </c>
      <c r="W2">
        <v>1</v>
      </c>
      <c r="X2">
        <v>0</v>
      </c>
    </row>
    <row r="3" spans="1:24">
      <c r="A3">
        <v>1</v>
      </c>
      <c r="B3">
        <v>1</v>
      </c>
      <c r="C3" t="str">
        <f>INDEX(TextData!B:B,MATCH(B3,TextData!A:A))</f>
        <v>はずす</v>
      </c>
      <c r="D3">
        <v>0</v>
      </c>
      <c r="E3" t="str">
        <f>INDEX(Define!X:X,MATCH(D3,Define!W:W))</f>
        <v>なし</v>
      </c>
      <c r="F3">
        <v>0</v>
      </c>
      <c r="H3">
        <v>0</v>
      </c>
      <c r="I3" t="str">
        <f>INDEX(Define!B:B,MATCH(H3,Define!A:A))</f>
        <v>なし</v>
      </c>
      <c r="J3">
        <v>0</v>
      </c>
      <c r="K3">
        <v>0</v>
      </c>
      <c r="L3">
        <v>0</v>
      </c>
      <c r="M3">
        <v>0</v>
      </c>
      <c r="N3" t="str">
        <f>INDEX(Define!E:E,MATCH(M3,Define!D:D))</f>
        <v>なし</v>
      </c>
      <c r="O3">
        <v>0</v>
      </c>
      <c r="P3" t="str">
        <f>INDEX(Define!H:H,MATCH(O3,Define!G:G))</f>
        <v>なし</v>
      </c>
      <c r="Q3">
        <v>0</v>
      </c>
      <c r="R3" t="str">
        <f>INDEX(Define!K:K,MATCH(Q3,Define!J:J))</f>
        <v>なし</v>
      </c>
      <c r="S3">
        <v>0</v>
      </c>
      <c r="T3" t="str">
        <f>INDEX(Define!N:N,MATCH(S3,Define!M:M))</f>
        <v>なし</v>
      </c>
      <c r="U3">
        <v>1</v>
      </c>
      <c r="V3">
        <v>1</v>
      </c>
      <c r="W3">
        <v>1</v>
      </c>
      <c r="X3">
        <v>0</v>
      </c>
    </row>
    <row r="4" spans="1:24">
      <c r="A4">
        <v>2</v>
      </c>
      <c r="B4">
        <v>1</v>
      </c>
      <c r="C4" t="str">
        <f>INDEX(TextData!B:B,MATCH(B4,TextData!A:A))</f>
        <v>はずす</v>
      </c>
      <c r="D4">
        <v>1</v>
      </c>
      <c r="E4" t="str">
        <f>INDEX(Define!X:X,MATCH(D4,Define!W:W))</f>
        <v>元素</v>
      </c>
      <c r="F4">
        <v>0</v>
      </c>
      <c r="H4">
        <v>1</v>
      </c>
      <c r="I4" t="str">
        <f>INDEX(Define!B:B,MATCH(H4,Define!A:A))</f>
        <v>単体</v>
      </c>
      <c r="J4">
        <v>0</v>
      </c>
      <c r="K4">
        <v>0</v>
      </c>
      <c r="L4">
        <v>0</v>
      </c>
      <c r="M4">
        <v>0</v>
      </c>
      <c r="N4" t="str">
        <f>INDEX(Define!E:E,MATCH(M4,Define!D:D))</f>
        <v>なし</v>
      </c>
      <c r="O4">
        <v>1</v>
      </c>
      <c r="P4" t="str">
        <f>INDEX(Define!H:H,MATCH(O4,Define!G:G))</f>
        <v>魔法</v>
      </c>
      <c r="Q4">
        <v>1</v>
      </c>
      <c r="R4" t="str">
        <f>INDEX(Define!K:K,MATCH(Q4,Define!J:J))</f>
        <v>相手</v>
      </c>
      <c r="S4">
        <v>1</v>
      </c>
      <c r="T4" t="str">
        <f>INDEX(Define!N:N,MATCH(S4,Define!M:M))</f>
        <v>単体</v>
      </c>
      <c r="U4">
        <v>2</v>
      </c>
      <c r="V4">
        <v>1</v>
      </c>
      <c r="W4">
        <v>1</v>
      </c>
      <c r="X4">
        <v>0</v>
      </c>
    </row>
    <row r="5" spans="1:24">
      <c r="A5">
        <v>11</v>
      </c>
      <c r="B5">
        <v>11</v>
      </c>
      <c r="C5" t="str">
        <f>INDEX(TextData!B:B,MATCH(B5,TextData!A:A))</f>
        <v>覚醒</v>
      </c>
      <c r="D5">
        <v>5</v>
      </c>
      <c r="E5" t="str">
        <f>INDEX(Define!X:X,MATCH(D5,Define!W:W))</f>
        <v>超次元</v>
      </c>
      <c r="F5">
        <v>11</v>
      </c>
      <c r="G5" t="str">
        <f>INDEX([1]Animations!B:B,MATCH(F5,[1]Animations!A:A))</f>
        <v>tktk01/Magic2</v>
      </c>
      <c r="H5">
        <v>1</v>
      </c>
      <c r="I5" t="str">
        <f>INDEX(Define!B:B,MATCH(H5,Define!A:A))</f>
        <v>単体</v>
      </c>
      <c r="J5">
        <v>0</v>
      </c>
      <c r="K5">
        <v>0</v>
      </c>
      <c r="L5">
        <v>0</v>
      </c>
      <c r="M5">
        <v>0</v>
      </c>
      <c r="N5" t="str">
        <f>INDEX(Define!E:E,MATCH(M5,Define!D:D))</f>
        <v>なし</v>
      </c>
      <c r="O5">
        <v>3</v>
      </c>
      <c r="P5" t="str">
        <f>INDEX(Define!H:H,MATCH(O5,Define!G:G))</f>
        <v>神化</v>
      </c>
      <c r="Q5">
        <v>4</v>
      </c>
      <c r="R5" t="str">
        <f>INDEX(Define!K:K,MATCH(Q5,Define!J:J))</f>
        <v>自身</v>
      </c>
      <c r="S5">
        <v>4</v>
      </c>
      <c r="T5" t="str">
        <f>INDEX(Define!N:N,MATCH(S5,Define!M:M))</f>
        <v>自身</v>
      </c>
      <c r="U5">
        <v>1</v>
      </c>
      <c r="V5">
        <v>1</v>
      </c>
      <c r="W5">
        <v>1</v>
      </c>
      <c r="X5">
        <v>0</v>
      </c>
    </row>
    <row r="6" spans="1:24">
      <c r="A6">
        <v>21</v>
      </c>
      <c r="B6">
        <v>21</v>
      </c>
      <c r="C6" t="str">
        <f>INDEX(TextData!B:B,MATCH(B6,TextData!A:A))</f>
        <v>覚醒解除</v>
      </c>
      <c r="D6">
        <v>5</v>
      </c>
      <c r="E6" t="str">
        <f>INDEX(Define!X:X,MATCH(D6,Define!W:W))</f>
        <v>超次元</v>
      </c>
      <c r="F6">
        <v>0</v>
      </c>
      <c r="H6">
        <v>1</v>
      </c>
      <c r="I6" t="str">
        <f>INDEX(Define!B:B,MATCH(H6,Define!A:A))</f>
        <v>単体</v>
      </c>
      <c r="J6">
        <v>0</v>
      </c>
      <c r="K6">
        <v>0</v>
      </c>
      <c r="L6">
        <v>0</v>
      </c>
      <c r="M6">
        <v>0</v>
      </c>
      <c r="N6" t="str">
        <f>INDEX(Define!E:E,MATCH(M6,Define!D:D))</f>
        <v>なし</v>
      </c>
      <c r="O6">
        <v>1</v>
      </c>
      <c r="P6" t="str">
        <f>INDEX(Define!H:H,MATCH(O6,Define!G:G))</f>
        <v>魔法</v>
      </c>
      <c r="Q6">
        <v>4</v>
      </c>
      <c r="R6" t="str">
        <f>INDEX(Define!K:K,MATCH(Q6,Define!J:J))</f>
        <v>自身</v>
      </c>
      <c r="S6">
        <v>4</v>
      </c>
      <c r="T6" t="str">
        <f>INDEX(Define!N:N,MATCH(S6,Define!M:M))</f>
        <v>自身</v>
      </c>
      <c r="U6">
        <v>1</v>
      </c>
      <c r="V6">
        <v>1</v>
      </c>
      <c r="W6">
        <v>1</v>
      </c>
      <c r="X6">
        <v>0</v>
      </c>
    </row>
    <row r="7" spans="1:24">
      <c r="A7">
        <v>31</v>
      </c>
      <c r="B7">
        <v>31</v>
      </c>
      <c r="C7" t="str">
        <f>INDEX(TextData!B:B,MATCH(B7,TextData!A:A))</f>
        <v>拘束制御</v>
      </c>
      <c r="D7">
        <v>3</v>
      </c>
      <c r="E7" t="str">
        <f>INDEX(Define!X:X,MATCH(D7,Define!W:W))</f>
        <v>理術</v>
      </c>
      <c r="F7">
        <v>0</v>
      </c>
      <c r="H7">
        <v>1</v>
      </c>
      <c r="I7" t="str">
        <f>INDEX(Define!B:B,MATCH(H7,Define!A:A))</f>
        <v>単体</v>
      </c>
      <c r="J7">
        <v>0</v>
      </c>
      <c r="K7">
        <v>0</v>
      </c>
      <c r="L7">
        <v>0</v>
      </c>
      <c r="M7">
        <v>2</v>
      </c>
      <c r="N7" t="str">
        <f>INDEX(Define!E:E,MATCH(M7,Define!D:D))</f>
        <v>雷</v>
      </c>
      <c r="O7">
        <v>0</v>
      </c>
      <c r="P7" t="str">
        <f>INDEX(Define!H:H,MATCH(O7,Define!G:G))</f>
        <v>なし</v>
      </c>
      <c r="Q7">
        <v>1</v>
      </c>
      <c r="R7" t="str">
        <f>INDEX(Define!K:K,MATCH(Q7,Define!J:J))</f>
        <v>相手</v>
      </c>
      <c r="S7">
        <v>1</v>
      </c>
      <c r="T7" t="str">
        <f>INDEX(Define!N:N,MATCH(S7,Define!M:M))</f>
        <v>単体</v>
      </c>
      <c r="U7">
        <v>2</v>
      </c>
      <c r="V7">
        <v>1</v>
      </c>
      <c r="W7">
        <v>1</v>
      </c>
      <c r="X7">
        <v>0</v>
      </c>
    </row>
    <row r="8" spans="1:24">
      <c r="A8">
        <v>32</v>
      </c>
      <c r="B8">
        <v>32</v>
      </c>
      <c r="C8" t="str">
        <f>INDEX(TextData!B:B,MATCH(B8,TextData!A:A))</f>
        <v>拘束ダメージ解除</v>
      </c>
      <c r="D8">
        <v>3</v>
      </c>
      <c r="E8" t="str">
        <f>INDEX(Define!X:X,MATCH(D8,Define!W:W))</f>
        <v>理術</v>
      </c>
      <c r="F8">
        <v>0</v>
      </c>
      <c r="H8">
        <v>1</v>
      </c>
      <c r="I8" t="str">
        <f>INDEX(Define!B:B,MATCH(H8,Define!A:A))</f>
        <v>単体</v>
      </c>
      <c r="J8">
        <v>0</v>
      </c>
      <c r="K8">
        <v>0</v>
      </c>
      <c r="L8">
        <v>0</v>
      </c>
      <c r="M8">
        <v>2</v>
      </c>
      <c r="N8" t="str">
        <f>INDEX(Define!E:E,MATCH(M8,Define!D:D))</f>
        <v>雷</v>
      </c>
      <c r="O8">
        <v>0</v>
      </c>
      <c r="P8" t="str">
        <f>INDEX(Define!H:H,MATCH(O8,Define!G:G))</f>
        <v>なし</v>
      </c>
      <c r="Q8">
        <v>4</v>
      </c>
      <c r="R8" t="str">
        <f>INDEX(Define!K:K,MATCH(Q8,Define!J:J))</f>
        <v>自身</v>
      </c>
      <c r="S8">
        <v>4</v>
      </c>
      <c r="T8" t="str">
        <f>INDEX(Define!N:N,MATCH(S8,Define!M:M))</f>
        <v>自身</v>
      </c>
      <c r="U8">
        <v>1</v>
      </c>
      <c r="V8">
        <v>1</v>
      </c>
      <c r="W8">
        <v>1</v>
      </c>
      <c r="X8">
        <v>0</v>
      </c>
    </row>
    <row r="9" spans="1:24">
      <c r="A9">
        <v>33</v>
      </c>
      <c r="B9">
        <v>33</v>
      </c>
      <c r="C9" t="str">
        <f>INDEX(TextData!B:B,MATCH(B9,TextData!A:A))</f>
        <v>居合</v>
      </c>
      <c r="D9">
        <v>3</v>
      </c>
      <c r="E9" t="str">
        <f>INDEX(Define!X:X,MATCH(D9,Define!W:W))</f>
        <v>理術</v>
      </c>
      <c r="F9">
        <v>0</v>
      </c>
      <c r="H9">
        <v>1</v>
      </c>
      <c r="I9" t="str">
        <f>INDEX(Define!B:B,MATCH(H9,Define!A:A))</f>
        <v>単体</v>
      </c>
      <c r="J9">
        <v>0</v>
      </c>
      <c r="K9">
        <v>0</v>
      </c>
      <c r="L9">
        <v>0</v>
      </c>
      <c r="M9">
        <v>2</v>
      </c>
      <c r="N9" t="str">
        <f>INDEX(Define!E:E,MATCH(M9,Define!D:D))</f>
        <v>雷</v>
      </c>
      <c r="O9">
        <v>0</v>
      </c>
      <c r="P9" t="str">
        <f>INDEX(Define!H:H,MATCH(O9,Define!G:G))</f>
        <v>なし</v>
      </c>
      <c r="Q9">
        <v>1</v>
      </c>
      <c r="R9" t="str">
        <f>INDEX(Define!K:K,MATCH(Q9,Define!J:J))</f>
        <v>相手</v>
      </c>
      <c r="S9">
        <v>1</v>
      </c>
      <c r="T9" t="str">
        <f>INDEX(Define!N:N,MATCH(S9,Define!M:M))</f>
        <v>単体</v>
      </c>
      <c r="U9">
        <v>2</v>
      </c>
      <c r="V9">
        <v>1</v>
      </c>
      <c r="W9">
        <v>1</v>
      </c>
      <c r="X9">
        <v>0</v>
      </c>
    </row>
    <row r="10" spans="1:24">
      <c r="A10">
        <v>1010</v>
      </c>
      <c r="B10">
        <v>1010</v>
      </c>
      <c r="C10" t="str">
        <f>INDEX(TextData!B:B,MATCH(B10,TextData!A:A))</f>
        <v>ファイアボール</v>
      </c>
      <c r="D10">
        <v>1</v>
      </c>
      <c r="E10" t="str">
        <f>INDEX(Define!X:X,MATCH(D10,Define!W:W))</f>
        <v>元素</v>
      </c>
      <c r="F10">
        <v>2101</v>
      </c>
      <c r="G10" t="str">
        <f>INDEX([1]Animations!B:B,MATCH(F10,[1]Animations!A:A))</f>
        <v>tktk01/Fire2</v>
      </c>
      <c r="H10">
        <v>1</v>
      </c>
      <c r="I10" t="str">
        <f>INDEX(Define!B:B,MATCH(H10,Define!A:A))</f>
        <v>単体</v>
      </c>
      <c r="J10">
        <v>0</v>
      </c>
      <c r="K10">
        <v>0</v>
      </c>
      <c r="L10">
        <v>10</v>
      </c>
      <c r="M10">
        <v>1</v>
      </c>
      <c r="N10" t="str">
        <f>INDEX(Define!E:E,MATCH(M10,Define!D:D))</f>
        <v>炎</v>
      </c>
      <c r="O10">
        <v>1</v>
      </c>
      <c r="P10" t="str">
        <f>INDEX(Define!H:H,MATCH(O10,Define!G:G))</f>
        <v>魔法</v>
      </c>
      <c r="Q10">
        <v>1</v>
      </c>
      <c r="R10" t="str">
        <f>INDEX(Define!K:K,MATCH(Q10,Define!J:J))</f>
        <v>相手</v>
      </c>
      <c r="S10">
        <v>1</v>
      </c>
      <c r="T10" t="str">
        <f>INDEX(Define!N:N,MATCH(S10,Define!M:M))</f>
        <v>単体</v>
      </c>
      <c r="U10">
        <v>1</v>
      </c>
      <c r="V10">
        <v>1</v>
      </c>
      <c r="W10">
        <v>1</v>
      </c>
      <c r="X10">
        <v>0</v>
      </c>
    </row>
    <row r="11" spans="1:24">
      <c r="A11">
        <v>1020</v>
      </c>
      <c r="B11">
        <v>1020</v>
      </c>
      <c r="C11" t="str">
        <f>INDEX(TextData!B:B,MATCH(B11,TextData!A:A))</f>
        <v>フレイムクラッシュ</v>
      </c>
      <c r="D11">
        <v>1</v>
      </c>
      <c r="E11" t="str">
        <f>INDEX(Define!X:X,MATCH(D11,Define!W:W))</f>
        <v>元素</v>
      </c>
      <c r="F11">
        <v>101</v>
      </c>
      <c r="G11" t="str">
        <f>INDEX([1]Animations!B:B,MATCH(F11,[1]Animations!A:A))</f>
        <v>MakerEffect/FireOne1</v>
      </c>
      <c r="H11">
        <v>1</v>
      </c>
      <c r="I11" t="str">
        <f>INDEX(Define!B:B,MATCH(H11,Define!A:A))</f>
        <v>単体</v>
      </c>
      <c r="J11">
        <v>0</v>
      </c>
      <c r="K11">
        <v>2</v>
      </c>
      <c r="L11">
        <v>20</v>
      </c>
      <c r="M11">
        <v>1</v>
      </c>
      <c r="N11" t="str">
        <f>INDEX(Define!E:E,MATCH(M11,Define!D:D))</f>
        <v>炎</v>
      </c>
      <c r="O11">
        <v>1</v>
      </c>
      <c r="P11" t="str">
        <f>INDEX(Define!H:H,MATCH(O11,Define!G:G))</f>
        <v>魔法</v>
      </c>
      <c r="Q11">
        <v>1</v>
      </c>
      <c r="R11" t="str">
        <f>INDEX(Define!K:K,MATCH(Q11,Define!J:J))</f>
        <v>相手</v>
      </c>
      <c r="S11">
        <v>1</v>
      </c>
      <c r="T11" t="str">
        <f>INDEX(Define!N:N,MATCH(S11,Define!M:M))</f>
        <v>単体</v>
      </c>
      <c r="U11">
        <v>1</v>
      </c>
      <c r="V11">
        <v>1</v>
      </c>
      <c r="W11">
        <v>1</v>
      </c>
      <c r="X11">
        <v>0</v>
      </c>
    </row>
    <row r="12" spans="1:24">
      <c r="A12">
        <v>1030</v>
      </c>
      <c r="B12">
        <v>1030</v>
      </c>
      <c r="C12" t="str">
        <f>INDEX(TextData!B:B,MATCH(B12,TextData!A:A))</f>
        <v>ブレイクウォール</v>
      </c>
      <c r="D12">
        <v>1</v>
      </c>
      <c r="E12" t="str">
        <f>INDEX(Define!X:X,MATCH(D12,Define!W:W))</f>
        <v>元素</v>
      </c>
      <c r="F12">
        <v>102</v>
      </c>
      <c r="G12" t="str">
        <f>INDEX([1]Animations!B:B,MATCH(F12,[1]Animations!A:A))</f>
        <v>MakerEffect/FireOne2</v>
      </c>
      <c r="H12">
        <v>1</v>
      </c>
      <c r="I12" t="str">
        <f>INDEX(Define!B:B,MATCH(H12,Define!A:A))</f>
        <v>単体</v>
      </c>
      <c r="J12">
        <v>0</v>
      </c>
      <c r="K12">
        <v>2</v>
      </c>
      <c r="L12">
        <v>20</v>
      </c>
      <c r="M12">
        <v>1</v>
      </c>
      <c r="N12" t="str">
        <f>INDEX(Define!E:E,MATCH(M12,Define!D:D))</f>
        <v>炎</v>
      </c>
      <c r="O12">
        <v>1</v>
      </c>
      <c r="P12" t="str">
        <f>INDEX(Define!H:H,MATCH(O12,Define!G:G))</f>
        <v>魔法</v>
      </c>
      <c r="Q12">
        <v>1</v>
      </c>
      <c r="R12" t="str">
        <f>INDEX(Define!K:K,MATCH(Q12,Define!J:J))</f>
        <v>相手</v>
      </c>
      <c r="S12">
        <v>1</v>
      </c>
      <c r="T12" t="str">
        <f>INDEX(Define!N:N,MATCH(S12,Define!M:M))</f>
        <v>単体</v>
      </c>
      <c r="U12">
        <v>1</v>
      </c>
      <c r="V12">
        <v>1</v>
      </c>
      <c r="W12">
        <v>1</v>
      </c>
      <c r="X12">
        <v>0</v>
      </c>
    </row>
    <row r="13" spans="1:24">
      <c r="A13">
        <v>1040</v>
      </c>
      <c r="B13">
        <v>1040</v>
      </c>
      <c r="C13" t="str">
        <f>INDEX(TextData!B:B,MATCH(B13,TextData!A:A))</f>
        <v>フィニッシュスタブ</v>
      </c>
      <c r="D13">
        <v>1</v>
      </c>
      <c r="E13" t="str">
        <f>INDEX(Define!X:X,MATCH(D13,Define!W:W))</f>
        <v>元素</v>
      </c>
      <c r="F13">
        <v>102</v>
      </c>
      <c r="G13" t="str">
        <f>INDEX([1]Animations!B:B,MATCH(F13,[1]Animations!A:A))</f>
        <v>MakerEffect/FireOne2</v>
      </c>
      <c r="H13">
        <v>1</v>
      </c>
      <c r="I13" t="str">
        <f>INDEX(Define!B:B,MATCH(H13,Define!A:A))</f>
        <v>単体</v>
      </c>
      <c r="J13">
        <v>0</v>
      </c>
      <c r="K13">
        <v>2</v>
      </c>
      <c r="L13">
        <v>20</v>
      </c>
      <c r="M13">
        <v>1</v>
      </c>
      <c r="N13" t="str">
        <f>INDEX(Define!E:E,MATCH(M13,Define!D:D))</f>
        <v>炎</v>
      </c>
      <c r="O13">
        <v>1</v>
      </c>
      <c r="P13" t="str">
        <f>INDEX(Define!H:H,MATCH(O13,Define!G:G))</f>
        <v>魔法</v>
      </c>
      <c r="Q13">
        <v>1</v>
      </c>
      <c r="R13" t="str">
        <f>INDEX(Define!K:K,MATCH(Q13,Define!J:J))</f>
        <v>相手</v>
      </c>
      <c r="S13">
        <v>1</v>
      </c>
      <c r="T13" t="str">
        <f>INDEX(Define!N:N,MATCH(S13,Define!M:M))</f>
        <v>単体</v>
      </c>
      <c r="U13">
        <v>1</v>
      </c>
      <c r="V13">
        <v>1</v>
      </c>
      <c r="W13">
        <v>1</v>
      </c>
      <c r="X13">
        <v>0</v>
      </c>
    </row>
    <row r="14" ht="12" customHeight="1" spans="1:24">
      <c r="A14">
        <v>1050</v>
      </c>
      <c r="B14">
        <v>1050</v>
      </c>
      <c r="C14" t="str">
        <f>INDEX(TextData!B:B,MATCH(B14,TextData!A:A))</f>
        <v>フレイムレイン</v>
      </c>
      <c r="D14">
        <v>1</v>
      </c>
      <c r="E14" t="str">
        <f>INDEX(Define!X:X,MATCH(D14,Define!W:W))</f>
        <v>元素</v>
      </c>
      <c r="F14">
        <v>2104</v>
      </c>
      <c r="G14" t="str">
        <f>INDEX([1]Animations!B:B,MATCH(F14,[1]Animations!A:A))</f>
        <v>NA_Effekseer/NA_magic_006_c1</v>
      </c>
      <c r="H14">
        <v>1</v>
      </c>
      <c r="I14" t="str">
        <f>INDEX(Define!B:B,MATCH(H14,Define!A:A))</f>
        <v>単体</v>
      </c>
      <c r="J14">
        <v>0</v>
      </c>
      <c r="K14">
        <v>2</v>
      </c>
      <c r="L14">
        <v>20</v>
      </c>
      <c r="M14">
        <v>1</v>
      </c>
      <c r="N14" t="str">
        <f>INDEX(Define!E:E,MATCH(M14,Define!D:D))</f>
        <v>炎</v>
      </c>
      <c r="O14">
        <v>1</v>
      </c>
      <c r="P14" t="str">
        <f>INDEX(Define!H:H,MATCH(O14,Define!G:G))</f>
        <v>魔法</v>
      </c>
      <c r="Q14">
        <v>1</v>
      </c>
      <c r="R14" t="str">
        <f>INDEX(Define!K:K,MATCH(Q14,Define!J:J))</f>
        <v>相手</v>
      </c>
      <c r="S14">
        <v>1</v>
      </c>
      <c r="T14" t="str">
        <f>INDEX(Define!N:N,MATCH(S14,Define!M:M))</f>
        <v>単体</v>
      </c>
      <c r="U14">
        <v>1</v>
      </c>
      <c r="V14">
        <v>5</v>
      </c>
      <c r="W14">
        <v>1</v>
      </c>
      <c r="X14">
        <v>0</v>
      </c>
    </row>
    <row r="15" ht="12" customHeight="1" spans="1:24">
      <c r="A15">
        <v>1070</v>
      </c>
      <c r="B15">
        <v>1070</v>
      </c>
      <c r="C15" t="str">
        <f>INDEX(TextData!B:B,MATCH(B15,TextData!A:A))</f>
        <v>バーニングソウル</v>
      </c>
      <c r="D15">
        <v>2</v>
      </c>
      <c r="E15" t="str">
        <f>INDEX(Define!X:X,MATCH(D15,Define!W:W))</f>
        <v>光</v>
      </c>
      <c r="F15">
        <v>101</v>
      </c>
      <c r="G15" t="str">
        <f>INDEX([1]Animations!B:B,MATCH(F15,[1]Animations!A:A))</f>
        <v>MakerEffect/FireOne1</v>
      </c>
      <c r="H15">
        <v>1</v>
      </c>
      <c r="I15" t="str">
        <f>INDEX(Define!B:B,MATCH(H15,Define!A:A))</f>
        <v>単体</v>
      </c>
      <c r="J15">
        <v>0</v>
      </c>
      <c r="K15">
        <v>3</v>
      </c>
      <c r="L15">
        <v>20</v>
      </c>
      <c r="M15">
        <v>1</v>
      </c>
      <c r="N15" t="str">
        <f>INDEX(Define!E:E,MATCH(M15,Define!D:D))</f>
        <v>炎</v>
      </c>
      <c r="O15">
        <v>1</v>
      </c>
      <c r="P15" t="str">
        <f>INDEX(Define!H:H,MATCH(O15,Define!G:G))</f>
        <v>魔法</v>
      </c>
      <c r="Q15">
        <v>2</v>
      </c>
      <c r="R15" t="str">
        <f>INDEX(Define!K:K,MATCH(Q15,Define!J:J))</f>
        <v>味方</v>
      </c>
      <c r="S15">
        <v>1</v>
      </c>
      <c r="T15" t="str">
        <f>INDEX(Define!N:N,MATCH(S15,Define!M:M))</f>
        <v>単体</v>
      </c>
      <c r="U15">
        <v>1</v>
      </c>
      <c r="V15">
        <v>1</v>
      </c>
      <c r="W15">
        <v>1</v>
      </c>
      <c r="X15">
        <v>0</v>
      </c>
    </row>
    <row r="16" ht="12" customHeight="1" spans="1:24">
      <c r="A16">
        <v>1080</v>
      </c>
      <c r="B16">
        <v>1080</v>
      </c>
      <c r="C16" t="str">
        <f>INDEX(TextData!B:B,MATCH(B16,TextData!A:A))</f>
        <v>レイジングバウンサー</v>
      </c>
      <c r="D16">
        <v>1</v>
      </c>
      <c r="E16" t="str">
        <f>INDEX(Define!X:X,MATCH(D16,Define!W:W))</f>
        <v>元素</v>
      </c>
      <c r="F16">
        <v>3005</v>
      </c>
      <c r="G16" t="str">
        <f>INDEX([1]Animations!B:B,MATCH(F16,[1]Animations!A:A))</f>
        <v>Genfulew_Effect/B&amp;S_MinMax_AttackUp</v>
      </c>
      <c r="H16">
        <v>1</v>
      </c>
      <c r="I16" t="str">
        <f>INDEX(Define!B:B,MATCH(H16,Define!A:A))</f>
        <v>単体</v>
      </c>
      <c r="J16">
        <v>0</v>
      </c>
      <c r="K16">
        <v>2</v>
      </c>
      <c r="L16">
        <v>20</v>
      </c>
      <c r="M16">
        <v>1</v>
      </c>
      <c r="N16" t="str">
        <f>INDEX(Define!E:E,MATCH(M16,Define!D:D))</f>
        <v>炎</v>
      </c>
      <c r="O16">
        <v>1</v>
      </c>
      <c r="P16" t="str">
        <f>INDEX(Define!H:H,MATCH(O16,Define!G:G))</f>
        <v>魔法</v>
      </c>
      <c r="Q16">
        <v>4</v>
      </c>
      <c r="R16" t="str">
        <f>INDEX(Define!K:K,MATCH(Q16,Define!J:J))</f>
        <v>自身</v>
      </c>
      <c r="S16">
        <v>4</v>
      </c>
      <c r="T16" t="str">
        <f>INDEX(Define!N:N,MATCH(S16,Define!M:M))</f>
        <v>自身</v>
      </c>
      <c r="U16">
        <v>1</v>
      </c>
      <c r="V16">
        <v>1</v>
      </c>
      <c r="W16">
        <v>1</v>
      </c>
      <c r="X16">
        <v>0</v>
      </c>
    </row>
    <row r="17" spans="1:24">
      <c r="A17">
        <v>1110</v>
      </c>
      <c r="B17">
        <v>1110</v>
      </c>
      <c r="C17" t="str">
        <f>INDEX(TextData!B:B,MATCH(B17,TextData!A:A))</f>
        <v>バーンストーム</v>
      </c>
      <c r="D17">
        <v>1</v>
      </c>
      <c r="E17" t="str">
        <f>INDEX(Define!X:X,MATCH(D17,Define!W:W))</f>
        <v>元素</v>
      </c>
      <c r="F17">
        <v>101</v>
      </c>
      <c r="G17" t="str">
        <f>INDEX([1]Animations!B:B,MATCH(F17,[1]Animations!A:A))</f>
        <v>MakerEffect/FireOne1</v>
      </c>
      <c r="H17">
        <v>2</v>
      </c>
      <c r="I17" t="str">
        <f>INDEX(Define!B:B,MATCH(H17,Define!A:A))</f>
        <v>列</v>
      </c>
      <c r="J17">
        <v>0</v>
      </c>
      <c r="K17">
        <v>3</v>
      </c>
      <c r="L17">
        <v>30</v>
      </c>
      <c r="M17">
        <v>1</v>
      </c>
      <c r="N17" t="str">
        <f>INDEX(Define!E:E,MATCH(M17,Define!D:D))</f>
        <v>炎</v>
      </c>
      <c r="O17">
        <v>1</v>
      </c>
      <c r="P17" t="str">
        <f>INDEX(Define!H:H,MATCH(O17,Define!G:G))</f>
        <v>魔法</v>
      </c>
      <c r="Q17">
        <v>1</v>
      </c>
      <c r="R17" t="str">
        <f>INDEX(Define!K:K,MATCH(Q17,Define!J:J))</f>
        <v>相手</v>
      </c>
      <c r="S17">
        <v>2</v>
      </c>
      <c r="T17" t="str">
        <f>INDEX(Define!N:N,MATCH(S17,Define!M:M))</f>
        <v>列</v>
      </c>
      <c r="U17">
        <v>1</v>
      </c>
      <c r="V17">
        <v>1</v>
      </c>
      <c r="W17">
        <v>1</v>
      </c>
      <c r="X17">
        <v>0</v>
      </c>
    </row>
    <row r="18" ht="12" customHeight="1" spans="1:24">
      <c r="A18">
        <v>1120</v>
      </c>
      <c r="B18">
        <v>1120</v>
      </c>
      <c r="C18" t="str">
        <f>INDEX(TextData!B:B,MATCH(B18,TextData!A:A))</f>
        <v>イクスティンクション</v>
      </c>
      <c r="D18">
        <v>1</v>
      </c>
      <c r="E18" t="str">
        <f>INDEX(Define!X:X,MATCH(D18,Define!W:W))</f>
        <v>元素</v>
      </c>
      <c r="F18">
        <v>102</v>
      </c>
      <c r="G18" t="str">
        <f>INDEX([1]Animations!B:B,MATCH(F18,[1]Animations!A:A))</f>
        <v>MakerEffect/FireOne2</v>
      </c>
      <c r="H18">
        <v>1</v>
      </c>
      <c r="I18" t="str">
        <f>INDEX(Define!B:B,MATCH(H18,Define!A:A))</f>
        <v>単体</v>
      </c>
      <c r="J18">
        <v>0</v>
      </c>
      <c r="K18">
        <v>3</v>
      </c>
      <c r="L18">
        <v>30</v>
      </c>
      <c r="M18">
        <v>1</v>
      </c>
      <c r="N18" t="str">
        <f>INDEX(Define!E:E,MATCH(M18,Define!D:D))</f>
        <v>炎</v>
      </c>
      <c r="O18">
        <v>1</v>
      </c>
      <c r="P18" t="str">
        <f>INDEX(Define!H:H,MATCH(O18,Define!G:G))</f>
        <v>魔法</v>
      </c>
      <c r="Q18">
        <v>1</v>
      </c>
      <c r="R18" t="str">
        <f>INDEX(Define!K:K,MATCH(Q18,Define!J:J))</f>
        <v>相手</v>
      </c>
      <c r="S18">
        <v>1</v>
      </c>
      <c r="T18" t="str">
        <f>INDEX(Define!N:N,MATCH(S18,Define!M:M))</f>
        <v>単体</v>
      </c>
      <c r="U18">
        <v>1</v>
      </c>
      <c r="V18">
        <v>1</v>
      </c>
      <c r="W18">
        <v>1</v>
      </c>
      <c r="X18">
        <v>0</v>
      </c>
    </row>
    <row r="19" spans="1:24">
      <c r="A19">
        <v>1930</v>
      </c>
      <c r="B19">
        <v>1930</v>
      </c>
      <c r="C19" t="str">
        <f>INDEX(TextData!B:B,MATCH(B19,TextData!A:A))</f>
        <v>ヒートスタンプ</v>
      </c>
      <c r="D19">
        <v>2</v>
      </c>
      <c r="E19" t="str">
        <f>INDEX(Define!X:X,MATCH(D19,Define!W:W))</f>
        <v>光</v>
      </c>
      <c r="F19">
        <v>21</v>
      </c>
      <c r="G19" t="str">
        <f>INDEX([1]Animations!B:B,MATCH(F19,[1]Animations!A:A))</f>
        <v>tktk01/Magic2</v>
      </c>
      <c r="H19">
        <v>1</v>
      </c>
      <c r="I19" t="str">
        <f>INDEX(Define!B:B,MATCH(H19,Define!A:A))</f>
        <v>単体</v>
      </c>
      <c r="J19">
        <v>0</v>
      </c>
      <c r="K19">
        <v>2</v>
      </c>
      <c r="L19">
        <v>30</v>
      </c>
      <c r="M19">
        <v>1</v>
      </c>
      <c r="N19" t="str">
        <f>INDEX(Define!E:E,MATCH(M19,Define!D:D))</f>
        <v>炎</v>
      </c>
      <c r="O19">
        <v>1</v>
      </c>
      <c r="P19" t="str">
        <f>INDEX(Define!H:H,MATCH(O19,Define!G:G))</f>
        <v>魔法</v>
      </c>
      <c r="Q19">
        <v>2</v>
      </c>
      <c r="R19" t="str">
        <f>INDEX(Define!K:K,MATCH(Q19,Define!J:J))</f>
        <v>味方</v>
      </c>
      <c r="S19">
        <v>1</v>
      </c>
      <c r="T19" t="str">
        <f>INDEX(Define!N:N,MATCH(S19,Define!M:M))</f>
        <v>単体</v>
      </c>
      <c r="U19">
        <v>1</v>
      </c>
      <c r="V19">
        <v>1</v>
      </c>
      <c r="W19">
        <v>1</v>
      </c>
      <c r="X19">
        <v>0</v>
      </c>
    </row>
    <row r="20" spans="1:24">
      <c r="A20">
        <v>1940</v>
      </c>
      <c r="B20">
        <v>1940</v>
      </c>
      <c r="C20" t="str">
        <f>INDEX(TextData!B:B,MATCH(B20,TextData!A:A))</f>
        <v>ソードアダプト</v>
      </c>
      <c r="D20">
        <v>4</v>
      </c>
      <c r="E20" t="str">
        <f>INDEX(Define!X:X,MATCH(D20,Define!W:W))</f>
        <v>精神</v>
      </c>
      <c r="F20">
        <v>3005</v>
      </c>
      <c r="G20" t="str">
        <f>INDEX([1]Animations!B:B,MATCH(F20,[1]Animations!A:A))</f>
        <v>Genfulew_Effect/B&amp;S_MinMax_AttackUp</v>
      </c>
      <c r="H20">
        <v>1</v>
      </c>
      <c r="I20" t="str">
        <f>INDEX(Define!B:B,MATCH(H20,Define!A:A))</f>
        <v>単体</v>
      </c>
      <c r="J20">
        <v>0</v>
      </c>
      <c r="K20">
        <v>3</v>
      </c>
      <c r="L20">
        <v>20</v>
      </c>
      <c r="M20">
        <v>1</v>
      </c>
      <c r="N20" t="str">
        <f>INDEX(Define!E:E,MATCH(M20,Define!D:D))</f>
        <v>炎</v>
      </c>
      <c r="O20">
        <v>1</v>
      </c>
      <c r="P20" t="str">
        <f>INDEX(Define!H:H,MATCH(O20,Define!G:G))</f>
        <v>魔法</v>
      </c>
      <c r="Q20">
        <v>4</v>
      </c>
      <c r="R20" t="str">
        <f>INDEX(Define!K:K,MATCH(Q20,Define!J:J))</f>
        <v>自身</v>
      </c>
      <c r="S20">
        <v>4</v>
      </c>
      <c r="T20" t="str">
        <f>INDEX(Define!N:N,MATCH(S20,Define!M:M))</f>
        <v>自身</v>
      </c>
      <c r="U20">
        <v>1</v>
      </c>
      <c r="V20">
        <v>1</v>
      </c>
      <c r="W20">
        <v>1</v>
      </c>
      <c r="X20">
        <v>0</v>
      </c>
    </row>
    <row r="21" spans="1:24">
      <c r="A21">
        <v>2010</v>
      </c>
      <c r="B21">
        <v>2010</v>
      </c>
      <c r="C21" t="str">
        <f>INDEX(TextData!B:B,MATCH(B21,TextData!A:A))</f>
        <v>ディスチャージ</v>
      </c>
      <c r="D21">
        <v>1</v>
      </c>
      <c r="E21" t="str">
        <f>INDEX(Define!X:X,MATCH(D21,Define!W:W))</f>
        <v>元素</v>
      </c>
      <c r="F21">
        <v>201</v>
      </c>
      <c r="G21" t="str">
        <f>INDEX([1]Animations!B:B,MATCH(F21,[1]Animations!A:A))</f>
        <v>MakerEffect/ThunderOne1</v>
      </c>
      <c r="H21">
        <v>1</v>
      </c>
      <c r="I21" t="str">
        <f>INDEX(Define!B:B,MATCH(H21,Define!A:A))</f>
        <v>単体</v>
      </c>
      <c r="J21">
        <v>0</v>
      </c>
      <c r="K21">
        <v>0</v>
      </c>
      <c r="L21">
        <v>10</v>
      </c>
      <c r="M21">
        <v>2</v>
      </c>
      <c r="N21" t="str">
        <f>INDEX(Define!E:E,MATCH(M21,Define!D:D))</f>
        <v>雷</v>
      </c>
      <c r="O21">
        <v>1</v>
      </c>
      <c r="P21" t="str">
        <f>INDEX(Define!H:H,MATCH(O21,Define!G:G))</f>
        <v>魔法</v>
      </c>
      <c r="Q21">
        <v>1</v>
      </c>
      <c r="R21" t="str">
        <f>INDEX(Define!K:K,MATCH(Q21,Define!J:J))</f>
        <v>相手</v>
      </c>
      <c r="S21">
        <v>1</v>
      </c>
      <c r="T21" t="str">
        <f>INDEX(Define!N:N,MATCH(S21,Define!M:M))</f>
        <v>単体</v>
      </c>
      <c r="U21">
        <v>1</v>
      </c>
      <c r="V21">
        <v>1</v>
      </c>
      <c r="W21">
        <v>1</v>
      </c>
      <c r="X21">
        <v>0</v>
      </c>
    </row>
    <row r="22" spans="1:24">
      <c r="A22">
        <v>2020</v>
      </c>
      <c r="B22">
        <v>2020</v>
      </c>
      <c r="C22" t="str">
        <f>INDEX(TextData!B:B,MATCH(B22,TextData!A:A))</f>
        <v>シャープエッジ</v>
      </c>
      <c r="D22">
        <v>1</v>
      </c>
      <c r="E22" t="str">
        <f>INDEX(Define!X:X,MATCH(D22,Define!W:W))</f>
        <v>元素</v>
      </c>
      <c r="F22">
        <v>1025</v>
      </c>
      <c r="G22" t="str">
        <f>INDEX([1]Animations!B:B,MATCH(F22,[1]Animations!A:A))</f>
        <v>MakerEffect/PierceThunder</v>
      </c>
      <c r="H22">
        <v>1</v>
      </c>
      <c r="I22" t="str">
        <f>INDEX(Define!B:B,MATCH(H22,Define!A:A))</f>
        <v>単体</v>
      </c>
      <c r="J22">
        <v>0</v>
      </c>
      <c r="K22">
        <v>2</v>
      </c>
      <c r="L22">
        <v>20</v>
      </c>
      <c r="M22">
        <v>2</v>
      </c>
      <c r="N22" t="str">
        <f>INDEX(Define!E:E,MATCH(M22,Define!D:D))</f>
        <v>雷</v>
      </c>
      <c r="O22">
        <v>1</v>
      </c>
      <c r="P22" t="str">
        <f>INDEX(Define!H:H,MATCH(O22,Define!G:G))</f>
        <v>魔法</v>
      </c>
      <c r="Q22">
        <v>1</v>
      </c>
      <c r="R22" t="str">
        <f>INDEX(Define!K:K,MATCH(Q22,Define!J:J))</f>
        <v>相手</v>
      </c>
      <c r="S22">
        <v>1</v>
      </c>
      <c r="T22" t="str">
        <f>INDEX(Define!N:N,MATCH(S22,Define!M:M))</f>
        <v>単体</v>
      </c>
      <c r="U22">
        <v>1</v>
      </c>
      <c r="V22">
        <v>1</v>
      </c>
      <c r="W22">
        <v>1</v>
      </c>
      <c r="X22">
        <v>0</v>
      </c>
    </row>
    <row r="23" spans="1:24">
      <c r="A23">
        <v>2030</v>
      </c>
      <c r="B23">
        <v>2030</v>
      </c>
      <c r="C23" t="str">
        <f>INDEX(TextData!B:B,MATCH(B23,TextData!A:A))</f>
        <v>ロングスラスト</v>
      </c>
      <c r="D23">
        <v>1</v>
      </c>
      <c r="E23" t="str">
        <f>INDEX(Define!X:X,MATCH(D23,Define!W:W))</f>
        <v>元素</v>
      </c>
      <c r="F23">
        <v>202</v>
      </c>
      <c r="G23" t="str">
        <f>INDEX([1]Animations!B:B,MATCH(F23,[1]Animations!A:A))</f>
        <v>MakerEffect/ThunderOne2</v>
      </c>
      <c r="H23">
        <v>1</v>
      </c>
      <c r="I23" t="str">
        <f>INDEX(Define!B:B,MATCH(H23,Define!A:A))</f>
        <v>単体</v>
      </c>
      <c r="J23">
        <v>0</v>
      </c>
      <c r="K23">
        <v>3</v>
      </c>
      <c r="L23">
        <v>20</v>
      </c>
      <c r="M23">
        <v>2</v>
      </c>
      <c r="N23" t="str">
        <f>INDEX(Define!E:E,MATCH(M23,Define!D:D))</f>
        <v>雷</v>
      </c>
      <c r="O23">
        <v>1</v>
      </c>
      <c r="P23" t="str">
        <f>INDEX(Define!H:H,MATCH(O23,Define!G:G))</f>
        <v>魔法</v>
      </c>
      <c r="Q23">
        <v>1</v>
      </c>
      <c r="R23" t="str">
        <f>INDEX(Define!K:K,MATCH(Q23,Define!J:J))</f>
        <v>相手</v>
      </c>
      <c r="S23">
        <v>1</v>
      </c>
      <c r="T23" t="str">
        <f>INDEX(Define!N:N,MATCH(S23,Define!M:M))</f>
        <v>単体</v>
      </c>
      <c r="U23">
        <v>2</v>
      </c>
      <c r="V23">
        <v>1</v>
      </c>
      <c r="W23">
        <v>1</v>
      </c>
      <c r="X23">
        <v>0</v>
      </c>
    </row>
    <row r="24" spans="1:24">
      <c r="A24">
        <v>2040</v>
      </c>
      <c r="B24">
        <v>2040</v>
      </c>
      <c r="C24" t="str">
        <f>INDEX(TextData!B:B,MATCH(B24,TextData!A:A))</f>
        <v>スパイラルソード</v>
      </c>
      <c r="D24">
        <v>1</v>
      </c>
      <c r="E24" t="str">
        <f>INDEX(Define!X:X,MATCH(D24,Define!W:W))</f>
        <v>元素</v>
      </c>
      <c r="F24">
        <v>202</v>
      </c>
      <c r="G24" t="str">
        <f>INDEX([1]Animations!B:B,MATCH(F24,[1]Animations!A:A))</f>
        <v>MakerEffect/ThunderOne2</v>
      </c>
      <c r="H24">
        <v>1</v>
      </c>
      <c r="I24" t="str">
        <f>INDEX(Define!B:B,MATCH(H24,Define!A:A))</f>
        <v>単体</v>
      </c>
      <c r="J24">
        <v>0</v>
      </c>
      <c r="K24">
        <v>2</v>
      </c>
      <c r="L24">
        <v>20</v>
      </c>
      <c r="M24">
        <v>2</v>
      </c>
      <c r="N24" t="str">
        <f>INDEX(Define!E:E,MATCH(M24,Define!D:D))</f>
        <v>雷</v>
      </c>
      <c r="O24">
        <v>1</v>
      </c>
      <c r="P24" t="str">
        <f>INDEX(Define!H:H,MATCH(O24,Define!G:G))</f>
        <v>魔法</v>
      </c>
      <c r="Q24">
        <v>1</v>
      </c>
      <c r="R24" t="str">
        <f>INDEX(Define!K:K,MATCH(Q24,Define!J:J))</f>
        <v>相手</v>
      </c>
      <c r="S24">
        <v>1</v>
      </c>
      <c r="T24" t="str">
        <f>INDEX(Define!N:N,MATCH(S24,Define!M:M))</f>
        <v>単体</v>
      </c>
      <c r="U24">
        <v>1</v>
      </c>
      <c r="V24">
        <v>1</v>
      </c>
      <c r="W24">
        <v>1</v>
      </c>
      <c r="X24">
        <v>0</v>
      </c>
    </row>
    <row r="25" spans="1:24">
      <c r="A25">
        <v>2041</v>
      </c>
      <c r="B25">
        <v>2040</v>
      </c>
      <c r="C25" t="str">
        <f>INDEX(TextData!B:B,MATCH(B25,TextData!A:A))</f>
        <v>スパイラルソード</v>
      </c>
      <c r="D25">
        <v>1</v>
      </c>
      <c r="E25" t="str">
        <f>INDEX(Define!X:X,MATCH(D25,Define!W:W))</f>
        <v>元素</v>
      </c>
      <c r="F25">
        <v>202</v>
      </c>
      <c r="G25" t="str">
        <f>INDEX([1]Animations!B:B,MATCH(F25,[1]Animations!A:A))</f>
        <v>MakerEffect/ThunderOne2</v>
      </c>
      <c r="H25">
        <v>1</v>
      </c>
      <c r="I25" t="str">
        <f>INDEX(Define!B:B,MATCH(H25,Define!A:A))</f>
        <v>単体</v>
      </c>
      <c r="J25">
        <v>0</v>
      </c>
      <c r="K25">
        <v>2</v>
      </c>
      <c r="L25">
        <v>0</v>
      </c>
      <c r="M25">
        <v>2</v>
      </c>
      <c r="N25" t="str">
        <f>INDEX(Define!E:E,MATCH(M25,Define!D:D))</f>
        <v>雷</v>
      </c>
      <c r="O25">
        <v>1</v>
      </c>
      <c r="P25" t="str">
        <f>INDEX(Define!H:H,MATCH(O25,Define!G:G))</f>
        <v>魔法</v>
      </c>
      <c r="Q25">
        <v>4</v>
      </c>
      <c r="R25" t="str">
        <f>INDEX(Define!K:K,MATCH(Q25,Define!J:J))</f>
        <v>自身</v>
      </c>
      <c r="S25">
        <v>4</v>
      </c>
      <c r="T25" t="str">
        <f>INDEX(Define!N:N,MATCH(S25,Define!M:M))</f>
        <v>自身</v>
      </c>
      <c r="U25">
        <v>1</v>
      </c>
      <c r="V25">
        <v>1</v>
      </c>
      <c r="W25">
        <v>1</v>
      </c>
      <c r="X25">
        <v>0</v>
      </c>
    </row>
    <row r="26" spans="1:24">
      <c r="A26">
        <v>2050</v>
      </c>
      <c r="B26">
        <v>2050</v>
      </c>
      <c r="C26" t="str">
        <f>INDEX(TextData!B:B,MATCH(B26,TextData!A:A))</f>
        <v>スペルバニシング</v>
      </c>
      <c r="D26">
        <v>1</v>
      </c>
      <c r="E26" t="str">
        <f>INDEX(Define!X:X,MATCH(D26,Define!W:W))</f>
        <v>元素</v>
      </c>
      <c r="F26">
        <v>201</v>
      </c>
      <c r="G26" t="str">
        <f>INDEX([1]Animations!B:B,MATCH(F26,[1]Animations!A:A))</f>
        <v>MakerEffect/ThunderOne1</v>
      </c>
      <c r="H26">
        <v>1</v>
      </c>
      <c r="I26" t="str">
        <f>INDEX(Define!B:B,MATCH(H26,Define!A:A))</f>
        <v>単体</v>
      </c>
      <c r="J26">
        <v>0</v>
      </c>
      <c r="K26">
        <v>2</v>
      </c>
      <c r="L26">
        <v>20</v>
      </c>
      <c r="M26">
        <v>2</v>
      </c>
      <c r="N26" t="str">
        <f>INDEX(Define!E:E,MATCH(M26,Define!D:D))</f>
        <v>雷</v>
      </c>
      <c r="O26">
        <v>1</v>
      </c>
      <c r="P26" t="str">
        <f>INDEX(Define!H:H,MATCH(O26,Define!G:G))</f>
        <v>魔法</v>
      </c>
      <c r="Q26">
        <v>1</v>
      </c>
      <c r="R26" t="str">
        <f>INDEX(Define!K:K,MATCH(Q26,Define!J:J))</f>
        <v>相手</v>
      </c>
      <c r="S26">
        <v>1</v>
      </c>
      <c r="T26" t="str">
        <f>INDEX(Define!N:N,MATCH(S26,Define!M:M))</f>
        <v>単体</v>
      </c>
      <c r="U26">
        <v>1</v>
      </c>
      <c r="V26">
        <v>1</v>
      </c>
      <c r="W26">
        <v>1</v>
      </c>
      <c r="X26">
        <v>0</v>
      </c>
    </row>
    <row r="27" spans="1:24">
      <c r="A27">
        <v>2060</v>
      </c>
      <c r="B27">
        <v>2060</v>
      </c>
      <c r="C27" t="str">
        <f>INDEX(TextData!B:B,MATCH(B27,TextData!A:A))</f>
        <v>アーテニーストライク</v>
      </c>
      <c r="D27">
        <v>1</v>
      </c>
      <c r="E27" t="str">
        <f>INDEX(Define!X:X,MATCH(D27,Define!W:W))</f>
        <v>元素</v>
      </c>
      <c r="F27">
        <v>201</v>
      </c>
      <c r="G27" t="str">
        <f>INDEX([1]Animations!B:B,MATCH(F27,[1]Animations!A:A))</f>
        <v>MakerEffect/ThunderOne1</v>
      </c>
      <c r="H27">
        <v>1</v>
      </c>
      <c r="I27" t="str">
        <f>INDEX(Define!B:B,MATCH(H27,Define!A:A))</f>
        <v>単体</v>
      </c>
      <c r="J27">
        <v>0</v>
      </c>
      <c r="K27">
        <v>1</v>
      </c>
      <c r="L27">
        <v>20</v>
      </c>
      <c r="M27">
        <v>2</v>
      </c>
      <c r="N27" t="str">
        <f>INDEX(Define!E:E,MATCH(M27,Define!D:D))</f>
        <v>雷</v>
      </c>
      <c r="O27">
        <v>1</v>
      </c>
      <c r="P27" t="str">
        <f>INDEX(Define!H:H,MATCH(O27,Define!G:G))</f>
        <v>魔法</v>
      </c>
      <c r="Q27">
        <v>1</v>
      </c>
      <c r="R27" t="str">
        <f>INDEX(Define!K:K,MATCH(Q27,Define!J:J))</f>
        <v>相手</v>
      </c>
      <c r="S27">
        <v>1</v>
      </c>
      <c r="T27" t="str">
        <f>INDEX(Define!N:N,MATCH(S27,Define!M:M))</f>
        <v>単体</v>
      </c>
      <c r="U27">
        <v>1</v>
      </c>
      <c r="V27">
        <v>1</v>
      </c>
      <c r="W27">
        <v>1</v>
      </c>
      <c r="X27">
        <v>0</v>
      </c>
    </row>
    <row r="28" spans="1:24">
      <c r="A28">
        <v>2061</v>
      </c>
      <c r="B28">
        <v>2060</v>
      </c>
      <c r="C28" t="str">
        <f>INDEX(TextData!B:B,MATCH(B28,TextData!A:A))</f>
        <v>アーテニーストライク</v>
      </c>
      <c r="D28">
        <v>1</v>
      </c>
      <c r="E28" t="str">
        <f>INDEX(Define!X:X,MATCH(D28,Define!W:W))</f>
        <v>元素</v>
      </c>
      <c r="F28">
        <v>1109</v>
      </c>
      <c r="G28" t="str">
        <f>INDEX([1]Animations!B:B,MATCH(F28,[1]Animations!A:A))</f>
        <v>MakerEffect/Flash</v>
      </c>
      <c r="H28">
        <v>1</v>
      </c>
      <c r="I28" t="str">
        <f>INDEX(Define!B:B,MATCH(H28,Define!A:A))</f>
        <v>単体</v>
      </c>
      <c r="J28">
        <v>0</v>
      </c>
      <c r="K28">
        <v>0</v>
      </c>
      <c r="L28">
        <v>0</v>
      </c>
      <c r="M28">
        <v>2</v>
      </c>
      <c r="N28" t="str">
        <f>INDEX(Define!E:E,MATCH(M28,Define!D:D))</f>
        <v>雷</v>
      </c>
      <c r="O28">
        <v>2</v>
      </c>
      <c r="P28" t="str">
        <f>INDEX(Define!H:H,MATCH(O28,Define!G:G))</f>
        <v>パッシブ</v>
      </c>
      <c r="Q28">
        <v>4</v>
      </c>
      <c r="R28" t="str">
        <f>INDEX(Define!K:K,MATCH(Q28,Define!J:J))</f>
        <v>自身</v>
      </c>
      <c r="S28">
        <v>4</v>
      </c>
      <c r="T28" t="str">
        <f>INDEX(Define!N:N,MATCH(S28,Define!M:M))</f>
        <v>自身</v>
      </c>
      <c r="U28">
        <v>1</v>
      </c>
      <c r="V28">
        <v>1</v>
      </c>
      <c r="W28">
        <v>1</v>
      </c>
      <c r="X28">
        <v>0</v>
      </c>
    </row>
    <row r="29" s="5" customFormat="1" spans="1:24">
      <c r="A29" s="5">
        <v>2070</v>
      </c>
      <c r="B29" s="5">
        <v>2070</v>
      </c>
      <c r="C29" s="5" t="str">
        <f>INDEX(TextData!B:B,MATCH(B29,TextData!A:A))</f>
        <v>コンセントレイト</v>
      </c>
      <c r="D29" s="5">
        <v>3</v>
      </c>
      <c r="E29" s="5" t="str">
        <f>INDEX(Define!X:X,MATCH(D29,Define!W:W))</f>
        <v>理術</v>
      </c>
      <c r="F29" s="5">
        <v>51</v>
      </c>
      <c r="G29" s="5" t="str">
        <f>INDEX([1]Animations!B:B,MATCH(F29,[1]Animations!A:A))</f>
        <v>NA_Effekseer/NA_aura_001</v>
      </c>
      <c r="H29" s="5">
        <v>1</v>
      </c>
      <c r="I29" s="5" t="str">
        <f>INDEX(Define!B:B,MATCH(H29,Define!A:A))</f>
        <v>単体</v>
      </c>
      <c r="J29" s="5">
        <v>0</v>
      </c>
      <c r="K29" s="5">
        <v>1</v>
      </c>
      <c r="L29" s="5">
        <v>0</v>
      </c>
      <c r="M29" s="5">
        <v>2</v>
      </c>
      <c r="N29" s="5" t="str">
        <f>INDEX(Define!E:E,MATCH(M29,Define!D:D))</f>
        <v>雷</v>
      </c>
      <c r="O29" s="5">
        <v>1</v>
      </c>
      <c r="P29" s="5" t="str">
        <f>INDEX(Define!H:H,MATCH(O29,Define!G:G))</f>
        <v>魔法</v>
      </c>
      <c r="Q29" s="5">
        <v>4</v>
      </c>
      <c r="R29" s="5" t="str">
        <f>INDEX(Define!K:K,MATCH(Q29,Define!J:J))</f>
        <v>自身</v>
      </c>
      <c r="S29" s="5">
        <v>4</v>
      </c>
      <c r="T29" s="5" t="str">
        <f>INDEX(Define!N:N,MATCH(S29,Define!M:M))</f>
        <v>自身</v>
      </c>
      <c r="U29" s="5">
        <v>1</v>
      </c>
      <c r="V29" s="5">
        <v>1</v>
      </c>
      <c r="W29" s="5">
        <v>1</v>
      </c>
      <c r="X29" s="5">
        <v>0</v>
      </c>
    </row>
    <row r="30" spans="1:24">
      <c r="A30">
        <v>2080</v>
      </c>
      <c r="B30">
        <v>2080</v>
      </c>
      <c r="C30" t="str">
        <f>INDEX(TextData!B:B,MATCH(B30,TextData!A:A))</f>
        <v>ディレイマジック</v>
      </c>
      <c r="D30">
        <v>5</v>
      </c>
      <c r="E30" t="str">
        <f>INDEX(Define!X:X,MATCH(D30,Define!W:W))</f>
        <v>超次元</v>
      </c>
      <c r="F30">
        <v>201</v>
      </c>
      <c r="G30" t="str">
        <f>INDEX([1]Animations!B:B,MATCH(F30,[1]Animations!A:A))</f>
        <v>MakerEffect/ThunderOne1</v>
      </c>
      <c r="H30">
        <v>1</v>
      </c>
      <c r="I30" t="str">
        <f>INDEX(Define!B:B,MATCH(H30,Define!A:A))</f>
        <v>単体</v>
      </c>
      <c r="J30">
        <v>0</v>
      </c>
      <c r="K30">
        <v>3</v>
      </c>
      <c r="L30">
        <v>20</v>
      </c>
      <c r="M30">
        <v>2</v>
      </c>
      <c r="N30" t="str">
        <f>INDEX(Define!E:E,MATCH(M30,Define!D:D))</f>
        <v>雷</v>
      </c>
      <c r="O30">
        <v>1</v>
      </c>
      <c r="P30" t="str">
        <f>INDEX(Define!H:H,MATCH(O30,Define!G:G))</f>
        <v>魔法</v>
      </c>
      <c r="Q30">
        <v>1</v>
      </c>
      <c r="R30" t="str">
        <f>INDEX(Define!K:K,MATCH(Q30,Define!J:J))</f>
        <v>相手</v>
      </c>
      <c r="S30">
        <v>1</v>
      </c>
      <c r="T30" t="str">
        <f>INDEX(Define!N:N,MATCH(S30,Define!M:M))</f>
        <v>単体</v>
      </c>
      <c r="U30">
        <v>1</v>
      </c>
      <c r="V30">
        <v>2</v>
      </c>
      <c r="W30">
        <v>1</v>
      </c>
      <c r="X30">
        <v>0</v>
      </c>
    </row>
    <row r="31" spans="1:24">
      <c r="A31">
        <v>2110</v>
      </c>
      <c r="B31">
        <v>2110</v>
      </c>
      <c r="C31" t="str">
        <f>INDEX(TextData!B:B,MATCH(B31,TextData!A:A))</f>
        <v>ショックインパルス</v>
      </c>
      <c r="D31">
        <v>3</v>
      </c>
      <c r="E31" t="str">
        <f>INDEX(Define!X:X,MATCH(D31,Define!W:W))</f>
        <v>理術</v>
      </c>
      <c r="F31">
        <v>2204</v>
      </c>
      <c r="G31" t="str">
        <f>INDEX([1]Animations!B:B,MATCH(F31,[1]Animations!A:A))</f>
        <v>NA_Effekseer/NA_magic_003</v>
      </c>
      <c r="H31">
        <v>1</v>
      </c>
      <c r="I31" t="str">
        <f>INDEX(Define!B:B,MATCH(H31,Define!A:A))</f>
        <v>単体</v>
      </c>
      <c r="J31">
        <v>0</v>
      </c>
      <c r="K31">
        <v>3</v>
      </c>
      <c r="L31">
        <v>30</v>
      </c>
      <c r="M31">
        <v>2</v>
      </c>
      <c r="N31" t="str">
        <f>INDEX(Define!E:E,MATCH(M31,Define!D:D))</f>
        <v>雷</v>
      </c>
      <c r="O31">
        <v>1</v>
      </c>
      <c r="P31" t="str">
        <f>INDEX(Define!H:H,MATCH(O31,Define!G:G))</f>
        <v>魔法</v>
      </c>
      <c r="Q31">
        <v>1</v>
      </c>
      <c r="R31" t="str">
        <f>INDEX(Define!K:K,MATCH(Q31,Define!J:J))</f>
        <v>相手</v>
      </c>
      <c r="S31">
        <v>1</v>
      </c>
      <c r="T31" t="str">
        <f>INDEX(Define!N:N,MATCH(S31,Define!M:M))</f>
        <v>単体</v>
      </c>
      <c r="U31">
        <v>2</v>
      </c>
      <c r="V31">
        <v>1</v>
      </c>
      <c r="W31">
        <v>1</v>
      </c>
      <c r="X31">
        <v>0</v>
      </c>
    </row>
    <row r="32" spans="1:24">
      <c r="A32">
        <v>2120</v>
      </c>
      <c r="B32">
        <v>2120</v>
      </c>
      <c r="C32" t="str">
        <f>INDEX(TextData!B:B,MATCH(B32,TextData!A:A))</f>
        <v>インペイル</v>
      </c>
      <c r="D32">
        <v>1</v>
      </c>
      <c r="E32" t="str">
        <f>INDEX(Define!X:X,MATCH(D32,Define!W:W))</f>
        <v>元素</v>
      </c>
      <c r="F32">
        <v>201</v>
      </c>
      <c r="G32" t="str">
        <f>INDEX([1]Animations!B:B,MATCH(F32,[1]Animations!A:A))</f>
        <v>MakerEffect/ThunderOne1</v>
      </c>
      <c r="H32">
        <v>1</v>
      </c>
      <c r="I32" t="str">
        <f>INDEX(Define!B:B,MATCH(H32,Define!A:A))</f>
        <v>単体</v>
      </c>
      <c r="J32">
        <v>0</v>
      </c>
      <c r="K32">
        <v>1</v>
      </c>
      <c r="L32">
        <v>30</v>
      </c>
      <c r="M32">
        <v>2</v>
      </c>
      <c r="N32" t="str">
        <f>INDEX(Define!E:E,MATCH(M32,Define!D:D))</f>
        <v>雷</v>
      </c>
      <c r="O32">
        <v>1</v>
      </c>
      <c r="P32" t="str">
        <f>INDEX(Define!H:H,MATCH(O32,Define!G:G))</f>
        <v>魔法</v>
      </c>
      <c r="Q32">
        <v>1</v>
      </c>
      <c r="R32" t="str">
        <f>INDEX(Define!K:K,MATCH(Q32,Define!J:J))</f>
        <v>相手</v>
      </c>
      <c r="S32">
        <v>1</v>
      </c>
      <c r="T32" t="str">
        <f>INDEX(Define!N:N,MATCH(S32,Define!M:M))</f>
        <v>単体</v>
      </c>
      <c r="U32">
        <v>1</v>
      </c>
      <c r="V32">
        <v>1</v>
      </c>
      <c r="W32">
        <v>1</v>
      </c>
      <c r="X32">
        <v>0</v>
      </c>
    </row>
    <row r="33" spans="1:24">
      <c r="A33">
        <v>2920</v>
      </c>
      <c r="B33">
        <v>2920</v>
      </c>
      <c r="C33" t="str">
        <f>INDEX(TextData!B:B,MATCH(B33,TextData!A:A))</f>
        <v>イベイドコード</v>
      </c>
      <c r="D33">
        <v>4</v>
      </c>
      <c r="E33" t="str">
        <f>INDEX(Define!X:X,MATCH(D33,Define!W:W))</f>
        <v>精神</v>
      </c>
      <c r="F33">
        <v>2203</v>
      </c>
      <c r="G33" t="str">
        <f>INDEX([1]Animations!B:B,MATCH(F33,[1]Animations!A:A))</f>
        <v>NA_Effekseer/NA_status_005</v>
      </c>
      <c r="H33">
        <v>1</v>
      </c>
      <c r="I33" t="str">
        <f>INDEX(Define!B:B,MATCH(H33,Define!A:A))</f>
        <v>単体</v>
      </c>
      <c r="J33">
        <v>0</v>
      </c>
      <c r="K33">
        <v>0</v>
      </c>
      <c r="L33">
        <v>30</v>
      </c>
      <c r="M33">
        <v>2</v>
      </c>
      <c r="N33" t="str">
        <f>INDEX(Define!E:E,MATCH(M33,Define!D:D))</f>
        <v>雷</v>
      </c>
      <c r="O33">
        <v>1</v>
      </c>
      <c r="P33" t="str">
        <f>INDEX(Define!H:H,MATCH(O33,Define!G:G))</f>
        <v>魔法</v>
      </c>
      <c r="Q33">
        <v>4</v>
      </c>
      <c r="R33" t="str">
        <f>INDEX(Define!K:K,MATCH(Q33,Define!J:J))</f>
        <v>自身</v>
      </c>
      <c r="S33">
        <v>4</v>
      </c>
      <c r="T33" t="str">
        <f>INDEX(Define!N:N,MATCH(S33,Define!M:M))</f>
        <v>自身</v>
      </c>
      <c r="U33">
        <v>1</v>
      </c>
      <c r="V33">
        <v>1</v>
      </c>
      <c r="W33">
        <v>1</v>
      </c>
      <c r="X33">
        <v>0</v>
      </c>
    </row>
    <row r="34" spans="1:24">
      <c r="A34">
        <v>2940</v>
      </c>
      <c r="B34">
        <v>2940</v>
      </c>
      <c r="C34" t="str">
        <f>INDEX(TextData!B:B,MATCH(B34,TextData!A:A))</f>
        <v>トラストチェイン</v>
      </c>
      <c r="D34">
        <v>1</v>
      </c>
      <c r="E34" t="str">
        <f>INDEX(Define!X:X,MATCH(D34,Define!W:W))</f>
        <v>元素</v>
      </c>
      <c r="F34">
        <v>2205</v>
      </c>
      <c r="G34" t="str">
        <f>INDEX([1]Animations!B:B,MATCH(F34,[1]Animations!A:A))</f>
        <v>NA_Effekseer/NA_exchange_001</v>
      </c>
      <c r="H34">
        <v>1</v>
      </c>
      <c r="I34" t="str">
        <f>INDEX(Define!B:B,MATCH(H34,Define!A:A))</f>
        <v>単体</v>
      </c>
      <c r="J34">
        <v>0</v>
      </c>
      <c r="K34" s="7">
        <v>3</v>
      </c>
      <c r="L34">
        <v>20</v>
      </c>
      <c r="M34">
        <v>2</v>
      </c>
      <c r="N34" t="str">
        <f>INDEX(Define!E:E,MATCH(M34,Define!D:D))</f>
        <v>雷</v>
      </c>
      <c r="O34">
        <v>1</v>
      </c>
      <c r="P34" t="str">
        <f>INDEX(Define!H:H,MATCH(O34,Define!G:G))</f>
        <v>魔法</v>
      </c>
      <c r="Q34">
        <v>4</v>
      </c>
      <c r="R34" t="str">
        <f>INDEX(Define!K:K,MATCH(Q34,Define!J:J))</f>
        <v>自身</v>
      </c>
      <c r="S34">
        <v>32</v>
      </c>
      <c r="T34" t="str">
        <f>INDEX(Define!N:N,MATCH(S34,Define!M:M))</f>
        <v>自分を除いた両隣</v>
      </c>
      <c r="U34">
        <v>1</v>
      </c>
      <c r="V34">
        <v>1</v>
      </c>
      <c r="W34">
        <v>1</v>
      </c>
      <c r="X34">
        <v>0</v>
      </c>
    </row>
    <row r="35" spans="1:24">
      <c r="A35">
        <v>3010</v>
      </c>
      <c r="B35">
        <v>3010</v>
      </c>
      <c r="C35" t="str">
        <f>INDEX(TextData!B:B,MATCH(B35,TextData!A:A))</f>
        <v>アイスブレイド</v>
      </c>
      <c r="D35">
        <v>1</v>
      </c>
      <c r="E35" t="str">
        <f>INDEX(Define!X:X,MATCH(D35,Define!W:W))</f>
        <v>元素</v>
      </c>
      <c r="F35">
        <v>301</v>
      </c>
      <c r="G35" t="str">
        <f>INDEX([1]Animations!B:B,MATCH(F35,[1]Animations!A:A))</f>
        <v>MakerEffect/IceOne1</v>
      </c>
      <c r="H35">
        <v>1</v>
      </c>
      <c r="I35" t="str">
        <f>INDEX(Define!B:B,MATCH(H35,Define!A:A))</f>
        <v>単体</v>
      </c>
      <c r="J35">
        <v>0</v>
      </c>
      <c r="K35">
        <v>0</v>
      </c>
      <c r="L35">
        <v>10</v>
      </c>
      <c r="M35">
        <v>3</v>
      </c>
      <c r="N35" t="str">
        <f>INDEX(Define!E:E,MATCH(M35,Define!D:D))</f>
        <v>氷</v>
      </c>
      <c r="O35">
        <v>1</v>
      </c>
      <c r="P35" t="str">
        <f>INDEX(Define!H:H,MATCH(O35,Define!G:G))</f>
        <v>魔法</v>
      </c>
      <c r="Q35">
        <v>1</v>
      </c>
      <c r="R35" t="str">
        <f>INDEX(Define!K:K,MATCH(Q35,Define!J:J))</f>
        <v>相手</v>
      </c>
      <c r="S35">
        <v>1</v>
      </c>
      <c r="T35" t="str">
        <f>INDEX(Define!N:N,MATCH(S35,Define!M:M))</f>
        <v>単体</v>
      </c>
      <c r="U35">
        <v>1</v>
      </c>
      <c r="V35">
        <v>1</v>
      </c>
      <c r="W35">
        <v>1</v>
      </c>
      <c r="X35">
        <v>0</v>
      </c>
    </row>
    <row r="36" spans="1:24">
      <c r="A36">
        <v>3020</v>
      </c>
      <c r="B36">
        <v>3020</v>
      </c>
      <c r="C36" t="str">
        <f>INDEX(TextData!B:B,MATCH(B36,TextData!A:A))</f>
        <v>シールドバッシュ</v>
      </c>
      <c r="D36">
        <v>1</v>
      </c>
      <c r="E36" t="str">
        <f>INDEX(Define!X:X,MATCH(D36,Define!W:W))</f>
        <v>元素</v>
      </c>
      <c r="F36">
        <v>302</v>
      </c>
      <c r="G36" t="str">
        <f>INDEX([1]Animations!B:B,MATCH(F36,[1]Animations!A:A))</f>
        <v>MakerEffect/IceOne2</v>
      </c>
      <c r="H36">
        <v>1</v>
      </c>
      <c r="I36" t="str">
        <f>INDEX(Define!B:B,MATCH(H36,Define!A:A))</f>
        <v>単体</v>
      </c>
      <c r="J36">
        <v>0</v>
      </c>
      <c r="K36">
        <v>2</v>
      </c>
      <c r="L36">
        <v>20</v>
      </c>
      <c r="M36">
        <v>3</v>
      </c>
      <c r="N36" t="str">
        <f>INDEX(Define!E:E,MATCH(M36,Define!D:D))</f>
        <v>氷</v>
      </c>
      <c r="O36">
        <v>1</v>
      </c>
      <c r="P36" t="str">
        <f>INDEX(Define!H:H,MATCH(O36,Define!G:G))</f>
        <v>魔法</v>
      </c>
      <c r="Q36">
        <v>1</v>
      </c>
      <c r="R36" t="str">
        <f>INDEX(Define!K:K,MATCH(Q36,Define!J:J))</f>
        <v>相手</v>
      </c>
      <c r="S36">
        <v>1</v>
      </c>
      <c r="T36" t="str">
        <f>INDEX(Define!N:N,MATCH(S36,Define!M:M))</f>
        <v>単体</v>
      </c>
      <c r="U36">
        <v>1</v>
      </c>
      <c r="V36">
        <v>1</v>
      </c>
      <c r="W36">
        <v>1</v>
      </c>
      <c r="X36">
        <v>0</v>
      </c>
    </row>
    <row r="37" spans="1:24">
      <c r="A37">
        <v>3030</v>
      </c>
      <c r="B37">
        <v>3030</v>
      </c>
      <c r="C37" t="str">
        <f>INDEX(TextData!B:B,MATCH(B37,TextData!A:A))</f>
        <v>フレンジー</v>
      </c>
      <c r="D37">
        <v>1</v>
      </c>
      <c r="E37" t="str">
        <f>INDEX(Define!X:X,MATCH(D37,Define!W:W))</f>
        <v>元素</v>
      </c>
      <c r="F37">
        <v>1004</v>
      </c>
      <c r="G37" t="str">
        <f>INDEX([1]Animations!B:B,MATCH(F37,[1]Animations!A:A))</f>
        <v>MakerEffect/HitIce</v>
      </c>
      <c r="H37">
        <v>1</v>
      </c>
      <c r="I37" t="str">
        <f>INDEX(Define!B:B,MATCH(H37,Define!A:A))</f>
        <v>単体</v>
      </c>
      <c r="J37">
        <v>0</v>
      </c>
      <c r="K37">
        <v>2</v>
      </c>
      <c r="L37">
        <v>20</v>
      </c>
      <c r="M37">
        <v>3</v>
      </c>
      <c r="N37" t="str">
        <f>INDEX(Define!E:E,MATCH(M37,Define!D:D))</f>
        <v>氷</v>
      </c>
      <c r="O37">
        <v>1</v>
      </c>
      <c r="P37" t="str">
        <f>INDEX(Define!H:H,MATCH(O37,Define!G:G))</f>
        <v>魔法</v>
      </c>
      <c r="Q37">
        <v>1</v>
      </c>
      <c r="R37" t="str">
        <f>INDEX(Define!K:K,MATCH(Q37,Define!J:J))</f>
        <v>相手</v>
      </c>
      <c r="S37">
        <v>1</v>
      </c>
      <c r="T37" t="str">
        <f>INDEX(Define!N:N,MATCH(S37,Define!M:M))</f>
        <v>単体</v>
      </c>
      <c r="U37">
        <v>1</v>
      </c>
      <c r="V37">
        <v>1</v>
      </c>
      <c r="W37">
        <v>1</v>
      </c>
      <c r="X37">
        <v>0</v>
      </c>
    </row>
    <row r="38" spans="1:24">
      <c r="A38">
        <v>3040</v>
      </c>
      <c r="B38">
        <v>3040</v>
      </c>
      <c r="C38" t="str">
        <f>INDEX(TextData!B:B,MATCH(B38,TextData!A:A))</f>
        <v>スカルブレイカー</v>
      </c>
      <c r="D38">
        <v>1</v>
      </c>
      <c r="E38" t="str">
        <f>INDEX(Define!X:X,MATCH(D38,Define!W:W))</f>
        <v>元素</v>
      </c>
      <c r="F38">
        <v>1004</v>
      </c>
      <c r="G38" t="str">
        <f>INDEX([1]Animations!B:B,MATCH(F38,[1]Animations!A:A))</f>
        <v>MakerEffect/HitIce</v>
      </c>
      <c r="H38">
        <v>1</v>
      </c>
      <c r="I38" t="str">
        <f>INDEX(Define!B:B,MATCH(H38,Define!A:A))</f>
        <v>単体</v>
      </c>
      <c r="J38">
        <v>0</v>
      </c>
      <c r="K38">
        <v>3</v>
      </c>
      <c r="L38">
        <v>20</v>
      </c>
      <c r="M38">
        <v>3</v>
      </c>
      <c r="N38" t="str">
        <f>INDEX(Define!E:E,MATCH(M38,Define!D:D))</f>
        <v>氷</v>
      </c>
      <c r="O38">
        <v>1</v>
      </c>
      <c r="P38" t="str">
        <f>INDEX(Define!H:H,MATCH(O38,Define!G:G))</f>
        <v>魔法</v>
      </c>
      <c r="Q38">
        <v>1</v>
      </c>
      <c r="R38" t="str">
        <f>INDEX(Define!K:K,MATCH(Q38,Define!J:J))</f>
        <v>相手</v>
      </c>
      <c r="S38">
        <v>1</v>
      </c>
      <c r="T38" t="str">
        <f>INDEX(Define!N:N,MATCH(S38,Define!M:M))</f>
        <v>単体</v>
      </c>
      <c r="U38">
        <v>1</v>
      </c>
      <c r="V38">
        <v>1</v>
      </c>
      <c r="W38">
        <v>1</v>
      </c>
      <c r="X38">
        <v>0</v>
      </c>
    </row>
    <row r="39" spans="1:24">
      <c r="A39">
        <v>3050</v>
      </c>
      <c r="B39">
        <v>3050</v>
      </c>
      <c r="C39" t="str">
        <f>INDEX(TextData!B:B,MATCH(B39,TextData!A:A))</f>
        <v>ディープフリーズ</v>
      </c>
      <c r="D39">
        <v>3</v>
      </c>
      <c r="E39" t="str">
        <f>INDEX(Define!X:X,MATCH(D39,Define!W:W))</f>
        <v>理術</v>
      </c>
      <c r="F39">
        <v>2305</v>
      </c>
      <c r="G39" t="str">
        <f>INDEX([1]Animations!B:B,MATCH(F39,[1]Animations!A:A))</f>
        <v>NA_Effekseer/NA_magic_006</v>
      </c>
      <c r="H39">
        <v>1</v>
      </c>
      <c r="I39" t="str">
        <f>INDEX(Define!B:B,MATCH(H39,Define!A:A))</f>
        <v>単体</v>
      </c>
      <c r="J39">
        <v>0</v>
      </c>
      <c r="K39">
        <v>4</v>
      </c>
      <c r="L39">
        <v>20</v>
      </c>
      <c r="M39">
        <v>3</v>
      </c>
      <c r="N39" t="str">
        <f>INDEX(Define!E:E,MATCH(M39,Define!D:D))</f>
        <v>氷</v>
      </c>
      <c r="O39">
        <v>1</v>
      </c>
      <c r="P39" t="str">
        <f>INDEX(Define!H:H,MATCH(O39,Define!G:G))</f>
        <v>魔法</v>
      </c>
      <c r="Q39">
        <v>1</v>
      </c>
      <c r="R39" t="str">
        <f>INDEX(Define!K:K,MATCH(Q39,Define!J:J))</f>
        <v>相手</v>
      </c>
      <c r="S39">
        <v>2</v>
      </c>
      <c r="T39" t="str">
        <f>INDEX(Define!N:N,MATCH(S39,Define!M:M))</f>
        <v>列</v>
      </c>
      <c r="U39">
        <v>1</v>
      </c>
      <c r="V39">
        <v>1</v>
      </c>
      <c r="W39">
        <v>1</v>
      </c>
      <c r="X39">
        <v>0</v>
      </c>
    </row>
    <row r="40" spans="1:24">
      <c r="A40">
        <v>3060</v>
      </c>
      <c r="B40">
        <v>3060</v>
      </c>
      <c r="C40" t="str">
        <f>INDEX(TextData!B:B,MATCH(B40,TextData!A:A))</f>
        <v>バブルブロウ</v>
      </c>
      <c r="D40">
        <v>3</v>
      </c>
      <c r="E40" t="str">
        <f>INDEX(Define!X:X,MATCH(D40,Define!W:W))</f>
        <v>理術</v>
      </c>
      <c r="F40">
        <v>2310</v>
      </c>
      <c r="G40" t="str">
        <f>INDEX([1]Animations!B:B,MATCH(F40,[1]Animations!A:A))</f>
        <v>NA_Effekseer/NA_magic_006_c2</v>
      </c>
      <c r="H40">
        <v>1</v>
      </c>
      <c r="I40" t="str">
        <f>INDEX(Define!B:B,MATCH(H40,Define!A:A))</f>
        <v>単体</v>
      </c>
      <c r="J40">
        <v>0</v>
      </c>
      <c r="K40">
        <v>2</v>
      </c>
      <c r="L40">
        <v>20</v>
      </c>
      <c r="M40">
        <v>3</v>
      </c>
      <c r="N40" t="str">
        <f>INDEX(Define!E:E,MATCH(M40,Define!D:D))</f>
        <v>氷</v>
      </c>
      <c r="O40">
        <v>1</v>
      </c>
      <c r="P40" t="str">
        <f>INDEX(Define!H:H,MATCH(O40,Define!G:G))</f>
        <v>魔法</v>
      </c>
      <c r="Q40">
        <v>1</v>
      </c>
      <c r="R40" t="str">
        <f>INDEX(Define!K:K,MATCH(Q40,Define!J:J))</f>
        <v>相手</v>
      </c>
      <c r="S40">
        <v>1</v>
      </c>
      <c r="T40" t="str">
        <f>INDEX(Define!N:N,MATCH(S40,Define!M:M))</f>
        <v>単体</v>
      </c>
      <c r="U40">
        <v>1</v>
      </c>
      <c r="V40">
        <v>1</v>
      </c>
      <c r="W40">
        <v>1</v>
      </c>
      <c r="X40">
        <v>0</v>
      </c>
    </row>
    <row r="41" spans="1:24">
      <c r="A41">
        <v>3070</v>
      </c>
      <c r="B41">
        <v>3070</v>
      </c>
      <c r="C41" t="str">
        <f>INDEX(TextData!B:B,MATCH(B41,TextData!A:A))</f>
        <v>アクアミラージュ</v>
      </c>
      <c r="D41">
        <v>4</v>
      </c>
      <c r="E41" t="str">
        <f>INDEX(Define!X:X,MATCH(D41,Define!W:W))</f>
        <v>精神</v>
      </c>
      <c r="F41">
        <v>1104</v>
      </c>
      <c r="G41" t="str">
        <f>INDEX([1]Animations!B:B,MATCH(F41,[1]Animations!A:A))</f>
        <v>MakerEffect/Fog</v>
      </c>
      <c r="H41">
        <v>1</v>
      </c>
      <c r="I41" t="str">
        <f>INDEX(Define!B:B,MATCH(H41,Define!A:A))</f>
        <v>単体</v>
      </c>
      <c r="J41">
        <v>0</v>
      </c>
      <c r="K41">
        <v>2</v>
      </c>
      <c r="L41">
        <v>20</v>
      </c>
      <c r="M41">
        <v>3</v>
      </c>
      <c r="N41" t="str">
        <f>INDEX(Define!E:E,MATCH(M41,Define!D:D))</f>
        <v>氷</v>
      </c>
      <c r="O41">
        <v>1</v>
      </c>
      <c r="P41" t="str">
        <f>INDEX(Define!H:H,MATCH(O41,Define!G:G))</f>
        <v>魔法</v>
      </c>
      <c r="Q41">
        <v>2</v>
      </c>
      <c r="R41" t="str">
        <f>INDEX(Define!K:K,MATCH(Q41,Define!J:J))</f>
        <v>味方</v>
      </c>
      <c r="S41">
        <v>1</v>
      </c>
      <c r="T41" t="str">
        <f>INDEX(Define!N:N,MATCH(S41,Define!M:M))</f>
        <v>単体</v>
      </c>
      <c r="U41">
        <v>2</v>
      </c>
      <c r="V41">
        <v>1</v>
      </c>
      <c r="W41">
        <v>1</v>
      </c>
      <c r="X41">
        <v>0</v>
      </c>
    </row>
    <row r="42" spans="1:24">
      <c r="A42">
        <v>3080</v>
      </c>
      <c r="B42">
        <v>3080</v>
      </c>
      <c r="C42" t="str">
        <f>INDEX(TextData!B:B,MATCH(B42,TextData!A:A))</f>
        <v>フロストシールド</v>
      </c>
      <c r="D42">
        <v>4</v>
      </c>
      <c r="E42" t="str">
        <f>INDEX(Define!X:X,MATCH(D42,Define!W:W))</f>
        <v>精神</v>
      </c>
      <c r="F42">
        <v>3007</v>
      </c>
      <c r="G42" t="str">
        <f>INDEX([1]Animations!B:B,MATCH(F42,[1]Animations!A:A))</f>
        <v>Genfulew_Effect/B&amp;S_MinMax_DefenseUp</v>
      </c>
      <c r="H42">
        <v>1</v>
      </c>
      <c r="I42" t="str">
        <f>INDEX(Define!B:B,MATCH(H42,Define!A:A))</f>
        <v>単体</v>
      </c>
      <c r="J42">
        <v>0</v>
      </c>
      <c r="K42">
        <v>5</v>
      </c>
      <c r="L42">
        <v>20</v>
      </c>
      <c r="M42">
        <v>3</v>
      </c>
      <c r="N42" t="str">
        <f>INDEX(Define!E:E,MATCH(M42,Define!D:D))</f>
        <v>氷</v>
      </c>
      <c r="O42">
        <v>1</v>
      </c>
      <c r="P42" t="str">
        <f>INDEX(Define!H:H,MATCH(O42,Define!G:G))</f>
        <v>魔法</v>
      </c>
      <c r="Q42">
        <v>2</v>
      </c>
      <c r="R42" t="str">
        <f>INDEX(Define!K:K,MATCH(Q42,Define!J:J))</f>
        <v>味方</v>
      </c>
      <c r="S42">
        <v>3</v>
      </c>
      <c r="T42" t="str">
        <f>INDEX(Define!N:N,MATCH(S42,Define!M:M))</f>
        <v>全体</v>
      </c>
      <c r="U42">
        <v>2</v>
      </c>
      <c r="V42">
        <v>1</v>
      </c>
      <c r="W42">
        <v>1</v>
      </c>
      <c r="X42">
        <v>0</v>
      </c>
    </row>
    <row r="43" spans="1:24">
      <c r="A43">
        <v>3110</v>
      </c>
      <c r="B43">
        <v>3110</v>
      </c>
      <c r="C43" t="str">
        <f>INDEX(TextData!B:B,MATCH(B43,TextData!A:A))</f>
        <v>ポイズン</v>
      </c>
      <c r="D43">
        <v>5</v>
      </c>
      <c r="E43" t="str">
        <f>INDEX(Define!X:X,MATCH(D43,Define!W:W))</f>
        <v>超次元</v>
      </c>
      <c r="F43">
        <v>301</v>
      </c>
      <c r="G43" t="str">
        <f>INDEX([1]Animations!B:B,MATCH(F43,[1]Animations!A:A))</f>
        <v>MakerEffect/IceOne1</v>
      </c>
      <c r="H43">
        <v>1</v>
      </c>
      <c r="I43" t="str">
        <f>INDEX(Define!B:B,MATCH(H43,Define!A:A))</f>
        <v>単体</v>
      </c>
      <c r="J43">
        <v>0</v>
      </c>
      <c r="K43">
        <v>0</v>
      </c>
      <c r="L43">
        <v>30</v>
      </c>
      <c r="M43">
        <v>3</v>
      </c>
      <c r="N43" t="str">
        <f>INDEX(Define!E:E,MATCH(M43,Define!D:D))</f>
        <v>氷</v>
      </c>
      <c r="O43">
        <v>1</v>
      </c>
      <c r="P43" t="str">
        <f>INDEX(Define!H:H,MATCH(O43,Define!G:G))</f>
        <v>魔法</v>
      </c>
      <c r="Q43">
        <v>1</v>
      </c>
      <c r="R43" t="str">
        <f>INDEX(Define!K:K,MATCH(Q43,Define!J:J))</f>
        <v>相手</v>
      </c>
      <c r="S43">
        <v>1</v>
      </c>
      <c r="T43" t="str">
        <f>INDEX(Define!N:N,MATCH(S43,Define!M:M))</f>
        <v>単体</v>
      </c>
      <c r="U43">
        <v>1</v>
      </c>
      <c r="V43">
        <v>1</v>
      </c>
      <c r="W43">
        <v>1</v>
      </c>
      <c r="X43">
        <v>0</v>
      </c>
    </row>
    <row r="44" spans="1:24">
      <c r="A44">
        <v>3120</v>
      </c>
      <c r="B44">
        <v>3120</v>
      </c>
      <c r="C44" t="str">
        <f>INDEX(TextData!B:B,MATCH(B44,TextData!A:A))</f>
        <v>カウンターオーラ</v>
      </c>
      <c r="D44">
        <v>2</v>
      </c>
      <c r="E44" t="str">
        <f>INDEX(Define!X:X,MATCH(D44,Define!W:W))</f>
        <v>光</v>
      </c>
      <c r="F44">
        <v>2302</v>
      </c>
      <c r="G44" t="str">
        <f>INDEX([1]Animations!B:B,MATCH(F44,[1]Animations!A:A))</f>
        <v>tktk02/Light1</v>
      </c>
      <c r="H44">
        <v>1</v>
      </c>
      <c r="I44" t="str">
        <f>INDEX(Define!B:B,MATCH(H44,Define!A:A))</f>
        <v>単体</v>
      </c>
      <c r="J44">
        <v>0</v>
      </c>
      <c r="K44">
        <v>2</v>
      </c>
      <c r="L44">
        <v>30</v>
      </c>
      <c r="M44">
        <v>3</v>
      </c>
      <c r="N44" t="str">
        <f>INDEX(Define!E:E,MATCH(M44,Define!D:D))</f>
        <v>氷</v>
      </c>
      <c r="O44">
        <v>1</v>
      </c>
      <c r="P44" t="str">
        <f>INDEX(Define!H:H,MATCH(O44,Define!G:G))</f>
        <v>魔法</v>
      </c>
      <c r="Q44">
        <v>4</v>
      </c>
      <c r="R44" t="str">
        <f>INDEX(Define!K:K,MATCH(Q44,Define!J:J))</f>
        <v>自身</v>
      </c>
      <c r="S44">
        <v>4</v>
      </c>
      <c r="T44" t="str">
        <f>INDEX(Define!N:N,MATCH(S44,Define!M:M))</f>
        <v>自身</v>
      </c>
      <c r="U44">
        <v>1</v>
      </c>
      <c r="V44">
        <v>1</v>
      </c>
      <c r="W44">
        <v>1</v>
      </c>
      <c r="X44">
        <v>0</v>
      </c>
    </row>
    <row r="45" spans="1:24">
      <c r="A45">
        <v>3130</v>
      </c>
      <c r="B45">
        <v>3130</v>
      </c>
      <c r="C45" t="str">
        <f>INDEX(TextData!B:B,MATCH(B45,TextData!A:A))</f>
        <v>アクアウォール</v>
      </c>
      <c r="D45">
        <v>4</v>
      </c>
      <c r="E45" t="str">
        <f>INDEX(Define!X:X,MATCH(D45,Define!W:W))</f>
        <v>精神</v>
      </c>
      <c r="F45">
        <v>1104</v>
      </c>
      <c r="G45" t="str">
        <f>INDEX([1]Animations!B:B,MATCH(F45,[1]Animations!A:A))</f>
        <v>MakerEffect/Fog</v>
      </c>
      <c r="H45">
        <v>1</v>
      </c>
      <c r="I45" t="str">
        <f>INDEX(Define!B:B,MATCH(H45,Define!A:A))</f>
        <v>単体</v>
      </c>
      <c r="J45">
        <v>0</v>
      </c>
      <c r="K45">
        <v>3</v>
      </c>
      <c r="L45">
        <v>30</v>
      </c>
      <c r="M45">
        <v>3</v>
      </c>
      <c r="N45" t="str">
        <f>INDEX(Define!E:E,MATCH(M45,Define!D:D))</f>
        <v>氷</v>
      </c>
      <c r="O45">
        <v>1</v>
      </c>
      <c r="P45" t="str">
        <f>INDEX(Define!H:H,MATCH(O45,Define!G:G))</f>
        <v>魔法</v>
      </c>
      <c r="Q45">
        <v>4</v>
      </c>
      <c r="R45" t="str">
        <f>INDEX(Define!K:K,MATCH(Q45,Define!J:J))</f>
        <v>自身</v>
      </c>
      <c r="S45">
        <v>4</v>
      </c>
      <c r="T45" t="str">
        <f>INDEX(Define!N:N,MATCH(S45,Define!M:M))</f>
        <v>自身</v>
      </c>
      <c r="U45">
        <v>1</v>
      </c>
      <c r="V45">
        <v>1</v>
      </c>
      <c r="W45">
        <v>1</v>
      </c>
      <c r="X45">
        <v>0</v>
      </c>
    </row>
    <row r="46" spans="1:24">
      <c r="A46">
        <v>3930</v>
      </c>
      <c r="B46">
        <v>3930</v>
      </c>
      <c r="C46" t="str">
        <f>INDEX(TextData!B:B,MATCH(B46,TextData!A:A))</f>
        <v>ラインプロテクト</v>
      </c>
      <c r="D46">
        <v>4</v>
      </c>
      <c r="E46" t="str">
        <f>INDEX(Define!X:X,MATCH(D46,Define!W:W))</f>
        <v>精神</v>
      </c>
      <c r="F46">
        <v>3007</v>
      </c>
      <c r="G46" t="str">
        <f>INDEX([1]Animations!B:B,MATCH(F46,[1]Animations!A:A))</f>
        <v>Genfulew_Effect/B&amp;S_MinMax_DefenseUp</v>
      </c>
      <c r="H46">
        <v>1</v>
      </c>
      <c r="I46" t="str">
        <f>INDEX(Define!B:B,MATCH(H46,Define!A:A))</f>
        <v>単体</v>
      </c>
      <c r="J46">
        <v>0</v>
      </c>
      <c r="K46">
        <v>4</v>
      </c>
      <c r="L46">
        <v>30</v>
      </c>
      <c r="M46">
        <v>3</v>
      </c>
      <c r="N46" t="str">
        <f>INDEX(Define!E:E,MATCH(M46,Define!D:D))</f>
        <v>氷</v>
      </c>
      <c r="O46">
        <v>1</v>
      </c>
      <c r="P46" t="str">
        <f>INDEX(Define!H:H,MATCH(O46,Define!G:G))</f>
        <v>魔法</v>
      </c>
      <c r="Q46">
        <v>2</v>
      </c>
      <c r="R46" t="str">
        <f>INDEX(Define!K:K,MATCH(Q46,Define!J:J))</f>
        <v>味方</v>
      </c>
      <c r="S46">
        <v>2</v>
      </c>
      <c r="T46" t="str">
        <f>INDEX(Define!N:N,MATCH(S46,Define!M:M))</f>
        <v>列</v>
      </c>
      <c r="U46">
        <v>1</v>
      </c>
      <c r="V46">
        <v>1</v>
      </c>
      <c r="W46">
        <v>1</v>
      </c>
      <c r="X46">
        <v>0</v>
      </c>
    </row>
    <row r="47" spans="1:24">
      <c r="A47">
        <v>3940</v>
      </c>
      <c r="B47">
        <v>3940</v>
      </c>
      <c r="C47" t="str">
        <f>INDEX(TextData!B:B,MATCH(B47,TextData!A:A))</f>
        <v>エスコートソール</v>
      </c>
      <c r="D47">
        <v>3</v>
      </c>
      <c r="E47" t="str">
        <f>INDEX(Define!X:X,MATCH(D47,Define!W:W))</f>
        <v>理術</v>
      </c>
      <c r="F47">
        <v>2304</v>
      </c>
      <c r="G47" t="str">
        <f>INDEX([1]Animations!B:B,MATCH(F47,[1]Animations!A:A))</f>
        <v>NA_Effekseer/NA_wave_001</v>
      </c>
      <c r="H47">
        <v>1</v>
      </c>
      <c r="I47" t="str">
        <f>INDEX(Define!B:B,MATCH(H47,Define!A:A))</f>
        <v>単体</v>
      </c>
      <c r="J47">
        <v>0</v>
      </c>
      <c r="K47">
        <v>3</v>
      </c>
      <c r="L47">
        <v>20</v>
      </c>
      <c r="M47">
        <v>3</v>
      </c>
      <c r="N47" t="str">
        <f>INDEX(Define!E:E,MATCH(M47,Define!D:D))</f>
        <v>氷</v>
      </c>
      <c r="O47">
        <v>1</v>
      </c>
      <c r="P47" t="str">
        <f>INDEX(Define!H:H,MATCH(O47,Define!G:G))</f>
        <v>魔法</v>
      </c>
      <c r="Q47">
        <v>1</v>
      </c>
      <c r="R47" t="str">
        <f>INDEX(Define!K:K,MATCH(Q47,Define!J:J))</f>
        <v>相手</v>
      </c>
      <c r="S47">
        <v>31</v>
      </c>
      <c r="T47" t="str">
        <f>INDEX(Define!N:N,MATCH(S47,Define!M:M))</f>
        <v>単体と両隣</v>
      </c>
      <c r="U47">
        <v>1</v>
      </c>
      <c r="V47">
        <v>1</v>
      </c>
      <c r="W47">
        <v>1</v>
      </c>
      <c r="X47">
        <v>0</v>
      </c>
    </row>
    <row r="48" ht="12" customHeight="1" spans="1:24">
      <c r="A48">
        <v>4010</v>
      </c>
      <c r="B48">
        <v>4010</v>
      </c>
      <c r="C48" t="str">
        <f>INDEX(TextData!B:B,MATCH(B48,TextData!A:A))</f>
        <v>セイントレーザー</v>
      </c>
      <c r="D48">
        <v>1</v>
      </c>
      <c r="E48" t="str">
        <f>INDEX(Define!X:X,MATCH(D48,Define!W:W))</f>
        <v>元素</v>
      </c>
      <c r="F48">
        <v>2401</v>
      </c>
      <c r="G48" t="str">
        <f>INDEX([1]Animations!B:B,MATCH(F48,[1]Animations!A:A))</f>
        <v>NA_Effekseer/NA_magic_007</v>
      </c>
      <c r="H48">
        <v>1</v>
      </c>
      <c r="I48" t="str">
        <f>INDEX(Define!B:B,MATCH(H48,Define!A:A))</f>
        <v>単体</v>
      </c>
      <c r="J48">
        <v>0</v>
      </c>
      <c r="K48">
        <v>0</v>
      </c>
      <c r="L48">
        <v>10</v>
      </c>
      <c r="M48">
        <v>4</v>
      </c>
      <c r="N48" t="str">
        <f>INDEX(Define!E:E,MATCH(M48,Define!D:D))</f>
        <v>光</v>
      </c>
      <c r="O48">
        <v>1</v>
      </c>
      <c r="P48" t="str">
        <f>INDEX(Define!H:H,MATCH(O48,Define!G:G))</f>
        <v>魔法</v>
      </c>
      <c r="Q48">
        <v>1</v>
      </c>
      <c r="R48" t="str">
        <f>INDEX(Define!K:K,MATCH(Q48,Define!J:J))</f>
        <v>相手</v>
      </c>
      <c r="S48">
        <v>1</v>
      </c>
      <c r="T48" t="str">
        <f>INDEX(Define!N:N,MATCH(S48,Define!M:M))</f>
        <v>単体</v>
      </c>
      <c r="U48">
        <v>1</v>
      </c>
      <c r="V48">
        <v>1</v>
      </c>
      <c r="W48">
        <v>1</v>
      </c>
      <c r="X48">
        <v>0</v>
      </c>
    </row>
    <row r="49" ht="12" customHeight="1" spans="1:24">
      <c r="A49">
        <v>4020</v>
      </c>
      <c r="B49">
        <v>4020</v>
      </c>
      <c r="C49" t="str">
        <f>INDEX(TextData!B:B,MATCH(B49,TextData!A:A))</f>
        <v>ペネトレイト</v>
      </c>
      <c r="D49">
        <v>1</v>
      </c>
      <c r="E49" t="str">
        <f>INDEX(Define!X:X,MATCH(D49,Define!W:W))</f>
        <v>元素</v>
      </c>
      <c r="F49">
        <v>2402</v>
      </c>
      <c r="G49" t="str">
        <f>INDEX([1]Animations!B:B,MATCH(F49,[1]Animations!A:A))</f>
        <v>tktk01/Sword7</v>
      </c>
      <c r="H49">
        <v>1</v>
      </c>
      <c r="I49" t="str">
        <f>INDEX(Define!B:B,MATCH(H49,Define!A:A))</f>
        <v>単体</v>
      </c>
      <c r="J49">
        <v>0</v>
      </c>
      <c r="K49" s="7">
        <v>3</v>
      </c>
      <c r="L49">
        <v>20</v>
      </c>
      <c r="M49">
        <v>4</v>
      </c>
      <c r="N49" t="str">
        <f>INDEX(Define!E:E,MATCH(M49,Define!D:D))</f>
        <v>光</v>
      </c>
      <c r="O49">
        <v>1</v>
      </c>
      <c r="P49" t="str">
        <f>INDEX(Define!H:H,MATCH(O49,Define!G:G))</f>
        <v>魔法</v>
      </c>
      <c r="Q49">
        <v>1</v>
      </c>
      <c r="R49" t="str">
        <f>INDEX(Define!K:K,MATCH(Q49,Define!J:J))</f>
        <v>相手</v>
      </c>
      <c r="S49">
        <v>6</v>
      </c>
      <c r="T49" t="str">
        <f>INDEX(Define!N:N,MATCH(S49,Define!M:M))</f>
        <v>前後貫通</v>
      </c>
      <c r="U49">
        <v>2</v>
      </c>
      <c r="V49">
        <v>1</v>
      </c>
      <c r="W49">
        <v>1</v>
      </c>
      <c r="X49">
        <v>0</v>
      </c>
    </row>
    <row r="50" ht="12" customHeight="1" spans="1:24">
      <c r="A50">
        <v>4030</v>
      </c>
      <c r="B50">
        <v>4030</v>
      </c>
      <c r="C50" t="str">
        <f>INDEX(TextData!B:B,MATCH(B50,TextData!A:A))</f>
        <v>ヒーリング</v>
      </c>
      <c r="D50">
        <v>2</v>
      </c>
      <c r="E50" t="str">
        <f>INDEX(Define!X:X,MATCH(D50,Define!W:W))</f>
        <v>光</v>
      </c>
      <c r="F50">
        <v>2403</v>
      </c>
      <c r="G50" t="str">
        <f>INDEX([1]Animations!B:B,MATCH(F50,[1]Animations!A:A))</f>
        <v>NA_Effekseer/NA_healing_001</v>
      </c>
      <c r="H50">
        <v>1</v>
      </c>
      <c r="I50" t="str">
        <f>INDEX(Define!B:B,MATCH(H50,Define!A:A))</f>
        <v>単体</v>
      </c>
      <c r="J50">
        <v>0</v>
      </c>
      <c r="K50">
        <v>0</v>
      </c>
      <c r="L50">
        <v>20</v>
      </c>
      <c r="M50">
        <v>4</v>
      </c>
      <c r="N50" t="str">
        <f>INDEX(Define!E:E,MATCH(M50,Define!D:D))</f>
        <v>光</v>
      </c>
      <c r="O50">
        <v>1</v>
      </c>
      <c r="P50" t="str">
        <f>INDEX(Define!H:H,MATCH(O50,Define!G:G))</f>
        <v>魔法</v>
      </c>
      <c r="Q50">
        <v>2</v>
      </c>
      <c r="R50" t="str">
        <f>INDEX(Define!K:K,MATCH(Q50,Define!J:J))</f>
        <v>味方</v>
      </c>
      <c r="S50">
        <v>1</v>
      </c>
      <c r="T50" t="str">
        <f>INDEX(Define!N:N,MATCH(S50,Define!M:M))</f>
        <v>単体</v>
      </c>
      <c r="U50">
        <v>1</v>
      </c>
      <c r="V50">
        <v>1</v>
      </c>
      <c r="W50">
        <v>1</v>
      </c>
      <c r="X50">
        <v>0</v>
      </c>
    </row>
    <row r="51" ht="12" customHeight="1" spans="1:24">
      <c r="A51">
        <v>4040</v>
      </c>
      <c r="B51">
        <v>4040</v>
      </c>
      <c r="C51" t="str">
        <f>INDEX(TextData!B:B,MATCH(B51,TextData!A:A))</f>
        <v>ピアシングランス</v>
      </c>
      <c r="D51">
        <v>1</v>
      </c>
      <c r="E51" t="str">
        <f>INDEX(Define!X:X,MATCH(D51,Define!W:W))</f>
        <v>元素</v>
      </c>
      <c r="F51">
        <v>2402</v>
      </c>
      <c r="G51" t="str">
        <f>INDEX([1]Animations!B:B,MATCH(F51,[1]Animations!A:A))</f>
        <v>tktk01/Sword7</v>
      </c>
      <c r="H51">
        <v>1</v>
      </c>
      <c r="I51" t="str">
        <f>INDEX(Define!B:B,MATCH(H51,Define!A:A))</f>
        <v>単体</v>
      </c>
      <c r="J51">
        <v>0</v>
      </c>
      <c r="K51" s="7">
        <v>3</v>
      </c>
      <c r="L51">
        <v>20</v>
      </c>
      <c r="M51">
        <v>4</v>
      </c>
      <c r="N51" t="str">
        <f>INDEX(Define!E:E,MATCH(M51,Define!D:D))</f>
        <v>光</v>
      </c>
      <c r="O51">
        <v>1</v>
      </c>
      <c r="P51" t="str">
        <f>INDEX(Define!H:H,MATCH(O51,Define!G:G))</f>
        <v>魔法</v>
      </c>
      <c r="Q51">
        <v>1</v>
      </c>
      <c r="R51" t="str">
        <f>INDEX(Define!K:K,MATCH(Q51,Define!J:J))</f>
        <v>相手</v>
      </c>
      <c r="S51">
        <v>1</v>
      </c>
      <c r="T51" t="str">
        <f>INDEX(Define!N:N,MATCH(S51,Define!M:M))</f>
        <v>単体</v>
      </c>
      <c r="U51">
        <v>1</v>
      </c>
      <c r="V51">
        <v>1</v>
      </c>
      <c r="W51">
        <v>1</v>
      </c>
      <c r="X51">
        <v>0</v>
      </c>
    </row>
    <row r="52" ht="12" customHeight="1" spans="1:24">
      <c r="A52">
        <v>4050</v>
      </c>
      <c r="B52">
        <v>4050</v>
      </c>
      <c r="C52" t="str">
        <f>INDEX(TextData!B:B,MATCH(B52,TextData!A:A))</f>
        <v>べネディクション</v>
      </c>
      <c r="D52">
        <v>2</v>
      </c>
      <c r="E52" t="str">
        <f>INDEX(Define!X:X,MATCH(D52,Define!W:W))</f>
        <v>光</v>
      </c>
      <c r="F52">
        <v>2410</v>
      </c>
      <c r="G52" t="str">
        <f>INDEX([1]Animations!B:B,MATCH(F52,[1]Animations!A:A))</f>
        <v>tktk01/Cure1</v>
      </c>
      <c r="H52">
        <v>1</v>
      </c>
      <c r="I52" t="str">
        <f>INDEX(Define!B:B,MATCH(H52,Define!A:A))</f>
        <v>単体</v>
      </c>
      <c r="J52">
        <v>0</v>
      </c>
      <c r="K52" s="7">
        <v>3</v>
      </c>
      <c r="L52">
        <v>20</v>
      </c>
      <c r="M52">
        <v>4</v>
      </c>
      <c r="N52" t="str">
        <f>INDEX(Define!E:E,MATCH(M52,Define!D:D))</f>
        <v>光</v>
      </c>
      <c r="O52">
        <v>1</v>
      </c>
      <c r="P52" t="str">
        <f>INDEX(Define!H:H,MATCH(O52,Define!G:G))</f>
        <v>魔法</v>
      </c>
      <c r="Q52">
        <v>2</v>
      </c>
      <c r="R52" t="str">
        <f>INDEX(Define!K:K,MATCH(Q52,Define!J:J))</f>
        <v>味方</v>
      </c>
      <c r="S52">
        <v>13</v>
      </c>
      <c r="T52" t="str">
        <f>INDEX(Define!N:N,MATCH(S52,Define!M:M))</f>
        <v>全体・自身を除く</v>
      </c>
      <c r="U52">
        <v>2</v>
      </c>
      <c r="V52">
        <v>1</v>
      </c>
      <c r="W52">
        <v>1</v>
      </c>
      <c r="X52">
        <v>0</v>
      </c>
    </row>
    <row r="53" spans="1:24">
      <c r="A53">
        <v>4060</v>
      </c>
      <c r="B53">
        <v>4060</v>
      </c>
      <c r="C53" t="str">
        <f>INDEX(TextData!B:B,MATCH(B53,TextData!A:A))</f>
        <v>ホーリーグレイス</v>
      </c>
      <c r="D53">
        <v>2</v>
      </c>
      <c r="E53" t="str">
        <f>INDEX(Define!X:X,MATCH(D53,Define!W:W))</f>
        <v>光</v>
      </c>
      <c r="F53">
        <v>2410</v>
      </c>
      <c r="G53" t="str">
        <f>INDEX([1]Animations!B:B,MATCH(F53,[1]Animations!A:A))</f>
        <v>tktk01/Cure1</v>
      </c>
      <c r="H53">
        <v>1</v>
      </c>
      <c r="I53" t="str">
        <f>INDEX(Define!B:B,MATCH(H53,Define!A:A))</f>
        <v>単体</v>
      </c>
      <c r="J53">
        <v>0</v>
      </c>
      <c r="K53">
        <v>7</v>
      </c>
      <c r="L53">
        <v>20</v>
      </c>
      <c r="M53">
        <v>4</v>
      </c>
      <c r="N53" t="str">
        <f>INDEX(Define!E:E,MATCH(M53,Define!D:D))</f>
        <v>光</v>
      </c>
      <c r="O53">
        <v>1</v>
      </c>
      <c r="P53" t="str">
        <f>INDEX(Define!H:H,MATCH(O53,Define!G:G))</f>
        <v>魔法</v>
      </c>
      <c r="Q53">
        <v>2</v>
      </c>
      <c r="R53" t="str">
        <f>INDEX(Define!K:K,MATCH(Q53,Define!J:J))</f>
        <v>味方</v>
      </c>
      <c r="S53">
        <v>1</v>
      </c>
      <c r="T53" t="str">
        <f>INDEX(Define!N:N,MATCH(S53,Define!M:M))</f>
        <v>単体</v>
      </c>
      <c r="U53">
        <v>1</v>
      </c>
      <c r="V53">
        <v>1</v>
      </c>
      <c r="W53">
        <v>0</v>
      </c>
      <c r="X53">
        <v>0</v>
      </c>
    </row>
    <row r="54" spans="1:24">
      <c r="A54">
        <v>4070</v>
      </c>
      <c r="B54">
        <v>4070</v>
      </c>
      <c r="C54" t="str">
        <f>INDEX(TextData!B:B,MATCH(B54,TextData!A:A))</f>
        <v>キュアエール</v>
      </c>
      <c r="D54">
        <v>2</v>
      </c>
      <c r="E54" t="str">
        <f>INDEX(Define!X:X,MATCH(D54,Define!W:W))</f>
        <v>光</v>
      </c>
      <c r="F54">
        <v>3023</v>
      </c>
      <c r="G54" t="str">
        <f>INDEX([1]Animations!B:B,MATCH(F54,[1]Animations!A:A))</f>
        <v>Genfulew_Effect/B&amp;S_MinMax_Cure</v>
      </c>
      <c r="H54">
        <v>1</v>
      </c>
      <c r="I54" t="str">
        <f>INDEX(Define!B:B,MATCH(H54,Define!A:A))</f>
        <v>単体</v>
      </c>
      <c r="J54">
        <v>0</v>
      </c>
      <c r="K54">
        <v>4</v>
      </c>
      <c r="L54">
        <v>20</v>
      </c>
      <c r="M54">
        <v>4</v>
      </c>
      <c r="N54" t="str">
        <f>INDEX(Define!E:E,MATCH(M54,Define!D:D))</f>
        <v>光</v>
      </c>
      <c r="O54">
        <v>1</v>
      </c>
      <c r="P54" t="str">
        <f>INDEX(Define!H:H,MATCH(O54,Define!G:G))</f>
        <v>魔法</v>
      </c>
      <c r="Q54">
        <v>2</v>
      </c>
      <c r="R54" t="str">
        <f>INDEX(Define!K:K,MATCH(Q54,Define!J:J))</f>
        <v>味方</v>
      </c>
      <c r="S54">
        <v>2</v>
      </c>
      <c r="T54" t="str">
        <f>INDEX(Define!N:N,MATCH(S54,Define!M:M))</f>
        <v>列</v>
      </c>
      <c r="U54">
        <v>1</v>
      </c>
      <c r="V54">
        <v>1</v>
      </c>
      <c r="W54">
        <v>1</v>
      </c>
      <c r="X54">
        <v>0</v>
      </c>
    </row>
    <row r="55" spans="1:24">
      <c r="A55">
        <v>4080</v>
      </c>
      <c r="B55">
        <v>4080</v>
      </c>
      <c r="C55" t="str">
        <f>INDEX(TextData!B:B,MATCH(B55,TextData!A:A))</f>
        <v>ラインバリア</v>
      </c>
      <c r="D55">
        <v>2</v>
      </c>
      <c r="E55" t="str">
        <f>INDEX(Define!X:X,MATCH(D55,Define!W:W))</f>
        <v>光</v>
      </c>
      <c r="F55">
        <v>3007</v>
      </c>
      <c r="G55" t="str">
        <f>INDEX([1]Animations!B:B,MATCH(F55,[1]Animations!A:A))</f>
        <v>Genfulew_Effect/B&amp;S_MinMax_DefenseUp</v>
      </c>
      <c r="H55">
        <v>1</v>
      </c>
      <c r="I55" t="str">
        <f>INDEX(Define!B:B,MATCH(H55,Define!A:A))</f>
        <v>単体</v>
      </c>
      <c r="J55">
        <v>0</v>
      </c>
      <c r="K55">
        <v>4</v>
      </c>
      <c r="L55">
        <v>20</v>
      </c>
      <c r="M55">
        <v>4</v>
      </c>
      <c r="N55" t="str">
        <f>INDEX(Define!E:E,MATCH(M55,Define!D:D))</f>
        <v>光</v>
      </c>
      <c r="O55">
        <v>1</v>
      </c>
      <c r="P55" t="str">
        <f>INDEX(Define!H:H,MATCH(O55,Define!G:G))</f>
        <v>魔法</v>
      </c>
      <c r="Q55">
        <v>2</v>
      </c>
      <c r="R55" t="str">
        <f>INDEX(Define!K:K,MATCH(Q55,Define!J:J))</f>
        <v>味方</v>
      </c>
      <c r="S55">
        <v>2</v>
      </c>
      <c r="T55" t="str">
        <f>INDEX(Define!N:N,MATCH(S55,Define!M:M))</f>
        <v>列</v>
      </c>
      <c r="U55">
        <v>1</v>
      </c>
      <c r="V55">
        <v>1</v>
      </c>
      <c r="W55">
        <v>1</v>
      </c>
      <c r="X55">
        <v>0</v>
      </c>
    </row>
    <row r="56" ht="12" customHeight="1" spans="1:24">
      <c r="A56">
        <v>4110</v>
      </c>
      <c r="B56">
        <v>4110</v>
      </c>
      <c r="C56" t="str">
        <f>INDEX(TextData!B:B,MATCH(B56,TextData!A:A))</f>
        <v>ダブルレーザー</v>
      </c>
      <c r="D56">
        <v>1</v>
      </c>
      <c r="E56" t="str">
        <f>INDEX(Define!X:X,MATCH(D56,Define!W:W))</f>
        <v>元素</v>
      </c>
      <c r="F56">
        <v>2401</v>
      </c>
      <c r="G56" t="str">
        <f>INDEX([1]Animations!B:B,MATCH(F56,[1]Animations!A:A))</f>
        <v>NA_Effekseer/NA_magic_007</v>
      </c>
      <c r="H56">
        <v>1</v>
      </c>
      <c r="I56" t="str">
        <f>INDEX(Define!B:B,MATCH(H56,Define!A:A))</f>
        <v>単体</v>
      </c>
      <c r="J56">
        <v>0</v>
      </c>
      <c r="K56">
        <v>3</v>
      </c>
      <c r="L56">
        <v>30</v>
      </c>
      <c r="M56">
        <v>4</v>
      </c>
      <c r="N56" t="str">
        <f>INDEX(Define!E:E,MATCH(M56,Define!D:D))</f>
        <v>光</v>
      </c>
      <c r="O56">
        <v>1</v>
      </c>
      <c r="P56" t="str">
        <f>INDEX(Define!H:H,MATCH(O56,Define!G:G))</f>
        <v>魔法</v>
      </c>
      <c r="Q56">
        <v>1</v>
      </c>
      <c r="R56" t="str">
        <f>INDEX(Define!K:K,MATCH(Q56,Define!J:J))</f>
        <v>相手</v>
      </c>
      <c r="S56">
        <v>1</v>
      </c>
      <c r="T56" t="str">
        <f>INDEX(Define!N:N,MATCH(S56,Define!M:M))</f>
        <v>単体</v>
      </c>
      <c r="U56">
        <v>1</v>
      </c>
      <c r="V56">
        <v>2</v>
      </c>
      <c r="W56">
        <v>1</v>
      </c>
      <c r="X56">
        <v>0</v>
      </c>
    </row>
    <row r="57" spans="1:24">
      <c r="A57">
        <v>4120</v>
      </c>
      <c r="B57">
        <v>4120</v>
      </c>
      <c r="C57" t="str">
        <f>INDEX(TextData!B:B,MATCH(B57,TextData!A:A))</f>
        <v>リザイアフォトン</v>
      </c>
      <c r="D57">
        <v>2</v>
      </c>
      <c r="E57" t="str">
        <f>INDEX(Define!X:X,MATCH(D57,Define!W:W))</f>
        <v>光</v>
      </c>
      <c r="F57">
        <v>401</v>
      </c>
      <c r="G57" t="str">
        <f>INDEX([1]Animations!B:B,MATCH(F57,[1]Animations!A:A))</f>
        <v>MakerEffect/LightOne1</v>
      </c>
      <c r="H57">
        <v>1</v>
      </c>
      <c r="I57" t="str">
        <f>INDEX(Define!B:B,MATCH(H57,Define!A:A))</f>
        <v>単体</v>
      </c>
      <c r="J57">
        <v>0</v>
      </c>
      <c r="K57">
        <v>3</v>
      </c>
      <c r="L57">
        <v>30</v>
      </c>
      <c r="M57">
        <v>4</v>
      </c>
      <c r="N57" t="str">
        <f>INDEX(Define!E:E,MATCH(M57,Define!D:D))</f>
        <v>光</v>
      </c>
      <c r="O57">
        <v>1</v>
      </c>
      <c r="P57" t="str">
        <f>INDEX(Define!H:H,MATCH(O57,Define!G:G))</f>
        <v>魔法</v>
      </c>
      <c r="Q57">
        <v>1</v>
      </c>
      <c r="R57" t="str">
        <f>INDEX(Define!K:K,MATCH(Q57,Define!J:J))</f>
        <v>相手</v>
      </c>
      <c r="S57">
        <v>1</v>
      </c>
      <c r="T57" t="str">
        <f>INDEX(Define!N:N,MATCH(S57,Define!M:M))</f>
        <v>単体</v>
      </c>
      <c r="U57">
        <v>1</v>
      </c>
      <c r="V57">
        <v>1</v>
      </c>
      <c r="W57">
        <v>1</v>
      </c>
      <c r="X57">
        <v>0</v>
      </c>
    </row>
    <row r="58" ht="12" customHeight="1" spans="1:24">
      <c r="A58">
        <v>4130</v>
      </c>
      <c r="B58">
        <v>4130</v>
      </c>
      <c r="C58" t="str">
        <f>INDEX(TextData!B:B,MATCH(B58,TextData!A:A))</f>
        <v>チャクラ</v>
      </c>
      <c r="D58">
        <v>2</v>
      </c>
      <c r="E58" t="str">
        <f>INDEX(Define!X:X,MATCH(D58,Define!W:W))</f>
        <v>光</v>
      </c>
      <c r="F58">
        <v>2403</v>
      </c>
      <c r="G58" t="str">
        <f>INDEX([1]Animations!B:B,MATCH(F58,[1]Animations!A:A))</f>
        <v>NA_Effekseer/NA_healing_001</v>
      </c>
      <c r="H58">
        <v>1</v>
      </c>
      <c r="I58" t="str">
        <f>INDEX(Define!B:B,MATCH(H58,Define!A:A))</f>
        <v>単体</v>
      </c>
      <c r="J58">
        <v>0</v>
      </c>
      <c r="K58">
        <v>3</v>
      </c>
      <c r="L58">
        <v>30</v>
      </c>
      <c r="M58">
        <v>4</v>
      </c>
      <c r="N58" t="str">
        <f>INDEX(Define!E:E,MATCH(M58,Define!D:D))</f>
        <v>光</v>
      </c>
      <c r="O58">
        <v>1</v>
      </c>
      <c r="P58" t="str">
        <f>INDEX(Define!H:H,MATCH(O58,Define!G:G))</f>
        <v>魔法</v>
      </c>
      <c r="Q58">
        <v>2</v>
      </c>
      <c r="R58" t="str">
        <f>INDEX(Define!K:K,MATCH(Q58,Define!J:J))</f>
        <v>味方</v>
      </c>
      <c r="S58">
        <v>11</v>
      </c>
      <c r="T58" t="str">
        <f>INDEX(Define!N:N,MATCH(S58,Define!M:M))</f>
        <v>単体・自身を除く</v>
      </c>
      <c r="U58">
        <v>1</v>
      </c>
      <c r="V58">
        <v>1</v>
      </c>
      <c r="W58">
        <v>1</v>
      </c>
      <c r="X58">
        <v>0</v>
      </c>
    </row>
    <row r="59" ht="12" customHeight="1" spans="1:24">
      <c r="A59">
        <v>5010</v>
      </c>
      <c r="B59">
        <v>5010</v>
      </c>
      <c r="C59" t="str">
        <f>INDEX(TextData!B:B,MATCH(B59,TextData!A:A))</f>
        <v>ダークプリズン</v>
      </c>
      <c r="D59">
        <v>5</v>
      </c>
      <c r="E59" t="str">
        <f>INDEX(Define!X:X,MATCH(D59,Define!W:W))</f>
        <v>超次元</v>
      </c>
      <c r="F59">
        <v>2501</v>
      </c>
      <c r="G59" t="str">
        <f>INDEX([1]Animations!B:B,MATCH(F59,[1]Animations!A:A))</f>
        <v>tktk02/Dark1</v>
      </c>
      <c r="H59">
        <v>1</v>
      </c>
      <c r="I59" t="str">
        <f>INDEX(Define!B:B,MATCH(H59,Define!A:A))</f>
        <v>単体</v>
      </c>
      <c r="J59">
        <v>0</v>
      </c>
      <c r="K59">
        <v>0</v>
      </c>
      <c r="L59">
        <v>10</v>
      </c>
      <c r="M59">
        <v>5</v>
      </c>
      <c r="N59" t="str">
        <f>INDEX(Define!E:E,MATCH(M59,Define!D:D))</f>
        <v>闇</v>
      </c>
      <c r="O59">
        <v>1</v>
      </c>
      <c r="P59" t="str">
        <f>INDEX(Define!H:H,MATCH(O59,Define!G:G))</f>
        <v>魔法</v>
      </c>
      <c r="Q59">
        <v>1</v>
      </c>
      <c r="R59" t="str">
        <f>INDEX(Define!K:K,MATCH(Q59,Define!J:J))</f>
        <v>相手</v>
      </c>
      <c r="S59">
        <v>1</v>
      </c>
      <c r="T59" t="str">
        <f>INDEX(Define!N:N,MATCH(S59,Define!M:M))</f>
        <v>単体</v>
      </c>
      <c r="U59">
        <v>1</v>
      </c>
      <c r="V59">
        <v>1</v>
      </c>
      <c r="W59">
        <v>1</v>
      </c>
      <c r="X59">
        <v>0</v>
      </c>
    </row>
    <row r="60" ht="12" customHeight="1" spans="1:24">
      <c r="A60">
        <v>5020</v>
      </c>
      <c r="B60">
        <v>5020</v>
      </c>
      <c r="C60" t="str">
        <f>INDEX(TextData!B:B,MATCH(B60,TextData!A:A))</f>
        <v>カウントジャグラー</v>
      </c>
      <c r="D60">
        <v>3</v>
      </c>
      <c r="E60" t="str">
        <f>INDEX(Define!X:X,MATCH(D60,Define!W:W))</f>
        <v>理術</v>
      </c>
      <c r="F60">
        <v>501</v>
      </c>
      <c r="G60" t="str">
        <f>INDEX([1]Animations!B:B,MATCH(F60,[1]Animations!A:A))</f>
        <v>MakerEffect/DarknessOne1</v>
      </c>
      <c r="H60">
        <v>1</v>
      </c>
      <c r="I60" t="str">
        <f>INDEX(Define!B:B,MATCH(H60,Define!A:A))</f>
        <v>単体</v>
      </c>
      <c r="J60">
        <v>0</v>
      </c>
      <c r="K60" s="7">
        <v>2</v>
      </c>
      <c r="L60">
        <v>20</v>
      </c>
      <c r="M60">
        <v>5</v>
      </c>
      <c r="N60" t="str">
        <f>INDEX(Define!E:E,MATCH(M60,Define!D:D))</f>
        <v>闇</v>
      </c>
      <c r="O60">
        <v>1</v>
      </c>
      <c r="P60" t="str">
        <f>INDEX(Define!H:H,MATCH(O60,Define!G:G))</f>
        <v>魔法</v>
      </c>
      <c r="Q60">
        <v>1</v>
      </c>
      <c r="R60" t="str">
        <f>INDEX(Define!K:K,MATCH(Q60,Define!J:J))</f>
        <v>相手</v>
      </c>
      <c r="S60">
        <v>1</v>
      </c>
      <c r="T60" t="str">
        <f>INDEX(Define!N:N,MATCH(S60,Define!M:M))</f>
        <v>単体</v>
      </c>
      <c r="U60">
        <v>1</v>
      </c>
      <c r="V60">
        <v>1</v>
      </c>
      <c r="W60">
        <v>1</v>
      </c>
      <c r="X60">
        <v>0</v>
      </c>
    </row>
    <row r="61" ht="12" customHeight="1" spans="1:24">
      <c r="A61">
        <v>5021</v>
      </c>
      <c r="B61">
        <v>5020</v>
      </c>
      <c r="C61" t="str">
        <f>INDEX(TextData!B:B,MATCH(B61,TextData!A:A))</f>
        <v>カウントジャグラー</v>
      </c>
      <c r="D61">
        <v>3</v>
      </c>
      <c r="E61" t="str">
        <f>INDEX(Define!X:X,MATCH(D61,Define!W:W))</f>
        <v>理術</v>
      </c>
      <c r="F61">
        <v>501</v>
      </c>
      <c r="G61" t="str">
        <f>INDEX([1]Animations!B:B,MATCH(F61,[1]Animations!A:A))</f>
        <v>MakerEffect/DarknessOne1</v>
      </c>
      <c r="H61">
        <v>1</v>
      </c>
      <c r="I61" t="str">
        <f>INDEX(Define!B:B,MATCH(H61,Define!A:A))</f>
        <v>単体</v>
      </c>
      <c r="J61">
        <v>0</v>
      </c>
      <c r="K61" s="7">
        <v>2</v>
      </c>
      <c r="L61">
        <v>0</v>
      </c>
      <c r="M61">
        <v>5</v>
      </c>
      <c r="N61" t="str">
        <f>INDEX(Define!E:E,MATCH(M61,Define!D:D))</f>
        <v>闇</v>
      </c>
      <c r="O61">
        <v>1</v>
      </c>
      <c r="P61" t="str">
        <f>INDEX(Define!H:H,MATCH(O61,Define!G:G))</f>
        <v>魔法</v>
      </c>
      <c r="Q61">
        <v>4</v>
      </c>
      <c r="R61" t="str">
        <f>INDEX(Define!K:K,MATCH(Q61,Define!J:J))</f>
        <v>自身</v>
      </c>
      <c r="S61">
        <v>4</v>
      </c>
      <c r="T61" t="str">
        <f>INDEX(Define!N:N,MATCH(S61,Define!M:M))</f>
        <v>自身</v>
      </c>
      <c r="U61">
        <v>1</v>
      </c>
      <c r="V61">
        <v>1</v>
      </c>
      <c r="W61">
        <v>1</v>
      </c>
      <c r="X61">
        <v>0</v>
      </c>
    </row>
    <row r="62" ht="12" customHeight="1" spans="1:24">
      <c r="A62">
        <v>5030</v>
      </c>
      <c r="B62">
        <v>5030</v>
      </c>
      <c r="C62" t="str">
        <f>INDEX(TextData!B:B,MATCH(B62,TextData!A:A))</f>
        <v>パッシブカース</v>
      </c>
      <c r="D62">
        <v>5</v>
      </c>
      <c r="E62" t="str">
        <f>INDEX(Define!X:X,MATCH(D62,Define!W:W))</f>
        <v>超次元</v>
      </c>
      <c r="F62">
        <v>2511</v>
      </c>
      <c r="G62" t="str">
        <f>INDEX([1]Animations!B:B,MATCH(F62,[1]Animations!A:A))</f>
        <v>NA_Effekseer/NA_smoke_004</v>
      </c>
      <c r="H62">
        <v>1</v>
      </c>
      <c r="I62" t="str">
        <f>INDEX(Define!B:B,MATCH(H62,Define!A:A))</f>
        <v>単体</v>
      </c>
      <c r="J62">
        <v>0</v>
      </c>
      <c r="K62">
        <v>3</v>
      </c>
      <c r="L62">
        <v>20</v>
      </c>
      <c r="M62">
        <v>5</v>
      </c>
      <c r="N62" t="str">
        <f>INDEX(Define!E:E,MATCH(M62,Define!D:D))</f>
        <v>闇</v>
      </c>
      <c r="O62">
        <v>1</v>
      </c>
      <c r="P62" t="str">
        <f>INDEX(Define!H:H,MATCH(O62,Define!G:G))</f>
        <v>魔法</v>
      </c>
      <c r="Q62">
        <v>1</v>
      </c>
      <c r="R62" t="str">
        <f>INDEX(Define!K:K,MATCH(Q62,Define!J:J))</f>
        <v>相手</v>
      </c>
      <c r="S62">
        <v>2</v>
      </c>
      <c r="T62" t="str">
        <f>INDEX(Define!N:N,MATCH(S62,Define!M:M))</f>
        <v>列</v>
      </c>
      <c r="U62">
        <v>2</v>
      </c>
      <c r="V62">
        <v>1</v>
      </c>
      <c r="W62">
        <v>1</v>
      </c>
      <c r="X62">
        <v>0</v>
      </c>
    </row>
    <row r="63" ht="12" customHeight="1" spans="1:24">
      <c r="A63">
        <v>5040</v>
      </c>
      <c r="B63">
        <v>5040</v>
      </c>
      <c r="C63" t="str">
        <f>INDEX(TextData!B:B,MATCH(B63,TextData!A:A))</f>
        <v>ディレイショット</v>
      </c>
      <c r="D63">
        <v>3</v>
      </c>
      <c r="E63" t="str">
        <f>INDEX(Define!X:X,MATCH(D63,Define!W:W))</f>
        <v>理術</v>
      </c>
      <c r="F63">
        <v>502</v>
      </c>
      <c r="G63" t="str">
        <f>INDEX([1]Animations!B:B,MATCH(F63,[1]Animations!A:A))</f>
        <v>MakerEffect/DarknessOne2</v>
      </c>
      <c r="H63">
        <v>1</v>
      </c>
      <c r="I63" t="str">
        <f>INDEX(Define!B:B,MATCH(H63,Define!A:A))</f>
        <v>単体</v>
      </c>
      <c r="J63">
        <v>0</v>
      </c>
      <c r="K63" s="7">
        <v>3</v>
      </c>
      <c r="L63">
        <v>20</v>
      </c>
      <c r="M63">
        <v>5</v>
      </c>
      <c r="N63" t="str">
        <f>INDEX(Define!E:E,MATCH(M63,Define!D:D))</f>
        <v>闇</v>
      </c>
      <c r="O63">
        <v>1</v>
      </c>
      <c r="P63" t="str">
        <f>INDEX(Define!H:H,MATCH(O63,Define!G:G))</f>
        <v>魔法</v>
      </c>
      <c r="Q63">
        <v>1</v>
      </c>
      <c r="R63" t="str">
        <f>INDEX(Define!K:K,MATCH(Q63,Define!J:J))</f>
        <v>相手</v>
      </c>
      <c r="S63">
        <v>1</v>
      </c>
      <c r="T63" t="str">
        <f>INDEX(Define!N:N,MATCH(S63,Define!M:M))</f>
        <v>単体</v>
      </c>
      <c r="U63">
        <v>1</v>
      </c>
      <c r="V63">
        <v>1</v>
      </c>
      <c r="W63">
        <v>1</v>
      </c>
      <c r="X63">
        <v>0</v>
      </c>
    </row>
    <row r="64" ht="12" customHeight="1" spans="1:24">
      <c r="A64">
        <v>5050</v>
      </c>
      <c r="B64">
        <v>5050</v>
      </c>
      <c r="C64" t="str">
        <f>INDEX(TextData!B:B,MATCH(B64,TextData!A:A))</f>
        <v>ディプラヴィティ</v>
      </c>
      <c r="D64">
        <v>3</v>
      </c>
      <c r="E64" t="str">
        <f>INDEX(Define!X:X,MATCH(D64,Define!W:W))</f>
        <v>理術</v>
      </c>
      <c r="F64">
        <v>2505</v>
      </c>
      <c r="G64" t="str">
        <f>INDEX([1]Animations!B:B,MATCH(F64,[1]Animations!A:A))</f>
        <v>NA_Effekseer/NA_curse_001</v>
      </c>
      <c r="H64">
        <v>1</v>
      </c>
      <c r="I64" t="str">
        <f>INDEX(Define!B:B,MATCH(H64,Define!A:A))</f>
        <v>単体</v>
      </c>
      <c r="J64">
        <v>0</v>
      </c>
      <c r="K64" s="7">
        <v>2</v>
      </c>
      <c r="L64">
        <v>20</v>
      </c>
      <c r="M64">
        <v>5</v>
      </c>
      <c r="N64" t="str">
        <f>INDEX(Define!E:E,MATCH(M64,Define!D:D))</f>
        <v>闇</v>
      </c>
      <c r="O64">
        <v>1</v>
      </c>
      <c r="P64" t="str">
        <f>INDEX(Define!H:H,MATCH(O64,Define!G:G))</f>
        <v>魔法</v>
      </c>
      <c r="Q64">
        <v>1</v>
      </c>
      <c r="R64" t="str">
        <f>INDEX(Define!K:K,MATCH(Q64,Define!J:J))</f>
        <v>相手</v>
      </c>
      <c r="S64">
        <v>1</v>
      </c>
      <c r="T64" t="str">
        <f>INDEX(Define!N:N,MATCH(S64,Define!M:M))</f>
        <v>単体</v>
      </c>
      <c r="U64">
        <v>1</v>
      </c>
      <c r="V64">
        <v>1</v>
      </c>
      <c r="W64">
        <v>1</v>
      </c>
      <c r="X64">
        <v>0</v>
      </c>
    </row>
    <row r="65" ht="12" customHeight="1" spans="1:24">
      <c r="A65">
        <v>5060</v>
      </c>
      <c r="B65">
        <v>5060</v>
      </c>
      <c r="C65" t="str">
        <f>INDEX(TextData!B:B,MATCH(B65,TextData!A:A))</f>
        <v>ダークネス</v>
      </c>
      <c r="D65">
        <v>3</v>
      </c>
      <c r="E65" t="str">
        <f>INDEX(Define!X:X,MATCH(D65,Define!W:W))</f>
        <v>理術</v>
      </c>
      <c r="F65">
        <v>2510</v>
      </c>
      <c r="G65" t="str">
        <f>INDEX([1]Animations!B:B,MATCH(F65,[1]Animations!A:A))</f>
        <v>NA_Effekseer/NA_magic_006_c8</v>
      </c>
      <c r="H65">
        <v>1</v>
      </c>
      <c r="I65" t="str">
        <f>INDEX(Define!B:B,MATCH(H65,Define!A:A))</f>
        <v>単体</v>
      </c>
      <c r="J65">
        <v>0</v>
      </c>
      <c r="K65">
        <v>3</v>
      </c>
      <c r="L65">
        <v>20</v>
      </c>
      <c r="M65">
        <v>5</v>
      </c>
      <c r="N65" t="str">
        <f>INDEX(Define!E:E,MATCH(M65,Define!D:D))</f>
        <v>闇</v>
      </c>
      <c r="O65">
        <v>1</v>
      </c>
      <c r="P65" t="str">
        <f>INDEX(Define!H:H,MATCH(O65,Define!G:G))</f>
        <v>魔法</v>
      </c>
      <c r="Q65">
        <v>1</v>
      </c>
      <c r="R65" t="str">
        <f>INDEX(Define!K:K,MATCH(Q65,Define!J:J))</f>
        <v>相手</v>
      </c>
      <c r="S65">
        <v>1</v>
      </c>
      <c r="T65" t="str">
        <f>INDEX(Define!N:N,MATCH(S65,Define!M:M))</f>
        <v>単体</v>
      </c>
      <c r="U65">
        <v>1</v>
      </c>
      <c r="V65">
        <v>1</v>
      </c>
      <c r="W65">
        <v>1</v>
      </c>
      <c r="X65">
        <v>0</v>
      </c>
    </row>
    <row r="66" ht="12" customHeight="1" spans="1:24">
      <c r="A66">
        <v>5080</v>
      </c>
      <c r="B66">
        <v>5080</v>
      </c>
      <c r="C66" t="str">
        <f>INDEX(TextData!B:B,MATCH(B66,TextData!A:A))</f>
        <v>ポイズンブロウ</v>
      </c>
      <c r="D66">
        <v>5</v>
      </c>
      <c r="E66" t="str">
        <f>INDEX(Define!X:X,MATCH(D66,Define!W:W))</f>
        <v>超次元</v>
      </c>
      <c r="F66">
        <v>3030</v>
      </c>
      <c r="G66" t="str">
        <f>INDEX([1]Animations!B:B,MATCH(F66,[1]Animations!A:A))</f>
        <v>Genfulew_Effect/B&amp;S_MinMax_Poison</v>
      </c>
      <c r="H66">
        <v>1</v>
      </c>
      <c r="I66" t="str">
        <f>INDEX(Define!B:B,MATCH(H66,Define!A:A))</f>
        <v>単体</v>
      </c>
      <c r="J66">
        <v>0</v>
      </c>
      <c r="K66">
        <v>2</v>
      </c>
      <c r="L66">
        <v>20</v>
      </c>
      <c r="M66">
        <v>5</v>
      </c>
      <c r="N66" t="str">
        <f>INDEX(Define!E:E,MATCH(M66,Define!D:D))</f>
        <v>闇</v>
      </c>
      <c r="O66">
        <v>1</v>
      </c>
      <c r="P66" t="str">
        <f>INDEX(Define!H:H,MATCH(O66,Define!G:G))</f>
        <v>魔法</v>
      </c>
      <c r="Q66">
        <v>1</v>
      </c>
      <c r="R66" t="str">
        <f>INDEX(Define!K:K,MATCH(Q66,Define!J:J))</f>
        <v>相手</v>
      </c>
      <c r="S66">
        <v>1</v>
      </c>
      <c r="T66" t="str">
        <f>INDEX(Define!N:N,MATCH(S66,Define!M:M))</f>
        <v>単体</v>
      </c>
      <c r="U66">
        <v>1</v>
      </c>
      <c r="V66">
        <v>1</v>
      </c>
      <c r="W66">
        <v>1</v>
      </c>
      <c r="X66">
        <v>0</v>
      </c>
    </row>
    <row r="67" ht="12" customHeight="1" spans="1:24">
      <c r="A67">
        <v>5110</v>
      </c>
      <c r="B67">
        <v>5110</v>
      </c>
      <c r="C67" t="str">
        <f>INDEX(TextData!B:B,MATCH(B67,TextData!A:A))</f>
        <v>ドレインヒール</v>
      </c>
      <c r="D67">
        <v>5</v>
      </c>
      <c r="E67" t="str">
        <f>INDEX(Define!X:X,MATCH(D67,Define!W:W))</f>
        <v>超次元</v>
      </c>
      <c r="F67">
        <v>2503</v>
      </c>
      <c r="G67" t="str">
        <f>INDEX([1]Animations!B:B,MATCH(F67,[1]Animations!A:A))</f>
        <v>tktk01/Dark3</v>
      </c>
      <c r="H67">
        <v>1</v>
      </c>
      <c r="I67" t="str">
        <f>INDEX(Define!B:B,MATCH(H67,Define!A:A))</f>
        <v>単体</v>
      </c>
      <c r="J67">
        <v>0</v>
      </c>
      <c r="K67">
        <v>3</v>
      </c>
      <c r="L67">
        <v>30</v>
      </c>
      <c r="M67">
        <v>5</v>
      </c>
      <c r="N67" t="str">
        <f>INDEX(Define!E:E,MATCH(M67,Define!D:D))</f>
        <v>闇</v>
      </c>
      <c r="O67">
        <v>1</v>
      </c>
      <c r="P67" t="str">
        <f>INDEX(Define!H:H,MATCH(O67,Define!G:G))</f>
        <v>魔法</v>
      </c>
      <c r="Q67">
        <v>1</v>
      </c>
      <c r="R67" t="str">
        <f>INDEX(Define!K:K,MATCH(Q67,Define!J:J))</f>
        <v>相手</v>
      </c>
      <c r="S67">
        <v>1</v>
      </c>
      <c r="T67" t="str">
        <f>INDEX(Define!N:N,MATCH(S67,Define!M:M))</f>
        <v>単体</v>
      </c>
      <c r="U67">
        <v>1</v>
      </c>
      <c r="V67">
        <v>1</v>
      </c>
      <c r="W67">
        <v>1</v>
      </c>
      <c r="X67">
        <v>0</v>
      </c>
    </row>
    <row r="68" ht="12" customHeight="1" spans="1:24">
      <c r="A68">
        <v>5120</v>
      </c>
      <c r="B68">
        <v>5120</v>
      </c>
      <c r="C68" t="str">
        <f>INDEX(TextData!B:B,MATCH(B68,TextData!A:A))</f>
        <v>ユーサネイジア</v>
      </c>
      <c r="D68">
        <v>5</v>
      </c>
      <c r="E68" t="str">
        <f>INDEX(Define!X:X,MATCH(D68,Define!W:W))</f>
        <v>超次元</v>
      </c>
      <c r="F68">
        <v>2502</v>
      </c>
      <c r="G68" t="str">
        <f>INDEX([1]Animations!B:B,MATCH(F68,[1]Animations!A:A))</f>
        <v>NA_Effekseer/NA_wave_003</v>
      </c>
      <c r="H68">
        <v>1</v>
      </c>
      <c r="I68" t="str">
        <f>INDEX(Define!B:B,MATCH(H68,Define!A:A))</f>
        <v>単体</v>
      </c>
      <c r="J68">
        <v>0</v>
      </c>
      <c r="K68">
        <v>5</v>
      </c>
      <c r="L68">
        <v>30</v>
      </c>
      <c r="M68">
        <v>5</v>
      </c>
      <c r="N68" t="str">
        <f>INDEX(Define!E:E,MATCH(M68,Define!D:D))</f>
        <v>闇</v>
      </c>
      <c r="O68">
        <v>1</v>
      </c>
      <c r="P68" t="str">
        <f>INDEX(Define!H:H,MATCH(O68,Define!G:G))</f>
        <v>魔法</v>
      </c>
      <c r="Q68">
        <v>1</v>
      </c>
      <c r="R68" t="str">
        <f>INDEX(Define!K:K,MATCH(Q68,Define!J:J))</f>
        <v>相手</v>
      </c>
      <c r="S68">
        <v>3</v>
      </c>
      <c r="T68" t="str">
        <f>INDEX(Define!N:N,MATCH(S68,Define!M:M))</f>
        <v>全体</v>
      </c>
      <c r="U68">
        <v>2</v>
      </c>
      <c r="V68">
        <v>1</v>
      </c>
      <c r="W68">
        <v>1</v>
      </c>
      <c r="X68">
        <v>0</v>
      </c>
    </row>
    <row r="69" ht="12" customHeight="1" spans="1:24">
      <c r="A69">
        <v>5130</v>
      </c>
      <c r="B69">
        <v>5130</v>
      </c>
      <c r="C69" t="str">
        <f>INDEX(TextData!B:B,MATCH(B69,TextData!A:A))</f>
        <v>シェイディークラウド</v>
      </c>
      <c r="D69">
        <v>5</v>
      </c>
      <c r="E69" t="str">
        <f>INDEX(Define!X:X,MATCH(D69,Define!W:W))</f>
        <v>超次元</v>
      </c>
      <c r="F69">
        <v>2511</v>
      </c>
      <c r="G69" t="str">
        <f>INDEX([1]Animations!B:B,MATCH(F69,[1]Animations!A:A))</f>
        <v>NA_Effekseer/NA_smoke_004</v>
      </c>
      <c r="H69">
        <v>1</v>
      </c>
      <c r="I69" t="str">
        <f>INDEX(Define!B:B,MATCH(H69,Define!A:A))</f>
        <v>単体</v>
      </c>
      <c r="J69">
        <v>0</v>
      </c>
      <c r="K69">
        <v>3</v>
      </c>
      <c r="L69">
        <v>30</v>
      </c>
      <c r="M69">
        <v>5</v>
      </c>
      <c r="N69" t="str">
        <f>INDEX(Define!E:E,MATCH(M69,Define!D:D))</f>
        <v>闇</v>
      </c>
      <c r="O69">
        <v>1</v>
      </c>
      <c r="P69" t="str">
        <f>INDEX(Define!H:H,MATCH(O69,Define!G:G))</f>
        <v>魔法</v>
      </c>
      <c r="Q69">
        <v>1</v>
      </c>
      <c r="R69" t="str">
        <f>INDEX(Define!K:K,MATCH(Q69,Define!J:J))</f>
        <v>相手</v>
      </c>
      <c r="S69">
        <v>2</v>
      </c>
      <c r="T69" t="str">
        <f>INDEX(Define!N:N,MATCH(S69,Define!M:M))</f>
        <v>列</v>
      </c>
      <c r="U69">
        <v>2</v>
      </c>
      <c r="V69">
        <v>1</v>
      </c>
      <c r="W69">
        <v>1</v>
      </c>
      <c r="X69">
        <v>0</v>
      </c>
    </row>
    <row r="70" ht="12" customHeight="1" spans="1:24">
      <c r="A70">
        <v>5940</v>
      </c>
      <c r="B70">
        <v>5940</v>
      </c>
      <c r="C70" t="str">
        <f>INDEX(TextData!B:B,MATCH(B70,TextData!A:A))</f>
        <v>アビサルデスペア</v>
      </c>
      <c r="D70">
        <v>5</v>
      </c>
      <c r="E70" t="str">
        <f>INDEX(Define!X:X,MATCH(D70,Define!W:W))</f>
        <v>超次元</v>
      </c>
      <c r="F70">
        <v>501</v>
      </c>
      <c r="G70" t="str">
        <f>INDEX([1]Animations!B:B,MATCH(F70,[1]Animations!A:A))</f>
        <v>MakerEffect/DarknessOne1</v>
      </c>
      <c r="H70">
        <v>1</v>
      </c>
      <c r="I70" t="str">
        <f>INDEX(Define!B:B,MATCH(H70,Define!A:A))</f>
        <v>単体</v>
      </c>
      <c r="J70">
        <v>0</v>
      </c>
      <c r="K70">
        <v>3</v>
      </c>
      <c r="L70">
        <v>20</v>
      </c>
      <c r="M70">
        <v>5</v>
      </c>
      <c r="N70" t="str">
        <f>INDEX(Define!E:E,MATCH(M70,Define!D:D))</f>
        <v>闇</v>
      </c>
      <c r="O70">
        <v>1</v>
      </c>
      <c r="P70" t="str">
        <f>INDEX(Define!H:H,MATCH(O70,Define!G:G))</f>
        <v>魔法</v>
      </c>
      <c r="Q70">
        <v>1</v>
      </c>
      <c r="R70" t="str">
        <f>INDEX(Define!K:K,MATCH(Q70,Define!J:J))</f>
        <v>相手</v>
      </c>
      <c r="S70">
        <v>1</v>
      </c>
      <c r="T70" t="str">
        <f>INDEX(Define!N:N,MATCH(S70,Define!M:M))</f>
        <v>単体</v>
      </c>
      <c r="U70">
        <v>1</v>
      </c>
      <c r="V70">
        <v>1</v>
      </c>
      <c r="W70">
        <v>1</v>
      </c>
      <c r="X70">
        <v>0</v>
      </c>
    </row>
    <row r="71" ht="12" customHeight="1" spans="1:24">
      <c r="A71">
        <v>6010</v>
      </c>
      <c r="B71">
        <v>6010</v>
      </c>
      <c r="C71" t="str">
        <f>INDEX(TextData!B:B,MATCH(B71,TextData!A:A))</f>
        <v>待機</v>
      </c>
      <c r="D71">
        <v>0</v>
      </c>
      <c r="E71" t="str">
        <f>INDEX(Define!X:X,MATCH(D71,Define!W:W))</f>
        <v>なし</v>
      </c>
      <c r="F71">
        <v>0</v>
      </c>
      <c r="H71">
        <v>1</v>
      </c>
      <c r="I71" t="str">
        <f>INDEX(Define!B:B,MATCH(H71,Define!A:A))</f>
        <v>単体</v>
      </c>
      <c r="J71">
        <v>0</v>
      </c>
      <c r="K71">
        <v>0</v>
      </c>
      <c r="L71">
        <v>0</v>
      </c>
      <c r="M71">
        <v>0</v>
      </c>
      <c r="N71" t="str">
        <f>INDEX(Define!E:E,MATCH(M71,Define!D:D))</f>
        <v>なし</v>
      </c>
      <c r="O71">
        <v>1</v>
      </c>
      <c r="P71" t="str">
        <f>INDEX(Define!H:H,MATCH(O71,Define!G:G))</f>
        <v>魔法</v>
      </c>
      <c r="Q71">
        <v>4</v>
      </c>
      <c r="R71" t="str">
        <f>INDEX(Define!K:K,MATCH(Q71,Define!J:J))</f>
        <v>自身</v>
      </c>
      <c r="S71">
        <v>4</v>
      </c>
      <c r="T71" t="str">
        <f>INDEX(Define!N:N,MATCH(S71,Define!M:M))</f>
        <v>自身</v>
      </c>
      <c r="U71">
        <v>1</v>
      </c>
      <c r="V71">
        <v>1</v>
      </c>
      <c r="W71">
        <v>1</v>
      </c>
      <c r="X71">
        <v>0</v>
      </c>
    </row>
    <row r="72" ht="12" customHeight="1" spans="1:24">
      <c r="A72">
        <v>6020</v>
      </c>
      <c r="B72">
        <v>6020</v>
      </c>
      <c r="C72" t="str">
        <f>INDEX(TextData!B:B,MATCH(B72,TextData!A:A))</f>
        <v>交代</v>
      </c>
      <c r="D72">
        <v>0</v>
      </c>
      <c r="E72" t="str">
        <f>INDEX(Define!X:X,MATCH(D72,Define!W:W))</f>
        <v>なし</v>
      </c>
      <c r="F72">
        <v>0</v>
      </c>
      <c r="H72">
        <v>1</v>
      </c>
      <c r="I72" t="str">
        <f>INDEX(Define!B:B,MATCH(H72,Define!A:A))</f>
        <v>単体</v>
      </c>
      <c r="J72">
        <v>0</v>
      </c>
      <c r="K72">
        <v>0</v>
      </c>
      <c r="L72">
        <v>0</v>
      </c>
      <c r="M72">
        <v>0</v>
      </c>
      <c r="N72" t="str">
        <f>INDEX(Define!E:E,MATCH(M72,Define!D:D))</f>
        <v>なし</v>
      </c>
      <c r="O72">
        <v>1</v>
      </c>
      <c r="P72" t="str">
        <f>INDEX(Define!H:H,MATCH(O72,Define!G:G))</f>
        <v>魔法</v>
      </c>
      <c r="Q72">
        <v>2</v>
      </c>
      <c r="R72" t="str">
        <f>INDEX(Define!K:K,MATCH(Q72,Define!J:J))</f>
        <v>味方</v>
      </c>
      <c r="S72">
        <v>41</v>
      </c>
      <c r="T72" t="str">
        <f>INDEX(Define!N:N,MATCH(S72,Define!M:M))</f>
        <v>交代専用</v>
      </c>
      <c r="U72">
        <v>2</v>
      </c>
      <c r="V72">
        <v>1</v>
      </c>
      <c r="W72">
        <v>2</v>
      </c>
      <c r="X72">
        <v>0</v>
      </c>
    </row>
    <row r="73" spans="1:24">
      <c r="A73">
        <v>10010</v>
      </c>
      <c r="B73">
        <v>10010</v>
      </c>
      <c r="C73" t="str">
        <f>INDEX(TextData!B:B,MATCH(B73,TextData!A:A))</f>
        <v>アンデッド</v>
      </c>
      <c r="D73">
        <v>6</v>
      </c>
      <c r="E73" t="str">
        <f>INDEX(Define!X:X,MATCH(D73,Define!W:W))</f>
        <v>自己強化</v>
      </c>
      <c r="F73">
        <v>51</v>
      </c>
      <c r="G73" t="str">
        <f>INDEX([1]Animations!B:B,MATCH(F73,[1]Animations!A:A))</f>
        <v>NA_Effekseer/NA_aura_001</v>
      </c>
      <c r="H73">
        <v>1</v>
      </c>
      <c r="I73" t="str">
        <f>INDEX(Define!B:B,MATCH(H73,Define!A:A))</f>
        <v>単体</v>
      </c>
      <c r="J73">
        <v>0</v>
      </c>
      <c r="K73">
        <v>0</v>
      </c>
      <c r="L73">
        <v>0</v>
      </c>
      <c r="M73">
        <v>0</v>
      </c>
      <c r="N73" t="str">
        <f>INDEX(Define!E:E,MATCH(M73,Define!D:D))</f>
        <v>なし</v>
      </c>
      <c r="O73">
        <v>2</v>
      </c>
      <c r="P73" t="str">
        <f>INDEX(Define!H:H,MATCH(O73,Define!G:G))</f>
        <v>パッシブ</v>
      </c>
      <c r="Q73">
        <v>4</v>
      </c>
      <c r="R73" t="str">
        <f>INDEX(Define!K:K,MATCH(Q73,Define!J:J))</f>
        <v>自身</v>
      </c>
      <c r="S73">
        <v>4</v>
      </c>
      <c r="T73" t="str">
        <f>INDEX(Define!N:N,MATCH(S73,Define!M:M))</f>
        <v>自身</v>
      </c>
      <c r="U73">
        <v>1</v>
      </c>
      <c r="V73">
        <v>1</v>
      </c>
      <c r="W73">
        <v>1</v>
      </c>
      <c r="X73">
        <v>0</v>
      </c>
    </row>
    <row r="74" spans="1:24">
      <c r="A74">
        <v>10020</v>
      </c>
      <c r="B74">
        <v>10020</v>
      </c>
      <c r="C74" t="str">
        <f>INDEX(TextData!B:B,MATCH(B74,TextData!A:A))</f>
        <v>エアリアル</v>
      </c>
      <c r="D74">
        <v>6</v>
      </c>
      <c r="E74" t="str">
        <f>INDEX(Define!X:X,MATCH(D74,Define!W:W))</f>
        <v>自己強化</v>
      </c>
      <c r="F74">
        <v>51</v>
      </c>
      <c r="G74" t="str">
        <f>INDEX([1]Animations!B:B,MATCH(F74,[1]Animations!A:A))</f>
        <v>NA_Effekseer/NA_aura_001</v>
      </c>
      <c r="H74">
        <v>1</v>
      </c>
      <c r="I74" t="str">
        <f>INDEX(Define!B:B,MATCH(H74,Define!A:A))</f>
        <v>単体</v>
      </c>
      <c r="J74">
        <v>0</v>
      </c>
      <c r="K74">
        <v>0</v>
      </c>
      <c r="L74">
        <v>0</v>
      </c>
      <c r="M74">
        <v>0</v>
      </c>
      <c r="N74" t="str">
        <f>INDEX(Define!E:E,MATCH(M74,Define!D:D))</f>
        <v>なし</v>
      </c>
      <c r="O74">
        <v>2</v>
      </c>
      <c r="P74" t="str">
        <f>INDEX(Define!H:H,MATCH(O74,Define!G:G))</f>
        <v>パッシブ</v>
      </c>
      <c r="Q74">
        <v>4</v>
      </c>
      <c r="R74" t="str">
        <f>INDEX(Define!K:K,MATCH(Q74,Define!J:J))</f>
        <v>自身</v>
      </c>
      <c r="S74">
        <v>4</v>
      </c>
      <c r="T74" t="str">
        <f>INDEX(Define!N:N,MATCH(S74,Define!M:M))</f>
        <v>自身</v>
      </c>
      <c r="U74">
        <v>1</v>
      </c>
      <c r="V74">
        <v>1</v>
      </c>
      <c r="W74">
        <v>1</v>
      </c>
      <c r="X74">
        <v>0</v>
      </c>
    </row>
    <row r="75" spans="1:24">
      <c r="A75">
        <v>10030</v>
      </c>
      <c r="B75">
        <v>10030</v>
      </c>
      <c r="C75" t="str">
        <f>INDEX(TextData!B:B,MATCH(B75,TextData!A:A))</f>
        <v>悪魔</v>
      </c>
      <c r="D75">
        <v>6</v>
      </c>
      <c r="E75" t="str">
        <f>INDEX(Define!X:X,MATCH(D75,Define!W:W))</f>
        <v>自己強化</v>
      </c>
      <c r="F75">
        <v>51</v>
      </c>
      <c r="G75" t="str">
        <f>INDEX([1]Animations!B:B,MATCH(F75,[1]Animations!A:A))</f>
        <v>NA_Effekseer/NA_aura_001</v>
      </c>
      <c r="H75">
        <v>1</v>
      </c>
      <c r="I75" t="str">
        <f>INDEX(Define!B:B,MATCH(H75,Define!A:A))</f>
        <v>単体</v>
      </c>
      <c r="J75">
        <v>0</v>
      </c>
      <c r="K75">
        <v>0</v>
      </c>
      <c r="L75">
        <v>0</v>
      </c>
      <c r="M75">
        <v>0</v>
      </c>
      <c r="N75" t="str">
        <f>INDEX(Define!E:E,MATCH(M75,Define!D:D))</f>
        <v>なし</v>
      </c>
      <c r="O75">
        <v>2</v>
      </c>
      <c r="P75" t="str">
        <f>INDEX(Define!H:H,MATCH(O75,Define!G:G))</f>
        <v>パッシブ</v>
      </c>
      <c r="Q75">
        <v>4</v>
      </c>
      <c r="R75" t="str">
        <f>INDEX(Define!K:K,MATCH(Q75,Define!J:J))</f>
        <v>自身</v>
      </c>
      <c r="S75">
        <v>4</v>
      </c>
      <c r="T75" t="str">
        <f>INDEX(Define!N:N,MATCH(S75,Define!M:M))</f>
        <v>自身</v>
      </c>
      <c r="U75">
        <v>1</v>
      </c>
      <c r="V75">
        <v>1</v>
      </c>
      <c r="W75">
        <v>1</v>
      </c>
      <c r="X75">
        <v>0</v>
      </c>
    </row>
    <row r="76" spans="1:24">
      <c r="A76">
        <v>10040</v>
      </c>
      <c r="B76">
        <v>10040</v>
      </c>
      <c r="C76" t="str">
        <f>INDEX(TextData!B:B,MATCH(B76,TextData!A:A))</f>
        <v>クリーチャー</v>
      </c>
      <c r="D76">
        <v>6</v>
      </c>
      <c r="E76" t="str">
        <f>INDEX(Define!X:X,MATCH(D76,Define!W:W))</f>
        <v>自己強化</v>
      </c>
      <c r="F76">
        <v>51</v>
      </c>
      <c r="G76" t="str">
        <f>INDEX([1]Animations!B:B,MATCH(F76,[1]Animations!A:A))</f>
        <v>NA_Effekseer/NA_aura_001</v>
      </c>
      <c r="H76">
        <v>1</v>
      </c>
      <c r="I76" t="str">
        <f>INDEX(Define!B:B,MATCH(H76,Define!A:A))</f>
        <v>単体</v>
      </c>
      <c r="J76">
        <v>0</v>
      </c>
      <c r="K76">
        <v>0</v>
      </c>
      <c r="L76">
        <v>0</v>
      </c>
      <c r="M76">
        <v>0</v>
      </c>
      <c r="N76" t="str">
        <f>INDEX(Define!E:E,MATCH(M76,Define!D:D))</f>
        <v>なし</v>
      </c>
      <c r="O76">
        <v>2</v>
      </c>
      <c r="P76" t="str">
        <f>INDEX(Define!H:H,MATCH(O76,Define!G:G))</f>
        <v>パッシブ</v>
      </c>
      <c r="Q76">
        <v>4</v>
      </c>
      <c r="R76" t="str">
        <f>INDEX(Define!K:K,MATCH(Q76,Define!J:J))</f>
        <v>自身</v>
      </c>
      <c r="S76">
        <v>4</v>
      </c>
      <c r="T76" t="str">
        <f>INDEX(Define!N:N,MATCH(S76,Define!M:M))</f>
        <v>自身</v>
      </c>
      <c r="U76">
        <v>1</v>
      </c>
      <c r="V76">
        <v>1</v>
      </c>
      <c r="W76">
        <v>1</v>
      </c>
      <c r="X76">
        <v>0</v>
      </c>
    </row>
    <row r="77" spans="1:24">
      <c r="A77">
        <v>10050</v>
      </c>
      <c r="B77">
        <v>10050</v>
      </c>
      <c r="C77" t="str">
        <f>INDEX(TextData!B:B,MATCH(B77,TextData!A:A))</f>
        <v>野生の記憶</v>
      </c>
      <c r="D77">
        <v>6</v>
      </c>
      <c r="E77" t="str">
        <f>INDEX(Define!X:X,MATCH(D77,Define!W:W))</f>
        <v>自己強化</v>
      </c>
      <c r="F77">
        <v>51</v>
      </c>
      <c r="G77" t="str">
        <f>INDEX([1]Animations!B:B,MATCH(F77,[1]Animations!A:A))</f>
        <v>NA_Effekseer/NA_aura_001</v>
      </c>
      <c r="H77">
        <v>1</v>
      </c>
      <c r="I77" t="str">
        <f>INDEX(Define!B:B,MATCH(H77,Define!A:A))</f>
        <v>単体</v>
      </c>
      <c r="J77">
        <v>0</v>
      </c>
      <c r="K77">
        <v>0</v>
      </c>
      <c r="L77">
        <v>0</v>
      </c>
      <c r="M77">
        <v>0</v>
      </c>
      <c r="N77" t="str">
        <f>INDEX(Define!E:E,MATCH(M77,Define!D:D))</f>
        <v>なし</v>
      </c>
      <c r="O77">
        <v>2</v>
      </c>
      <c r="P77" t="str">
        <f>INDEX(Define!H:H,MATCH(O77,Define!G:G))</f>
        <v>パッシブ</v>
      </c>
      <c r="Q77">
        <v>4</v>
      </c>
      <c r="R77" t="str">
        <f>INDEX(Define!K:K,MATCH(Q77,Define!J:J))</f>
        <v>自身</v>
      </c>
      <c r="S77">
        <v>4</v>
      </c>
      <c r="T77" t="str">
        <f>INDEX(Define!N:N,MATCH(S77,Define!M:M))</f>
        <v>自身</v>
      </c>
      <c r="U77">
        <v>1</v>
      </c>
      <c r="V77">
        <v>1</v>
      </c>
      <c r="W77">
        <v>1</v>
      </c>
      <c r="X77">
        <v>0</v>
      </c>
    </row>
    <row r="78" spans="1:24">
      <c r="A78">
        <v>10060</v>
      </c>
      <c r="B78">
        <v>10060</v>
      </c>
      <c r="C78" t="str">
        <f>INDEX(TextData!B:B,MATCH(B78,TextData!A:A))</f>
        <v>変異生物</v>
      </c>
      <c r="D78">
        <v>6</v>
      </c>
      <c r="E78" t="str">
        <f>INDEX(Define!X:X,MATCH(D78,Define!W:W))</f>
        <v>自己強化</v>
      </c>
      <c r="F78">
        <v>51</v>
      </c>
      <c r="G78" t="str">
        <f>INDEX([1]Animations!B:B,MATCH(F78,[1]Animations!A:A))</f>
        <v>NA_Effekseer/NA_aura_001</v>
      </c>
      <c r="H78">
        <v>1</v>
      </c>
      <c r="I78" t="str">
        <f>INDEX(Define!B:B,MATCH(H78,Define!A:A))</f>
        <v>単体</v>
      </c>
      <c r="J78">
        <v>0</v>
      </c>
      <c r="K78">
        <v>0</v>
      </c>
      <c r="L78">
        <v>0</v>
      </c>
      <c r="M78">
        <v>0</v>
      </c>
      <c r="N78" t="str">
        <f>INDEX(Define!E:E,MATCH(M78,Define!D:D))</f>
        <v>なし</v>
      </c>
      <c r="O78">
        <v>2</v>
      </c>
      <c r="P78" t="str">
        <f>INDEX(Define!H:H,MATCH(O78,Define!G:G))</f>
        <v>パッシブ</v>
      </c>
      <c r="Q78">
        <v>4</v>
      </c>
      <c r="R78" t="str">
        <f>INDEX(Define!K:K,MATCH(Q78,Define!J:J))</f>
        <v>自身</v>
      </c>
      <c r="S78">
        <v>4</v>
      </c>
      <c r="T78" t="str">
        <f>INDEX(Define!N:N,MATCH(S78,Define!M:M))</f>
        <v>自身</v>
      </c>
      <c r="U78">
        <v>1</v>
      </c>
      <c r="V78">
        <v>1</v>
      </c>
      <c r="W78">
        <v>1</v>
      </c>
      <c r="X78">
        <v>0</v>
      </c>
    </row>
    <row r="79" spans="1:24">
      <c r="A79">
        <v>10110</v>
      </c>
      <c r="B79">
        <v>10120</v>
      </c>
      <c r="C79" t="str">
        <f>INDEX(TextData!B:B,MATCH(B79,TextData!A:A))</f>
        <v>先天属性・雷</v>
      </c>
      <c r="D79">
        <v>6</v>
      </c>
      <c r="E79" t="str">
        <f>INDEX(Define!X:X,MATCH(D79,Define!W:W))</f>
        <v>自己強化</v>
      </c>
      <c r="F79">
        <v>0</v>
      </c>
      <c r="H79">
        <v>1</v>
      </c>
      <c r="I79" t="str">
        <f>INDEX(Define!B:B,MATCH(H79,Define!A:A))</f>
        <v>単体</v>
      </c>
      <c r="J79">
        <v>0</v>
      </c>
      <c r="K79">
        <v>0</v>
      </c>
      <c r="L79">
        <v>10</v>
      </c>
      <c r="M79">
        <v>2</v>
      </c>
      <c r="N79" t="str">
        <f>INDEX(Define!E:E,MATCH(M79,Define!D:D))</f>
        <v>雷</v>
      </c>
      <c r="O79">
        <v>8</v>
      </c>
      <c r="P79" t="str">
        <f>INDEX(Define!H:H,MATCH(O79,Define!G:G))</f>
        <v>カインド</v>
      </c>
      <c r="Q79">
        <v>4</v>
      </c>
      <c r="R79" t="str">
        <f>INDEX(Define!K:K,MATCH(Q79,Define!J:J))</f>
        <v>自身</v>
      </c>
      <c r="S79">
        <v>4</v>
      </c>
      <c r="T79" t="str">
        <f>INDEX(Define!N:N,MATCH(S79,Define!M:M))</f>
        <v>自身</v>
      </c>
      <c r="U79">
        <v>1</v>
      </c>
      <c r="V79">
        <v>1</v>
      </c>
      <c r="W79">
        <v>1</v>
      </c>
      <c r="X79">
        <v>0</v>
      </c>
    </row>
    <row r="80" spans="1:24">
      <c r="A80">
        <v>10120</v>
      </c>
      <c r="B80">
        <v>10130</v>
      </c>
      <c r="C80" t="str">
        <f>INDEX(TextData!B:B,MATCH(B80,TextData!A:A))</f>
        <v>先天属性・氷</v>
      </c>
      <c r="D80">
        <v>6</v>
      </c>
      <c r="E80" t="str">
        <f>INDEX(Define!X:X,MATCH(D80,Define!W:W))</f>
        <v>自己強化</v>
      </c>
      <c r="F80">
        <v>0</v>
      </c>
      <c r="H80">
        <v>1</v>
      </c>
      <c r="I80" t="str">
        <f>INDEX(Define!B:B,MATCH(H80,Define!A:A))</f>
        <v>単体</v>
      </c>
      <c r="J80">
        <v>0</v>
      </c>
      <c r="K80">
        <v>0</v>
      </c>
      <c r="L80">
        <v>10</v>
      </c>
      <c r="M80">
        <v>3</v>
      </c>
      <c r="N80" t="str">
        <f>INDEX(Define!E:E,MATCH(M80,Define!D:D))</f>
        <v>氷</v>
      </c>
      <c r="O80">
        <v>8</v>
      </c>
      <c r="P80" t="str">
        <f>INDEX(Define!H:H,MATCH(O80,Define!G:G))</f>
        <v>カインド</v>
      </c>
      <c r="Q80">
        <v>4</v>
      </c>
      <c r="R80" t="str">
        <f>INDEX(Define!K:K,MATCH(Q80,Define!J:J))</f>
        <v>自身</v>
      </c>
      <c r="S80">
        <v>4</v>
      </c>
      <c r="T80" t="str">
        <f>INDEX(Define!N:N,MATCH(S80,Define!M:M))</f>
        <v>自身</v>
      </c>
      <c r="U80">
        <v>1</v>
      </c>
      <c r="V80">
        <v>1</v>
      </c>
      <c r="W80">
        <v>1</v>
      </c>
      <c r="X80">
        <v>0</v>
      </c>
    </row>
    <row r="81" spans="1:24">
      <c r="A81">
        <v>10130</v>
      </c>
      <c r="B81">
        <v>10110</v>
      </c>
      <c r="C81" t="str">
        <f>INDEX(TextData!B:B,MATCH(B81,TextData!A:A))</f>
        <v>先天属性・炎</v>
      </c>
      <c r="D81">
        <v>6</v>
      </c>
      <c r="E81" t="str">
        <f>INDEX(Define!X:X,MATCH(D81,Define!W:W))</f>
        <v>自己強化</v>
      </c>
      <c r="F81">
        <v>0</v>
      </c>
      <c r="H81">
        <v>1</v>
      </c>
      <c r="I81" t="str">
        <f>INDEX(Define!B:B,MATCH(H81,Define!A:A))</f>
        <v>単体</v>
      </c>
      <c r="J81">
        <v>0</v>
      </c>
      <c r="K81">
        <v>0</v>
      </c>
      <c r="L81">
        <v>10</v>
      </c>
      <c r="M81">
        <v>1</v>
      </c>
      <c r="N81" t="str">
        <f>INDEX(Define!E:E,MATCH(M81,Define!D:D))</f>
        <v>炎</v>
      </c>
      <c r="O81">
        <v>8</v>
      </c>
      <c r="P81" t="str">
        <f>INDEX(Define!H:H,MATCH(O81,Define!G:G))</f>
        <v>カインド</v>
      </c>
      <c r="Q81">
        <v>4</v>
      </c>
      <c r="R81" t="str">
        <f>INDEX(Define!K:K,MATCH(Q81,Define!J:J))</f>
        <v>自身</v>
      </c>
      <c r="S81">
        <v>4</v>
      </c>
      <c r="T81" t="str">
        <f>INDEX(Define!N:N,MATCH(S81,Define!M:M))</f>
        <v>自身</v>
      </c>
      <c r="U81">
        <v>1</v>
      </c>
      <c r="V81">
        <v>1</v>
      </c>
      <c r="W81">
        <v>1</v>
      </c>
      <c r="X81">
        <v>0</v>
      </c>
    </row>
    <row r="82" spans="1:24">
      <c r="A82">
        <v>10140</v>
      </c>
      <c r="B82">
        <v>10150</v>
      </c>
      <c r="C82" t="str">
        <f>INDEX(TextData!B:B,MATCH(B82,TextData!A:A))</f>
        <v>先天属性・闇</v>
      </c>
      <c r="D82">
        <v>6</v>
      </c>
      <c r="E82" t="str">
        <f>INDEX(Define!X:X,MATCH(D82,Define!W:W))</f>
        <v>自己強化</v>
      </c>
      <c r="F82">
        <v>0</v>
      </c>
      <c r="H82">
        <v>1</v>
      </c>
      <c r="I82" t="str">
        <f>INDEX(Define!B:B,MATCH(H82,Define!A:A))</f>
        <v>単体</v>
      </c>
      <c r="J82">
        <v>0</v>
      </c>
      <c r="K82">
        <v>0</v>
      </c>
      <c r="L82">
        <v>10</v>
      </c>
      <c r="M82">
        <v>5</v>
      </c>
      <c r="N82" t="str">
        <f>INDEX(Define!E:E,MATCH(M82,Define!D:D))</f>
        <v>闇</v>
      </c>
      <c r="O82">
        <v>8</v>
      </c>
      <c r="P82" t="str">
        <f>INDEX(Define!H:H,MATCH(O82,Define!G:G))</f>
        <v>カインド</v>
      </c>
      <c r="Q82">
        <v>4</v>
      </c>
      <c r="R82" t="str">
        <f>INDEX(Define!K:K,MATCH(Q82,Define!J:J))</f>
        <v>自身</v>
      </c>
      <c r="S82">
        <v>4</v>
      </c>
      <c r="T82" t="str">
        <f>INDEX(Define!N:N,MATCH(S82,Define!M:M))</f>
        <v>自身</v>
      </c>
      <c r="U82">
        <v>1</v>
      </c>
      <c r="V82">
        <v>1</v>
      </c>
      <c r="W82">
        <v>1</v>
      </c>
      <c r="X82">
        <v>0</v>
      </c>
    </row>
    <row r="83" spans="1:24">
      <c r="A83">
        <v>10150</v>
      </c>
      <c r="B83">
        <v>10140</v>
      </c>
      <c r="C83" t="str">
        <f>INDEX(TextData!B:B,MATCH(B83,TextData!A:A))</f>
        <v>先天属性・光</v>
      </c>
      <c r="D83">
        <v>6</v>
      </c>
      <c r="E83" t="str">
        <f>INDEX(Define!X:X,MATCH(D83,Define!W:W))</f>
        <v>自己強化</v>
      </c>
      <c r="F83">
        <v>0</v>
      </c>
      <c r="H83">
        <v>1</v>
      </c>
      <c r="I83" t="str">
        <f>INDEX(Define!B:B,MATCH(H83,Define!A:A))</f>
        <v>単体</v>
      </c>
      <c r="J83">
        <v>0</v>
      </c>
      <c r="K83">
        <v>0</v>
      </c>
      <c r="L83">
        <v>10</v>
      </c>
      <c r="M83">
        <v>4</v>
      </c>
      <c r="N83" t="str">
        <f>INDEX(Define!E:E,MATCH(M83,Define!D:D))</f>
        <v>光</v>
      </c>
      <c r="O83">
        <v>8</v>
      </c>
      <c r="P83" t="str">
        <f>INDEX(Define!H:H,MATCH(O83,Define!G:G))</f>
        <v>カインド</v>
      </c>
      <c r="Q83">
        <v>4</v>
      </c>
      <c r="R83" t="str">
        <f>INDEX(Define!K:K,MATCH(Q83,Define!J:J))</f>
        <v>自身</v>
      </c>
      <c r="S83">
        <v>4</v>
      </c>
      <c r="T83" t="str">
        <f>INDEX(Define!N:N,MATCH(S83,Define!M:M))</f>
        <v>自身</v>
      </c>
      <c r="U83">
        <v>1</v>
      </c>
      <c r="V83">
        <v>1</v>
      </c>
      <c r="W83">
        <v>1</v>
      </c>
      <c r="X83">
        <v>0</v>
      </c>
    </row>
    <row r="84" spans="1:24">
      <c r="A84">
        <v>10210</v>
      </c>
      <c r="B84">
        <v>10210</v>
      </c>
      <c r="C84" t="str">
        <f>INDEX(TextData!B:B,MATCH(B84,TextData!A:A))</f>
        <v>装備スロット数+1</v>
      </c>
      <c r="D84">
        <v>6</v>
      </c>
      <c r="E84" t="str">
        <f>INDEX(Define!X:X,MATCH(D84,Define!W:W))</f>
        <v>自己強化</v>
      </c>
      <c r="F84">
        <v>0</v>
      </c>
      <c r="H84">
        <v>1</v>
      </c>
      <c r="I84" t="str">
        <f>INDEX(Define!B:B,MATCH(H84,Define!A:A))</f>
        <v>単体</v>
      </c>
      <c r="J84">
        <v>0</v>
      </c>
      <c r="K84">
        <v>0</v>
      </c>
      <c r="L84">
        <v>0</v>
      </c>
      <c r="M84">
        <v>0</v>
      </c>
      <c r="N84" t="str">
        <f>INDEX(Define!E:E,MATCH(M84,Define!D:D))</f>
        <v>なし</v>
      </c>
      <c r="O84">
        <v>8</v>
      </c>
      <c r="P84" t="str">
        <f>INDEX(Define!H:H,MATCH(O84,Define!G:G))</f>
        <v>カインド</v>
      </c>
      <c r="Q84">
        <v>4</v>
      </c>
      <c r="R84" t="str">
        <f>INDEX(Define!K:K,MATCH(Q84,Define!J:J))</f>
        <v>自身</v>
      </c>
      <c r="S84">
        <v>4</v>
      </c>
      <c r="T84" t="str">
        <f>INDEX(Define!N:N,MATCH(S84,Define!M:M))</f>
        <v>自身</v>
      </c>
      <c r="U84">
        <v>1</v>
      </c>
      <c r="V84">
        <v>1</v>
      </c>
      <c r="W84">
        <v>1</v>
      </c>
      <c r="X84">
        <v>0</v>
      </c>
    </row>
    <row r="85" spans="1:24">
      <c r="A85">
        <v>11010</v>
      </c>
      <c r="B85">
        <v>11010</v>
      </c>
      <c r="C85" t="str">
        <f>INDEX(TextData!B:B,MATCH(B85,TextData!A:A))</f>
        <v>フレイムセイバー</v>
      </c>
      <c r="D85">
        <v>6</v>
      </c>
      <c r="E85" t="str">
        <f>INDEX(Define!X:X,MATCH(D85,Define!W:W))</f>
        <v>自己強化</v>
      </c>
      <c r="F85">
        <v>1109</v>
      </c>
      <c r="G85" t="str">
        <f>INDEX([1]Animations!B:B,MATCH(F85,[1]Animations!A:A))</f>
        <v>MakerEffect/Flash</v>
      </c>
      <c r="H85">
        <v>1</v>
      </c>
      <c r="I85" t="str">
        <f>INDEX(Define!B:B,MATCH(H85,Define!A:A))</f>
        <v>単体</v>
      </c>
      <c r="J85">
        <v>0</v>
      </c>
      <c r="K85">
        <v>3</v>
      </c>
      <c r="L85">
        <v>20</v>
      </c>
      <c r="M85">
        <v>1</v>
      </c>
      <c r="N85" t="str">
        <f>INDEX(Define!E:E,MATCH(M85,Define!D:D))</f>
        <v>炎</v>
      </c>
      <c r="O85">
        <v>2</v>
      </c>
      <c r="P85" t="str">
        <f>INDEX(Define!H:H,MATCH(O85,Define!G:G))</f>
        <v>パッシブ</v>
      </c>
      <c r="Q85">
        <v>7</v>
      </c>
      <c r="R85" t="str">
        <f>INDEX(Define!K:K,MATCH(Q85,Define!J:J))</f>
        <v>追撃</v>
      </c>
      <c r="S85">
        <v>1</v>
      </c>
      <c r="T85" t="str">
        <f>INDEX(Define!N:N,MATCH(S85,Define!M:M))</f>
        <v>単体</v>
      </c>
      <c r="U85">
        <v>1</v>
      </c>
      <c r="V85">
        <v>1</v>
      </c>
      <c r="W85">
        <v>1</v>
      </c>
      <c r="X85">
        <v>0</v>
      </c>
    </row>
    <row r="86" ht="12" customHeight="1" spans="1:24">
      <c r="A86">
        <v>11020</v>
      </c>
      <c r="B86">
        <v>11020</v>
      </c>
      <c r="C86" t="str">
        <f>INDEX(TextData!B:B,MATCH(B86,TextData!A:A))</f>
        <v>イーグルアイ</v>
      </c>
      <c r="D86">
        <v>6</v>
      </c>
      <c r="E86" t="str">
        <f>INDEX(Define!X:X,MATCH(D86,Define!W:W))</f>
        <v>自己強化</v>
      </c>
      <c r="F86">
        <v>3005</v>
      </c>
      <c r="G86" t="str">
        <f>INDEX([1]Animations!B:B,MATCH(F86,[1]Animations!A:A))</f>
        <v>Genfulew_Effect/B&amp;S_MinMax_AttackUp</v>
      </c>
      <c r="H86">
        <v>1</v>
      </c>
      <c r="I86" t="str">
        <f>INDEX(Define!B:B,MATCH(H86,Define!A:A))</f>
        <v>単体</v>
      </c>
      <c r="J86">
        <v>0</v>
      </c>
      <c r="K86">
        <v>3</v>
      </c>
      <c r="L86">
        <v>20</v>
      </c>
      <c r="M86">
        <v>1</v>
      </c>
      <c r="N86" t="str">
        <f>INDEX(Define!E:E,MATCH(M86,Define!D:D))</f>
        <v>炎</v>
      </c>
      <c r="O86">
        <v>2</v>
      </c>
      <c r="P86" t="str">
        <f>INDEX(Define!H:H,MATCH(O86,Define!G:G))</f>
        <v>パッシブ</v>
      </c>
      <c r="Q86">
        <v>4</v>
      </c>
      <c r="R86" t="str">
        <f>INDEX(Define!K:K,MATCH(Q86,Define!J:J))</f>
        <v>自身</v>
      </c>
      <c r="S86">
        <v>4</v>
      </c>
      <c r="T86" t="str">
        <f>INDEX(Define!N:N,MATCH(S86,Define!M:M))</f>
        <v>自身</v>
      </c>
      <c r="U86">
        <v>1</v>
      </c>
      <c r="V86">
        <v>1</v>
      </c>
      <c r="W86">
        <v>1</v>
      </c>
      <c r="X86">
        <v>0</v>
      </c>
    </row>
    <row r="87" spans="1:24">
      <c r="A87">
        <v>11030</v>
      </c>
      <c r="B87">
        <v>11030</v>
      </c>
      <c r="C87" t="str">
        <f>INDEX(TextData!B:B,MATCH(B87,TextData!A:A))</f>
        <v>ウォークライ</v>
      </c>
      <c r="D87">
        <v>6</v>
      </c>
      <c r="E87" t="str">
        <f>INDEX(Define!X:X,MATCH(D87,Define!W:W))</f>
        <v>自己強化</v>
      </c>
      <c r="F87">
        <v>3005</v>
      </c>
      <c r="G87" t="str">
        <f>INDEX([1]Animations!B:B,MATCH(F87,[1]Animations!A:A))</f>
        <v>Genfulew_Effect/B&amp;S_MinMax_AttackUp</v>
      </c>
      <c r="H87">
        <v>1</v>
      </c>
      <c r="I87" t="str">
        <f>INDEX(Define!B:B,MATCH(H87,Define!A:A))</f>
        <v>単体</v>
      </c>
      <c r="J87">
        <v>0</v>
      </c>
      <c r="K87">
        <v>0</v>
      </c>
      <c r="L87">
        <v>20</v>
      </c>
      <c r="M87">
        <v>1</v>
      </c>
      <c r="N87" t="str">
        <f>INDEX(Define!E:E,MATCH(M87,Define!D:D))</f>
        <v>炎</v>
      </c>
      <c r="O87">
        <v>2</v>
      </c>
      <c r="P87" t="str">
        <f>INDEX(Define!H:H,MATCH(O87,Define!G:G))</f>
        <v>パッシブ</v>
      </c>
      <c r="Q87">
        <v>4</v>
      </c>
      <c r="R87" t="str">
        <f>INDEX(Define!K:K,MATCH(Q87,Define!J:J))</f>
        <v>自身</v>
      </c>
      <c r="S87">
        <v>4</v>
      </c>
      <c r="T87" t="str">
        <f>INDEX(Define!N:N,MATCH(S87,Define!M:M))</f>
        <v>自身</v>
      </c>
      <c r="U87">
        <v>1</v>
      </c>
      <c r="V87">
        <v>1</v>
      </c>
      <c r="W87">
        <v>1</v>
      </c>
      <c r="X87">
        <v>0</v>
      </c>
    </row>
    <row r="88" spans="1:24">
      <c r="A88">
        <v>11040</v>
      </c>
      <c r="B88">
        <v>11040</v>
      </c>
      <c r="C88" t="str">
        <f>INDEX(TextData!B:B,MATCH(B88,TextData!A:A))</f>
        <v>ウルフソウル</v>
      </c>
      <c r="D88">
        <v>6</v>
      </c>
      <c r="E88" t="str">
        <f>INDEX(Define!X:X,MATCH(D88,Define!W:W))</f>
        <v>自己強化</v>
      </c>
      <c r="F88">
        <v>3005</v>
      </c>
      <c r="G88" t="str">
        <f>INDEX([1]Animations!B:B,MATCH(F88,[1]Animations!A:A))</f>
        <v>Genfulew_Effect/B&amp;S_MinMax_AttackUp</v>
      </c>
      <c r="H88">
        <v>1</v>
      </c>
      <c r="I88" t="str">
        <f>INDEX(Define!B:B,MATCH(H88,Define!A:A))</f>
        <v>単体</v>
      </c>
      <c r="J88">
        <v>0</v>
      </c>
      <c r="K88">
        <v>0</v>
      </c>
      <c r="L88">
        <v>20</v>
      </c>
      <c r="M88">
        <v>1</v>
      </c>
      <c r="N88" t="str">
        <f>INDEX(Define!E:E,MATCH(M88,Define!D:D))</f>
        <v>炎</v>
      </c>
      <c r="O88">
        <v>2</v>
      </c>
      <c r="P88" t="str">
        <f>INDEX(Define!H:H,MATCH(O88,Define!G:G))</f>
        <v>パッシブ</v>
      </c>
      <c r="Q88">
        <v>4</v>
      </c>
      <c r="R88" t="str">
        <f>INDEX(Define!K:K,MATCH(Q88,Define!J:J))</f>
        <v>自身</v>
      </c>
      <c r="S88">
        <v>4</v>
      </c>
      <c r="T88" t="str">
        <f>INDEX(Define!N:N,MATCH(S88,Define!M:M))</f>
        <v>自身</v>
      </c>
      <c r="U88">
        <v>1</v>
      </c>
      <c r="V88">
        <v>1</v>
      </c>
      <c r="W88">
        <v>1</v>
      </c>
      <c r="X88">
        <v>0</v>
      </c>
    </row>
    <row r="89" spans="1:24">
      <c r="A89">
        <v>11050</v>
      </c>
      <c r="B89">
        <v>11050</v>
      </c>
      <c r="C89" t="str">
        <f>INDEX(TextData!B:B,MATCH(B89,TextData!A:A))</f>
        <v>キュアファイア</v>
      </c>
      <c r="D89">
        <v>6</v>
      </c>
      <c r="E89" t="str">
        <f>INDEX(Define!X:X,MATCH(D89,Define!W:W))</f>
        <v>自己強化</v>
      </c>
      <c r="F89">
        <v>3023</v>
      </c>
      <c r="G89" t="str">
        <f>INDEX([1]Animations!B:B,MATCH(F89,[1]Animations!A:A))</f>
        <v>Genfulew_Effect/B&amp;S_MinMax_Cure</v>
      </c>
      <c r="H89">
        <v>1</v>
      </c>
      <c r="I89" t="str">
        <f>INDEX(Define!B:B,MATCH(H89,Define!A:A))</f>
        <v>単体</v>
      </c>
      <c r="J89">
        <v>0</v>
      </c>
      <c r="K89">
        <v>5</v>
      </c>
      <c r="L89">
        <v>20</v>
      </c>
      <c r="M89">
        <v>1</v>
      </c>
      <c r="N89" t="str">
        <f>INDEX(Define!E:E,MATCH(M89,Define!D:D))</f>
        <v>炎</v>
      </c>
      <c r="O89">
        <v>2</v>
      </c>
      <c r="P89" t="str">
        <f>INDEX(Define!H:H,MATCH(O89,Define!G:G))</f>
        <v>パッシブ</v>
      </c>
      <c r="Q89">
        <v>2</v>
      </c>
      <c r="R89" t="str">
        <f>INDEX(Define!K:K,MATCH(Q89,Define!J:J))</f>
        <v>味方</v>
      </c>
      <c r="S89">
        <v>1</v>
      </c>
      <c r="T89" t="str">
        <f>INDEX(Define!N:N,MATCH(S89,Define!M:M))</f>
        <v>単体</v>
      </c>
      <c r="U89">
        <v>1</v>
      </c>
      <c r="V89">
        <v>1</v>
      </c>
      <c r="W89">
        <v>1</v>
      </c>
      <c r="X89">
        <v>0</v>
      </c>
    </row>
    <row r="90" spans="1:24">
      <c r="A90">
        <v>11070</v>
      </c>
      <c r="B90">
        <v>11070</v>
      </c>
      <c r="C90" t="str">
        <f>INDEX(TextData!B:B,MATCH(B90,TextData!A:A))</f>
        <v>ルージュバック</v>
      </c>
      <c r="D90">
        <v>6</v>
      </c>
      <c r="E90" t="str">
        <f>INDEX(Define!X:X,MATCH(D90,Define!W:W))</f>
        <v>自己強化</v>
      </c>
      <c r="F90">
        <v>3005</v>
      </c>
      <c r="G90" t="str">
        <f>INDEX([1]Animations!B:B,MATCH(F90,[1]Animations!A:A))</f>
        <v>Genfulew_Effect/B&amp;S_MinMax_AttackUp</v>
      </c>
      <c r="H90">
        <v>1</v>
      </c>
      <c r="I90" t="str">
        <f>INDEX(Define!B:B,MATCH(H90,Define!A:A))</f>
        <v>単体</v>
      </c>
      <c r="J90">
        <v>0</v>
      </c>
      <c r="K90">
        <v>0</v>
      </c>
      <c r="L90">
        <v>20</v>
      </c>
      <c r="M90">
        <v>1</v>
      </c>
      <c r="N90" t="str">
        <f>INDEX(Define!E:E,MATCH(M90,Define!D:D))</f>
        <v>炎</v>
      </c>
      <c r="O90">
        <v>2</v>
      </c>
      <c r="P90" t="str">
        <f>INDEX(Define!H:H,MATCH(O90,Define!G:G))</f>
        <v>パッシブ</v>
      </c>
      <c r="Q90">
        <v>4</v>
      </c>
      <c r="R90" t="str">
        <f>INDEX(Define!K:K,MATCH(Q90,Define!J:J))</f>
        <v>自身</v>
      </c>
      <c r="S90">
        <v>4</v>
      </c>
      <c r="T90" t="str">
        <f>INDEX(Define!N:N,MATCH(S90,Define!M:M))</f>
        <v>自身</v>
      </c>
      <c r="U90">
        <v>1</v>
      </c>
      <c r="V90">
        <v>1</v>
      </c>
      <c r="W90">
        <v>1</v>
      </c>
      <c r="X90">
        <v>0</v>
      </c>
    </row>
    <row r="91" spans="1:24">
      <c r="A91">
        <v>11090</v>
      </c>
      <c r="B91">
        <v>11090</v>
      </c>
      <c r="C91" t="str">
        <f>INDEX(TextData!B:B,MATCH(B91,TextData!A:A))</f>
        <v>スレイプニル</v>
      </c>
      <c r="D91">
        <v>6</v>
      </c>
      <c r="E91" t="str">
        <f>INDEX(Define!X:X,MATCH(D91,Define!W:W))</f>
        <v>自己強化</v>
      </c>
      <c r="F91">
        <v>3005</v>
      </c>
      <c r="G91" t="str">
        <f>INDEX([1]Animations!B:B,MATCH(F91,[1]Animations!A:A))</f>
        <v>Genfulew_Effect/B&amp;S_MinMax_AttackUp</v>
      </c>
      <c r="H91">
        <v>1</v>
      </c>
      <c r="I91" t="str">
        <f>INDEX(Define!B:B,MATCH(H91,Define!A:A))</f>
        <v>単体</v>
      </c>
      <c r="J91">
        <v>0</v>
      </c>
      <c r="K91">
        <v>3</v>
      </c>
      <c r="L91">
        <v>20</v>
      </c>
      <c r="M91">
        <v>1</v>
      </c>
      <c r="N91" t="str">
        <f>INDEX(Define!E:E,MATCH(M91,Define!D:D))</f>
        <v>炎</v>
      </c>
      <c r="O91">
        <v>2</v>
      </c>
      <c r="P91" t="str">
        <f>INDEX(Define!H:H,MATCH(O91,Define!G:G))</f>
        <v>パッシブ</v>
      </c>
      <c r="Q91">
        <v>4</v>
      </c>
      <c r="R91" t="str">
        <f>INDEX(Define!K:K,MATCH(Q91,Define!J:J))</f>
        <v>自身</v>
      </c>
      <c r="S91">
        <v>4</v>
      </c>
      <c r="T91" t="str">
        <f>INDEX(Define!N:N,MATCH(S91,Define!M:M))</f>
        <v>自身</v>
      </c>
      <c r="U91">
        <v>1</v>
      </c>
      <c r="V91">
        <v>1</v>
      </c>
      <c r="W91">
        <v>1</v>
      </c>
      <c r="X91">
        <v>0</v>
      </c>
    </row>
    <row r="92" spans="1:24">
      <c r="A92">
        <v>11100</v>
      </c>
      <c r="B92">
        <v>11100</v>
      </c>
      <c r="C92" t="str">
        <f>INDEX(TextData!B:B,MATCH(B92,TextData!A:A))</f>
        <v>レストア</v>
      </c>
      <c r="D92">
        <v>6</v>
      </c>
      <c r="E92" t="str">
        <f>INDEX(Define!X:X,MATCH(D92,Define!W:W))</f>
        <v>自己強化</v>
      </c>
      <c r="F92">
        <v>1109</v>
      </c>
      <c r="G92" t="str">
        <f>INDEX([1]Animations!B:B,MATCH(F92,[1]Animations!A:A))</f>
        <v>MakerEffect/Flash</v>
      </c>
      <c r="H92">
        <v>1</v>
      </c>
      <c r="I92" t="str">
        <f>INDEX(Define!B:B,MATCH(H92,Define!A:A))</f>
        <v>単体</v>
      </c>
      <c r="J92">
        <v>0</v>
      </c>
      <c r="K92">
        <v>3</v>
      </c>
      <c r="L92">
        <v>20</v>
      </c>
      <c r="M92">
        <v>1</v>
      </c>
      <c r="N92" t="str">
        <f>INDEX(Define!E:E,MATCH(M92,Define!D:D))</f>
        <v>炎</v>
      </c>
      <c r="O92">
        <v>2</v>
      </c>
      <c r="P92" t="str">
        <f>INDEX(Define!H:H,MATCH(O92,Define!G:G))</f>
        <v>パッシブ</v>
      </c>
      <c r="Q92">
        <v>11</v>
      </c>
      <c r="R92" t="str">
        <f>INDEX(Define!K:K,MATCH(Q92,Define!J:J))</f>
        <v>Triggerの条件を満たす</v>
      </c>
      <c r="S92">
        <v>1</v>
      </c>
      <c r="T92" t="str">
        <f>INDEX(Define!N:N,MATCH(S92,Define!M:M))</f>
        <v>単体</v>
      </c>
      <c r="U92">
        <v>1</v>
      </c>
      <c r="V92">
        <v>1</v>
      </c>
      <c r="W92">
        <v>1</v>
      </c>
      <c r="X92">
        <v>0</v>
      </c>
    </row>
    <row r="93" spans="1:24">
      <c r="A93">
        <v>11110</v>
      </c>
      <c r="B93">
        <v>11110</v>
      </c>
      <c r="C93" t="str">
        <f>INDEX(TextData!B:B,MATCH(B93,TextData!A:A))</f>
        <v>レイジカウンター</v>
      </c>
      <c r="D93">
        <v>6</v>
      </c>
      <c r="E93" t="str">
        <f>INDEX(Define!X:X,MATCH(D93,Define!W:W))</f>
        <v>自己強化</v>
      </c>
      <c r="F93">
        <v>3005</v>
      </c>
      <c r="G93" t="str">
        <f>INDEX([1]Animations!B:B,MATCH(F93,[1]Animations!A:A))</f>
        <v>Genfulew_Effect/B&amp;S_MinMax_AttackUp</v>
      </c>
      <c r="H93">
        <v>1</v>
      </c>
      <c r="I93" t="str">
        <f>INDEX(Define!B:B,MATCH(H93,Define!A:A))</f>
        <v>単体</v>
      </c>
      <c r="J93">
        <v>0</v>
      </c>
      <c r="K93">
        <v>3</v>
      </c>
      <c r="L93">
        <v>30</v>
      </c>
      <c r="M93">
        <v>1</v>
      </c>
      <c r="N93" t="str">
        <f>INDEX(Define!E:E,MATCH(M93,Define!D:D))</f>
        <v>炎</v>
      </c>
      <c r="O93">
        <v>2</v>
      </c>
      <c r="P93" t="str">
        <f>INDEX(Define!H:H,MATCH(O93,Define!G:G))</f>
        <v>パッシブ</v>
      </c>
      <c r="Q93">
        <v>6</v>
      </c>
      <c r="R93" t="str">
        <f>INDEX(Define!K:K,MATCH(Q93,Define!J:J))</f>
        <v>反撃</v>
      </c>
      <c r="S93">
        <v>1</v>
      </c>
      <c r="T93" t="str">
        <f>INDEX(Define!N:N,MATCH(S93,Define!M:M))</f>
        <v>単体</v>
      </c>
      <c r="U93">
        <v>1</v>
      </c>
      <c r="V93">
        <v>1</v>
      </c>
      <c r="W93">
        <v>1</v>
      </c>
      <c r="X93">
        <v>0</v>
      </c>
    </row>
    <row r="94" spans="1:24">
      <c r="A94">
        <v>11120</v>
      </c>
      <c r="B94">
        <v>11120</v>
      </c>
      <c r="C94" t="str">
        <f>INDEX(TextData!B:B,MATCH(B94,TextData!A:A))</f>
        <v>パワーエール</v>
      </c>
      <c r="D94">
        <v>6</v>
      </c>
      <c r="E94" t="str">
        <f>INDEX(Define!X:X,MATCH(D94,Define!W:W))</f>
        <v>自己強化</v>
      </c>
      <c r="F94">
        <v>3005</v>
      </c>
      <c r="G94" t="str">
        <f>INDEX([1]Animations!B:B,MATCH(F94,[1]Animations!A:A))</f>
        <v>Genfulew_Effect/B&amp;S_MinMax_AttackUp</v>
      </c>
      <c r="H94">
        <v>1</v>
      </c>
      <c r="I94" t="str">
        <f>INDEX(Define!B:B,MATCH(H94,Define!A:A))</f>
        <v>単体</v>
      </c>
      <c r="J94">
        <v>0</v>
      </c>
      <c r="K94">
        <v>3</v>
      </c>
      <c r="L94">
        <v>30</v>
      </c>
      <c r="M94">
        <v>1</v>
      </c>
      <c r="N94" t="str">
        <f>INDEX(Define!E:E,MATCH(M94,Define!D:D))</f>
        <v>炎</v>
      </c>
      <c r="O94">
        <v>2</v>
      </c>
      <c r="P94" t="str">
        <f>INDEX(Define!H:H,MATCH(O94,Define!G:G))</f>
        <v>パッシブ</v>
      </c>
      <c r="Q94">
        <v>11</v>
      </c>
      <c r="R94" t="str">
        <f>INDEX(Define!K:K,MATCH(Q94,Define!J:J))</f>
        <v>Triggerの条件を満たす</v>
      </c>
      <c r="S94">
        <v>1</v>
      </c>
      <c r="T94" t="str">
        <f>INDEX(Define!N:N,MATCH(S94,Define!M:M))</f>
        <v>単体</v>
      </c>
      <c r="U94">
        <v>1</v>
      </c>
      <c r="V94">
        <v>1</v>
      </c>
      <c r="W94">
        <v>1</v>
      </c>
      <c r="X94">
        <v>1</v>
      </c>
    </row>
    <row r="95" spans="1:24">
      <c r="A95">
        <v>11130</v>
      </c>
      <c r="B95">
        <v>11130</v>
      </c>
      <c r="C95" t="str">
        <f>INDEX(TextData!B:B,MATCH(B95,TextData!A:A))</f>
        <v>ワイドカウンター</v>
      </c>
      <c r="D95">
        <v>6</v>
      </c>
      <c r="E95" t="str">
        <f>INDEX(Define!X:X,MATCH(D95,Define!W:W))</f>
        <v>自己強化</v>
      </c>
      <c r="F95">
        <v>1109</v>
      </c>
      <c r="G95" t="str">
        <f>INDEX([1]Animations!B:B,MATCH(F95,[1]Animations!A:A))</f>
        <v>MakerEffect/Flash</v>
      </c>
      <c r="H95">
        <v>1</v>
      </c>
      <c r="I95" t="str">
        <f>INDEX(Define!B:B,MATCH(H95,Define!A:A))</f>
        <v>単体</v>
      </c>
      <c r="J95">
        <v>0</v>
      </c>
      <c r="K95">
        <v>3</v>
      </c>
      <c r="L95">
        <v>30</v>
      </c>
      <c r="M95">
        <v>1</v>
      </c>
      <c r="N95" t="str">
        <f>INDEX(Define!E:E,MATCH(M95,Define!D:D))</f>
        <v>炎</v>
      </c>
      <c r="O95">
        <v>2</v>
      </c>
      <c r="P95" t="str">
        <f>INDEX(Define!H:H,MATCH(O95,Define!G:G))</f>
        <v>パッシブ</v>
      </c>
      <c r="Q95">
        <v>6</v>
      </c>
      <c r="R95" t="str">
        <f>INDEX(Define!K:K,MATCH(Q95,Define!J:J))</f>
        <v>反撃</v>
      </c>
      <c r="S95">
        <v>2</v>
      </c>
      <c r="T95" t="str">
        <f>INDEX(Define!N:N,MATCH(S95,Define!M:M))</f>
        <v>列</v>
      </c>
      <c r="U95">
        <v>1</v>
      </c>
      <c r="V95">
        <v>1</v>
      </c>
      <c r="W95">
        <v>1</v>
      </c>
      <c r="X95">
        <v>0</v>
      </c>
    </row>
    <row r="96" spans="1:24">
      <c r="A96">
        <v>11140</v>
      </c>
      <c r="B96">
        <v>11140</v>
      </c>
      <c r="C96" t="str">
        <f>INDEX(TextData!B:B,MATCH(B96,TextData!A:A))</f>
        <v>ライジングファイア</v>
      </c>
      <c r="D96">
        <v>6</v>
      </c>
      <c r="E96" t="str">
        <f>INDEX(Define!X:X,MATCH(D96,Define!W:W))</f>
        <v>自己強化</v>
      </c>
      <c r="F96">
        <v>1109</v>
      </c>
      <c r="G96" t="str">
        <f>INDEX([1]Animations!B:B,MATCH(F96,[1]Animations!A:A))</f>
        <v>MakerEffect/Flash</v>
      </c>
      <c r="H96">
        <v>1</v>
      </c>
      <c r="I96" t="str">
        <f>INDEX(Define!B:B,MATCH(H96,Define!A:A))</f>
        <v>単体</v>
      </c>
      <c r="J96">
        <v>0</v>
      </c>
      <c r="K96">
        <v>0</v>
      </c>
      <c r="L96">
        <v>30</v>
      </c>
      <c r="M96">
        <v>1</v>
      </c>
      <c r="N96" t="str">
        <f>INDEX(Define!E:E,MATCH(M96,Define!D:D))</f>
        <v>炎</v>
      </c>
      <c r="O96">
        <v>2</v>
      </c>
      <c r="P96" t="str">
        <f>INDEX(Define!H:H,MATCH(O96,Define!G:G))</f>
        <v>パッシブ</v>
      </c>
      <c r="Q96">
        <v>4</v>
      </c>
      <c r="R96" t="str">
        <f>INDEX(Define!K:K,MATCH(Q96,Define!J:J))</f>
        <v>自身</v>
      </c>
      <c r="S96">
        <v>4</v>
      </c>
      <c r="T96" t="str">
        <f>INDEX(Define!N:N,MATCH(S96,Define!M:M))</f>
        <v>自身</v>
      </c>
      <c r="U96">
        <v>1</v>
      </c>
      <c r="V96">
        <v>1</v>
      </c>
      <c r="W96">
        <v>1</v>
      </c>
      <c r="X96">
        <v>0</v>
      </c>
    </row>
    <row r="97" spans="1:24">
      <c r="A97">
        <v>11920</v>
      </c>
      <c r="B97">
        <v>11920</v>
      </c>
      <c r="C97" t="str">
        <f>INDEX(TextData!B:B,MATCH(B97,TextData!A:A))</f>
        <v>プリディカメント</v>
      </c>
      <c r="D97">
        <v>6</v>
      </c>
      <c r="E97" t="str">
        <f>INDEX(Define!X:X,MATCH(D97,Define!W:W))</f>
        <v>自己強化</v>
      </c>
      <c r="F97">
        <v>3005</v>
      </c>
      <c r="G97" t="str">
        <f>INDEX([1]Animations!B:B,MATCH(F97,[1]Animations!A:A))</f>
        <v>Genfulew_Effect/B&amp;S_MinMax_AttackUp</v>
      </c>
      <c r="H97">
        <v>1</v>
      </c>
      <c r="I97" t="str">
        <f>INDEX(Define!B:B,MATCH(H97,Define!A:A))</f>
        <v>単体</v>
      </c>
      <c r="J97">
        <v>0</v>
      </c>
      <c r="K97">
        <v>0</v>
      </c>
      <c r="L97">
        <v>30</v>
      </c>
      <c r="M97">
        <v>1</v>
      </c>
      <c r="N97" t="str">
        <f>INDEX(Define!E:E,MATCH(M97,Define!D:D))</f>
        <v>炎</v>
      </c>
      <c r="O97">
        <v>2</v>
      </c>
      <c r="P97" t="str">
        <f>INDEX(Define!H:H,MATCH(O97,Define!G:G))</f>
        <v>パッシブ</v>
      </c>
      <c r="Q97">
        <v>4</v>
      </c>
      <c r="R97" t="str">
        <f>INDEX(Define!K:K,MATCH(Q97,Define!J:J))</f>
        <v>自身</v>
      </c>
      <c r="S97">
        <v>4</v>
      </c>
      <c r="T97" t="str">
        <f>INDEX(Define!N:N,MATCH(S97,Define!M:M))</f>
        <v>自身</v>
      </c>
      <c r="U97">
        <v>1</v>
      </c>
      <c r="V97">
        <v>1</v>
      </c>
      <c r="W97">
        <v>1</v>
      </c>
      <c r="X97">
        <v>0</v>
      </c>
    </row>
    <row r="98" spans="1:24">
      <c r="A98">
        <v>11930</v>
      </c>
      <c r="B98">
        <v>11930</v>
      </c>
      <c r="C98" t="str">
        <f>INDEX(TextData!B:B,MATCH(B98,TextData!A:A))</f>
        <v>アサルトシフト</v>
      </c>
      <c r="D98">
        <v>6</v>
      </c>
      <c r="E98" t="str">
        <f>INDEX(Define!X:X,MATCH(D98,Define!W:W))</f>
        <v>自己強化</v>
      </c>
      <c r="F98">
        <v>3005</v>
      </c>
      <c r="G98" t="str">
        <f>INDEX([1]Animations!B:B,MATCH(F98,[1]Animations!A:A))</f>
        <v>Genfulew_Effect/B&amp;S_MinMax_AttackUp</v>
      </c>
      <c r="H98">
        <v>1</v>
      </c>
      <c r="I98" t="str">
        <f>INDEX(Define!B:B,MATCH(H98,Define!A:A))</f>
        <v>単体</v>
      </c>
      <c r="J98">
        <v>0</v>
      </c>
      <c r="K98">
        <v>0</v>
      </c>
      <c r="L98">
        <v>30</v>
      </c>
      <c r="M98">
        <v>1</v>
      </c>
      <c r="N98" t="str">
        <f>INDEX(Define!E:E,MATCH(M98,Define!D:D))</f>
        <v>炎</v>
      </c>
      <c r="O98">
        <v>2</v>
      </c>
      <c r="P98" t="str">
        <f>INDEX(Define!H:H,MATCH(O98,Define!G:G))</f>
        <v>パッシブ</v>
      </c>
      <c r="Q98">
        <v>4</v>
      </c>
      <c r="R98" t="str">
        <f>INDEX(Define!K:K,MATCH(Q98,Define!J:J))</f>
        <v>自身</v>
      </c>
      <c r="S98">
        <v>4</v>
      </c>
      <c r="T98" t="str">
        <f>INDEX(Define!N:N,MATCH(S98,Define!M:M))</f>
        <v>自身</v>
      </c>
      <c r="U98">
        <v>1</v>
      </c>
      <c r="V98">
        <v>1</v>
      </c>
      <c r="W98">
        <v>1</v>
      </c>
      <c r="X98">
        <v>0</v>
      </c>
    </row>
    <row r="99" spans="1:24">
      <c r="A99">
        <v>11940</v>
      </c>
      <c r="B99">
        <v>11940</v>
      </c>
      <c r="C99" t="str">
        <f>INDEX(TextData!B:B,MATCH(B99,TextData!A:A))</f>
        <v>アクティブギフト</v>
      </c>
      <c r="D99">
        <v>6</v>
      </c>
      <c r="E99" t="str">
        <f>INDEX(Define!X:X,MATCH(D99,Define!W:W))</f>
        <v>自己強化</v>
      </c>
      <c r="F99">
        <v>1109</v>
      </c>
      <c r="G99" t="str">
        <f>INDEX([1]Animations!B:B,MATCH(F99,[1]Animations!A:A))</f>
        <v>MakerEffect/Flash</v>
      </c>
      <c r="H99">
        <v>1</v>
      </c>
      <c r="I99" t="str">
        <f>INDEX(Define!B:B,MATCH(H99,Define!A:A))</f>
        <v>単体</v>
      </c>
      <c r="J99">
        <v>0</v>
      </c>
      <c r="K99">
        <v>4</v>
      </c>
      <c r="L99">
        <v>30</v>
      </c>
      <c r="M99">
        <v>1</v>
      </c>
      <c r="N99" t="str">
        <f>INDEX(Define!E:E,MATCH(M99,Define!D:D))</f>
        <v>炎</v>
      </c>
      <c r="O99">
        <v>2</v>
      </c>
      <c r="P99" t="str">
        <f>INDEX(Define!H:H,MATCH(O99,Define!G:G))</f>
        <v>パッシブ</v>
      </c>
      <c r="Q99">
        <v>11</v>
      </c>
      <c r="R99" t="str">
        <f>INDEX(Define!K:K,MATCH(Q99,Define!J:J))</f>
        <v>Triggerの条件を満たす</v>
      </c>
      <c r="S99">
        <v>1</v>
      </c>
      <c r="T99" t="str">
        <f>INDEX(Define!N:N,MATCH(S99,Define!M:M))</f>
        <v>単体</v>
      </c>
      <c r="U99">
        <v>1</v>
      </c>
      <c r="V99">
        <v>1</v>
      </c>
      <c r="W99">
        <v>1</v>
      </c>
      <c r="X99">
        <v>1</v>
      </c>
    </row>
    <row r="100" spans="1:24">
      <c r="A100">
        <v>11950</v>
      </c>
      <c r="B100">
        <v>11950</v>
      </c>
      <c r="C100" t="str">
        <f>INDEX(TextData!B:B,MATCH(B100,TextData!A:A))</f>
        <v>イグナイテッド</v>
      </c>
      <c r="D100">
        <v>6</v>
      </c>
      <c r="E100" t="str">
        <f>INDEX(Define!X:X,MATCH(D100,Define!W:W))</f>
        <v>自己強化</v>
      </c>
      <c r="F100">
        <v>1109</v>
      </c>
      <c r="G100" t="str">
        <f>INDEX([1]Animations!B:B,MATCH(F100,[1]Animations!A:A))</f>
        <v>MakerEffect/Flash</v>
      </c>
      <c r="H100">
        <v>1</v>
      </c>
      <c r="I100" t="str">
        <f>INDEX(Define!B:B,MATCH(H100,Define!A:A))</f>
        <v>単体</v>
      </c>
      <c r="J100">
        <v>0</v>
      </c>
      <c r="K100">
        <v>0</v>
      </c>
      <c r="L100">
        <v>20</v>
      </c>
      <c r="M100">
        <v>1</v>
      </c>
      <c r="N100" t="str">
        <f>INDEX(Define!E:E,MATCH(M100,Define!D:D))</f>
        <v>炎</v>
      </c>
      <c r="O100">
        <v>2</v>
      </c>
      <c r="P100" t="str">
        <f>INDEX(Define!H:H,MATCH(O100,Define!G:G))</f>
        <v>パッシブ</v>
      </c>
      <c r="Q100">
        <v>4</v>
      </c>
      <c r="R100" t="str">
        <f>INDEX(Define!K:K,MATCH(Q100,Define!J:J))</f>
        <v>自身</v>
      </c>
      <c r="S100">
        <v>4</v>
      </c>
      <c r="T100" t="str">
        <f>INDEX(Define!N:N,MATCH(S100,Define!M:M))</f>
        <v>自身</v>
      </c>
      <c r="U100">
        <v>1</v>
      </c>
      <c r="V100">
        <v>1</v>
      </c>
      <c r="W100">
        <v>1</v>
      </c>
      <c r="X100">
        <v>0</v>
      </c>
    </row>
    <row r="101" spans="1:24">
      <c r="A101">
        <v>12010</v>
      </c>
      <c r="B101">
        <v>12010</v>
      </c>
      <c r="C101" t="str">
        <f>INDEX(TextData!B:B,MATCH(B101,TextData!A:A))</f>
        <v>クロースエッジ</v>
      </c>
      <c r="D101">
        <v>6</v>
      </c>
      <c r="E101" t="str">
        <f>INDEX(Define!X:X,MATCH(D101,Define!W:W))</f>
        <v>自己強化</v>
      </c>
      <c r="F101">
        <v>1109</v>
      </c>
      <c r="G101" t="str">
        <f>INDEX([1]Animations!B:B,MATCH(F101,[1]Animations!A:A))</f>
        <v>MakerEffect/Flash</v>
      </c>
      <c r="H101">
        <v>1</v>
      </c>
      <c r="I101" t="str">
        <f>INDEX(Define!B:B,MATCH(H101,Define!A:A))</f>
        <v>単体</v>
      </c>
      <c r="J101">
        <v>0</v>
      </c>
      <c r="K101">
        <v>3</v>
      </c>
      <c r="L101">
        <v>20</v>
      </c>
      <c r="M101">
        <v>2</v>
      </c>
      <c r="N101" t="str">
        <f>INDEX(Define!E:E,MATCH(M101,Define!D:D))</f>
        <v>雷</v>
      </c>
      <c r="O101">
        <v>2</v>
      </c>
      <c r="P101" t="str">
        <f>INDEX(Define!H:H,MATCH(O101,Define!G:G))</f>
        <v>パッシブ</v>
      </c>
      <c r="Q101">
        <v>2</v>
      </c>
      <c r="R101" t="str">
        <f>INDEX(Define!K:K,MATCH(Q101,Define!J:J))</f>
        <v>味方</v>
      </c>
      <c r="S101">
        <v>11</v>
      </c>
      <c r="T101" t="str">
        <f>INDEX(Define!N:N,MATCH(S101,Define!M:M))</f>
        <v>単体・自身を除く</v>
      </c>
      <c r="U101">
        <v>1</v>
      </c>
      <c r="V101">
        <v>1</v>
      </c>
      <c r="W101">
        <v>1</v>
      </c>
      <c r="X101">
        <v>0</v>
      </c>
    </row>
    <row r="102" spans="1:24">
      <c r="A102">
        <v>12011</v>
      </c>
      <c r="B102">
        <v>12010</v>
      </c>
      <c r="C102" t="str">
        <f>INDEX(TextData!B:B,MATCH(B102,TextData!A:A))</f>
        <v>クロースエッジ</v>
      </c>
      <c r="D102">
        <v>6</v>
      </c>
      <c r="E102" t="str">
        <f>INDEX(Define!X:X,MATCH(D102,Define!W:W))</f>
        <v>自己強化</v>
      </c>
      <c r="F102">
        <v>803</v>
      </c>
      <c r="G102" t="str">
        <f>INDEX([1]Animations!B:B,MATCH(F102,[1]Animations!A:A))</f>
        <v>MakerEffect/Powerup3</v>
      </c>
      <c r="H102">
        <v>1</v>
      </c>
      <c r="I102" t="str">
        <f>INDEX(Define!B:B,MATCH(H102,Define!A:A))</f>
        <v>単体</v>
      </c>
      <c r="J102">
        <v>0</v>
      </c>
      <c r="K102">
        <v>3</v>
      </c>
      <c r="L102">
        <v>0</v>
      </c>
      <c r="M102">
        <v>2</v>
      </c>
      <c r="N102" t="str">
        <f>INDEX(Define!E:E,MATCH(M102,Define!D:D))</f>
        <v>雷</v>
      </c>
      <c r="O102">
        <v>2</v>
      </c>
      <c r="P102" t="str">
        <f>INDEX(Define!H:H,MATCH(O102,Define!G:G))</f>
        <v>パッシブ</v>
      </c>
      <c r="Q102">
        <v>4</v>
      </c>
      <c r="R102" t="str">
        <f>INDEX(Define!K:K,MATCH(Q102,Define!J:J))</f>
        <v>自身</v>
      </c>
      <c r="S102">
        <v>4</v>
      </c>
      <c r="T102" t="str">
        <f>INDEX(Define!N:N,MATCH(S102,Define!M:M))</f>
        <v>自身</v>
      </c>
      <c r="U102">
        <v>1</v>
      </c>
      <c r="V102">
        <v>1</v>
      </c>
      <c r="W102">
        <v>1</v>
      </c>
      <c r="X102">
        <v>0</v>
      </c>
    </row>
    <row r="103" spans="1:24">
      <c r="A103">
        <v>12020</v>
      </c>
      <c r="B103">
        <v>12020</v>
      </c>
      <c r="C103" t="str">
        <f>INDEX(TextData!B:B,MATCH(B103,TextData!A:A))</f>
        <v>ファストファクション</v>
      </c>
      <c r="D103">
        <v>6</v>
      </c>
      <c r="E103" t="str">
        <f>INDEX(Define!X:X,MATCH(D103,Define!W:W))</f>
        <v>自己強化</v>
      </c>
      <c r="F103">
        <v>1501</v>
      </c>
      <c r="G103" t="str">
        <f>INDEX([1]Animations!B:B,MATCH(F103,[1]Animations!A:A))</f>
        <v>MakerEffect/BallsOfLight</v>
      </c>
      <c r="H103">
        <v>1</v>
      </c>
      <c r="I103" t="str">
        <f>INDEX(Define!B:B,MATCH(H103,Define!A:A))</f>
        <v>単体</v>
      </c>
      <c r="J103">
        <v>0</v>
      </c>
      <c r="K103">
        <v>0</v>
      </c>
      <c r="L103">
        <v>20</v>
      </c>
      <c r="M103">
        <v>2</v>
      </c>
      <c r="N103" t="str">
        <f>INDEX(Define!E:E,MATCH(M103,Define!D:D))</f>
        <v>雷</v>
      </c>
      <c r="O103">
        <v>2</v>
      </c>
      <c r="P103" t="str">
        <f>INDEX(Define!H:H,MATCH(O103,Define!G:G))</f>
        <v>パッシブ</v>
      </c>
      <c r="Q103">
        <v>4</v>
      </c>
      <c r="R103" t="str">
        <f>INDEX(Define!K:K,MATCH(Q103,Define!J:J))</f>
        <v>自身</v>
      </c>
      <c r="S103">
        <v>4</v>
      </c>
      <c r="T103" t="str">
        <f>INDEX(Define!N:N,MATCH(S103,Define!M:M))</f>
        <v>自身</v>
      </c>
      <c r="U103">
        <v>1</v>
      </c>
      <c r="V103">
        <v>1</v>
      </c>
      <c r="W103">
        <v>1</v>
      </c>
      <c r="X103">
        <v>0</v>
      </c>
    </row>
    <row r="104" spans="1:24">
      <c r="A104">
        <v>12030</v>
      </c>
      <c r="B104">
        <v>12030</v>
      </c>
      <c r="C104" t="str">
        <f>INDEX(TextData!B:B,MATCH(B104,TextData!A:A))</f>
        <v>クイックムーブ</v>
      </c>
      <c r="D104">
        <v>6</v>
      </c>
      <c r="E104" t="str">
        <f>INDEX(Define!X:X,MATCH(D104,Define!W:W))</f>
        <v>自己強化</v>
      </c>
      <c r="F104">
        <v>1501</v>
      </c>
      <c r="G104" t="str">
        <f>INDEX([1]Animations!B:B,MATCH(F104,[1]Animations!A:A))</f>
        <v>MakerEffect/BallsOfLight</v>
      </c>
      <c r="H104">
        <v>1</v>
      </c>
      <c r="I104" t="str">
        <f>INDEX(Define!B:B,MATCH(H104,Define!A:A))</f>
        <v>単体</v>
      </c>
      <c r="J104">
        <v>0</v>
      </c>
      <c r="K104">
        <v>0</v>
      </c>
      <c r="L104">
        <v>20</v>
      </c>
      <c r="M104">
        <v>2</v>
      </c>
      <c r="N104" t="str">
        <f>INDEX(Define!E:E,MATCH(M104,Define!D:D))</f>
        <v>雷</v>
      </c>
      <c r="O104">
        <v>2</v>
      </c>
      <c r="P104" t="str">
        <f>INDEX(Define!H:H,MATCH(O104,Define!G:G))</f>
        <v>パッシブ</v>
      </c>
      <c r="Q104">
        <v>2</v>
      </c>
      <c r="R104" t="str">
        <f>INDEX(Define!K:K,MATCH(Q104,Define!J:J))</f>
        <v>味方</v>
      </c>
      <c r="S104">
        <v>11</v>
      </c>
      <c r="T104" t="str">
        <f>INDEX(Define!N:N,MATCH(S104,Define!M:M))</f>
        <v>単体・自身を除く</v>
      </c>
      <c r="U104">
        <v>1</v>
      </c>
      <c r="V104">
        <v>1</v>
      </c>
      <c r="W104">
        <v>1</v>
      </c>
      <c r="X104">
        <v>0</v>
      </c>
    </row>
    <row r="105" spans="1:24">
      <c r="A105">
        <v>12040</v>
      </c>
      <c r="B105">
        <v>12040</v>
      </c>
      <c r="C105" t="str">
        <f>INDEX(TextData!B:B,MATCH(B105,TextData!A:A))</f>
        <v>ヘブンリーラック</v>
      </c>
      <c r="D105">
        <v>6</v>
      </c>
      <c r="E105" t="str">
        <f>INDEX(Define!X:X,MATCH(D105,Define!W:W))</f>
        <v>自己強化</v>
      </c>
      <c r="F105">
        <v>1501</v>
      </c>
      <c r="G105" t="str">
        <f>INDEX([1]Animations!B:B,MATCH(F105,[1]Animations!A:A))</f>
        <v>MakerEffect/BallsOfLight</v>
      </c>
      <c r="H105">
        <v>1</v>
      </c>
      <c r="I105" t="str">
        <f>INDEX(Define!B:B,MATCH(H105,Define!A:A))</f>
        <v>単体</v>
      </c>
      <c r="J105">
        <v>0</v>
      </c>
      <c r="K105">
        <v>0</v>
      </c>
      <c r="L105">
        <v>20</v>
      </c>
      <c r="M105">
        <v>2</v>
      </c>
      <c r="N105" t="str">
        <f>INDEX(Define!E:E,MATCH(M105,Define!D:D))</f>
        <v>雷</v>
      </c>
      <c r="O105">
        <v>2</v>
      </c>
      <c r="P105" t="str">
        <f>INDEX(Define!H:H,MATCH(O105,Define!G:G))</f>
        <v>パッシブ</v>
      </c>
      <c r="Q105">
        <v>4</v>
      </c>
      <c r="R105" t="str">
        <f>INDEX(Define!K:K,MATCH(Q105,Define!J:J))</f>
        <v>自身</v>
      </c>
      <c r="S105">
        <v>4</v>
      </c>
      <c r="T105" t="str">
        <f>INDEX(Define!N:N,MATCH(S105,Define!M:M))</f>
        <v>自身</v>
      </c>
      <c r="U105">
        <v>1</v>
      </c>
      <c r="V105">
        <v>1</v>
      </c>
      <c r="W105">
        <v>1</v>
      </c>
      <c r="X105">
        <v>0</v>
      </c>
    </row>
    <row r="106" spans="1:24">
      <c r="A106">
        <v>12050</v>
      </c>
      <c r="B106">
        <v>12050</v>
      </c>
      <c r="C106" t="str">
        <f>INDEX(TextData!B:B,MATCH(B106,TextData!A:A))</f>
        <v>キュアスタン</v>
      </c>
      <c r="D106">
        <v>6</v>
      </c>
      <c r="E106" t="str">
        <f>INDEX(Define!X:X,MATCH(D106,Define!W:W))</f>
        <v>自己強化</v>
      </c>
      <c r="F106">
        <v>3023</v>
      </c>
      <c r="G106" t="str">
        <f>INDEX([1]Animations!B:B,MATCH(F106,[1]Animations!A:A))</f>
        <v>Genfulew_Effect/B&amp;S_MinMax_Cure</v>
      </c>
      <c r="H106">
        <v>1</v>
      </c>
      <c r="I106" t="str">
        <f>INDEX(Define!B:B,MATCH(H106,Define!A:A))</f>
        <v>単体</v>
      </c>
      <c r="J106">
        <v>0</v>
      </c>
      <c r="K106">
        <v>0</v>
      </c>
      <c r="L106">
        <v>20</v>
      </c>
      <c r="M106">
        <v>2</v>
      </c>
      <c r="N106" t="str">
        <f>INDEX(Define!E:E,MATCH(M106,Define!D:D))</f>
        <v>雷</v>
      </c>
      <c r="O106">
        <v>2</v>
      </c>
      <c r="P106" t="str">
        <f>INDEX(Define!H:H,MATCH(O106,Define!G:G))</f>
        <v>パッシブ</v>
      </c>
      <c r="Q106">
        <v>2</v>
      </c>
      <c r="R106" t="str">
        <f>INDEX(Define!K:K,MATCH(Q106,Define!J:J))</f>
        <v>味方</v>
      </c>
      <c r="S106">
        <v>1</v>
      </c>
      <c r="T106" t="str">
        <f>INDEX(Define!N:N,MATCH(S106,Define!M:M))</f>
        <v>単体</v>
      </c>
      <c r="U106">
        <v>1</v>
      </c>
      <c r="V106">
        <v>1</v>
      </c>
      <c r="W106">
        <v>1</v>
      </c>
      <c r="X106">
        <v>0</v>
      </c>
    </row>
    <row r="107" spans="1:24">
      <c r="A107">
        <v>12090</v>
      </c>
      <c r="B107">
        <v>12090</v>
      </c>
      <c r="C107" t="str">
        <f>INDEX(TextData!B:B,MATCH(B107,TextData!A:A))</f>
        <v>アウトオブオーダー</v>
      </c>
      <c r="D107">
        <v>6</v>
      </c>
      <c r="E107" t="str">
        <f>INDEX(Define!X:X,MATCH(D107,Define!W:W))</f>
        <v>自己強化</v>
      </c>
      <c r="F107">
        <v>1501</v>
      </c>
      <c r="G107" t="str">
        <f>INDEX([1]Animations!B:B,MATCH(F107,[1]Animations!A:A))</f>
        <v>MakerEffect/BallsOfLight</v>
      </c>
      <c r="H107">
        <v>1</v>
      </c>
      <c r="I107" t="str">
        <f>INDEX(Define!B:B,MATCH(H107,Define!A:A))</f>
        <v>単体</v>
      </c>
      <c r="J107">
        <v>0</v>
      </c>
      <c r="K107">
        <v>0</v>
      </c>
      <c r="L107">
        <v>20</v>
      </c>
      <c r="M107">
        <v>2</v>
      </c>
      <c r="N107" t="str">
        <f>INDEX(Define!E:E,MATCH(M107,Define!D:D))</f>
        <v>雷</v>
      </c>
      <c r="O107">
        <v>2</v>
      </c>
      <c r="P107" t="str">
        <f>INDEX(Define!H:H,MATCH(O107,Define!G:G))</f>
        <v>パッシブ</v>
      </c>
      <c r="Q107">
        <v>4</v>
      </c>
      <c r="R107" t="str">
        <f>INDEX(Define!K:K,MATCH(Q107,Define!J:J))</f>
        <v>自身</v>
      </c>
      <c r="S107">
        <v>2</v>
      </c>
      <c r="T107" t="str">
        <f>INDEX(Define!N:N,MATCH(S107,Define!M:M))</f>
        <v>列</v>
      </c>
      <c r="U107">
        <v>2</v>
      </c>
      <c r="V107">
        <v>1</v>
      </c>
      <c r="W107">
        <v>1</v>
      </c>
      <c r="X107">
        <v>0</v>
      </c>
    </row>
    <row r="108" spans="1:24">
      <c r="A108">
        <v>12100</v>
      </c>
      <c r="B108">
        <v>12100</v>
      </c>
      <c r="C108" t="str">
        <f>INDEX(TextData!B:B,MATCH(B108,TextData!A:A))</f>
        <v>ワンスパニッシュ</v>
      </c>
      <c r="D108">
        <v>6</v>
      </c>
      <c r="E108" t="str">
        <f>INDEX(Define!X:X,MATCH(D108,Define!W:W))</f>
        <v>自己強化</v>
      </c>
      <c r="F108">
        <v>1109</v>
      </c>
      <c r="G108" t="str">
        <f>INDEX([1]Animations!B:B,MATCH(F108,[1]Animations!A:A))</f>
        <v>MakerEffect/Flash</v>
      </c>
      <c r="H108">
        <v>1</v>
      </c>
      <c r="I108" t="str">
        <f>INDEX(Define!B:B,MATCH(H108,Define!A:A))</f>
        <v>単体</v>
      </c>
      <c r="J108">
        <v>0</v>
      </c>
      <c r="K108">
        <v>0</v>
      </c>
      <c r="L108">
        <v>20</v>
      </c>
      <c r="M108">
        <v>2</v>
      </c>
      <c r="N108" t="str">
        <f>INDEX(Define!E:E,MATCH(M108,Define!D:D))</f>
        <v>雷</v>
      </c>
      <c r="O108">
        <v>2</v>
      </c>
      <c r="P108" t="str">
        <f>INDEX(Define!H:H,MATCH(O108,Define!G:G))</f>
        <v>パッシブ</v>
      </c>
      <c r="Q108">
        <v>4</v>
      </c>
      <c r="R108" t="str">
        <f>INDEX(Define!K:K,MATCH(Q108,Define!J:J))</f>
        <v>自身</v>
      </c>
      <c r="S108">
        <v>4</v>
      </c>
      <c r="T108" t="str">
        <f>INDEX(Define!N:N,MATCH(S108,Define!M:M))</f>
        <v>自身</v>
      </c>
      <c r="U108">
        <v>1</v>
      </c>
      <c r="V108">
        <v>1</v>
      </c>
      <c r="W108">
        <v>1</v>
      </c>
      <c r="X108">
        <v>0</v>
      </c>
    </row>
    <row r="109" spans="1:24">
      <c r="A109">
        <v>12110</v>
      </c>
      <c r="B109">
        <v>12110</v>
      </c>
      <c r="C109" t="str">
        <f>INDEX(TextData!B:B,MATCH(B109,TextData!A:A))</f>
        <v>コンセントレイト</v>
      </c>
      <c r="D109">
        <v>6</v>
      </c>
      <c r="E109" t="str">
        <f>INDEX(Define!X:X,MATCH(D109,Define!W:W))</f>
        <v>自己強化</v>
      </c>
      <c r="F109">
        <v>1109</v>
      </c>
      <c r="G109" t="str">
        <f>INDEX([1]Animations!B:B,MATCH(F109,[1]Animations!A:A))</f>
        <v>MakerEffect/Flash</v>
      </c>
      <c r="H109">
        <v>1</v>
      </c>
      <c r="I109" t="str">
        <f>INDEX(Define!B:B,MATCH(H109,Define!A:A))</f>
        <v>単体</v>
      </c>
      <c r="J109">
        <v>0</v>
      </c>
      <c r="K109">
        <v>0</v>
      </c>
      <c r="L109">
        <v>30</v>
      </c>
      <c r="M109">
        <v>2</v>
      </c>
      <c r="N109" t="str">
        <f>INDEX(Define!E:E,MATCH(M109,Define!D:D))</f>
        <v>雷</v>
      </c>
      <c r="O109">
        <v>2</v>
      </c>
      <c r="P109" t="str">
        <f>INDEX(Define!H:H,MATCH(O109,Define!G:G))</f>
        <v>パッシブ</v>
      </c>
      <c r="Q109">
        <v>4</v>
      </c>
      <c r="R109" t="str">
        <f>INDEX(Define!K:K,MATCH(Q109,Define!J:J))</f>
        <v>自身</v>
      </c>
      <c r="S109">
        <v>4</v>
      </c>
      <c r="T109" t="str">
        <f>INDEX(Define!N:N,MATCH(S109,Define!M:M))</f>
        <v>自身</v>
      </c>
      <c r="U109">
        <v>1</v>
      </c>
      <c r="V109">
        <v>1</v>
      </c>
      <c r="W109">
        <v>1</v>
      </c>
      <c r="X109">
        <v>0</v>
      </c>
    </row>
    <row r="110" spans="1:24">
      <c r="A110">
        <v>12120</v>
      </c>
      <c r="B110">
        <v>12120</v>
      </c>
      <c r="C110" t="str">
        <f>INDEX(TextData!B:B,MATCH(B110,TextData!A:A))</f>
        <v>パリィ</v>
      </c>
      <c r="D110">
        <v>6</v>
      </c>
      <c r="E110" t="str">
        <f>INDEX(Define!X:X,MATCH(D110,Define!W:W))</f>
        <v>自己強化</v>
      </c>
      <c r="F110">
        <v>1109</v>
      </c>
      <c r="G110" t="str">
        <f>INDEX([1]Animations!B:B,MATCH(F110,[1]Animations!A:A))</f>
        <v>MakerEffect/Flash</v>
      </c>
      <c r="H110">
        <v>1</v>
      </c>
      <c r="I110" t="str">
        <f>INDEX(Define!B:B,MATCH(H110,Define!A:A))</f>
        <v>単体</v>
      </c>
      <c r="J110">
        <v>0</v>
      </c>
      <c r="K110">
        <v>3</v>
      </c>
      <c r="L110">
        <v>30</v>
      </c>
      <c r="M110">
        <v>2</v>
      </c>
      <c r="N110" t="str">
        <f>INDEX(Define!E:E,MATCH(M110,Define!D:D))</f>
        <v>雷</v>
      </c>
      <c r="O110">
        <v>2</v>
      </c>
      <c r="P110" t="str">
        <f>INDEX(Define!H:H,MATCH(O110,Define!G:G))</f>
        <v>パッシブ</v>
      </c>
      <c r="Q110">
        <v>4</v>
      </c>
      <c r="R110" t="str">
        <f>INDEX(Define!K:K,MATCH(Q110,Define!J:J))</f>
        <v>自身</v>
      </c>
      <c r="S110">
        <v>4</v>
      </c>
      <c r="T110" t="str">
        <f>INDEX(Define!N:N,MATCH(S110,Define!M:M))</f>
        <v>自身</v>
      </c>
      <c r="U110">
        <v>1</v>
      </c>
      <c r="V110">
        <v>1</v>
      </c>
      <c r="W110">
        <v>1</v>
      </c>
      <c r="X110">
        <v>0</v>
      </c>
    </row>
    <row r="111" spans="1:24">
      <c r="A111">
        <v>12130</v>
      </c>
      <c r="B111">
        <v>12130</v>
      </c>
      <c r="C111" t="str">
        <f>INDEX(TextData!B:B,MATCH(B111,TextData!A:A))</f>
        <v>チェイスマジック</v>
      </c>
      <c r="D111">
        <v>6</v>
      </c>
      <c r="E111" t="str">
        <f>INDEX(Define!X:X,MATCH(D111,Define!W:W))</f>
        <v>自己強化</v>
      </c>
      <c r="F111">
        <v>1109</v>
      </c>
      <c r="G111" t="str">
        <f>INDEX([1]Animations!B:B,MATCH(F111,[1]Animations!A:A))</f>
        <v>MakerEffect/Flash</v>
      </c>
      <c r="H111">
        <v>1</v>
      </c>
      <c r="I111" t="str">
        <f>INDEX(Define!B:B,MATCH(H111,Define!A:A))</f>
        <v>単体</v>
      </c>
      <c r="J111">
        <v>0</v>
      </c>
      <c r="K111">
        <v>3</v>
      </c>
      <c r="L111">
        <v>30</v>
      </c>
      <c r="M111">
        <v>2</v>
      </c>
      <c r="N111" t="str">
        <f>INDEX(Define!E:E,MATCH(M111,Define!D:D))</f>
        <v>雷</v>
      </c>
      <c r="O111">
        <v>2</v>
      </c>
      <c r="P111" t="str">
        <f>INDEX(Define!H:H,MATCH(O111,Define!G:G))</f>
        <v>パッシブ</v>
      </c>
      <c r="Q111">
        <v>7</v>
      </c>
      <c r="R111" t="str">
        <f>INDEX(Define!K:K,MATCH(Q111,Define!J:J))</f>
        <v>追撃</v>
      </c>
      <c r="S111">
        <v>1</v>
      </c>
      <c r="T111" t="str">
        <f>INDEX(Define!N:N,MATCH(S111,Define!M:M))</f>
        <v>単体</v>
      </c>
      <c r="U111">
        <v>2</v>
      </c>
      <c r="V111">
        <v>1</v>
      </c>
      <c r="W111">
        <v>1</v>
      </c>
      <c r="X111">
        <v>0</v>
      </c>
    </row>
    <row r="112" spans="1:24">
      <c r="A112">
        <v>12140</v>
      </c>
      <c r="B112">
        <v>12140</v>
      </c>
      <c r="C112" t="str">
        <f>INDEX(TextData!B:B,MATCH(B112,TextData!A:A))</f>
        <v>ウィンドライズ</v>
      </c>
      <c r="D112">
        <v>6</v>
      </c>
      <c r="E112" t="str">
        <f>INDEX(Define!X:X,MATCH(D112,Define!W:W))</f>
        <v>自己強化</v>
      </c>
      <c r="F112">
        <v>1501</v>
      </c>
      <c r="G112" t="str">
        <f>INDEX([1]Animations!B:B,MATCH(F112,[1]Animations!A:A))</f>
        <v>MakerEffect/BallsOfLight</v>
      </c>
      <c r="H112">
        <v>1</v>
      </c>
      <c r="I112" t="str">
        <f>INDEX(Define!B:B,MATCH(H112,Define!A:A))</f>
        <v>単体</v>
      </c>
      <c r="J112">
        <v>0</v>
      </c>
      <c r="K112">
        <v>0</v>
      </c>
      <c r="L112">
        <v>30</v>
      </c>
      <c r="M112">
        <v>2</v>
      </c>
      <c r="N112" t="str">
        <f>INDEX(Define!E:E,MATCH(M112,Define!D:D))</f>
        <v>雷</v>
      </c>
      <c r="O112">
        <v>2</v>
      </c>
      <c r="P112" t="str">
        <f>INDEX(Define!H:H,MATCH(O112,Define!G:G))</f>
        <v>パッシブ</v>
      </c>
      <c r="Q112">
        <v>6</v>
      </c>
      <c r="R112" t="str">
        <f>INDEX(Define!K:K,MATCH(Q112,Define!J:J))</f>
        <v>反撃</v>
      </c>
      <c r="S112">
        <v>1</v>
      </c>
      <c r="T112" t="str">
        <f>INDEX(Define!N:N,MATCH(S112,Define!M:M))</f>
        <v>単体</v>
      </c>
      <c r="U112">
        <v>2</v>
      </c>
      <c r="V112">
        <v>1</v>
      </c>
      <c r="W112">
        <v>1</v>
      </c>
      <c r="X112">
        <v>0</v>
      </c>
    </row>
    <row r="113" spans="1:24">
      <c r="A113">
        <v>12510</v>
      </c>
      <c r="B113">
        <v>12510</v>
      </c>
      <c r="C113" t="str">
        <f>INDEX(TextData!B:B,MATCH(B113,TextData!A:A))</f>
        <v>アクトスタンス</v>
      </c>
      <c r="D113">
        <v>6</v>
      </c>
      <c r="E113" t="str">
        <f>INDEX(Define!X:X,MATCH(D113,Define!W:W))</f>
        <v>自己強化</v>
      </c>
      <c r="F113">
        <v>1109</v>
      </c>
      <c r="G113" t="str">
        <f>INDEX([1]Animations!B:B,MATCH(F113,[1]Animations!A:A))</f>
        <v>MakerEffect/Flash</v>
      </c>
      <c r="H113">
        <v>1</v>
      </c>
      <c r="I113" t="str">
        <f>INDEX(Define!B:B,MATCH(H113,Define!A:A))</f>
        <v>単体</v>
      </c>
      <c r="J113">
        <v>0</v>
      </c>
      <c r="K113">
        <v>0</v>
      </c>
      <c r="L113">
        <v>30</v>
      </c>
      <c r="M113">
        <v>2</v>
      </c>
      <c r="N113" t="str">
        <f>INDEX(Define!E:E,MATCH(M113,Define!D:D))</f>
        <v>雷</v>
      </c>
      <c r="O113">
        <v>2</v>
      </c>
      <c r="P113" t="str">
        <f>INDEX(Define!H:H,MATCH(O113,Define!G:G))</f>
        <v>パッシブ</v>
      </c>
      <c r="Q113">
        <v>4</v>
      </c>
      <c r="R113" t="str">
        <f>INDEX(Define!K:K,MATCH(Q113,Define!J:J))</f>
        <v>自身</v>
      </c>
      <c r="S113">
        <v>4</v>
      </c>
      <c r="T113" t="str">
        <f>INDEX(Define!N:N,MATCH(S113,Define!M:M))</f>
        <v>自身</v>
      </c>
      <c r="U113">
        <v>1</v>
      </c>
      <c r="V113">
        <v>1</v>
      </c>
      <c r="W113">
        <v>1</v>
      </c>
      <c r="X113">
        <v>0</v>
      </c>
    </row>
    <row r="114" spans="1:24">
      <c r="A114">
        <v>12910</v>
      </c>
      <c r="B114">
        <v>12910</v>
      </c>
      <c r="C114" t="str">
        <f>INDEX(TextData!B:B,MATCH(B114,TextData!A:A))</f>
        <v>コンセントレイト</v>
      </c>
      <c r="D114">
        <v>6</v>
      </c>
      <c r="E114" t="str">
        <f>INDEX(Define!X:X,MATCH(D114,Define!W:W))</f>
        <v>自己強化</v>
      </c>
      <c r="F114">
        <v>1501</v>
      </c>
      <c r="G114" t="str">
        <f>INDEX([1]Animations!B:B,MATCH(F114,[1]Animations!A:A))</f>
        <v>MakerEffect/BallsOfLight</v>
      </c>
      <c r="H114">
        <v>1</v>
      </c>
      <c r="I114" t="str">
        <f>INDEX(Define!B:B,MATCH(H114,Define!A:A))</f>
        <v>単体</v>
      </c>
      <c r="J114">
        <v>0</v>
      </c>
      <c r="K114">
        <v>0</v>
      </c>
      <c r="L114">
        <v>30</v>
      </c>
      <c r="M114">
        <v>2</v>
      </c>
      <c r="N114" t="str">
        <f>INDEX(Define!E:E,MATCH(M114,Define!D:D))</f>
        <v>雷</v>
      </c>
      <c r="O114">
        <v>2</v>
      </c>
      <c r="P114" t="str">
        <f>INDEX(Define!H:H,MATCH(O114,Define!G:G))</f>
        <v>パッシブ</v>
      </c>
      <c r="Q114">
        <v>4</v>
      </c>
      <c r="R114" t="str">
        <f>INDEX(Define!K:K,MATCH(Q114,Define!J:J))</f>
        <v>自身</v>
      </c>
      <c r="S114">
        <v>4</v>
      </c>
      <c r="T114" t="str">
        <f>INDEX(Define!N:N,MATCH(S114,Define!M:M))</f>
        <v>自身</v>
      </c>
      <c r="U114">
        <v>1</v>
      </c>
      <c r="V114">
        <v>1</v>
      </c>
      <c r="W114">
        <v>1</v>
      </c>
      <c r="X114">
        <v>0</v>
      </c>
    </row>
    <row r="115" spans="1:24">
      <c r="A115">
        <v>12930</v>
      </c>
      <c r="B115">
        <v>12930</v>
      </c>
      <c r="C115" t="str">
        <f>INDEX(TextData!B:B,MATCH(B115,TextData!A:A))</f>
        <v>スウィフトカレント</v>
      </c>
      <c r="D115">
        <v>6</v>
      </c>
      <c r="E115" t="str">
        <f>INDEX(Define!X:X,MATCH(D115,Define!W:W))</f>
        <v>自己強化</v>
      </c>
      <c r="F115">
        <v>1501</v>
      </c>
      <c r="G115" t="str">
        <f>INDEX([1]Animations!B:B,MATCH(F115,[1]Animations!A:A))</f>
        <v>MakerEffect/BallsOfLight</v>
      </c>
      <c r="H115">
        <v>1</v>
      </c>
      <c r="I115" t="str">
        <f>INDEX(Define!B:B,MATCH(H115,Define!A:A))</f>
        <v>単体</v>
      </c>
      <c r="J115">
        <v>0</v>
      </c>
      <c r="K115">
        <v>0</v>
      </c>
      <c r="L115">
        <v>30</v>
      </c>
      <c r="M115">
        <v>2</v>
      </c>
      <c r="N115" t="str">
        <f>INDEX(Define!E:E,MATCH(M115,Define!D:D))</f>
        <v>雷</v>
      </c>
      <c r="O115">
        <v>2</v>
      </c>
      <c r="P115" t="str">
        <f>INDEX(Define!H:H,MATCH(O115,Define!G:G))</f>
        <v>パッシブ</v>
      </c>
      <c r="Q115">
        <v>4</v>
      </c>
      <c r="R115" t="str">
        <f>INDEX(Define!K:K,MATCH(Q115,Define!J:J))</f>
        <v>自身</v>
      </c>
      <c r="S115">
        <v>4</v>
      </c>
      <c r="T115" t="str">
        <f>INDEX(Define!N:N,MATCH(S115,Define!M:M))</f>
        <v>自身</v>
      </c>
      <c r="U115">
        <v>1</v>
      </c>
      <c r="V115">
        <v>1</v>
      </c>
      <c r="W115">
        <v>1</v>
      </c>
      <c r="X115">
        <v>0</v>
      </c>
    </row>
    <row r="116" spans="1:24">
      <c r="A116">
        <v>12940</v>
      </c>
      <c r="B116">
        <v>12940</v>
      </c>
      <c r="C116" t="str">
        <f>INDEX(TextData!B:B,MATCH(B116,TextData!A:A))</f>
        <v>イヴェイドオール</v>
      </c>
      <c r="D116">
        <v>6</v>
      </c>
      <c r="E116" t="str">
        <f>INDEX(Define!X:X,MATCH(D116,Define!W:W))</f>
        <v>自己強化</v>
      </c>
      <c r="F116">
        <v>1501</v>
      </c>
      <c r="G116" t="str">
        <f>INDEX([1]Animations!B:B,MATCH(F116,[1]Animations!A:A))</f>
        <v>MakerEffect/BallsOfLight</v>
      </c>
      <c r="H116">
        <v>1</v>
      </c>
      <c r="I116" t="str">
        <f>INDEX(Define!B:B,MATCH(H116,Define!A:A))</f>
        <v>単体</v>
      </c>
      <c r="J116">
        <v>0</v>
      </c>
      <c r="K116">
        <v>0</v>
      </c>
      <c r="L116">
        <v>30</v>
      </c>
      <c r="M116">
        <v>2</v>
      </c>
      <c r="N116" t="str">
        <f>INDEX(Define!E:E,MATCH(M116,Define!D:D))</f>
        <v>雷</v>
      </c>
      <c r="O116">
        <v>2</v>
      </c>
      <c r="P116" t="str">
        <f>INDEX(Define!H:H,MATCH(O116,Define!G:G))</f>
        <v>パッシブ</v>
      </c>
      <c r="Q116">
        <v>2</v>
      </c>
      <c r="R116" t="str">
        <f>INDEX(Define!K:K,MATCH(Q116,Define!J:J))</f>
        <v>味方</v>
      </c>
      <c r="S116">
        <v>2</v>
      </c>
      <c r="T116" t="str">
        <f>INDEX(Define!N:N,MATCH(S116,Define!M:M))</f>
        <v>列</v>
      </c>
      <c r="U116">
        <v>1</v>
      </c>
      <c r="V116">
        <v>1</v>
      </c>
      <c r="W116">
        <v>1</v>
      </c>
      <c r="X116">
        <v>0</v>
      </c>
    </row>
    <row r="117" spans="1:24">
      <c r="A117">
        <v>13010</v>
      </c>
      <c r="B117">
        <v>13010</v>
      </c>
      <c r="C117" t="str">
        <f>INDEX(TextData!B:B,MATCH(B117,TextData!A:A))</f>
        <v>ヘビィカバー</v>
      </c>
      <c r="D117">
        <v>6</v>
      </c>
      <c r="E117" t="str">
        <f>INDEX(Define!X:X,MATCH(D117,Define!W:W))</f>
        <v>自己強化</v>
      </c>
      <c r="F117">
        <v>1109</v>
      </c>
      <c r="G117" t="str">
        <f>INDEX([1]Animations!B:B,MATCH(F117,[1]Animations!A:A))</f>
        <v>MakerEffect/Flash</v>
      </c>
      <c r="H117">
        <v>1</v>
      </c>
      <c r="I117" t="str">
        <f>INDEX(Define!B:B,MATCH(H117,Define!A:A))</f>
        <v>単体</v>
      </c>
      <c r="J117">
        <v>0</v>
      </c>
      <c r="K117">
        <v>4</v>
      </c>
      <c r="L117">
        <v>20</v>
      </c>
      <c r="M117">
        <v>3</v>
      </c>
      <c r="N117" t="str">
        <f>INDEX(Define!E:E,MATCH(M117,Define!D:D))</f>
        <v>氷</v>
      </c>
      <c r="O117">
        <v>2</v>
      </c>
      <c r="P117" t="str">
        <f>INDEX(Define!H:H,MATCH(O117,Define!G:G))</f>
        <v>パッシブ</v>
      </c>
      <c r="Q117">
        <v>2</v>
      </c>
      <c r="R117" t="str">
        <f>INDEX(Define!K:K,MATCH(Q117,Define!J:J))</f>
        <v>味方</v>
      </c>
      <c r="S117">
        <v>11</v>
      </c>
      <c r="T117" t="str">
        <f>INDEX(Define!N:N,MATCH(S117,Define!M:M))</f>
        <v>単体・自身を除く</v>
      </c>
      <c r="U117">
        <v>1</v>
      </c>
      <c r="V117">
        <v>1</v>
      </c>
      <c r="W117">
        <v>1</v>
      </c>
      <c r="X117">
        <v>0</v>
      </c>
    </row>
    <row r="118" spans="1:24">
      <c r="A118">
        <v>13011</v>
      </c>
      <c r="B118">
        <v>13010</v>
      </c>
      <c r="C118" t="str">
        <f>INDEX(TextData!B:B,MATCH(B118,TextData!A:A))</f>
        <v>ヘビィカバー</v>
      </c>
      <c r="D118">
        <v>6</v>
      </c>
      <c r="E118" t="str">
        <f>INDEX(Define!X:X,MATCH(D118,Define!W:W))</f>
        <v>自己強化</v>
      </c>
      <c r="F118">
        <v>803</v>
      </c>
      <c r="G118" t="str">
        <f>INDEX([1]Animations!B:B,MATCH(F118,[1]Animations!A:A))</f>
        <v>MakerEffect/Powerup3</v>
      </c>
      <c r="H118">
        <v>1</v>
      </c>
      <c r="I118" t="str">
        <f>INDEX(Define!B:B,MATCH(H118,Define!A:A))</f>
        <v>単体</v>
      </c>
      <c r="J118">
        <v>0</v>
      </c>
      <c r="K118">
        <v>4</v>
      </c>
      <c r="L118">
        <v>0</v>
      </c>
      <c r="M118">
        <v>3</v>
      </c>
      <c r="N118" t="str">
        <f>INDEX(Define!E:E,MATCH(M118,Define!D:D))</f>
        <v>氷</v>
      </c>
      <c r="O118">
        <v>2</v>
      </c>
      <c r="P118" t="str">
        <f>INDEX(Define!H:H,MATCH(O118,Define!G:G))</f>
        <v>パッシブ</v>
      </c>
      <c r="Q118">
        <v>4</v>
      </c>
      <c r="R118" t="str">
        <f>INDEX(Define!K:K,MATCH(Q118,Define!J:J))</f>
        <v>自身</v>
      </c>
      <c r="S118">
        <v>4</v>
      </c>
      <c r="T118" t="str">
        <f>INDEX(Define!N:N,MATCH(S118,Define!M:M))</f>
        <v>自身</v>
      </c>
      <c r="U118">
        <v>1</v>
      </c>
      <c r="V118">
        <v>1</v>
      </c>
      <c r="W118">
        <v>1</v>
      </c>
      <c r="X118">
        <v>0</v>
      </c>
    </row>
    <row r="119" spans="1:24">
      <c r="A119">
        <v>13020</v>
      </c>
      <c r="B119">
        <v>13020</v>
      </c>
      <c r="C119" t="str">
        <f>INDEX(TextData!B:B,MATCH(B119,TextData!A:A))</f>
        <v>アイシクルエッジ</v>
      </c>
      <c r="D119">
        <v>6</v>
      </c>
      <c r="E119" t="str">
        <f>INDEX(Define!X:X,MATCH(D119,Define!W:W))</f>
        <v>自己強化</v>
      </c>
      <c r="F119">
        <v>1024</v>
      </c>
      <c r="G119" t="str">
        <f>INDEX([1]Animations!B:B,MATCH(F119,[1]Animations!A:A))</f>
        <v>MakerEffect/PierceIce</v>
      </c>
      <c r="H119">
        <v>1</v>
      </c>
      <c r="I119" t="str">
        <f>INDEX(Define!B:B,MATCH(H119,Define!A:A))</f>
        <v>単体</v>
      </c>
      <c r="J119">
        <v>0</v>
      </c>
      <c r="K119">
        <v>0</v>
      </c>
      <c r="L119">
        <v>20</v>
      </c>
      <c r="M119">
        <v>3</v>
      </c>
      <c r="N119" t="str">
        <f>INDEX(Define!E:E,MATCH(M119,Define!D:D))</f>
        <v>氷</v>
      </c>
      <c r="O119">
        <v>2</v>
      </c>
      <c r="P119" t="str">
        <f>INDEX(Define!H:H,MATCH(O119,Define!G:G))</f>
        <v>パッシブ</v>
      </c>
      <c r="Q119">
        <v>7</v>
      </c>
      <c r="R119" t="str">
        <f>INDEX(Define!K:K,MATCH(Q119,Define!J:J))</f>
        <v>追撃</v>
      </c>
      <c r="S119">
        <v>1</v>
      </c>
      <c r="T119" t="str">
        <f>INDEX(Define!N:N,MATCH(S119,Define!M:M))</f>
        <v>単体</v>
      </c>
      <c r="U119">
        <v>1</v>
      </c>
      <c r="V119">
        <v>1</v>
      </c>
      <c r="W119">
        <v>1</v>
      </c>
      <c r="X119">
        <v>0</v>
      </c>
    </row>
    <row r="120" spans="1:24">
      <c r="A120">
        <v>13030</v>
      </c>
      <c r="B120">
        <v>13030</v>
      </c>
      <c r="C120" t="str">
        <f>INDEX(TextData!B:B,MATCH(B120,TextData!A:A))</f>
        <v>カウンターマジック</v>
      </c>
      <c r="D120">
        <v>6</v>
      </c>
      <c r="E120" t="str">
        <f>INDEX(Define!X:X,MATCH(D120,Define!W:W))</f>
        <v>自己強化</v>
      </c>
      <c r="F120">
        <v>1109</v>
      </c>
      <c r="G120" t="str">
        <f>INDEX([1]Animations!B:B,MATCH(F120,[1]Animations!A:A))</f>
        <v>MakerEffect/Flash</v>
      </c>
      <c r="H120">
        <v>1</v>
      </c>
      <c r="I120" t="str">
        <f>INDEX(Define!B:B,MATCH(H120,Define!A:A))</f>
        <v>単体</v>
      </c>
      <c r="J120">
        <v>0</v>
      </c>
      <c r="K120">
        <v>3</v>
      </c>
      <c r="L120">
        <v>20</v>
      </c>
      <c r="M120">
        <v>3</v>
      </c>
      <c r="N120" t="str">
        <f>INDEX(Define!E:E,MATCH(M120,Define!D:D))</f>
        <v>氷</v>
      </c>
      <c r="O120">
        <v>2</v>
      </c>
      <c r="P120" t="str">
        <f>INDEX(Define!H:H,MATCH(O120,Define!G:G))</f>
        <v>パッシブ</v>
      </c>
      <c r="Q120">
        <v>6</v>
      </c>
      <c r="R120" t="str">
        <f>INDEX(Define!K:K,MATCH(Q120,Define!J:J))</f>
        <v>反撃</v>
      </c>
      <c r="S120">
        <v>1</v>
      </c>
      <c r="T120" t="str">
        <f>INDEX(Define!N:N,MATCH(S120,Define!M:M))</f>
        <v>単体</v>
      </c>
      <c r="U120">
        <v>1</v>
      </c>
      <c r="V120">
        <v>1</v>
      </c>
      <c r="W120">
        <v>1</v>
      </c>
      <c r="X120">
        <v>0</v>
      </c>
    </row>
    <row r="121" spans="1:24">
      <c r="A121">
        <v>13040</v>
      </c>
      <c r="B121">
        <v>13040</v>
      </c>
      <c r="C121" t="str">
        <f>INDEX(TextData!B:B,MATCH(B121,TextData!A:A))</f>
        <v>アーマーコード</v>
      </c>
      <c r="D121">
        <v>6</v>
      </c>
      <c r="E121" t="str">
        <f>INDEX(Define!X:X,MATCH(D121,Define!W:W))</f>
        <v>自己強化</v>
      </c>
      <c r="F121">
        <v>803</v>
      </c>
      <c r="G121" t="str">
        <f>INDEX([1]Animations!B:B,MATCH(F121,[1]Animations!A:A))</f>
        <v>MakerEffect/Powerup3</v>
      </c>
      <c r="H121">
        <v>1</v>
      </c>
      <c r="I121" t="str">
        <f>INDEX(Define!B:B,MATCH(H121,Define!A:A))</f>
        <v>単体</v>
      </c>
      <c r="J121">
        <v>0</v>
      </c>
      <c r="K121">
        <v>0</v>
      </c>
      <c r="L121">
        <v>20</v>
      </c>
      <c r="M121">
        <v>3</v>
      </c>
      <c r="N121" t="str">
        <f>INDEX(Define!E:E,MATCH(M121,Define!D:D))</f>
        <v>氷</v>
      </c>
      <c r="O121">
        <v>2</v>
      </c>
      <c r="P121" t="str">
        <f>INDEX(Define!H:H,MATCH(O121,Define!G:G))</f>
        <v>パッシブ</v>
      </c>
      <c r="Q121">
        <v>4</v>
      </c>
      <c r="R121" t="str">
        <f>INDEX(Define!K:K,MATCH(Q121,Define!J:J))</f>
        <v>自身</v>
      </c>
      <c r="S121">
        <v>4</v>
      </c>
      <c r="T121" t="str">
        <f>INDEX(Define!N:N,MATCH(S121,Define!M:M))</f>
        <v>自身</v>
      </c>
      <c r="U121">
        <v>1</v>
      </c>
      <c r="V121">
        <v>1</v>
      </c>
      <c r="W121">
        <v>1</v>
      </c>
      <c r="X121">
        <v>0</v>
      </c>
    </row>
    <row r="122" spans="1:24">
      <c r="A122">
        <v>13050</v>
      </c>
      <c r="B122">
        <v>13050</v>
      </c>
      <c r="C122" t="str">
        <f>INDEX(TextData!B:B,MATCH(B122,TextData!A:A))</f>
        <v>キュアフリーズ</v>
      </c>
      <c r="D122">
        <v>6</v>
      </c>
      <c r="E122" t="str">
        <f>INDEX(Define!X:X,MATCH(D122,Define!W:W))</f>
        <v>自己強化</v>
      </c>
      <c r="F122">
        <v>3023</v>
      </c>
      <c r="G122" t="str">
        <f>INDEX([1]Animations!B:B,MATCH(F122,[1]Animations!A:A))</f>
        <v>Genfulew_Effect/B&amp;S_MinMax_Cure</v>
      </c>
      <c r="H122">
        <v>1</v>
      </c>
      <c r="I122" t="str">
        <f>INDEX(Define!B:B,MATCH(H122,Define!A:A))</f>
        <v>単体</v>
      </c>
      <c r="J122">
        <v>0</v>
      </c>
      <c r="K122">
        <v>0</v>
      </c>
      <c r="L122">
        <v>20</v>
      </c>
      <c r="M122">
        <v>3</v>
      </c>
      <c r="N122" t="str">
        <f>INDEX(Define!E:E,MATCH(M122,Define!D:D))</f>
        <v>氷</v>
      </c>
      <c r="O122">
        <v>2</v>
      </c>
      <c r="P122" t="str">
        <f>INDEX(Define!H:H,MATCH(O122,Define!G:G))</f>
        <v>パッシブ</v>
      </c>
      <c r="Q122">
        <v>2</v>
      </c>
      <c r="R122" t="str">
        <f>INDEX(Define!K:K,MATCH(Q122,Define!J:J))</f>
        <v>味方</v>
      </c>
      <c r="S122">
        <v>1</v>
      </c>
      <c r="T122" t="str">
        <f>INDEX(Define!N:N,MATCH(S122,Define!M:M))</f>
        <v>単体</v>
      </c>
      <c r="U122">
        <v>1</v>
      </c>
      <c r="V122">
        <v>1</v>
      </c>
      <c r="W122">
        <v>1</v>
      </c>
      <c r="X122">
        <v>0</v>
      </c>
    </row>
    <row r="123" spans="1:24">
      <c r="A123">
        <v>13070</v>
      </c>
      <c r="B123">
        <v>13070</v>
      </c>
      <c r="C123" t="str">
        <f>INDEX(TextData!B:B,MATCH(B123,TextData!A:A))</f>
        <v>アシッドラッシュ</v>
      </c>
      <c r="D123">
        <v>6</v>
      </c>
      <c r="E123" t="str">
        <f>INDEX(Define!X:X,MATCH(D123,Define!W:W))</f>
        <v>自己強化</v>
      </c>
      <c r="F123">
        <v>1024</v>
      </c>
      <c r="G123" t="str">
        <f>INDEX([1]Animations!B:B,MATCH(F123,[1]Animations!A:A))</f>
        <v>MakerEffect/PierceIce</v>
      </c>
      <c r="H123">
        <v>1</v>
      </c>
      <c r="I123" t="str">
        <f>INDEX(Define!B:B,MATCH(H123,Define!A:A))</f>
        <v>単体</v>
      </c>
      <c r="J123">
        <v>0</v>
      </c>
      <c r="K123">
        <v>0</v>
      </c>
      <c r="L123">
        <v>20</v>
      </c>
      <c r="M123">
        <v>3</v>
      </c>
      <c r="N123" t="str">
        <f>INDEX(Define!E:E,MATCH(M123,Define!D:D))</f>
        <v>氷</v>
      </c>
      <c r="O123">
        <v>2</v>
      </c>
      <c r="P123" t="str">
        <f>INDEX(Define!H:H,MATCH(O123,Define!G:G))</f>
        <v>パッシブ</v>
      </c>
      <c r="Q123">
        <v>7</v>
      </c>
      <c r="R123" t="str">
        <f>INDEX(Define!K:K,MATCH(Q123,Define!J:J))</f>
        <v>追撃</v>
      </c>
      <c r="S123">
        <v>1</v>
      </c>
      <c r="T123" t="str">
        <f>INDEX(Define!N:N,MATCH(S123,Define!M:M))</f>
        <v>単体</v>
      </c>
      <c r="U123">
        <v>1</v>
      </c>
      <c r="V123">
        <v>1</v>
      </c>
      <c r="W123">
        <v>1</v>
      </c>
      <c r="X123">
        <v>0</v>
      </c>
    </row>
    <row r="124" spans="1:24">
      <c r="A124">
        <v>13090</v>
      </c>
      <c r="B124">
        <v>13090</v>
      </c>
      <c r="C124" t="str">
        <f>INDEX(TextData!B:B,MATCH(B124,TextData!A:A))</f>
        <v>アイスセイバー</v>
      </c>
      <c r="D124">
        <v>6</v>
      </c>
      <c r="E124" t="str">
        <f>INDEX(Define!X:X,MATCH(D124,Define!W:W))</f>
        <v>自己強化</v>
      </c>
      <c r="F124">
        <v>1024</v>
      </c>
      <c r="G124" t="str">
        <f>INDEX([1]Animations!B:B,MATCH(F124,[1]Animations!A:A))</f>
        <v>MakerEffect/PierceIce</v>
      </c>
      <c r="H124">
        <v>1</v>
      </c>
      <c r="I124" t="str">
        <f>INDEX(Define!B:B,MATCH(H124,Define!A:A))</f>
        <v>単体</v>
      </c>
      <c r="J124">
        <v>0</v>
      </c>
      <c r="K124">
        <v>3</v>
      </c>
      <c r="L124">
        <v>20</v>
      </c>
      <c r="M124">
        <v>3</v>
      </c>
      <c r="N124" t="str">
        <f>INDEX(Define!E:E,MATCH(M124,Define!D:D))</f>
        <v>氷</v>
      </c>
      <c r="O124">
        <v>2</v>
      </c>
      <c r="P124" t="str">
        <f>INDEX(Define!H:H,MATCH(O124,Define!G:G))</f>
        <v>パッシブ</v>
      </c>
      <c r="Q124">
        <v>7</v>
      </c>
      <c r="R124" t="str">
        <f>INDEX(Define!K:K,MATCH(Q124,Define!J:J))</f>
        <v>追撃</v>
      </c>
      <c r="S124">
        <v>3</v>
      </c>
      <c r="T124" t="str">
        <f>INDEX(Define!N:N,MATCH(S124,Define!M:M))</f>
        <v>全体</v>
      </c>
      <c r="U124">
        <v>1</v>
      </c>
      <c r="V124">
        <v>1</v>
      </c>
      <c r="W124">
        <v>1</v>
      </c>
      <c r="X124">
        <v>0</v>
      </c>
    </row>
    <row r="125" spans="1:24">
      <c r="A125">
        <v>13110</v>
      </c>
      <c r="B125">
        <v>13110</v>
      </c>
      <c r="C125" t="str">
        <f>INDEX(TextData!B:B,MATCH(B125,TextData!A:A))</f>
        <v>ガーディアン</v>
      </c>
      <c r="D125">
        <v>6</v>
      </c>
      <c r="E125" t="str">
        <f>INDEX(Define!X:X,MATCH(D125,Define!W:W))</f>
        <v>自己強化</v>
      </c>
      <c r="F125">
        <v>803</v>
      </c>
      <c r="G125" t="str">
        <f>INDEX([1]Animations!B:B,MATCH(F125,[1]Animations!A:A))</f>
        <v>MakerEffect/Powerup3</v>
      </c>
      <c r="H125">
        <v>1</v>
      </c>
      <c r="I125" t="str">
        <f>INDEX(Define!B:B,MATCH(H125,Define!A:A))</f>
        <v>単体</v>
      </c>
      <c r="J125">
        <v>0</v>
      </c>
      <c r="K125">
        <v>3</v>
      </c>
      <c r="L125">
        <v>30</v>
      </c>
      <c r="M125">
        <v>3</v>
      </c>
      <c r="N125" t="str">
        <f>INDEX(Define!E:E,MATCH(M125,Define!D:D))</f>
        <v>氷</v>
      </c>
      <c r="O125">
        <v>2</v>
      </c>
      <c r="P125" t="str">
        <f>INDEX(Define!H:H,MATCH(O125,Define!G:G))</f>
        <v>パッシブ</v>
      </c>
      <c r="Q125">
        <v>4</v>
      </c>
      <c r="R125" t="str">
        <f>INDEX(Define!K:K,MATCH(Q125,Define!J:J))</f>
        <v>自身</v>
      </c>
      <c r="S125">
        <v>4</v>
      </c>
      <c r="T125" t="str">
        <f>INDEX(Define!N:N,MATCH(S125,Define!M:M))</f>
        <v>自身</v>
      </c>
      <c r="U125">
        <v>1</v>
      </c>
      <c r="V125">
        <v>1</v>
      </c>
      <c r="W125">
        <v>1</v>
      </c>
      <c r="X125">
        <v>0</v>
      </c>
    </row>
    <row r="126" spans="1:24">
      <c r="A126">
        <v>13120</v>
      </c>
      <c r="B126">
        <v>13120</v>
      </c>
      <c r="C126" t="str">
        <f>INDEX(TextData!B:B,MATCH(B126,TextData!A:A))</f>
        <v>ライフセーブ</v>
      </c>
      <c r="D126">
        <v>6</v>
      </c>
      <c r="E126" t="str">
        <f>INDEX(Define!X:X,MATCH(D126,Define!W:W))</f>
        <v>自己強化</v>
      </c>
      <c r="F126">
        <v>803</v>
      </c>
      <c r="G126" t="str">
        <f>INDEX([1]Animations!B:B,MATCH(F126,[1]Animations!A:A))</f>
        <v>MakerEffect/Powerup3</v>
      </c>
      <c r="H126">
        <v>1</v>
      </c>
      <c r="I126" t="str">
        <f>INDEX(Define!B:B,MATCH(H126,Define!A:A))</f>
        <v>単体</v>
      </c>
      <c r="J126">
        <v>0</v>
      </c>
      <c r="K126">
        <v>0</v>
      </c>
      <c r="L126">
        <v>30</v>
      </c>
      <c r="M126">
        <v>3</v>
      </c>
      <c r="N126" t="str">
        <f>INDEX(Define!E:E,MATCH(M126,Define!D:D))</f>
        <v>氷</v>
      </c>
      <c r="O126">
        <v>2</v>
      </c>
      <c r="P126" t="str">
        <f>INDEX(Define!H:H,MATCH(O126,Define!G:G))</f>
        <v>パッシブ</v>
      </c>
      <c r="Q126">
        <v>4</v>
      </c>
      <c r="R126" t="str">
        <f>INDEX(Define!K:K,MATCH(Q126,Define!J:J))</f>
        <v>自身</v>
      </c>
      <c r="S126">
        <v>4</v>
      </c>
      <c r="T126" t="str">
        <f>INDEX(Define!N:N,MATCH(S126,Define!M:M))</f>
        <v>自身</v>
      </c>
      <c r="U126">
        <v>1</v>
      </c>
      <c r="V126">
        <v>1</v>
      </c>
      <c r="W126">
        <v>1</v>
      </c>
      <c r="X126">
        <v>0</v>
      </c>
    </row>
    <row r="127" spans="1:24">
      <c r="A127">
        <v>13130</v>
      </c>
      <c r="B127">
        <v>13130</v>
      </c>
      <c r="C127" t="str">
        <f>INDEX(TextData!B:B,MATCH(B127,TextData!A:A))</f>
        <v>ライフスティール</v>
      </c>
      <c r="D127">
        <v>6</v>
      </c>
      <c r="E127" t="str">
        <f>INDEX(Define!X:X,MATCH(D127,Define!W:W))</f>
        <v>自己強化</v>
      </c>
      <c r="F127">
        <v>3347</v>
      </c>
      <c r="G127" t="str">
        <f>INDEX([1]Animations!B:B,MATCH(F127,[1]Animations!A:A))</f>
        <v>Genfulew_Effect/Enemy_CR_Charge2</v>
      </c>
      <c r="H127">
        <v>1</v>
      </c>
      <c r="I127" t="str">
        <f>INDEX(Define!B:B,MATCH(H127,Define!A:A))</f>
        <v>単体</v>
      </c>
      <c r="J127">
        <v>0</v>
      </c>
      <c r="K127">
        <v>3</v>
      </c>
      <c r="L127">
        <v>30</v>
      </c>
      <c r="M127">
        <v>3</v>
      </c>
      <c r="N127" t="str">
        <f>INDEX(Define!E:E,MATCH(M127,Define!D:D))</f>
        <v>氷</v>
      </c>
      <c r="O127">
        <v>2</v>
      </c>
      <c r="P127" t="str">
        <f>INDEX(Define!H:H,MATCH(O127,Define!G:G))</f>
        <v>パッシブ</v>
      </c>
      <c r="Q127">
        <v>4</v>
      </c>
      <c r="R127" t="str">
        <f>INDEX(Define!K:K,MATCH(Q127,Define!J:J))</f>
        <v>自身</v>
      </c>
      <c r="S127">
        <v>4</v>
      </c>
      <c r="T127" t="str">
        <f>INDEX(Define!N:N,MATCH(S127,Define!M:M))</f>
        <v>自身</v>
      </c>
      <c r="U127">
        <v>1</v>
      </c>
      <c r="V127">
        <v>1</v>
      </c>
      <c r="W127">
        <v>1</v>
      </c>
      <c r="X127">
        <v>0</v>
      </c>
    </row>
    <row r="128" ht="12" customHeight="1" spans="1:24">
      <c r="A128">
        <v>13140</v>
      </c>
      <c r="B128">
        <v>13140</v>
      </c>
      <c r="C128" t="str">
        <f>INDEX(TextData!B:B,MATCH(B128,TextData!A:A))</f>
        <v>クイックバリア</v>
      </c>
      <c r="D128">
        <v>6</v>
      </c>
      <c r="E128" t="str">
        <f>INDEX(Define!X:X,MATCH(D128,Define!W:W))</f>
        <v>自己強化</v>
      </c>
      <c r="F128">
        <v>803</v>
      </c>
      <c r="G128" t="str">
        <f>INDEX([1]Animations!B:B,MATCH(F128,[1]Animations!A:A))</f>
        <v>MakerEffect/Powerup3</v>
      </c>
      <c r="H128">
        <v>1</v>
      </c>
      <c r="I128" t="str">
        <f>INDEX(Define!B:B,MATCH(H128,Define!A:A))</f>
        <v>単体</v>
      </c>
      <c r="J128">
        <v>0</v>
      </c>
      <c r="K128" s="7">
        <v>3</v>
      </c>
      <c r="L128">
        <v>30</v>
      </c>
      <c r="M128">
        <v>3</v>
      </c>
      <c r="N128" t="str">
        <f>INDEX(Define!E:E,MATCH(M128,Define!D:D))</f>
        <v>氷</v>
      </c>
      <c r="O128">
        <v>2</v>
      </c>
      <c r="P128" t="str">
        <f>INDEX(Define!H:H,MATCH(O128,Define!G:G))</f>
        <v>パッシブ</v>
      </c>
      <c r="Q128">
        <v>11</v>
      </c>
      <c r="R128" t="str">
        <f>INDEX(Define!K:K,MATCH(Q128,Define!J:J))</f>
        <v>Triggerの条件を満たす</v>
      </c>
      <c r="S128">
        <v>1</v>
      </c>
      <c r="T128" t="str">
        <f>INDEX(Define!N:N,MATCH(S128,Define!M:M))</f>
        <v>単体</v>
      </c>
      <c r="U128">
        <v>1</v>
      </c>
      <c r="V128">
        <v>1</v>
      </c>
      <c r="W128">
        <v>1</v>
      </c>
      <c r="X128">
        <v>1</v>
      </c>
    </row>
    <row r="129" spans="1:24">
      <c r="A129">
        <v>13210</v>
      </c>
      <c r="B129">
        <v>13210</v>
      </c>
      <c r="C129" t="str">
        <f>INDEX(TextData!B:B,MATCH(B129,TextData!A:A))</f>
        <v>ルミナスカバー</v>
      </c>
      <c r="D129">
        <v>6</v>
      </c>
      <c r="E129" t="str">
        <f>INDEX(Define!X:X,MATCH(D129,Define!W:W))</f>
        <v>自己強化</v>
      </c>
      <c r="F129">
        <v>1109</v>
      </c>
      <c r="G129" t="str">
        <f>INDEX([1]Animations!B:B,MATCH(F129,[1]Animations!A:A))</f>
        <v>MakerEffect/Flash</v>
      </c>
      <c r="H129">
        <v>1</v>
      </c>
      <c r="I129" t="str">
        <f>INDEX(Define!B:B,MATCH(H129,Define!A:A))</f>
        <v>単体</v>
      </c>
      <c r="J129">
        <v>0</v>
      </c>
      <c r="K129">
        <v>3</v>
      </c>
      <c r="L129">
        <v>30</v>
      </c>
      <c r="M129">
        <v>3</v>
      </c>
      <c r="N129" t="str">
        <f>INDEX(Define!E:E,MATCH(M129,Define!D:D))</f>
        <v>氷</v>
      </c>
      <c r="O129">
        <v>2</v>
      </c>
      <c r="P129" t="str">
        <f>INDEX(Define!H:H,MATCH(O129,Define!G:G))</f>
        <v>パッシブ</v>
      </c>
      <c r="Q129">
        <v>2</v>
      </c>
      <c r="R129" t="str">
        <f>INDEX(Define!K:K,MATCH(Q129,Define!J:J))</f>
        <v>味方</v>
      </c>
      <c r="S129">
        <v>11</v>
      </c>
      <c r="T129" t="str">
        <f>INDEX(Define!N:N,MATCH(S129,Define!M:M))</f>
        <v>単体・自身を除く</v>
      </c>
      <c r="U129">
        <v>1</v>
      </c>
      <c r="V129">
        <v>1</v>
      </c>
      <c r="W129">
        <v>1</v>
      </c>
      <c r="X129">
        <v>0</v>
      </c>
    </row>
    <row r="130" spans="1:24">
      <c r="A130">
        <v>13211</v>
      </c>
      <c r="B130">
        <v>13210</v>
      </c>
      <c r="C130" t="str">
        <f>INDEX(TextData!B:B,MATCH(B130,TextData!A:A))</f>
        <v>ルミナスカバー</v>
      </c>
      <c r="D130">
        <v>6</v>
      </c>
      <c r="E130" t="str">
        <f>INDEX(Define!X:X,MATCH(D130,Define!W:W))</f>
        <v>自己強化</v>
      </c>
      <c r="F130">
        <v>803</v>
      </c>
      <c r="G130" t="str">
        <f>INDEX([1]Animations!B:B,MATCH(F130,[1]Animations!A:A))</f>
        <v>MakerEffect/Powerup3</v>
      </c>
      <c r="H130">
        <v>1</v>
      </c>
      <c r="I130" t="str">
        <f>INDEX(Define!B:B,MATCH(H130,Define!A:A))</f>
        <v>単体</v>
      </c>
      <c r="J130">
        <v>0</v>
      </c>
      <c r="K130">
        <v>3</v>
      </c>
      <c r="L130">
        <v>0</v>
      </c>
      <c r="M130">
        <v>3</v>
      </c>
      <c r="N130" t="str">
        <f>INDEX(Define!E:E,MATCH(M130,Define!D:D))</f>
        <v>氷</v>
      </c>
      <c r="O130">
        <v>2</v>
      </c>
      <c r="P130" t="str">
        <f>INDEX(Define!H:H,MATCH(O130,Define!G:G))</f>
        <v>パッシブ</v>
      </c>
      <c r="Q130">
        <v>4</v>
      </c>
      <c r="R130" t="str">
        <f>INDEX(Define!K:K,MATCH(Q130,Define!J:J))</f>
        <v>自身</v>
      </c>
      <c r="S130">
        <v>4</v>
      </c>
      <c r="T130" t="str">
        <f>INDEX(Define!N:N,MATCH(S130,Define!M:M))</f>
        <v>自身</v>
      </c>
      <c r="U130">
        <v>1</v>
      </c>
      <c r="V130">
        <v>1</v>
      </c>
      <c r="W130">
        <v>1</v>
      </c>
      <c r="X130">
        <v>0</v>
      </c>
    </row>
    <row r="131" spans="1:24">
      <c r="A131">
        <v>13510</v>
      </c>
      <c r="B131">
        <v>13510</v>
      </c>
      <c r="C131" t="str">
        <f>INDEX(TextData!B:B,MATCH(B131,TextData!A:A))</f>
        <v>デコイプラス</v>
      </c>
      <c r="D131">
        <v>6</v>
      </c>
      <c r="E131" t="str">
        <f>INDEX(Define!X:X,MATCH(D131,Define!W:W))</f>
        <v>自己強化</v>
      </c>
      <c r="F131">
        <v>1024</v>
      </c>
      <c r="G131" t="str">
        <f>INDEX([1]Animations!B:B,MATCH(F131,[1]Animations!A:A))</f>
        <v>MakerEffect/PierceIce</v>
      </c>
      <c r="H131">
        <v>1</v>
      </c>
      <c r="I131" t="str">
        <f>INDEX(Define!B:B,MATCH(H131,Define!A:A))</f>
        <v>単体</v>
      </c>
      <c r="J131">
        <v>0</v>
      </c>
      <c r="K131">
        <v>3</v>
      </c>
      <c r="L131">
        <v>30</v>
      </c>
      <c r="M131">
        <v>3</v>
      </c>
      <c r="N131" t="str">
        <f>INDEX(Define!E:E,MATCH(M131,Define!D:D))</f>
        <v>氷</v>
      </c>
      <c r="O131">
        <v>2</v>
      </c>
      <c r="P131" t="str">
        <f>INDEX(Define!H:H,MATCH(O131,Define!G:G))</f>
        <v>パッシブ</v>
      </c>
      <c r="Q131">
        <v>7</v>
      </c>
      <c r="R131" t="str">
        <f>INDEX(Define!K:K,MATCH(Q131,Define!J:J))</f>
        <v>追撃</v>
      </c>
      <c r="S131">
        <v>1</v>
      </c>
      <c r="T131" t="str">
        <f>INDEX(Define!N:N,MATCH(S131,Define!M:M))</f>
        <v>単体</v>
      </c>
      <c r="U131">
        <v>1</v>
      </c>
      <c r="V131">
        <v>1</v>
      </c>
      <c r="W131">
        <v>1</v>
      </c>
      <c r="X131">
        <v>0</v>
      </c>
    </row>
    <row r="132" spans="1:24">
      <c r="A132">
        <v>13511</v>
      </c>
      <c r="B132">
        <v>13510</v>
      </c>
      <c r="C132" t="str">
        <f>INDEX(TextData!B:B,MATCH(B132,TextData!A:A))</f>
        <v>デコイプラス</v>
      </c>
      <c r="D132">
        <v>6</v>
      </c>
      <c r="E132" t="str">
        <f>INDEX(Define!X:X,MATCH(D132,Define!W:W))</f>
        <v>自己強化</v>
      </c>
      <c r="F132">
        <v>803</v>
      </c>
      <c r="G132" t="str">
        <f>INDEX([1]Animations!B:B,MATCH(F132,[1]Animations!A:A))</f>
        <v>MakerEffect/Powerup3</v>
      </c>
      <c r="H132">
        <v>1</v>
      </c>
      <c r="I132" t="str">
        <f>INDEX(Define!B:B,MATCH(H132,Define!A:A))</f>
        <v>単体</v>
      </c>
      <c r="J132">
        <v>0</v>
      </c>
      <c r="K132">
        <v>3</v>
      </c>
      <c r="L132">
        <v>0</v>
      </c>
      <c r="M132">
        <v>3</v>
      </c>
      <c r="N132" t="str">
        <f>INDEX(Define!E:E,MATCH(M132,Define!D:D))</f>
        <v>氷</v>
      </c>
      <c r="O132">
        <v>2</v>
      </c>
      <c r="P132" t="str">
        <f>INDEX(Define!H:H,MATCH(O132,Define!G:G))</f>
        <v>パッシブ</v>
      </c>
      <c r="Q132">
        <v>4</v>
      </c>
      <c r="R132" t="str">
        <f>INDEX(Define!K:K,MATCH(Q132,Define!J:J))</f>
        <v>自身</v>
      </c>
      <c r="S132">
        <v>4</v>
      </c>
      <c r="T132" t="str">
        <f>INDEX(Define!N:N,MATCH(S132,Define!M:M))</f>
        <v>自身</v>
      </c>
      <c r="U132">
        <v>1</v>
      </c>
      <c r="V132">
        <v>1</v>
      </c>
      <c r="W132">
        <v>1</v>
      </c>
      <c r="X132">
        <v>0</v>
      </c>
    </row>
    <row r="133" spans="1:24">
      <c r="A133">
        <v>13520</v>
      </c>
      <c r="B133">
        <v>13520</v>
      </c>
      <c r="C133" t="str">
        <f>INDEX(TextData!B:B,MATCH(B133,TextData!A:A))</f>
        <v>アフターシールド</v>
      </c>
      <c r="D133">
        <v>6</v>
      </c>
      <c r="E133" t="str">
        <f>INDEX(Define!X:X,MATCH(D133,Define!W:W))</f>
        <v>自己強化</v>
      </c>
      <c r="F133">
        <v>803</v>
      </c>
      <c r="G133" t="str">
        <f>INDEX([1]Animations!B:B,MATCH(F133,[1]Animations!A:A))</f>
        <v>MakerEffect/Powerup3</v>
      </c>
      <c r="H133">
        <v>1</v>
      </c>
      <c r="I133" t="str">
        <f>INDEX(Define!B:B,MATCH(H133,Define!A:A))</f>
        <v>単体</v>
      </c>
      <c r="J133">
        <v>0</v>
      </c>
      <c r="K133">
        <v>3</v>
      </c>
      <c r="L133">
        <v>30</v>
      </c>
      <c r="M133">
        <v>3</v>
      </c>
      <c r="N133" t="str">
        <f>INDEX(Define!E:E,MATCH(M133,Define!D:D))</f>
        <v>氷</v>
      </c>
      <c r="O133">
        <v>2</v>
      </c>
      <c r="P133" t="str">
        <f>INDEX(Define!H:H,MATCH(O133,Define!G:G))</f>
        <v>パッシブ</v>
      </c>
      <c r="Q133">
        <v>4</v>
      </c>
      <c r="R133" t="str">
        <f>INDEX(Define!K:K,MATCH(Q133,Define!J:J))</f>
        <v>自身</v>
      </c>
      <c r="S133">
        <v>4</v>
      </c>
      <c r="T133" t="str">
        <f>INDEX(Define!N:N,MATCH(S133,Define!M:M))</f>
        <v>自身</v>
      </c>
      <c r="U133">
        <v>1</v>
      </c>
      <c r="V133">
        <v>1</v>
      </c>
      <c r="W133">
        <v>1</v>
      </c>
      <c r="X133">
        <v>0</v>
      </c>
    </row>
    <row r="134" spans="1:24">
      <c r="A134">
        <v>13530</v>
      </c>
      <c r="B134">
        <v>13530</v>
      </c>
      <c r="C134" t="str">
        <f>INDEX(TextData!B:B,MATCH(B134,TextData!A:A))</f>
        <v>カバープラス</v>
      </c>
      <c r="D134">
        <v>6</v>
      </c>
      <c r="E134" t="str">
        <f>INDEX(Define!X:X,MATCH(D134,Define!W:W))</f>
        <v>自己強化</v>
      </c>
      <c r="F134">
        <v>803</v>
      </c>
      <c r="G134" t="str">
        <f>INDEX([1]Animations!B:B,MATCH(F134,[1]Animations!A:A))</f>
        <v>MakerEffect/Powerup3</v>
      </c>
      <c r="H134">
        <v>1</v>
      </c>
      <c r="I134" t="str">
        <f>INDEX(Define!B:B,MATCH(H134,Define!A:A))</f>
        <v>単体</v>
      </c>
      <c r="J134">
        <v>0</v>
      </c>
      <c r="K134">
        <v>3</v>
      </c>
      <c r="L134">
        <v>30</v>
      </c>
      <c r="M134">
        <v>3</v>
      </c>
      <c r="N134" t="str">
        <f>INDEX(Define!E:E,MATCH(M134,Define!D:D))</f>
        <v>氷</v>
      </c>
      <c r="O134">
        <v>2</v>
      </c>
      <c r="P134" t="str">
        <f>INDEX(Define!H:H,MATCH(O134,Define!G:G))</f>
        <v>パッシブ</v>
      </c>
      <c r="Q134">
        <v>4</v>
      </c>
      <c r="R134" t="str">
        <f>INDEX(Define!K:K,MATCH(Q134,Define!J:J))</f>
        <v>自身</v>
      </c>
      <c r="S134">
        <v>4</v>
      </c>
      <c r="T134" t="str">
        <f>INDEX(Define!N:N,MATCH(S134,Define!M:M))</f>
        <v>自身</v>
      </c>
      <c r="U134">
        <v>1</v>
      </c>
      <c r="V134">
        <v>1</v>
      </c>
      <c r="W134">
        <v>1</v>
      </c>
      <c r="X134">
        <v>0</v>
      </c>
    </row>
    <row r="135" ht="12" customHeight="1" spans="1:24">
      <c r="A135">
        <v>13930</v>
      </c>
      <c r="B135">
        <v>13930</v>
      </c>
      <c r="C135" t="str">
        <f>INDEX(TextData!B:B,MATCH(B135,TextData!A:A))</f>
        <v>クイックキュア</v>
      </c>
      <c r="D135">
        <v>6</v>
      </c>
      <c r="E135" t="str">
        <f>INDEX(Define!X:X,MATCH(D135,Define!W:W))</f>
        <v>自己強化</v>
      </c>
      <c r="F135">
        <v>3023</v>
      </c>
      <c r="G135" t="str">
        <f>INDEX([1]Animations!B:B,MATCH(F135,[1]Animations!A:A))</f>
        <v>Genfulew_Effect/B&amp;S_MinMax_Cure</v>
      </c>
      <c r="H135">
        <v>1</v>
      </c>
      <c r="I135" t="str">
        <f>INDEX(Define!B:B,MATCH(H135,Define!A:A))</f>
        <v>単体</v>
      </c>
      <c r="J135">
        <v>0</v>
      </c>
      <c r="K135" s="7">
        <v>2</v>
      </c>
      <c r="L135">
        <v>30</v>
      </c>
      <c r="M135">
        <v>3</v>
      </c>
      <c r="N135" t="str">
        <f>INDEX(Define!E:E,MATCH(M135,Define!D:D))</f>
        <v>氷</v>
      </c>
      <c r="O135">
        <v>2</v>
      </c>
      <c r="P135" t="str">
        <f>INDEX(Define!H:H,MATCH(O135,Define!G:G))</f>
        <v>パッシブ</v>
      </c>
      <c r="Q135">
        <v>11</v>
      </c>
      <c r="R135" t="str">
        <f>INDEX(Define!K:K,MATCH(Q135,Define!J:J))</f>
        <v>Triggerの条件を満たす</v>
      </c>
      <c r="S135">
        <v>1</v>
      </c>
      <c r="T135" t="str">
        <f>INDEX(Define!N:N,MATCH(S135,Define!M:M))</f>
        <v>単体</v>
      </c>
      <c r="U135">
        <v>1</v>
      </c>
      <c r="V135">
        <v>1</v>
      </c>
      <c r="W135">
        <v>1</v>
      </c>
      <c r="X135">
        <v>1</v>
      </c>
    </row>
    <row r="136" spans="1:24">
      <c r="A136">
        <v>13940</v>
      </c>
      <c r="B136">
        <v>13940</v>
      </c>
      <c r="C136" t="str">
        <f>INDEX(TextData!B:B,MATCH(B136,TextData!A:A))</f>
        <v>セルフシールド</v>
      </c>
      <c r="D136">
        <v>6</v>
      </c>
      <c r="E136" t="str">
        <f>INDEX(Define!X:X,MATCH(D136,Define!W:W))</f>
        <v>自己強化</v>
      </c>
      <c r="F136">
        <v>803</v>
      </c>
      <c r="G136" t="str">
        <f>INDEX([1]Animations!B:B,MATCH(F136,[1]Animations!A:A))</f>
        <v>MakerEffect/Powerup3</v>
      </c>
      <c r="H136">
        <v>1</v>
      </c>
      <c r="I136" t="str">
        <f>INDEX(Define!B:B,MATCH(H136,Define!A:A))</f>
        <v>単体</v>
      </c>
      <c r="J136">
        <v>0</v>
      </c>
      <c r="K136">
        <v>3</v>
      </c>
      <c r="L136">
        <v>30</v>
      </c>
      <c r="M136">
        <v>3</v>
      </c>
      <c r="N136" t="str">
        <f>INDEX(Define!E:E,MATCH(M136,Define!D:D))</f>
        <v>氷</v>
      </c>
      <c r="O136">
        <v>2</v>
      </c>
      <c r="P136" t="str">
        <f>INDEX(Define!H:H,MATCH(O136,Define!G:G))</f>
        <v>パッシブ</v>
      </c>
      <c r="Q136">
        <v>4</v>
      </c>
      <c r="R136" t="str">
        <f>INDEX(Define!K:K,MATCH(Q136,Define!J:J))</f>
        <v>自身</v>
      </c>
      <c r="S136">
        <v>4</v>
      </c>
      <c r="T136" t="str">
        <f>INDEX(Define!N:N,MATCH(S136,Define!M:M))</f>
        <v>自身</v>
      </c>
      <c r="U136">
        <v>1</v>
      </c>
      <c r="V136">
        <v>1</v>
      </c>
      <c r="W136">
        <v>1</v>
      </c>
      <c r="X136">
        <v>0</v>
      </c>
    </row>
    <row r="137" spans="1:24">
      <c r="A137">
        <v>13950</v>
      </c>
      <c r="B137">
        <v>13950</v>
      </c>
      <c r="C137" t="str">
        <f>INDEX(TextData!B:B,MATCH(B137,TextData!A:A))</f>
        <v>パッシブジャミング</v>
      </c>
      <c r="D137">
        <v>6</v>
      </c>
      <c r="E137" t="str">
        <f>INDEX(Define!X:X,MATCH(D137,Define!W:W))</f>
        <v>自己強化</v>
      </c>
      <c r="F137">
        <v>1109</v>
      </c>
      <c r="G137" t="str">
        <f>INDEX([1]Animations!B:B,MATCH(F137,[1]Animations!A:A))</f>
        <v>MakerEffect/Flash</v>
      </c>
      <c r="H137">
        <v>1</v>
      </c>
      <c r="I137" t="str">
        <f>INDEX(Define!B:B,MATCH(H137,Define!A:A))</f>
        <v>単体</v>
      </c>
      <c r="J137">
        <v>0</v>
      </c>
      <c r="K137">
        <v>5</v>
      </c>
      <c r="L137">
        <v>20</v>
      </c>
      <c r="M137">
        <v>3</v>
      </c>
      <c r="N137" t="str">
        <f>INDEX(Define!E:E,MATCH(M137,Define!D:D))</f>
        <v>氷</v>
      </c>
      <c r="O137">
        <v>2</v>
      </c>
      <c r="P137" t="str">
        <f>INDEX(Define!H:H,MATCH(O137,Define!G:G))</f>
        <v>パッシブ</v>
      </c>
      <c r="Q137">
        <v>11</v>
      </c>
      <c r="R137" t="str">
        <f>INDEX(Define!K:K,MATCH(Q137,Define!J:J))</f>
        <v>Triggerの条件を満たす</v>
      </c>
      <c r="S137">
        <v>1</v>
      </c>
      <c r="T137" t="str">
        <f>INDEX(Define!N:N,MATCH(S137,Define!M:M))</f>
        <v>単体</v>
      </c>
      <c r="U137">
        <v>1</v>
      </c>
      <c r="V137">
        <v>1</v>
      </c>
      <c r="W137">
        <v>1</v>
      </c>
      <c r="X137">
        <v>1</v>
      </c>
    </row>
    <row r="138" ht="12" customHeight="1" spans="1:24">
      <c r="A138">
        <v>14010</v>
      </c>
      <c r="B138">
        <v>14010</v>
      </c>
      <c r="C138" t="str">
        <f>INDEX(TextData!B:B,MATCH(B138,TextData!A:A))</f>
        <v>ファーストエイド</v>
      </c>
      <c r="D138">
        <v>6</v>
      </c>
      <c r="E138" t="str">
        <f>INDEX(Define!X:X,MATCH(D138,Define!W:W))</f>
        <v>自己強化</v>
      </c>
      <c r="F138">
        <v>3023</v>
      </c>
      <c r="G138" t="str">
        <f>INDEX([1]Animations!B:B,MATCH(F138,[1]Animations!A:A))</f>
        <v>Genfulew_Effect/B&amp;S_MinMax_Cure</v>
      </c>
      <c r="H138">
        <v>1</v>
      </c>
      <c r="I138" t="str">
        <f>INDEX(Define!B:B,MATCH(H138,Define!A:A))</f>
        <v>単体</v>
      </c>
      <c r="J138">
        <v>0</v>
      </c>
      <c r="K138">
        <v>0</v>
      </c>
      <c r="L138">
        <v>20</v>
      </c>
      <c r="M138">
        <v>4</v>
      </c>
      <c r="N138" t="str">
        <f>INDEX(Define!E:E,MATCH(M138,Define!D:D))</f>
        <v>光</v>
      </c>
      <c r="O138">
        <v>2</v>
      </c>
      <c r="P138" t="str">
        <f>INDEX(Define!H:H,MATCH(O138,Define!G:G))</f>
        <v>パッシブ</v>
      </c>
      <c r="Q138">
        <v>11</v>
      </c>
      <c r="R138" t="str">
        <f>INDEX(Define!K:K,MATCH(Q138,Define!J:J))</f>
        <v>Triggerの条件を満たす</v>
      </c>
      <c r="S138">
        <v>1</v>
      </c>
      <c r="T138" t="str">
        <f>INDEX(Define!N:N,MATCH(S138,Define!M:M))</f>
        <v>単体</v>
      </c>
      <c r="U138">
        <v>1</v>
      </c>
      <c r="V138">
        <v>1</v>
      </c>
      <c r="W138">
        <v>1</v>
      </c>
      <c r="X138">
        <v>1</v>
      </c>
    </row>
    <row r="139" ht="12" customHeight="1" spans="1:24">
      <c r="A139">
        <v>14020</v>
      </c>
      <c r="B139">
        <v>14020</v>
      </c>
      <c r="C139" t="str">
        <f>INDEX(TextData!B:B,MATCH(B139,TextData!A:A))</f>
        <v>クイックヒール</v>
      </c>
      <c r="D139">
        <v>6</v>
      </c>
      <c r="E139" t="str">
        <f>INDEX(Define!X:X,MATCH(D139,Define!W:W))</f>
        <v>自己強化</v>
      </c>
      <c r="F139">
        <v>3023</v>
      </c>
      <c r="G139" t="str">
        <f>INDEX([1]Animations!B:B,MATCH(F139,[1]Animations!A:A))</f>
        <v>Genfulew_Effect/B&amp;S_MinMax_Cure</v>
      </c>
      <c r="H139">
        <v>1</v>
      </c>
      <c r="I139" t="str">
        <f>INDEX(Define!B:B,MATCH(H139,Define!A:A))</f>
        <v>単体</v>
      </c>
      <c r="J139">
        <v>0</v>
      </c>
      <c r="K139">
        <v>5</v>
      </c>
      <c r="L139">
        <v>20</v>
      </c>
      <c r="M139">
        <v>4</v>
      </c>
      <c r="N139" t="str">
        <f>INDEX(Define!E:E,MATCH(M139,Define!D:D))</f>
        <v>光</v>
      </c>
      <c r="O139">
        <v>2</v>
      </c>
      <c r="P139" t="str">
        <f>INDEX(Define!H:H,MATCH(O139,Define!G:G))</f>
        <v>パッシブ</v>
      </c>
      <c r="Q139">
        <v>11</v>
      </c>
      <c r="R139" t="str">
        <f>INDEX(Define!K:K,MATCH(Q139,Define!J:J))</f>
        <v>Triggerの条件を満たす</v>
      </c>
      <c r="S139">
        <v>1</v>
      </c>
      <c r="T139" t="str">
        <f>INDEX(Define!N:N,MATCH(S139,Define!M:M))</f>
        <v>単体</v>
      </c>
      <c r="U139">
        <v>1</v>
      </c>
      <c r="V139">
        <v>1</v>
      </c>
      <c r="W139">
        <v>1</v>
      </c>
      <c r="X139">
        <v>1</v>
      </c>
    </row>
    <row r="140" ht="12" customHeight="1" spans="1:24">
      <c r="A140">
        <v>14030</v>
      </c>
      <c r="B140">
        <v>14030</v>
      </c>
      <c r="C140" t="str">
        <f>INDEX(TextData!B:B,MATCH(B140,TextData!A:A))</f>
        <v>ガードバインド</v>
      </c>
      <c r="D140">
        <v>6</v>
      </c>
      <c r="E140" t="str">
        <f>INDEX(Define!X:X,MATCH(D140,Define!W:W))</f>
        <v>自己強化</v>
      </c>
      <c r="F140">
        <v>1109</v>
      </c>
      <c r="G140" t="str">
        <f>INDEX([1]Animations!B:B,MATCH(F140,[1]Animations!A:A))</f>
        <v>MakerEffect/Flash</v>
      </c>
      <c r="H140">
        <v>1</v>
      </c>
      <c r="I140" t="str">
        <f>INDEX(Define!B:B,MATCH(H140,Define!A:A))</f>
        <v>単体</v>
      </c>
      <c r="J140">
        <v>0</v>
      </c>
      <c r="K140">
        <v>3</v>
      </c>
      <c r="L140">
        <v>20</v>
      </c>
      <c r="M140">
        <v>4</v>
      </c>
      <c r="N140" t="str">
        <f>INDEX(Define!E:E,MATCH(M140,Define!D:D))</f>
        <v>光</v>
      </c>
      <c r="O140">
        <v>2</v>
      </c>
      <c r="P140" t="str">
        <f>INDEX(Define!H:H,MATCH(O140,Define!G:G))</f>
        <v>パッシブ</v>
      </c>
      <c r="Q140">
        <v>4</v>
      </c>
      <c r="R140" t="str">
        <f>INDEX(Define!K:K,MATCH(Q140,Define!J:J))</f>
        <v>自身</v>
      </c>
      <c r="S140">
        <v>4</v>
      </c>
      <c r="T140" t="str">
        <f>INDEX(Define!N:N,MATCH(S140,Define!M:M))</f>
        <v>自身</v>
      </c>
      <c r="U140">
        <v>1</v>
      </c>
      <c r="V140">
        <v>1</v>
      </c>
      <c r="W140">
        <v>1</v>
      </c>
      <c r="X140">
        <v>0</v>
      </c>
    </row>
    <row r="141" ht="12" customHeight="1" spans="1:24">
      <c r="A141">
        <v>14040</v>
      </c>
      <c r="B141">
        <v>14040</v>
      </c>
      <c r="C141" t="str">
        <f>INDEX(TextData!B:B,MATCH(B141,TextData!A:A))</f>
        <v>ホープフルアイリス</v>
      </c>
      <c r="D141">
        <v>6</v>
      </c>
      <c r="E141" t="str">
        <f>INDEX(Define!X:X,MATCH(D141,Define!W:W))</f>
        <v>自己強化</v>
      </c>
      <c r="F141">
        <v>1109</v>
      </c>
      <c r="G141" t="str">
        <f>INDEX([1]Animations!B:B,MATCH(F141,[1]Animations!A:A))</f>
        <v>MakerEffect/Flash</v>
      </c>
      <c r="H141">
        <v>1</v>
      </c>
      <c r="I141" t="str">
        <f>INDEX(Define!B:B,MATCH(H141,Define!A:A))</f>
        <v>単体</v>
      </c>
      <c r="J141">
        <v>0</v>
      </c>
      <c r="K141">
        <v>0</v>
      </c>
      <c r="L141">
        <v>20</v>
      </c>
      <c r="M141">
        <v>4</v>
      </c>
      <c r="N141" t="str">
        <f>INDEX(Define!E:E,MATCH(M141,Define!D:D))</f>
        <v>光</v>
      </c>
      <c r="O141">
        <v>2</v>
      </c>
      <c r="P141" t="str">
        <f>INDEX(Define!H:H,MATCH(O141,Define!G:G))</f>
        <v>パッシブ</v>
      </c>
      <c r="Q141">
        <v>4</v>
      </c>
      <c r="R141" t="str">
        <f>INDEX(Define!K:K,MATCH(Q141,Define!J:J))</f>
        <v>自身</v>
      </c>
      <c r="S141">
        <v>4</v>
      </c>
      <c r="T141" t="str">
        <f>INDEX(Define!N:N,MATCH(S141,Define!M:M))</f>
        <v>自身</v>
      </c>
      <c r="U141">
        <v>1</v>
      </c>
      <c r="V141">
        <v>1</v>
      </c>
      <c r="W141">
        <v>1</v>
      </c>
      <c r="X141">
        <v>0</v>
      </c>
    </row>
    <row r="142" ht="12" customHeight="1" spans="1:24">
      <c r="A142">
        <v>14050</v>
      </c>
      <c r="B142">
        <v>14050</v>
      </c>
      <c r="C142" t="str">
        <f>INDEX(TextData!B:B,MATCH(B142,TextData!A:A))</f>
        <v>キュアパッシブ</v>
      </c>
      <c r="D142">
        <v>6</v>
      </c>
      <c r="E142" t="str">
        <f>INDEX(Define!X:X,MATCH(D142,Define!W:W))</f>
        <v>自己強化</v>
      </c>
      <c r="F142">
        <v>3023</v>
      </c>
      <c r="G142" t="str">
        <f>INDEX([1]Animations!B:B,MATCH(F142,[1]Animations!A:A))</f>
        <v>Genfulew_Effect/B&amp;S_MinMax_Cure</v>
      </c>
      <c r="H142">
        <v>1</v>
      </c>
      <c r="I142" t="str">
        <f>INDEX(Define!B:B,MATCH(H142,Define!A:A))</f>
        <v>単体</v>
      </c>
      <c r="J142">
        <v>0</v>
      </c>
      <c r="K142">
        <v>0</v>
      </c>
      <c r="L142">
        <v>20</v>
      </c>
      <c r="M142">
        <v>4</v>
      </c>
      <c r="N142" t="str">
        <f>INDEX(Define!E:E,MATCH(M142,Define!D:D))</f>
        <v>光</v>
      </c>
      <c r="O142">
        <v>2</v>
      </c>
      <c r="P142" t="str">
        <f>INDEX(Define!H:H,MATCH(O142,Define!G:G))</f>
        <v>パッシブ</v>
      </c>
      <c r="Q142">
        <v>2</v>
      </c>
      <c r="R142" t="str">
        <f>INDEX(Define!K:K,MATCH(Q142,Define!J:J))</f>
        <v>味方</v>
      </c>
      <c r="S142">
        <v>1</v>
      </c>
      <c r="T142" t="str">
        <f>INDEX(Define!N:N,MATCH(S142,Define!M:M))</f>
        <v>単体</v>
      </c>
      <c r="U142">
        <v>1</v>
      </c>
      <c r="V142">
        <v>1</v>
      </c>
      <c r="W142">
        <v>1</v>
      </c>
      <c r="X142">
        <v>0</v>
      </c>
    </row>
    <row r="143" ht="12" customHeight="1" spans="1:24">
      <c r="A143">
        <v>14060</v>
      </c>
      <c r="B143">
        <v>14060</v>
      </c>
      <c r="C143" t="str">
        <f>INDEX(TextData!B:B,MATCH(B143,TextData!A:A))</f>
        <v>パッシブサプライ</v>
      </c>
      <c r="D143">
        <v>6</v>
      </c>
      <c r="E143" t="str">
        <f>INDEX(Define!X:X,MATCH(D143,Define!W:W))</f>
        <v>自己強化</v>
      </c>
      <c r="F143">
        <v>1109</v>
      </c>
      <c r="G143" t="str">
        <f>INDEX([1]Animations!B:B,MATCH(F143,[1]Animations!A:A))</f>
        <v>MakerEffect/Flash</v>
      </c>
      <c r="H143">
        <v>1</v>
      </c>
      <c r="I143" t="str">
        <f>INDEX(Define!B:B,MATCH(H143,Define!A:A))</f>
        <v>単体</v>
      </c>
      <c r="J143">
        <v>0</v>
      </c>
      <c r="K143">
        <v>0</v>
      </c>
      <c r="L143">
        <v>20</v>
      </c>
      <c r="M143">
        <v>4</v>
      </c>
      <c r="N143" t="str">
        <f>INDEX(Define!E:E,MATCH(M143,Define!D:D))</f>
        <v>光</v>
      </c>
      <c r="O143">
        <v>2</v>
      </c>
      <c r="P143" t="str">
        <f>INDEX(Define!H:H,MATCH(O143,Define!G:G))</f>
        <v>パッシブ</v>
      </c>
      <c r="Q143">
        <v>6</v>
      </c>
      <c r="R143" t="str">
        <f>INDEX(Define!K:K,MATCH(Q143,Define!J:J))</f>
        <v>反撃</v>
      </c>
      <c r="S143">
        <v>1</v>
      </c>
      <c r="T143" t="str">
        <f>INDEX(Define!N:N,MATCH(S143,Define!M:M))</f>
        <v>単体</v>
      </c>
      <c r="U143">
        <v>1</v>
      </c>
      <c r="V143">
        <v>1</v>
      </c>
      <c r="W143">
        <v>1</v>
      </c>
      <c r="X143">
        <v>0</v>
      </c>
    </row>
    <row r="144" ht="12" customHeight="1" spans="1:24">
      <c r="A144">
        <v>14070</v>
      </c>
      <c r="B144">
        <v>14070</v>
      </c>
      <c r="C144" t="str">
        <f>INDEX(TextData!B:B,MATCH(B144,TextData!A:A))</f>
        <v>ホーミングクルセイド</v>
      </c>
      <c r="D144">
        <v>6</v>
      </c>
      <c r="E144" t="str">
        <f>INDEX(Define!X:X,MATCH(D144,Define!W:W))</f>
        <v>自己強化</v>
      </c>
      <c r="F144">
        <v>1109</v>
      </c>
      <c r="G144" t="str">
        <f>INDEX([1]Animations!B:B,MATCH(F144,[1]Animations!A:A))</f>
        <v>MakerEffect/Flash</v>
      </c>
      <c r="H144">
        <v>1</v>
      </c>
      <c r="I144" t="str">
        <f>INDEX(Define!B:B,MATCH(H144,Define!A:A))</f>
        <v>単体</v>
      </c>
      <c r="J144">
        <v>0</v>
      </c>
      <c r="K144">
        <v>0</v>
      </c>
      <c r="L144">
        <v>20</v>
      </c>
      <c r="M144">
        <v>4</v>
      </c>
      <c r="N144" t="str">
        <f>INDEX(Define!E:E,MATCH(M144,Define!D:D))</f>
        <v>光</v>
      </c>
      <c r="O144">
        <v>2</v>
      </c>
      <c r="P144" t="str">
        <f>INDEX(Define!H:H,MATCH(O144,Define!G:G))</f>
        <v>パッシブ</v>
      </c>
      <c r="Q144">
        <v>4</v>
      </c>
      <c r="R144" t="str">
        <f>INDEX(Define!K:K,MATCH(Q144,Define!J:J))</f>
        <v>自身</v>
      </c>
      <c r="S144">
        <v>4</v>
      </c>
      <c r="T144" t="str">
        <f>INDEX(Define!N:N,MATCH(S144,Define!M:M))</f>
        <v>自身</v>
      </c>
      <c r="U144">
        <v>1</v>
      </c>
      <c r="V144">
        <v>1</v>
      </c>
      <c r="W144">
        <v>1</v>
      </c>
      <c r="X144">
        <v>0</v>
      </c>
    </row>
    <row r="145" ht="12" customHeight="1" spans="1:24">
      <c r="A145">
        <v>14090</v>
      </c>
      <c r="B145">
        <v>14090</v>
      </c>
      <c r="C145" t="str">
        <f>INDEX(TextData!B:B,MATCH(B145,TextData!A:A))</f>
        <v>リレイズ</v>
      </c>
      <c r="D145">
        <v>6</v>
      </c>
      <c r="E145" t="str">
        <f>INDEX(Define!X:X,MATCH(D145,Define!W:W))</f>
        <v>自己強化</v>
      </c>
      <c r="F145">
        <v>3027</v>
      </c>
      <c r="G145" t="str">
        <f>INDEX([1]Animations!B:B,MATCH(F145,[1]Animations!A:A))</f>
        <v>Genfulew_Effect/B&amp;S_MinMax_Regeneration1</v>
      </c>
      <c r="H145">
        <v>1</v>
      </c>
      <c r="I145" t="str">
        <f>INDEX(Define!B:B,MATCH(H145,Define!A:A))</f>
        <v>単体</v>
      </c>
      <c r="J145">
        <v>0</v>
      </c>
      <c r="K145">
        <v>5</v>
      </c>
      <c r="L145">
        <v>20</v>
      </c>
      <c r="M145">
        <v>4</v>
      </c>
      <c r="N145" t="str">
        <f>INDEX(Define!E:E,MATCH(M145,Define!D:D))</f>
        <v>光</v>
      </c>
      <c r="O145">
        <v>2</v>
      </c>
      <c r="P145" t="str">
        <f>INDEX(Define!H:H,MATCH(O145,Define!G:G))</f>
        <v>パッシブ</v>
      </c>
      <c r="Q145">
        <v>4</v>
      </c>
      <c r="R145" t="str">
        <f>INDEX(Define!K:K,MATCH(Q145,Define!J:J))</f>
        <v>自身</v>
      </c>
      <c r="S145">
        <v>4</v>
      </c>
      <c r="T145" t="str">
        <f>INDEX(Define!N:N,MATCH(S145,Define!M:M))</f>
        <v>自身</v>
      </c>
      <c r="U145">
        <v>1</v>
      </c>
      <c r="V145">
        <v>1</v>
      </c>
      <c r="W145">
        <v>1</v>
      </c>
      <c r="X145">
        <v>0</v>
      </c>
    </row>
    <row r="146" ht="12" customHeight="1" spans="1:24">
      <c r="A146">
        <v>14100</v>
      </c>
      <c r="B146">
        <v>14100</v>
      </c>
      <c r="C146" t="str">
        <f>INDEX(TextData!B:B,MATCH(B146,TextData!A:A))</f>
        <v>ファストヒール</v>
      </c>
      <c r="D146">
        <v>6</v>
      </c>
      <c r="E146" t="str">
        <f>INDEX(Define!X:X,MATCH(D146,Define!W:W))</f>
        <v>自己強化</v>
      </c>
      <c r="F146">
        <v>3023</v>
      </c>
      <c r="G146" t="str">
        <f>INDEX([1]Animations!B:B,MATCH(F146,[1]Animations!A:A))</f>
        <v>Genfulew_Effect/B&amp;S_MinMax_Cure</v>
      </c>
      <c r="H146">
        <v>1</v>
      </c>
      <c r="I146" t="str">
        <f>INDEX(Define!B:B,MATCH(H146,Define!A:A))</f>
        <v>単体</v>
      </c>
      <c r="J146">
        <v>0</v>
      </c>
      <c r="K146">
        <v>0</v>
      </c>
      <c r="L146">
        <v>20</v>
      </c>
      <c r="M146">
        <v>4</v>
      </c>
      <c r="N146" t="str">
        <f>INDEX(Define!E:E,MATCH(M146,Define!D:D))</f>
        <v>光</v>
      </c>
      <c r="O146">
        <v>2</v>
      </c>
      <c r="P146" t="str">
        <f>INDEX(Define!H:H,MATCH(O146,Define!G:G))</f>
        <v>パッシブ</v>
      </c>
      <c r="Q146">
        <v>2</v>
      </c>
      <c r="R146" t="str">
        <f>INDEX(Define!K:K,MATCH(Q146,Define!J:J))</f>
        <v>味方</v>
      </c>
      <c r="S146">
        <v>3</v>
      </c>
      <c r="T146" t="str">
        <f>INDEX(Define!N:N,MATCH(S146,Define!M:M))</f>
        <v>全体</v>
      </c>
      <c r="U146">
        <v>2</v>
      </c>
      <c r="V146">
        <v>1</v>
      </c>
      <c r="W146">
        <v>1</v>
      </c>
      <c r="X146">
        <v>0</v>
      </c>
    </row>
    <row r="147" ht="12" customHeight="1" spans="1:24">
      <c r="A147">
        <v>14110</v>
      </c>
      <c r="B147">
        <v>14110</v>
      </c>
      <c r="C147" t="str">
        <f>INDEX(TextData!B:B,MATCH(B147,TextData!A:A))</f>
        <v>リフレッシュ</v>
      </c>
      <c r="D147">
        <v>6</v>
      </c>
      <c r="E147" t="str">
        <f>INDEX(Define!X:X,MATCH(D147,Define!W:W))</f>
        <v>自己強化</v>
      </c>
      <c r="F147">
        <v>3023</v>
      </c>
      <c r="G147" t="str">
        <f>INDEX([1]Animations!B:B,MATCH(F147,[1]Animations!A:A))</f>
        <v>Genfulew_Effect/B&amp;S_MinMax_Cure</v>
      </c>
      <c r="H147">
        <v>1</v>
      </c>
      <c r="I147" t="str">
        <f>INDEX(Define!B:B,MATCH(H147,Define!A:A))</f>
        <v>単体</v>
      </c>
      <c r="J147">
        <v>0</v>
      </c>
      <c r="K147">
        <v>3</v>
      </c>
      <c r="L147">
        <v>30</v>
      </c>
      <c r="M147">
        <v>4</v>
      </c>
      <c r="N147" t="str">
        <f>INDEX(Define!E:E,MATCH(M147,Define!D:D))</f>
        <v>光</v>
      </c>
      <c r="O147">
        <v>2</v>
      </c>
      <c r="P147" t="str">
        <f>INDEX(Define!H:H,MATCH(O147,Define!G:G))</f>
        <v>パッシブ</v>
      </c>
      <c r="Q147">
        <v>2</v>
      </c>
      <c r="R147" t="str">
        <f>INDEX(Define!K:K,MATCH(Q147,Define!J:J))</f>
        <v>味方</v>
      </c>
      <c r="S147">
        <v>1</v>
      </c>
      <c r="T147" t="str">
        <f>INDEX(Define!N:N,MATCH(S147,Define!M:M))</f>
        <v>単体</v>
      </c>
      <c r="U147">
        <v>1</v>
      </c>
      <c r="V147">
        <v>1</v>
      </c>
      <c r="W147">
        <v>1</v>
      </c>
      <c r="X147">
        <v>0</v>
      </c>
    </row>
    <row r="148" ht="12" customHeight="1" spans="1:24">
      <c r="A148">
        <v>14120</v>
      </c>
      <c r="B148">
        <v>14120</v>
      </c>
      <c r="C148" t="str">
        <f>INDEX(TextData!B:B,MATCH(B148,TextData!A:A))</f>
        <v>ファストメディック</v>
      </c>
      <c r="D148">
        <v>6</v>
      </c>
      <c r="E148" t="str">
        <f>INDEX(Define!X:X,MATCH(D148,Define!W:W))</f>
        <v>自己強化</v>
      </c>
      <c r="F148">
        <v>3023</v>
      </c>
      <c r="G148" t="str">
        <f>INDEX([1]Animations!B:B,MATCH(F148,[1]Animations!A:A))</f>
        <v>Genfulew_Effect/B&amp;S_MinMax_Cure</v>
      </c>
      <c r="H148">
        <v>1</v>
      </c>
      <c r="I148" t="str">
        <f>INDEX(Define!B:B,MATCH(H148,Define!A:A))</f>
        <v>単体</v>
      </c>
      <c r="J148">
        <v>0</v>
      </c>
      <c r="K148">
        <v>3</v>
      </c>
      <c r="L148">
        <v>30</v>
      </c>
      <c r="M148">
        <v>4</v>
      </c>
      <c r="N148" t="str">
        <f>INDEX(Define!E:E,MATCH(M148,Define!D:D))</f>
        <v>光</v>
      </c>
      <c r="O148">
        <v>2</v>
      </c>
      <c r="P148" t="str">
        <f>INDEX(Define!H:H,MATCH(O148,Define!G:G))</f>
        <v>パッシブ</v>
      </c>
      <c r="Q148">
        <v>2</v>
      </c>
      <c r="R148" t="str">
        <f>INDEX(Define!K:K,MATCH(Q148,Define!J:J))</f>
        <v>味方</v>
      </c>
      <c r="S148">
        <v>2</v>
      </c>
      <c r="T148" t="str">
        <f>INDEX(Define!N:N,MATCH(S148,Define!M:M))</f>
        <v>列</v>
      </c>
      <c r="U148">
        <v>1</v>
      </c>
      <c r="V148">
        <v>1</v>
      </c>
      <c r="W148">
        <v>1</v>
      </c>
      <c r="X148">
        <v>0</v>
      </c>
    </row>
    <row r="149" ht="12" customHeight="1" spans="1:24">
      <c r="A149">
        <v>14130</v>
      </c>
      <c r="B149">
        <v>14130</v>
      </c>
      <c r="C149" t="str">
        <f>INDEX(TextData!B:B,MATCH(B149,TextData!A:A))</f>
        <v>ディバインシールド</v>
      </c>
      <c r="D149">
        <v>6</v>
      </c>
      <c r="E149" t="str">
        <f>INDEX(Define!X:X,MATCH(D149,Define!W:W))</f>
        <v>自己強化</v>
      </c>
      <c r="F149">
        <v>1109</v>
      </c>
      <c r="G149" t="str">
        <f>INDEX([1]Animations!B:B,MATCH(F149,[1]Animations!A:A))</f>
        <v>MakerEffect/Flash</v>
      </c>
      <c r="H149">
        <v>1</v>
      </c>
      <c r="I149" t="str">
        <f>INDEX(Define!B:B,MATCH(H149,Define!A:A))</f>
        <v>単体</v>
      </c>
      <c r="J149">
        <v>0</v>
      </c>
      <c r="K149">
        <v>0</v>
      </c>
      <c r="L149">
        <v>30</v>
      </c>
      <c r="M149">
        <v>4</v>
      </c>
      <c r="N149" t="str">
        <f>INDEX(Define!E:E,MATCH(M149,Define!D:D))</f>
        <v>光</v>
      </c>
      <c r="O149">
        <v>2</v>
      </c>
      <c r="P149" t="str">
        <f>INDEX(Define!H:H,MATCH(O149,Define!G:G))</f>
        <v>パッシブ</v>
      </c>
      <c r="Q149">
        <v>4</v>
      </c>
      <c r="R149" t="str">
        <f>INDEX(Define!K:K,MATCH(Q149,Define!J:J))</f>
        <v>自身</v>
      </c>
      <c r="S149">
        <v>4</v>
      </c>
      <c r="T149" t="str">
        <f>INDEX(Define!N:N,MATCH(S149,Define!M:M))</f>
        <v>自身</v>
      </c>
      <c r="U149">
        <v>1</v>
      </c>
      <c r="V149">
        <v>1</v>
      </c>
      <c r="W149">
        <v>1</v>
      </c>
      <c r="X149">
        <v>0</v>
      </c>
    </row>
    <row r="150" ht="12" customHeight="1" spans="1:24">
      <c r="A150">
        <v>14140</v>
      </c>
      <c r="B150">
        <v>14140</v>
      </c>
      <c r="C150" t="str">
        <f>INDEX(TextData!B:B,MATCH(B150,TextData!A:A))</f>
        <v>ライフディバイド</v>
      </c>
      <c r="D150">
        <v>6</v>
      </c>
      <c r="E150" t="str">
        <f>INDEX(Define!X:X,MATCH(D150,Define!W:W))</f>
        <v>自己強化</v>
      </c>
      <c r="F150">
        <v>3023</v>
      </c>
      <c r="G150" t="str">
        <f>INDEX([1]Animations!B:B,MATCH(F150,[1]Animations!A:A))</f>
        <v>Genfulew_Effect/B&amp;S_MinMax_Cure</v>
      </c>
      <c r="H150">
        <v>1</v>
      </c>
      <c r="I150" t="str">
        <f>INDEX(Define!B:B,MATCH(H150,Define!A:A))</f>
        <v>単体</v>
      </c>
      <c r="J150">
        <v>0</v>
      </c>
      <c r="K150">
        <v>3</v>
      </c>
      <c r="L150">
        <v>30</v>
      </c>
      <c r="M150">
        <v>4</v>
      </c>
      <c r="N150" t="str">
        <f>INDEX(Define!E:E,MATCH(M150,Define!D:D))</f>
        <v>光</v>
      </c>
      <c r="O150">
        <v>2</v>
      </c>
      <c r="P150" t="str">
        <f>INDEX(Define!H:H,MATCH(O150,Define!G:G))</f>
        <v>パッシブ</v>
      </c>
      <c r="Q150">
        <v>11</v>
      </c>
      <c r="R150" t="str">
        <f>INDEX(Define!K:K,MATCH(Q150,Define!J:J))</f>
        <v>Triggerの条件を満たす</v>
      </c>
      <c r="S150">
        <v>1</v>
      </c>
      <c r="T150" t="str">
        <f>INDEX(Define!N:N,MATCH(S150,Define!M:M))</f>
        <v>単体</v>
      </c>
      <c r="U150">
        <v>1</v>
      </c>
      <c r="V150">
        <v>1</v>
      </c>
      <c r="W150">
        <v>1</v>
      </c>
      <c r="X150">
        <v>1</v>
      </c>
    </row>
    <row r="151" ht="12" customHeight="1" spans="1:24">
      <c r="A151">
        <v>14930</v>
      </c>
      <c r="B151">
        <v>14930</v>
      </c>
      <c r="C151" t="str">
        <f>INDEX(TextData!B:B,MATCH(B151,TextData!A:A))</f>
        <v>エイミングスコープ</v>
      </c>
      <c r="D151">
        <v>6</v>
      </c>
      <c r="E151" t="str">
        <f>INDEX(Define!X:X,MATCH(D151,Define!W:W))</f>
        <v>自己強化</v>
      </c>
      <c r="F151">
        <v>1109</v>
      </c>
      <c r="G151" t="str">
        <f>INDEX([1]Animations!B:B,MATCH(F151,[1]Animations!A:A))</f>
        <v>MakerEffect/Flash</v>
      </c>
      <c r="H151">
        <v>1</v>
      </c>
      <c r="I151" t="str">
        <f>INDEX(Define!B:B,MATCH(H151,Define!A:A))</f>
        <v>単体</v>
      </c>
      <c r="J151">
        <v>0</v>
      </c>
      <c r="K151">
        <v>0</v>
      </c>
      <c r="L151">
        <v>30</v>
      </c>
      <c r="M151">
        <v>4</v>
      </c>
      <c r="N151" t="str">
        <f>INDEX(Define!E:E,MATCH(M151,Define!D:D))</f>
        <v>光</v>
      </c>
      <c r="O151">
        <v>2</v>
      </c>
      <c r="P151" t="str">
        <f>INDEX(Define!H:H,MATCH(O151,Define!G:G))</f>
        <v>パッシブ</v>
      </c>
      <c r="Q151">
        <v>2</v>
      </c>
      <c r="R151" t="str">
        <f>INDEX(Define!K:K,MATCH(Q151,Define!J:J))</f>
        <v>味方</v>
      </c>
      <c r="S151">
        <v>3</v>
      </c>
      <c r="T151" t="str">
        <f>INDEX(Define!N:N,MATCH(S151,Define!M:M))</f>
        <v>全体</v>
      </c>
      <c r="U151">
        <v>1</v>
      </c>
      <c r="V151">
        <v>1</v>
      </c>
      <c r="W151">
        <v>1</v>
      </c>
      <c r="X151">
        <v>0</v>
      </c>
    </row>
    <row r="152" ht="12" customHeight="1" spans="1:24">
      <c r="A152">
        <v>14940</v>
      </c>
      <c r="B152">
        <v>14940</v>
      </c>
      <c r="C152" t="str">
        <f>INDEX(TextData!B:B,MATCH(B152,TextData!A:A))</f>
        <v>リジェネレーション</v>
      </c>
      <c r="D152">
        <v>6</v>
      </c>
      <c r="E152" t="str">
        <f>INDEX(Define!X:X,MATCH(D152,Define!W:W))</f>
        <v>自己強化</v>
      </c>
      <c r="F152">
        <v>3023</v>
      </c>
      <c r="G152" t="str">
        <f>INDEX([1]Animations!B:B,MATCH(F152,[1]Animations!A:A))</f>
        <v>Genfulew_Effect/B&amp;S_MinMax_Cure</v>
      </c>
      <c r="H152">
        <v>1</v>
      </c>
      <c r="I152" t="str">
        <f>INDEX(Define!B:B,MATCH(H152,Define!A:A))</f>
        <v>単体</v>
      </c>
      <c r="J152">
        <v>0</v>
      </c>
      <c r="K152">
        <v>3</v>
      </c>
      <c r="L152">
        <v>30</v>
      </c>
      <c r="M152">
        <v>4</v>
      </c>
      <c r="N152" t="str">
        <f>INDEX(Define!E:E,MATCH(M152,Define!D:D))</f>
        <v>光</v>
      </c>
      <c r="O152">
        <v>2</v>
      </c>
      <c r="P152" t="str">
        <f>INDEX(Define!H:H,MATCH(O152,Define!G:G))</f>
        <v>パッシブ</v>
      </c>
      <c r="Q152">
        <v>4</v>
      </c>
      <c r="R152" t="str">
        <f>INDEX(Define!K:K,MATCH(Q152,Define!J:J))</f>
        <v>自身</v>
      </c>
      <c r="S152">
        <v>4</v>
      </c>
      <c r="T152" t="str">
        <f>INDEX(Define!N:N,MATCH(S152,Define!M:M))</f>
        <v>自身</v>
      </c>
      <c r="U152">
        <v>1</v>
      </c>
      <c r="V152">
        <v>1</v>
      </c>
      <c r="W152">
        <v>1</v>
      </c>
      <c r="X152">
        <v>0</v>
      </c>
    </row>
    <row r="153" spans="1:24">
      <c r="A153">
        <v>15010</v>
      </c>
      <c r="B153">
        <v>15010</v>
      </c>
      <c r="C153" t="str">
        <f>INDEX(TextData!B:B,MATCH(B153,TextData!A:A))</f>
        <v>ワンスパニッシュ</v>
      </c>
      <c r="D153">
        <v>6</v>
      </c>
      <c r="E153" t="str">
        <f>INDEX(Define!X:X,MATCH(D153,Define!W:W))</f>
        <v>自己強化</v>
      </c>
      <c r="F153">
        <v>1109</v>
      </c>
      <c r="G153" t="str">
        <f>INDEX([1]Animations!B:B,MATCH(F153,[1]Animations!A:A))</f>
        <v>MakerEffect/Flash</v>
      </c>
      <c r="H153">
        <v>1</v>
      </c>
      <c r="I153" t="str">
        <f>INDEX(Define!B:B,MATCH(H153,Define!A:A))</f>
        <v>単体</v>
      </c>
      <c r="J153">
        <v>0</v>
      </c>
      <c r="K153">
        <v>0</v>
      </c>
      <c r="L153">
        <v>20</v>
      </c>
      <c r="M153">
        <v>5</v>
      </c>
      <c r="N153" t="str">
        <f>INDEX(Define!E:E,MATCH(M153,Define!D:D))</f>
        <v>闇</v>
      </c>
      <c r="O153">
        <v>2</v>
      </c>
      <c r="P153" t="str">
        <f>INDEX(Define!H:H,MATCH(O153,Define!G:G))</f>
        <v>パッシブ</v>
      </c>
      <c r="Q153">
        <v>4</v>
      </c>
      <c r="R153" t="str">
        <f>INDEX(Define!K:K,MATCH(Q153,Define!J:J))</f>
        <v>自身</v>
      </c>
      <c r="S153">
        <v>4</v>
      </c>
      <c r="T153" t="str">
        <f>INDEX(Define!N:N,MATCH(S153,Define!M:M))</f>
        <v>自身</v>
      </c>
      <c r="U153">
        <v>1</v>
      </c>
      <c r="V153">
        <v>1</v>
      </c>
      <c r="W153">
        <v>1</v>
      </c>
      <c r="X153">
        <v>0</v>
      </c>
    </row>
    <row r="154" ht="12" customHeight="1" spans="1:24">
      <c r="A154">
        <v>15020</v>
      </c>
      <c r="B154">
        <v>15020</v>
      </c>
      <c r="C154" t="str">
        <f>INDEX(TextData!B:B,MATCH(B154,TextData!A:A))</f>
        <v>クイックカース</v>
      </c>
      <c r="D154">
        <v>6</v>
      </c>
      <c r="E154" t="str">
        <f>INDEX(Define!X:X,MATCH(D154,Define!W:W))</f>
        <v>自己強化</v>
      </c>
      <c r="F154">
        <v>3047</v>
      </c>
      <c r="G154" t="str">
        <f>INDEX([1]Animations!B:B,MATCH(F154,[1]Animations!A:A))</f>
        <v>Genfulew_Effect/B&amp;S_MinMax_Dispel</v>
      </c>
      <c r="H154">
        <v>1</v>
      </c>
      <c r="I154" t="str">
        <f>INDEX(Define!B:B,MATCH(H154,Define!A:A))</f>
        <v>単体</v>
      </c>
      <c r="J154">
        <v>0</v>
      </c>
      <c r="K154">
        <v>3</v>
      </c>
      <c r="L154">
        <v>20</v>
      </c>
      <c r="M154">
        <v>5</v>
      </c>
      <c r="N154" t="str">
        <f>INDEX(Define!E:E,MATCH(M154,Define!D:D))</f>
        <v>闇</v>
      </c>
      <c r="O154">
        <v>2</v>
      </c>
      <c r="P154" t="str">
        <f>INDEX(Define!H:H,MATCH(O154,Define!G:G))</f>
        <v>パッシブ</v>
      </c>
      <c r="Q154">
        <v>6</v>
      </c>
      <c r="R154" t="str">
        <f>INDEX(Define!K:K,MATCH(Q154,Define!J:J))</f>
        <v>反撃</v>
      </c>
      <c r="S154">
        <v>1</v>
      </c>
      <c r="T154" t="str">
        <f>INDEX(Define!N:N,MATCH(S154,Define!M:M))</f>
        <v>単体</v>
      </c>
      <c r="U154">
        <v>2</v>
      </c>
      <c r="V154">
        <v>1</v>
      </c>
      <c r="W154">
        <v>1</v>
      </c>
      <c r="X154">
        <v>1</v>
      </c>
    </row>
    <row r="155" ht="12" customHeight="1" spans="1:24">
      <c r="A155">
        <v>15030</v>
      </c>
      <c r="B155">
        <v>15030</v>
      </c>
      <c r="C155" t="str">
        <f>INDEX(TextData!B:B,MATCH(B155,TextData!A:A))</f>
        <v>バイタリティ</v>
      </c>
      <c r="D155">
        <v>6</v>
      </c>
      <c r="E155" t="str">
        <f>INDEX(Define!X:X,MATCH(D155,Define!W:W))</f>
        <v>自己強化</v>
      </c>
      <c r="F155">
        <v>1109</v>
      </c>
      <c r="G155" t="str">
        <f>INDEX([1]Animations!B:B,MATCH(F155,[1]Animations!A:A))</f>
        <v>MakerEffect/Flash</v>
      </c>
      <c r="H155">
        <v>1</v>
      </c>
      <c r="I155" t="str">
        <f>INDEX(Define!B:B,MATCH(H155,Define!A:A))</f>
        <v>単体</v>
      </c>
      <c r="J155">
        <v>0</v>
      </c>
      <c r="K155">
        <v>3</v>
      </c>
      <c r="L155">
        <v>20</v>
      </c>
      <c r="M155">
        <v>5</v>
      </c>
      <c r="N155" t="str">
        <f>INDEX(Define!E:E,MATCH(M155,Define!D:D))</f>
        <v>闇</v>
      </c>
      <c r="O155">
        <v>2</v>
      </c>
      <c r="P155" t="str">
        <f>INDEX(Define!H:H,MATCH(O155,Define!G:G))</f>
        <v>パッシブ</v>
      </c>
      <c r="Q155">
        <v>4</v>
      </c>
      <c r="R155" t="str">
        <f>INDEX(Define!K:K,MATCH(Q155,Define!J:J))</f>
        <v>自身</v>
      </c>
      <c r="S155">
        <v>4</v>
      </c>
      <c r="T155" t="str">
        <f>INDEX(Define!N:N,MATCH(S155,Define!M:M))</f>
        <v>自身</v>
      </c>
      <c r="U155">
        <v>1</v>
      </c>
      <c r="V155">
        <v>1</v>
      </c>
      <c r="W155">
        <v>1</v>
      </c>
      <c r="X155">
        <v>0</v>
      </c>
    </row>
    <row r="156" ht="12" customHeight="1" spans="1:24">
      <c r="A156">
        <v>15040</v>
      </c>
      <c r="B156">
        <v>15040</v>
      </c>
      <c r="C156" t="str">
        <f>INDEX(TextData!B:B,MATCH(B156,TextData!A:A))</f>
        <v>ネガティブドレイン</v>
      </c>
      <c r="D156">
        <v>6</v>
      </c>
      <c r="E156" t="str">
        <f>INDEX(Define!X:X,MATCH(D156,Define!W:W))</f>
        <v>自己強化</v>
      </c>
      <c r="F156">
        <v>3302</v>
      </c>
      <c r="G156" t="str">
        <f>INDEX([1]Animations!B:B,MATCH(F156,[1]Animations!A:A))</f>
        <v>Genfulew_Effect/Enemy_CR_ActivationMagic</v>
      </c>
      <c r="H156">
        <v>1</v>
      </c>
      <c r="I156" t="str">
        <f>INDEX(Define!B:B,MATCH(H156,Define!A:A))</f>
        <v>単体</v>
      </c>
      <c r="J156">
        <v>0</v>
      </c>
      <c r="K156">
        <v>0</v>
      </c>
      <c r="L156">
        <v>20</v>
      </c>
      <c r="M156">
        <v>5</v>
      </c>
      <c r="N156" t="str">
        <f>INDEX(Define!E:E,MATCH(M156,Define!D:D))</f>
        <v>闇</v>
      </c>
      <c r="O156">
        <v>2</v>
      </c>
      <c r="P156" t="str">
        <f>INDEX(Define!H:H,MATCH(O156,Define!G:G))</f>
        <v>パッシブ</v>
      </c>
      <c r="Q156">
        <v>4</v>
      </c>
      <c r="R156" t="str">
        <f>INDEX(Define!K:K,MATCH(Q156,Define!J:J))</f>
        <v>自身</v>
      </c>
      <c r="S156">
        <v>4</v>
      </c>
      <c r="T156" t="str">
        <f>INDEX(Define!N:N,MATCH(S156,Define!M:M))</f>
        <v>自身</v>
      </c>
      <c r="U156">
        <v>1</v>
      </c>
      <c r="V156">
        <v>1</v>
      </c>
      <c r="W156">
        <v>1</v>
      </c>
      <c r="X156">
        <v>0</v>
      </c>
    </row>
    <row r="157" ht="12" customHeight="1" spans="1:24">
      <c r="A157">
        <v>15050</v>
      </c>
      <c r="B157">
        <v>15050</v>
      </c>
      <c r="C157" t="str">
        <f>INDEX(TextData!B:B,MATCH(B157,TextData!A:A))</f>
        <v>キュアシェイド</v>
      </c>
      <c r="D157">
        <v>6</v>
      </c>
      <c r="E157" t="str">
        <f>INDEX(Define!X:X,MATCH(D157,Define!W:W))</f>
        <v>自己強化</v>
      </c>
      <c r="F157">
        <v>3023</v>
      </c>
      <c r="G157" t="str">
        <f>INDEX([1]Animations!B:B,MATCH(F157,[1]Animations!A:A))</f>
        <v>Genfulew_Effect/B&amp;S_MinMax_Cure</v>
      </c>
      <c r="H157">
        <v>1</v>
      </c>
      <c r="I157" t="str">
        <f>INDEX(Define!B:B,MATCH(H157,Define!A:A))</f>
        <v>単体</v>
      </c>
      <c r="J157">
        <v>0</v>
      </c>
      <c r="K157">
        <v>0</v>
      </c>
      <c r="L157">
        <v>20</v>
      </c>
      <c r="M157">
        <v>5</v>
      </c>
      <c r="N157" t="str">
        <f>INDEX(Define!E:E,MATCH(M157,Define!D:D))</f>
        <v>闇</v>
      </c>
      <c r="O157">
        <v>2</v>
      </c>
      <c r="P157" t="str">
        <f>INDEX(Define!H:H,MATCH(O157,Define!G:G))</f>
        <v>パッシブ</v>
      </c>
      <c r="Q157">
        <v>2</v>
      </c>
      <c r="R157" t="str">
        <f>INDEX(Define!K:K,MATCH(Q157,Define!J:J))</f>
        <v>味方</v>
      </c>
      <c r="S157">
        <v>1</v>
      </c>
      <c r="T157" t="str">
        <f>INDEX(Define!N:N,MATCH(S157,Define!M:M))</f>
        <v>単体</v>
      </c>
      <c r="U157">
        <v>1</v>
      </c>
      <c r="V157">
        <v>1</v>
      </c>
      <c r="W157">
        <v>1</v>
      </c>
      <c r="X157">
        <v>0</v>
      </c>
    </row>
    <row r="158" ht="12" customHeight="1" spans="1:24">
      <c r="A158">
        <v>15060</v>
      </c>
      <c r="B158">
        <v>15060</v>
      </c>
      <c r="C158" t="str">
        <f>INDEX(TextData!B:B,MATCH(B158,TextData!A:A))</f>
        <v>アンデッドペイン</v>
      </c>
      <c r="D158">
        <v>6</v>
      </c>
      <c r="E158" t="str">
        <f>INDEX(Define!X:X,MATCH(D158,Define!W:W))</f>
        <v>自己強化</v>
      </c>
      <c r="F158">
        <v>3047</v>
      </c>
      <c r="G158" t="str">
        <f>INDEX([1]Animations!B:B,MATCH(F158,[1]Animations!A:A))</f>
        <v>Genfulew_Effect/B&amp;S_MinMax_Dispel</v>
      </c>
      <c r="H158">
        <v>1</v>
      </c>
      <c r="I158" t="str">
        <f>INDEX(Define!B:B,MATCH(H158,Define!A:A))</f>
        <v>単体</v>
      </c>
      <c r="J158">
        <v>0</v>
      </c>
      <c r="K158">
        <v>0</v>
      </c>
      <c r="L158">
        <v>20</v>
      </c>
      <c r="M158">
        <v>5</v>
      </c>
      <c r="N158" t="str">
        <f>INDEX(Define!E:E,MATCH(M158,Define!D:D))</f>
        <v>闇</v>
      </c>
      <c r="O158">
        <v>2</v>
      </c>
      <c r="P158" t="str">
        <f>INDEX(Define!H:H,MATCH(O158,Define!G:G))</f>
        <v>パッシブ</v>
      </c>
      <c r="Q158">
        <v>4</v>
      </c>
      <c r="R158" t="str">
        <f>INDEX(Define!K:K,MATCH(Q158,Define!J:J))</f>
        <v>自身</v>
      </c>
      <c r="S158">
        <v>4</v>
      </c>
      <c r="T158" t="str">
        <f>INDEX(Define!N:N,MATCH(S158,Define!M:M))</f>
        <v>自身</v>
      </c>
      <c r="U158">
        <v>1</v>
      </c>
      <c r="V158">
        <v>1</v>
      </c>
      <c r="W158">
        <v>1</v>
      </c>
      <c r="X158">
        <v>0</v>
      </c>
    </row>
    <row r="159" ht="12" customHeight="1" spans="1:24">
      <c r="A159">
        <v>15070</v>
      </c>
      <c r="B159">
        <v>15070</v>
      </c>
      <c r="C159" t="str">
        <f>INDEX(TextData!B:B,MATCH(B159,TextData!A:A))</f>
        <v>ジャックポッド</v>
      </c>
      <c r="D159">
        <v>6</v>
      </c>
      <c r="E159" t="str">
        <f>INDEX(Define!X:X,MATCH(D159,Define!W:W))</f>
        <v>自己強化</v>
      </c>
      <c r="F159">
        <v>3047</v>
      </c>
      <c r="G159" t="str">
        <f>INDEX([1]Animations!B:B,MATCH(F159,[1]Animations!A:A))</f>
        <v>Genfulew_Effect/B&amp;S_MinMax_Dispel</v>
      </c>
      <c r="H159">
        <v>1</v>
      </c>
      <c r="I159" t="str">
        <f>INDEX(Define!B:B,MATCH(H159,Define!A:A))</f>
        <v>単体</v>
      </c>
      <c r="J159">
        <v>0</v>
      </c>
      <c r="K159">
        <v>3</v>
      </c>
      <c r="L159">
        <v>20</v>
      </c>
      <c r="M159">
        <v>5</v>
      </c>
      <c r="N159" t="str">
        <f>INDEX(Define!E:E,MATCH(M159,Define!D:D))</f>
        <v>闇</v>
      </c>
      <c r="O159">
        <v>2</v>
      </c>
      <c r="P159" t="str">
        <f>INDEX(Define!H:H,MATCH(O159,Define!G:G))</f>
        <v>パッシブ</v>
      </c>
      <c r="Q159">
        <v>11</v>
      </c>
      <c r="R159" t="str">
        <f>INDEX(Define!K:K,MATCH(Q159,Define!J:J))</f>
        <v>Triggerの条件を満たす</v>
      </c>
      <c r="S159">
        <v>1</v>
      </c>
      <c r="T159" t="str">
        <f>INDEX(Define!N:N,MATCH(S159,Define!M:M))</f>
        <v>単体</v>
      </c>
      <c r="U159">
        <v>1</v>
      </c>
      <c r="V159">
        <v>1</v>
      </c>
      <c r="W159">
        <v>1</v>
      </c>
      <c r="X159">
        <v>1</v>
      </c>
    </row>
    <row r="160" ht="12" customHeight="1" spans="1:24">
      <c r="A160">
        <v>15080</v>
      </c>
      <c r="B160">
        <v>15080</v>
      </c>
      <c r="C160" t="str">
        <f>INDEX(TextData!B:B,MATCH(B160,TextData!A:A))</f>
        <v>ヒールハント</v>
      </c>
      <c r="D160">
        <v>6</v>
      </c>
      <c r="E160" t="str">
        <f>INDEX(Define!X:X,MATCH(D160,Define!W:W))</f>
        <v>自己強化</v>
      </c>
      <c r="F160">
        <v>3047</v>
      </c>
      <c r="G160" t="str">
        <f>INDEX([1]Animations!B:B,MATCH(F160,[1]Animations!A:A))</f>
        <v>Genfulew_Effect/B&amp;S_MinMax_Dispel</v>
      </c>
      <c r="H160">
        <v>1</v>
      </c>
      <c r="I160" t="str">
        <f>INDEX(Define!B:B,MATCH(H160,Define!A:A))</f>
        <v>単体</v>
      </c>
      <c r="J160">
        <v>0</v>
      </c>
      <c r="K160">
        <v>2</v>
      </c>
      <c r="L160">
        <v>20</v>
      </c>
      <c r="M160">
        <v>5</v>
      </c>
      <c r="N160" t="str">
        <f>INDEX(Define!E:E,MATCH(M160,Define!D:D))</f>
        <v>闇</v>
      </c>
      <c r="O160">
        <v>2</v>
      </c>
      <c r="P160" t="str">
        <f>INDEX(Define!H:H,MATCH(O160,Define!G:G))</f>
        <v>パッシブ</v>
      </c>
      <c r="Q160">
        <v>6</v>
      </c>
      <c r="R160" t="str">
        <f>INDEX(Define!K:K,MATCH(Q160,Define!J:J))</f>
        <v>反撃</v>
      </c>
      <c r="S160">
        <v>1</v>
      </c>
      <c r="T160" t="str">
        <f>INDEX(Define!N:N,MATCH(S160,Define!M:M))</f>
        <v>単体</v>
      </c>
      <c r="U160">
        <v>2</v>
      </c>
      <c r="V160">
        <v>1</v>
      </c>
      <c r="W160">
        <v>1</v>
      </c>
      <c r="X160">
        <v>0</v>
      </c>
    </row>
    <row r="161" ht="12" customHeight="1" spans="1:24">
      <c r="A161">
        <v>15110</v>
      </c>
      <c r="B161">
        <v>15110</v>
      </c>
      <c r="C161" t="str">
        <f>INDEX(TextData!B:B,MATCH(B161,TextData!A:A))</f>
        <v>フォーカサイト</v>
      </c>
      <c r="D161">
        <v>6</v>
      </c>
      <c r="E161" t="str">
        <f>INDEX(Define!X:X,MATCH(D161,Define!W:W))</f>
        <v>自己強化</v>
      </c>
      <c r="F161">
        <v>3302</v>
      </c>
      <c r="G161" t="str">
        <f>INDEX([1]Animations!B:B,MATCH(F161,[1]Animations!A:A))</f>
        <v>Genfulew_Effect/Enemy_CR_ActivationMagic</v>
      </c>
      <c r="H161">
        <v>1</v>
      </c>
      <c r="I161" t="str">
        <f>INDEX(Define!B:B,MATCH(H161,Define!A:A))</f>
        <v>単体</v>
      </c>
      <c r="J161">
        <v>0</v>
      </c>
      <c r="K161">
        <v>3</v>
      </c>
      <c r="L161">
        <v>30</v>
      </c>
      <c r="M161">
        <v>5</v>
      </c>
      <c r="N161" t="str">
        <f>INDEX(Define!E:E,MATCH(M161,Define!D:D))</f>
        <v>闇</v>
      </c>
      <c r="O161">
        <v>2</v>
      </c>
      <c r="P161" t="str">
        <f>INDEX(Define!H:H,MATCH(O161,Define!G:G))</f>
        <v>パッシブ</v>
      </c>
      <c r="Q161">
        <v>2</v>
      </c>
      <c r="R161" t="str">
        <f>INDEX(Define!K:K,MATCH(Q161,Define!J:J))</f>
        <v>味方</v>
      </c>
      <c r="S161">
        <v>1</v>
      </c>
      <c r="T161" t="str">
        <f>INDEX(Define!N:N,MATCH(S161,Define!M:M))</f>
        <v>単体</v>
      </c>
      <c r="U161">
        <v>1</v>
      </c>
      <c r="V161">
        <v>1</v>
      </c>
      <c r="W161">
        <v>1</v>
      </c>
      <c r="X161">
        <v>0</v>
      </c>
    </row>
    <row r="162" ht="12" customHeight="1" spans="1:24">
      <c r="A162">
        <v>15120</v>
      </c>
      <c r="B162">
        <v>15120</v>
      </c>
      <c r="C162" t="str">
        <f>INDEX(TextData!B:B,MATCH(B162,TextData!A:A))</f>
        <v>ガードハント</v>
      </c>
      <c r="D162">
        <v>6</v>
      </c>
      <c r="E162" t="str">
        <f>INDEX(Define!X:X,MATCH(D162,Define!W:W))</f>
        <v>自己強化</v>
      </c>
      <c r="F162">
        <v>3047</v>
      </c>
      <c r="G162" t="str">
        <f>INDEX([1]Animations!B:B,MATCH(F162,[1]Animations!A:A))</f>
        <v>Genfulew_Effect/B&amp;S_MinMax_Dispel</v>
      </c>
      <c r="H162">
        <v>1</v>
      </c>
      <c r="I162" t="str">
        <f>INDEX(Define!B:B,MATCH(H162,Define!A:A))</f>
        <v>単体</v>
      </c>
      <c r="J162">
        <v>0</v>
      </c>
      <c r="K162">
        <v>3</v>
      </c>
      <c r="L162">
        <v>30</v>
      </c>
      <c r="M162">
        <v>5</v>
      </c>
      <c r="N162" t="str">
        <f>INDEX(Define!E:E,MATCH(M162,Define!D:D))</f>
        <v>闇</v>
      </c>
      <c r="O162">
        <v>2</v>
      </c>
      <c r="P162" t="str">
        <f>INDEX(Define!H:H,MATCH(O162,Define!G:G))</f>
        <v>パッシブ</v>
      </c>
      <c r="Q162">
        <v>6</v>
      </c>
      <c r="R162" t="str">
        <f>INDEX(Define!K:K,MATCH(Q162,Define!J:J))</f>
        <v>反撃</v>
      </c>
      <c r="S162">
        <v>1</v>
      </c>
      <c r="T162" t="str">
        <f>INDEX(Define!N:N,MATCH(S162,Define!M:M))</f>
        <v>単体</v>
      </c>
      <c r="U162">
        <v>2</v>
      </c>
      <c r="V162">
        <v>1</v>
      </c>
      <c r="W162">
        <v>1</v>
      </c>
      <c r="X162">
        <v>0</v>
      </c>
    </row>
    <row r="163" ht="12" customHeight="1" spans="1:24">
      <c r="A163">
        <v>15130</v>
      </c>
      <c r="B163">
        <v>15130</v>
      </c>
      <c r="C163" t="str">
        <f>INDEX(TextData!B:B,MATCH(B163,TextData!A:A))</f>
        <v>リヴェンジャー</v>
      </c>
      <c r="D163">
        <v>6</v>
      </c>
      <c r="E163" t="str">
        <f>INDEX(Define!X:X,MATCH(D163,Define!W:W))</f>
        <v>自己強化</v>
      </c>
      <c r="F163">
        <v>3302</v>
      </c>
      <c r="G163" t="str">
        <f>INDEX([1]Animations!B:B,MATCH(F163,[1]Animations!A:A))</f>
        <v>Genfulew_Effect/Enemy_CR_ActivationMagic</v>
      </c>
      <c r="H163">
        <v>1</v>
      </c>
      <c r="I163" t="str">
        <f>INDEX(Define!B:B,MATCH(H163,Define!A:A))</f>
        <v>単体</v>
      </c>
      <c r="J163">
        <v>0</v>
      </c>
      <c r="K163">
        <v>3</v>
      </c>
      <c r="L163">
        <v>30</v>
      </c>
      <c r="M163">
        <v>5</v>
      </c>
      <c r="N163" t="str">
        <f>INDEX(Define!E:E,MATCH(M163,Define!D:D))</f>
        <v>闇</v>
      </c>
      <c r="O163">
        <v>2</v>
      </c>
      <c r="P163" t="str">
        <f>INDEX(Define!H:H,MATCH(O163,Define!G:G))</f>
        <v>パッシブ</v>
      </c>
      <c r="Q163">
        <v>4</v>
      </c>
      <c r="R163" t="str">
        <f>INDEX(Define!K:K,MATCH(Q163,Define!J:J))</f>
        <v>自身</v>
      </c>
      <c r="S163">
        <v>4</v>
      </c>
      <c r="T163" t="str">
        <f>INDEX(Define!N:N,MATCH(S163,Define!M:M))</f>
        <v>自身</v>
      </c>
      <c r="U163">
        <v>1</v>
      </c>
      <c r="V163">
        <v>1</v>
      </c>
      <c r="W163">
        <v>1</v>
      </c>
      <c r="X163">
        <v>0</v>
      </c>
    </row>
    <row r="164" spans="1:24">
      <c r="A164">
        <v>15140</v>
      </c>
      <c r="B164">
        <v>15140</v>
      </c>
      <c r="C164" t="str">
        <f>INDEX(TextData!B:B,MATCH(B164,TextData!A:A))</f>
        <v>ソーサリーコネクト</v>
      </c>
      <c r="D164">
        <v>6</v>
      </c>
      <c r="E164" t="str">
        <f>INDEX(Define!X:X,MATCH(D164,Define!W:W))</f>
        <v>自己強化</v>
      </c>
      <c r="F164">
        <v>3005</v>
      </c>
      <c r="G164" t="str">
        <f>INDEX([1]Animations!B:B,MATCH(F164,[1]Animations!A:A))</f>
        <v>Genfulew_Effect/B&amp;S_MinMax_AttackUp</v>
      </c>
      <c r="H164">
        <v>1</v>
      </c>
      <c r="I164" t="str">
        <f>INDEX(Define!B:B,MATCH(H164,Define!A:A))</f>
        <v>単体</v>
      </c>
      <c r="J164">
        <v>0</v>
      </c>
      <c r="K164">
        <v>5</v>
      </c>
      <c r="L164">
        <v>30</v>
      </c>
      <c r="M164">
        <v>5</v>
      </c>
      <c r="N164" t="str">
        <f>INDEX(Define!E:E,MATCH(M164,Define!D:D))</f>
        <v>闇</v>
      </c>
      <c r="O164">
        <v>2</v>
      </c>
      <c r="P164" t="str">
        <f>INDEX(Define!H:H,MATCH(O164,Define!G:G))</f>
        <v>パッシブ</v>
      </c>
      <c r="Q164">
        <v>11</v>
      </c>
      <c r="R164" t="str">
        <f>INDEX(Define!K:K,MATCH(Q164,Define!J:J))</f>
        <v>Triggerの条件を満たす</v>
      </c>
      <c r="S164">
        <v>1</v>
      </c>
      <c r="T164" t="str">
        <f>INDEX(Define!N:N,MATCH(S164,Define!M:M))</f>
        <v>単体</v>
      </c>
      <c r="U164">
        <v>1</v>
      </c>
      <c r="V164">
        <v>1</v>
      </c>
      <c r="W164">
        <v>1</v>
      </c>
      <c r="X164">
        <v>1</v>
      </c>
    </row>
    <row r="165" spans="1:24">
      <c r="A165">
        <v>15141</v>
      </c>
      <c r="B165">
        <v>15140</v>
      </c>
      <c r="C165" t="str">
        <f>INDEX(TextData!B:B,MATCH(B165,TextData!A:A))</f>
        <v>ソーサリーコネクト</v>
      </c>
      <c r="D165">
        <v>6</v>
      </c>
      <c r="E165" t="str">
        <f>INDEX(Define!X:X,MATCH(D165,Define!W:W))</f>
        <v>自己強化</v>
      </c>
      <c r="F165">
        <v>3006</v>
      </c>
      <c r="G165" t="str">
        <f>INDEX([1]Animations!B:B,MATCH(F165,[1]Animations!A:A))</f>
        <v>Genfulew_Effect/B&amp;S_MinMax_AttackDown</v>
      </c>
      <c r="H165">
        <v>1</v>
      </c>
      <c r="I165" t="str">
        <f>INDEX(Define!B:B,MATCH(H165,Define!A:A))</f>
        <v>単体</v>
      </c>
      <c r="J165">
        <v>0</v>
      </c>
      <c r="K165">
        <v>5</v>
      </c>
      <c r="L165">
        <v>0</v>
      </c>
      <c r="M165">
        <v>5</v>
      </c>
      <c r="N165" t="str">
        <f>INDEX(Define!E:E,MATCH(M165,Define!D:D))</f>
        <v>闇</v>
      </c>
      <c r="O165">
        <v>2</v>
      </c>
      <c r="P165" t="str">
        <f>INDEX(Define!H:H,MATCH(O165,Define!G:G))</f>
        <v>パッシブ</v>
      </c>
      <c r="Q165">
        <v>4</v>
      </c>
      <c r="R165" t="str">
        <f>INDEX(Define!K:K,MATCH(Q165,Define!J:J))</f>
        <v>自身</v>
      </c>
      <c r="S165">
        <v>4</v>
      </c>
      <c r="T165" t="str">
        <f>INDEX(Define!N:N,MATCH(S165,Define!M:M))</f>
        <v>自身</v>
      </c>
      <c r="U165">
        <v>1</v>
      </c>
      <c r="V165">
        <v>1</v>
      </c>
      <c r="W165">
        <v>1</v>
      </c>
      <c r="X165">
        <v>0</v>
      </c>
    </row>
    <row r="166" ht="12" customHeight="1" spans="1:24">
      <c r="A166">
        <v>15510</v>
      </c>
      <c r="B166">
        <v>15510</v>
      </c>
      <c r="C166" t="str">
        <f>INDEX(TextData!B:B,MATCH(B166,TextData!A:A))</f>
        <v>リープリアクト</v>
      </c>
      <c r="D166">
        <v>6</v>
      </c>
      <c r="E166" t="str">
        <f>INDEX(Define!X:X,MATCH(D166,Define!W:W))</f>
        <v>自己強化</v>
      </c>
      <c r="F166">
        <v>3302</v>
      </c>
      <c r="G166" t="str">
        <f>INDEX([1]Animations!B:B,MATCH(F166,[1]Animations!A:A))</f>
        <v>Genfulew_Effect/Enemy_CR_ActivationMagic</v>
      </c>
      <c r="H166">
        <v>1</v>
      </c>
      <c r="I166" t="str">
        <f>INDEX(Define!B:B,MATCH(H166,Define!A:A))</f>
        <v>単体</v>
      </c>
      <c r="J166">
        <v>0</v>
      </c>
      <c r="K166">
        <v>3</v>
      </c>
      <c r="L166">
        <v>30</v>
      </c>
      <c r="M166">
        <v>5</v>
      </c>
      <c r="N166" t="str">
        <f>INDEX(Define!E:E,MATCH(M166,Define!D:D))</f>
        <v>闇</v>
      </c>
      <c r="O166">
        <v>2</v>
      </c>
      <c r="P166" t="str">
        <f>INDEX(Define!H:H,MATCH(O166,Define!G:G))</f>
        <v>パッシブ</v>
      </c>
      <c r="Q166">
        <v>4</v>
      </c>
      <c r="R166" t="str">
        <f>INDEX(Define!K:K,MATCH(Q166,Define!J:J))</f>
        <v>自身</v>
      </c>
      <c r="S166">
        <v>4</v>
      </c>
      <c r="T166" t="str">
        <f>INDEX(Define!N:N,MATCH(S166,Define!M:M))</f>
        <v>自身</v>
      </c>
      <c r="U166">
        <v>1</v>
      </c>
      <c r="V166">
        <v>1</v>
      </c>
      <c r="W166">
        <v>1</v>
      </c>
      <c r="X166">
        <v>0</v>
      </c>
    </row>
    <row r="167" ht="12" customHeight="1" spans="1:24">
      <c r="A167">
        <v>15512</v>
      </c>
      <c r="B167">
        <v>15512</v>
      </c>
      <c r="C167" t="str">
        <f>INDEX(TextData!B:B,MATCH(B167,TextData!A:A))</f>
        <v>リープリアクト</v>
      </c>
      <c r="D167">
        <v>6</v>
      </c>
      <c r="E167" t="str">
        <f>INDEX(Define!X:X,MATCH(D167,Define!W:W))</f>
        <v>自己強化</v>
      </c>
      <c r="F167">
        <v>3302</v>
      </c>
      <c r="G167" t="str">
        <f>INDEX([1]Animations!B:B,MATCH(F167,[1]Animations!A:A))</f>
        <v>Genfulew_Effect/Enemy_CR_ActivationMagic</v>
      </c>
      <c r="H167">
        <v>1</v>
      </c>
      <c r="I167" t="str">
        <f>INDEX(Define!B:B,MATCH(H167,Define!A:A))</f>
        <v>単体</v>
      </c>
      <c r="J167">
        <v>0</v>
      </c>
      <c r="K167">
        <v>3</v>
      </c>
      <c r="L167">
        <v>0</v>
      </c>
      <c r="M167">
        <v>5</v>
      </c>
      <c r="N167" t="str">
        <f>INDEX(Define!E:E,MATCH(M167,Define!D:D))</f>
        <v>闇</v>
      </c>
      <c r="O167">
        <v>2</v>
      </c>
      <c r="P167" t="str">
        <f>INDEX(Define!H:H,MATCH(O167,Define!G:G))</f>
        <v>パッシブ</v>
      </c>
      <c r="Q167">
        <v>4</v>
      </c>
      <c r="R167" t="str">
        <f>INDEX(Define!K:K,MATCH(Q167,Define!J:J))</f>
        <v>自身</v>
      </c>
      <c r="S167">
        <v>4</v>
      </c>
      <c r="T167" t="str">
        <f>INDEX(Define!N:N,MATCH(S167,Define!M:M))</f>
        <v>自身</v>
      </c>
      <c r="U167">
        <v>1</v>
      </c>
      <c r="V167">
        <v>1</v>
      </c>
      <c r="W167">
        <v>1</v>
      </c>
      <c r="X167">
        <v>0</v>
      </c>
    </row>
    <row r="168" ht="12" customHeight="1" spans="1:24">
      <c r="A168">
        <v>15520</v>
      </c>
      <c r="B168">
        <v>15520</v>
      </c>
      <c r="C168" t="str">
        <f>INDEX(TextData!B:B,MATCH(B168,TextData!A:A))</f>
        <v>ディレイドパッシブ</v>
      </c>
      <c r="D168">
        <v>6</v>
      </c>
      <c r="E168" t="str">
        <f>INDEX(Define!X:X,MATCH(D168,Define!W:W))</f>
        <v>自己強化</v>
      </c>
      <c r="F168">
        <v>3302</v>
      </c>
      <c r="G168" t="str">
        <f>INDEX([1]Animations!B:B,MATCH(F168,[1]Animations!A:A))</f>
        <v>Genfulew_Effect/Enemy_CR_ActivationMagic</v>
      </c>
      <c r="H168">
        <v>1</v>
      </c>
      <c r="I168" t="str">
        <f>INDEX(Define!B:B,MATCH(H168,Define!A:A))</f>
        <v>単体</v>
      </c>
      <c r="J168">
        <v>0</v>
      </c>
      <c r="K168">
        <v>3</v>
      </c>
      <c r="L168">
        <v>30</v>
      </c>
      <c r="M168">
        <v>5</v>
      </c>
      <c r="N168" t="str">
        <f>INDEX(Define!E:E,MATCH(M168,Define!D:D))</f>
        <v>闇</v>
      </c>
      <c r="O168">
        <v>2</v>
      </c>
      <c r="P168" t="str">
        <f>INDEX(Define!H:H,MATCH(O168,Define!G:G))</f>
        <v>パッシブ</v>
      </c>
      <c r="Q168">
        <v>11</v>
      </c>
      <c r="R168" t="str">
        <f>INDEX(Define!K:K,MATCH(Q168,Define!J:J))</f>
        <v>Triggerの条件を満たす</v>
      </c>
      <c r="S168">
        <v>1</v>
      </c>
      <c r="T168" t="str">
        <f>INDEX(Define!N:N,MATCH(S168,Define!M:M))</f>
        <v>単体</v>
      </c>
      <c r="U168">
        <v>1</v>
      </c>
      <c r="V168">
        <v>1</v>
      </c>
      <c r="W168">
        <v>1</v>
      </c>
      <c r="X168">
        <v>0</v>
      </c>
    </row>
    <row r="169" ht="12" customHeight="1" spans="1:24">
      <c r="A169">
        <v>15530</v>
      </c>
      <c r="B169">
        <v>15530</v>
      </c>
      <c r="C169" t="str">
        <f>INDEX(TextData!B:B,MATCH(B169,TextData!A:A))</f>
        <v>シャドウケイプ</v>
      </c>
      <c r="D169">
        <v>6</v>
      </c>
      <c r="E169" t="str">
        <f>INDEX(Define!X:X,MATCH(D169,Define!W:W))</f>
        <v>自己強化</v>
      </c>
      <c r="F169">
        <v>3302</v>
      </c>
      <c r="G169" t="str">
        <f>INDEX([1]Animations!B:B,MATCH(F169,[1]Animations!A:A))</f>
        <v>Genfulew_Effect/Enemy_CR_ActivationMagic</v>
      </c>
      <c r="H169">
        <v>1</v>
      </c>
      <c r="I169" t="str">
        <f>INDEX(Define!B:B,MATCH(H169,Define!A:A))</f>
        <v>単体</v>
      </c>
      <c r="J169">
        <v>0</v>
      </c>
      <c r="K169">
        <v>0</v>
      </c>
      <c r="L169">
        <v>30</v>
      </c>
      <c r="M169">
        <v>5</v>
      </c>
      <c r="N169" t="str">
        <f>INDEX(Define!E:E,MATCH(M169,Define!D:D))</f>
        <v>闇</v>
      </c>
      <c r="O169">
        <v>2</v>
      </c>
      <c r="P169" t="str">
        <f>INDEX(Define!H:H,MATCH(O169,Define!G:G))</f>
        <v>パッシブ</v>
      </c>
      <c r="Q169">
        <v>4</v>
      </c>
      <c r="R169" t="str">
        <f>INDEX(Define!K:K,MATCH(Q169,Define!J:J))</f>
        <v>自身</v>
      </c>
      <c r="S169">
        <v>4</v>
      </c>
      <c r="T169" t="str">
        <f>INDEX(Define!N:N,MATCH(S169,Define!M:M))</f>
        <v>自身</v>
      </c>
      <c r="U169">
        <v>1</v>
      </c>
      <c r="V169">
        <v>1</v>
      </c>
      <c r="W169">
        <v>1</v>
      </c>
      <c r="X169">
        <v>0</v>
      </c>
    </row>
    <row r="170" ht="12" customHeight="1" spans="1:24">
      <c r="A170">
        <v>15910</v>
      </c>
      <c r="B170">
        <v>15910</v>
      </c>
      <c r="C170" t="str">
        <f>INDEX(TextData!B:B,MATCH(B170,TextData!A:A))</f>
        <v>イーグルアイ</v>
      </c>
      <c r="D170">
        <v>6</v>
      </c>
      <c r="E170" t="str">
        <f>INDEX(Define!X:X,MATCH(D170,Define!W:W))</f>
        <v>自己強化</v>
      </c>
      <c r="F170">
        <v>3009</v>
      </c>
      <c r="G170" t="str">
        <f>INDEX([1]Animations!B:B,MATCH(F170,[1]Animations!A:A))</f>
        <v>Genfulew_Effect/B&amp;S_MinMax_MagicAttackUp</v>
      </c>
      <c r="H170">
        <v>1</v>
      </c>
      <c r="I170" t="str">
        <f>INDEX(Define!B:B,MATCH(H170,Define!A:A))</f>
        <v>単体</v>
      </c>
      <c r="J170">
        <v>0</v>
      </c>
      <c r="K170">
        <v>0</v>
      </c>
      <c r="L170">
        <v>30</v>
      </c>
      <c r="M170">
        <v>5</v>
      </c>
      <c r="N170" t="str">
        <f>INDEX(Define!E:E,MATCH(M170,Define!D:D))</f>
        <v>闇</v>
      </c>
      <c r="O170">
        <v>2</v>
      </c>
      <c r="P170" t="str">
        <f>INDEX(Define!H:H,MATCH(O170,Define!G:G))</f>
        <v>パッシブ</v>
      </c>
      <c r="Q170">
        <v>4</v>
      </c>
      <c r="R170" t="str">
        <f>INDEX(Define!K:K,MATCH(Q170,Define!J:J))</f>
        <v>自身</v>
      </c>
      <c r="S170">
        <v>4</v>
      </c>
      <c r="T170" t="str">
        <f>INDEX(Define!N:N,MATCH(S170,Define!M:M))</f>
        <v>自身</v>
      </c>
      <c r="U170">
        <v>1</v>
      </c>
      <c r="V170">
        <v>1</v>
      </c>
      <c r="W170">
        <v>1</v>
      </c>
      <c r="X170">
        <v>0</v>
      </c>
    </row>
    <row r="171" ht="12" customHeight="1" spans="1:24">
      <c r="A171">
        <v>15920</v>
      </c>
      <c r="B171">
        <v>15920</v>
      </c>
      <c r="C171" t="str">
        <f>INDEX(TextData!B:B,MATCH(B171,TextData!A:A))</f>
        <v>ネヴァーエンド</v>
      </c>
      <c r="D171">
        <v>6</v>
      </c>
      <c r="E171" t="str">
        <f>INDEX(Define!X:X,MATCH(D171,Define!W:W))</f>
        <v>自己強化</v>
      </c>
      <c r="F171">
        <v>3047</v>
      </c>
      <c r="G171" t="str">
        <f>INDEX([1]Animations!B:B,MATCH(F171,[1]Animations!A:A))</f>
        <v>Genfulew_Effect/B&amp;S_MinMax_Dispel</v>
      </c>
      <c r="H171">
        <v>1</v>
      </c>
      <c r="I171" t="str">
        <f>INDEX(Define!B:B,MATCH(H171,Define!A:A))</f>
        <v>単体</v>
      </c>
      <c r="J171">
        <v>0</v>
      </c>
      <c r="K171">
        <v>0</v>
      </c>
      <c r="L171">
        <v>30</v>
      </c>
      <c r="M171">
        <v>5</v>
      </c>
      <c r="N171" t="str">
        <f>INDEX(Define!E:E,MATCH(M171,Define!D:D))</f>
        <v>闇</v>
      </c>
      <c r="O171">
        <v>2</v>
      </c>
      <c r="P171" t="str">
        <f>INDEX(Define!H:H,MATCH(O171,Define!G:G))</f>
        <v>パッシブ</v>
      </c>
      <c r="Q171">
        <v>4</v>
      </c>
      <c r="R171" t="str">
        <f>INDEX(Define!K:K,MATCH(Q171,Define!J:J))</f>
        <v>自身</v>
      </c>
      <c r="S171">
        <v>4</v>
      </c>
      <c r="T171" t="str">
        <f>INDEX(Define!N:N,MATCH(S171,Define!M:M))</f>
        <v>自身</v>
      </c>
      <c r="U171">
        <v>1</v>
      </c>
      <c r="V171">
        <v>1</v>
      </c>
      <c r="W171">
        <v>1</v>
      </c>
      <c r="X171">
        <v>0</v>
      </c>
    </row>
    <row r="172" ht="12" customHeight="1" spans="1:24">
      <c r="A172">
        <v>15930</v>
      </c>
      <c r="B172">
        <v>15930</v>
      </c>
      <c r="C172" t="str">
        <f>INDEX(TextData!B:B,MATCH(B172,TextData!A:A))</f>
        <v>グレイブアクト</v>
      </c>
      <c r="D172">
        <v>6</v>
      </c>
      <c r="E172" t="str">
        <f>INDEX(Define!X:X,MATCH(D172,Define!W:W))</f>
        <v>自己強化</v>
      </c>
      <c r="F172">
        <v>1109</v>
      </c>
      <c r="G172" t="str">
        <f>INDEX([1]Animations!B:B,MATCH(F172,[1]Animations!A:A))</f>
        <v>MakerEffect/Flash</v>
      </c>
      <c r="H172">
        <v>1</v>
      </c>
      <c r="I172" t="str">
        <f>INDEX(Define!B:B,MATCH(H172,Define!A:A))</f>
        <v>単体</v>
      </c>
      <c r="J172">
        <v>0</v>
      </c>
      <c r="K172">
        <v>0</v>
      </c>
      <c r="L172">
        <v>30</v>
      </c>
      <c r="M172">
        <v>5</v>
      </c>
      <c r="N172" t="str">
        <f>INDEX(Define!E:E,MATCH(M172,Define!D:D))</f>
        <v>闇</v>
      </c>
      <c r="O172">
        <v>2</v>
      </c>
      <c r="P172" t="str">
        <f>INDEX(Define!H:H,MATCH(O172,Define!G:G))</f>
        <v>パッシブ</v>
      </c>
      <c r="Q172">
        <v>4</v>
      </c>
      <c r="R172" t="str">
        <f>INDEX(Define!K:K,MATCH(Q172,Define!J:J))</f>
        <v>自身</v>
      </c>
      <c r="S172">
        <v>4</v>
      </c>
      <c r="T172" t="str">
        <f>INDEX(Define!N:N,MATCH(S172,Define!M:M))</f>
        <v>自身</v>
      </c>
      <c r="U172">
        <v>1</v>
      </c>
      <c r="V172">
        <v>1</v>
      </c>
      <c r="W172">
        <v>1</v>
      </c>
      <c r="X172">
        <v>0</v>
      </c>
    </row>
    <row r="173" ht="12" customHeight="1" spans="1:24">
      <c r="A173">
        <v>15940</v>
      </c>
      <c r="B173">
        <v>15940</v>
      </c>
      <c r="C173" t="str">
        <f>INDEX(TextData!B:B,MATCH(B173,TextData!A:A))</f>
        <v>スカルグラッジ</v>
      </c>
      <c r="D173">
        <v>6</v>
      </c>
      <c r="E173" t="str">
        <f>INDEX(Define!X:X,MATCH(D173,Define!W:W))</f>
        <v>自己強化</v>
      </c>
      <c r="F173">
        <v>3047</v>
      </c>
      <c r="G173" t="str">
        <f>INDEX([1]Animations!B:B,MATCH(F173,[1]Animations!A:A))</f>
        <v>Genfulew_Effect/B&amp;S_MinMax_Dispel</v>
      </c>
      <c r="H173">
        <v>1</v>
      </c>
      <c r="I173" t="str">
        <f>INDEX(Define!B:B,MATCH(H173,Define!A:A))</f>
        <v>単体</v>
      </c>
      <c r="J173">
        <v>0</v>
      </c>
      <c r="K173">
        <v>0</v>
      </c>
      <c r="L173">
        <v>30</v>
      </c>
      <c r="M173">
        <v>5</v>
      </c>
      <c r="N173" t="str">
        <f>INDEX(Define!E:E,MATCH(M173,Define!D:D))</f>
        <v>闇</v>
      </c>
      <c r="O173">
        <v>2</v>
      </c>
      <c r="P173" t="str">
        <f>INDEX(Define!H:H,MATCH(O173,Define!G:G))</f>
        <v>パッシブ</v>
      </c>
      <c r="Q173">
        <v>4</v>
      </c>
      <c r="R173" t="str">
        <f>INDEX(Define!K:K,MATCH(Q173,Define!J:J))</f>
        <v>自身</v>
      </c>
      <c r="S173">
        <v>4</v>
      </c>
      <c r="T173" t="str">
        <f>INDEX(Define!N:N,MATCH(S173,Define!M:M))</f>
        <v>自身</v>
      </c>
      <c r="U173">
        <v>1</v>
      </c>
      <c r="V173">
        <v>1</v>
      </c>
      <c r="W173">
        <v>1</v>
      </c>
      <c r="X173">
        <v>0</v>
      </c>
    </row>
    <row r="174" ht="12" customHeight="1" spans="1:24">
      <c r="A174">
        <v>20010</v>
      </c>
      <c r="B174">
        <v>20010</v>
      </c>
      <c r="C174" t="str">
        <f>INDEX(TextData!B:B,MATCH(B174,TextData!A:A))</f>
        <v>ウェイトユニゾン</v>
      </c>
      <c r="D174">
        <v>99</v>
      </c>
      <c r="E174" t="str">
        <f>INDEX(Define!X:X,MATCH(D174,Define!W:W))</f>
        <v>その他</v>
      </c>
      <c r="F174">
        <v>0</v>
      </c>
      <c r="H174">
        <v>1</v>
      </c>
      <c r="I174" t="str">
        <f>INDEX(Define!B:B,MATCH(H174,Define!A:A))</f>
        <v>単体</v>
      </c>
      <c r="J174">
        <v>0</v>
      </c>
      <c r="K174">
        <v>0</v>
      </c>
      <c r="L174">
        <v>0</v>
      </c>
      <c r="M174">
        <v>6</v>
      </c>
      <c r="N174" t="str">
        <f>INDEX(Define!E:E,MATCH(M174,Define!D:D))</f>
        <v>無</v>
      </c>
      <c r="O174">
        <v>1</v>
      </c>
      <c r="P174" t="str">
        <f>INDEX(Define!H:H,MATCH(O174,Define!G:G))</f>
        <v>魔法</v>
      </c>
      <c r="Q174">
        <v>4</v>
      </c>
      <c r="R174" t="str">
        <f>INDEX(Define!K:K,MATCH(Q174,Define!J:J))</f>
        <v>自身</v>
      </c>
      <c r="S174">
        <v>4</v>
      </c>
      <c r="T174" t="str">
        <f>INDEX(Define!N:N,MATCH(S174,Define!M:M))</f>
        <v>自身</v>
      </c>
      <c r="U174">
        <v>1</v>
      </c>
      <c r="V174">
        <v>1</v>
      </c>
      <c r="W174">
        <v>1</v>
      </c>
      <c r="X174">
        <v>0</v>
      </c>
    </row>
    <row r="175" ht="12" customHeight="1" spans="1:24">
      <c r="A175">
        <v>30010</v>
      </c>
      <c r="B175">
        <v>30010</v>
      </c>
      <c r="C175" t="str">
        <f>INDEX(TextData!B:B,MATCH(B175,TextData!A:A))</f>
        <v>ラーニングピアス</v>
      </c>
      <c r="D175">
        <v>6</v>
      </c>
      <c r="E175" t="str">
        <f>INDEX(Define!X:X,MATCH(D175,Define!W:W))</f>
        <v>自己強化</v>
      </c>
      <c r="F175">
        <v>0</v>
      </c>
      <c r="H175">
        <v>1</v>
      </c>
      <c r="I175" t="str">
        <f>INDEX(Define!B:B,MATCH(H175,Define!A:A))</f>
        <v>単体</v>
      </c>
      <c r="J175">
        <v>0</v>
      </c>
      <c r="K175">
        <v>0</v>
      </c>
      <c r="L175">
        <v>20</v>
      </c>
      <c r="M175">
        <v>6</v>
      </c>
      <c r="N175" t="str">
        <f>INDEX(Define!E:E,MATCH(M175,Define!D:D))</f>
        <v>無</v>
      </c>
      <c r="O175">
        <v>7</v>
      </c>
      <c r="P175" t="str">
        <f>INDEX(Define!H:H,MATCH(O175,Define!G:G))</f>
        <v>装備</v>
      </c>
      <c r="Q175">
        <v>4</v>
      </c>
      <c r="R175" t="str">
        <f>INDEX(Define!K:K,MATCH(Q175,Define!J:J))</f>
        <v>自身</v>
      </c>
      <c r="S175">
        <v>4</v>
      </c>
      <c r="T175" t="str">
        <f>INDEX(Define!N:N,MATCH(S175,Define!M:M))</f>
        <v>自身</v>
      </c>
      <c r="U175">
        <v>1</v>
      </c>
      <c r="V175">
        <v>1</v>
      </c>
      <c r="W175">
        <v>1</v>
      </c>
      <c r="X175">
        <v>0</v>
      </c>
    </row>
    <row r="176" ht="12" customHeight="1" spans="1:24">
      <c r="A176">
        <v>30020</v>
      </c>
      <c r="B176">
        <v>30020</v>
      </c>
      <c r="C176" t="str">
        <f>INDEX(TextData!B:B,MATCH(B176,TextData!A:A))</f>
        <v>スティールヒール</v>
      </c>
      <c r="D176">
        <v>6</v>
      </c>
      <c r="E176" t="str">
        <f>INDEX(Define!X:X,MATCH(D176,Define!W:W))</f>
        <v>自己強化</v>
      </c>
      <c r="F176">
        <v>0</v>
      </c>
      <c r="H176">
        <v>1</v>
      </c>
      <c r="I176" t="str">
        <f>INDEX(Define!B:B,MATCH(H176,Define!A:A))</f>
        <v>単体</v>
      </c>
      <c r="J176">
        <v>0</v>
      </c>
      <c r="K176">
        <v>0</v>
      </c>
      <c r="L176">
        <v>20</v>
      </c>
      <c r="M176">
        <v>6</v>
      </c>
      <c r="N176" t="str">
        <f>INDEX(Define!E:E,MATCH(M176,Define!D:D))</f>
        <v>無</v>
      </c>
      <c r="O176">
        <v>7</v>
      </c>
      <c r="P176" t="str">
        <f>INDEX(Define!H:H,MATCH(O176,Define!G:G))</f>
        <v>装備</v>
      </c>
      <c r="Q176">
        <v>4</v>
      </c>
      <c r="R176" t="str">
        <f>INDEX(Define!K:K,MATCH(Q176,Define!J:J))</f>
        <v>自身</v>
      </c>
      <c r="S176">
        <v>4</v>
      </c>
      <c r="T176" t="str">
        <f>INDEX(Define!N:N,MATCH(S176,Define!M:M))</f>
        <v>自身</v>
      </c>
      <c r="U176">
        <v>1</v>
      </c>
      <c r="V176">
        <v>1</v>
      </c>
      <c r="W176">
        <v>1</v>
      </c>
      <c r="X176">
        <v>0</v>
      </c>
    </row>
    <row r="177" ht="12" customHeight="1" spans="1:24">
      <c r="A177">
        <v>30030</v>
      </c>
      <c r="B177">
        <v>30030</v>
      </c>
      <c r="C177" t="str">
        <f>INDEX(TextData!B:B,MATCH(B177,TextData!A:A))</f>
        <v>ガッツ</v>
      </c>
      <c r="D177">
        <v>6</v>
      </c>
      <c r="E177" t="str">
        <f>INDEX(Define!X:X,MATCH(D177,Define!W:W))</f>
        <v>自己強化</v>
      </c>
      <c r="F177">
        <v>0</v>
      </c>
      <c r="H177">
        <v>1</v>
      </c>
      <c r="I177" t="str">
        <f>INDEX(Define!B:B,MATCH(H177,Define!A:A))</f>
        <v>単体</v>
      </c>
      <c r="J177">
        <v>0</v>
      </c>
      <c r="K177">
        <v>0</v>
      </c>
      <c r="L177">
        <v>30</v>
      </c>
      <c r="M177">
        <v>6</v>
      </c>
      <c r="N177" t="str">
        <f>INDEX(Define!E:E,MATCH(M177,Define!D:D))</f>
        <v>無</v>
      </c>
      <c r="O177">
        <v>7</v>
      </c>
      <c r="P177" t="str">
        <f>INDEX(Define!H:H,MATCH(O177,Define!G:G))</f>
        <v>装備</v>
      </c>
      <c r="Q177">
        <v>4</v>
      </c>
      <c r="R177" t="str">
        <f>INDEX(Define!K:K,MATCH(Q177,Define!J:J))</f>
        <v>自身</v>
      </c>
      <c r="S177">
        <v>4</v>
      </c>
      <c r="T177" t="str">
        <f>INDEX(Define!N:N,MATCH(S177,Define!M:M))</f>
        <v>自身</v>
      </c>
      <c r="U177">
        <v>1</v>
      </c>
      <c r="V177">
        <v>1</v>
      </c>
      <c r="W177">
        <v>1</v>
      </c>
      <c r="X177">
        <v>0</v>
      </c>
    </row>
    <row r="178" spans="1:24">
      <c r="A178">
        <v>100110</v>
      </c>
      <c r="B178">
        <v>100110</v>
      </c>
      <c r="C178" t="str">
        <f>INDEX(TextData!B:B,MATCH(B178,TextData!A:A))</f>
        <v>ソーイングアームド</v>
      </c>
      <c r="D178">
        <v>10</v>
      </c>
      <c r="E178" t="str">
        <f>INDEX(Define!X:X,MATCH(D178,Define!W:W))</f>
        <v>半神</v>
      </c>
      <c r="F178">
        <v>51</v>
      </c>
      <c r="G178" t="str">
        <f>INDEX([1]Animations!B:B,MATCH(F178,[1]Animations!A:A))</f>
        <v>NA_Effekseer/NA_aura_001</v>
      </c>
      <c r="H178">
        <v>1</v>
      </c>
      <c r="I178" t="str">
        <f>INDEX(Define!B:B,MATCH(H178,Define!A:A))</f>
        <v>単体</v>
      </c>
      <c r="J178">
        <v>0</v>
      </c>
      <c r="K178">
        <v>0</v>
      </c>
      <c r="L178">
        <v>1000</v>
      </c>
      <c r="M178">
        <v>1</v>
      </c>
      <c r="N178" t="str">
        <f>INDEX(Define!E:E,MATCH(M178,Define!D:D))</f>
        <v>炎</v>
      </c>
      <c r="O178">
        <v>3</v>
      </c>
      <c r="P178" t="str">
        <f>INDEX(Define!H:H,MATCH(O178,Define!G:G))</f>
        <v>神化</v>
      </c>
      <c r="Q178">
        <v>4</v>
      </c>
      <c r="R178" t="str">
        <f>INDEX(Define!K:K,MATCH(Q178,Define!J:J))</f>
        <v>自身</v>
      </c>
      <c r="S178">
        <v>2</v>
      </c>
      <c r="T178" t="str">
        <f>INDEX(Define!N:N,MATCH(S178,Define!M:M))</f>
        <v>列</v>
      </c>
      <c r="U178">
        <v>2</v>
      </c>
      <c r="V178">
        <v>1</v>
      </c>
      <c r="W178">
        <v>1</v>
      </c>
      <c r="X178">
        <v>0</v>
      </c>
    </row>
    <row r="179" spans="1:24">
      <c r="A179">
        <v>100120</v>
      </c>
      <c r="B179">
        <v>100120</v>
      </c>
      <c r="C179" t="str">
        <f>INDEX(TextData!B:B,MATCH(B179,TextData!A:A))</f>
        <v>エターナルロンド</v>
      </c>
      <c r="D179">
        <v>11</v>
      </c>
      <c r="E179" t="str">
        <f>INDEX(Define!X:X,MATCH(D179,Define!W:W))</f>
        <v>覚醒</v>
      </c>
      <c r="F179">
        <v>101</v>
      </c>
      <c r="G179" t="str">
        <f>INDEX([1]Animations!B:B,MATCH(F179,[1]Animations!A:A))</f>
        <v>MakerEffect/FireOne1</v>
      </c>
      <c r="H179">
        <v>1</v>
      </c>
      <c r="I179" t="str">
        <f>INDEX(Define!B:B,MATCH(H179,Define!A:A))</f>
        <v>単体</v>
      </c>
      <c r="J179">
        <v>0</v>
      </c>
      <c r="K179">
        <v>0</v>
      </c>
      <c r="L179">
        <v>1000</v>
      </c>
      <c r="M179">
        <v>1</v>
      </c>
      <c r="N179" t="str">
        <f>INDEX(Define!E:E,MATCH(M179,Define!D:D))</f>
        <v>炎</v>
      </c>
      <c r="O179">
        <v>4</v>
      </c>
      <c r="P179" t="str">
        <f>INDEX(Define!H:H,MATCH(O179,Define!G:G))</f>
        <v>覚醒</v>
      </c>
      <c r="Q179">
        <v>1</v>
      </c>
      <c r="R179" t="str">
        <f>INDEX(Define!K:K,MATCH(Q179,Define!J:J))</f>
        <v>相手</v>
      </c>
      <c r="S179">
        <v>1</v>
      </c>
      <c r="T179" t="str">
        <f>INDEX(Define!N:N,MATCH(S179,Define!M:M))</f>
        <v>単体</v>
      </c>
      <c r="U179">
        <v>1</v>
      </c>
      <c r="V179">
        <v>1</v>
      </c>
      <c r="W179">
        <v>1</v>
      </c>
      <c r="X179">
        <v>0</v>
      </c>
    </row>
    <row r="180" spans="1:24">
      <c r="A180">
        <v>100210</v>
      </c>
      <c r="B180">
        <v>100210</v>
      </c>
      <c r="C180" t="str">
        <f>INDEX(TextData!B:B,MATCH(B180,TextData!A:A))</f>
        <v>ピースメーカー</v>
      </c>
      <c r="D180">
        <v>10</v>
      </c>
      <c r="E180" t="str">
        <f>INDEX(Define!X:X,MATCH(D180,Define!W:W))</f>
        <v>半神</v>
      </c>
      <c r="F180">
        <v>51</v>
      </c>
      <c r="G180" t="str">
        <f>INDEX([1]Animations!B:B,MATCH(F180,[1]Animations!A:A))</f>
        <v>NA_Effekseer/NA_aura_001</v>
      </c>
      <c r="H180">
        <v>1</v>
      </c>
      <c r="I180" t="str">
        <f>INDEX(Define!B:B,MATCH(H180,Define!A:A))</f>
        <v>単体</v>
      </c>
      <c r="J180">
        <v>0</v>
      </c>
      <c r="K180">
        <v>0</v>
      </c>
      <c r="L180">
        <v>1000</v>
      </c>
      <c r="M180">
        <v>2</v>
      </c>
      <c r="N180" t="str">
        <f>INDEX(Define!E:E,MATCH(M180,Define!D:D))</f>
        <v>雷</v>
      </c>
      <c r="O180">
        <v>3</v>
      </c>
      <c r="P180" t="str">
        <f>INDEX(Define!H:H,MATCH(O180,Define!G:G))</f>
        <v>神化</v>
      </c>
      <c r="Q180">
        <v>4</v>
      </c>
      <c r="R180" t="str">
        <f>INDEX(Define!K:K,MATCH(Q180,Define!J:J))</f>
        <v>自身</v>
      </c>
      <c r="S180">
        <v>4</v>
      </c>
      <c r="T180" t="str">
        <f>INDEX(Define!N:N,MATCH(S180,Define!M:M))</f>
        <v>自身</v>
      </c>
      <c r="U180">
        <v>1</v>
      </c>
      <c r="V180">
        <v>1</v>
      </c>
      <c r="W180">
        <v>1</v>
      </c>
      <c r="X180">
        <v>0</v>
      </c>
    </row>
    <row r="181" spans="1:24">
      <c r="A181">
        <v>100220</v>
      </c>
      <c r="B181">
        <v>100220</v>
      </c>
      <c r="C181" t="str">
        <f>INDEX(TextData!B:B,MATCH(B181,TextData!A:A))</f>
        <v>レヴェリー</v>
      </c>
      <c r="D181">
        <v>11</v>
      </c>
      <c r="E181" t="str">
        <f>INDEX(Define!X:X,MATCH(D181,Define!W:W))</f>
        <v>覚醒</v>
      </c>
      <c r="F181">
        <v>1002</v>
      </c>
      <c r="G181" t="str">
        <f>INDEX([1]Animations!B:B,MATCH(F181,[1]Animations!A:A))</f>
        <v>MakerEffect/HitEffect</v>
      </c>
      <c r="H181">
        <v>1</v>
      </c>
      <c r="I181" t="str">
        <f>INDEX(Define!B:B,MATCH(H181,Define!A:A))</f>
        <v>単体</v>
      </c>
      <c r="J181">
        <v>0</v>
      </c>
      <c r="K181">
        <v>0</v>
      </c>
      <c r="L181">
        <v>1000</v>
      </c>
      <c r="M181">
        <v>2</v>
      </c>
      <c r="N181" t="str">
        <f>INDEX(Define!E:E,MATCH(M181,Define!D:D))</f>
        <v>雷</v>
      </c>
      <c r="O181">
        <v>4</v>
      </c>
      <c r="P181" t="str">
        <f>INDEX(Define!H:H,MATCH(O181,Define!G:G))</f>
        <v>覚醒</v>
      </c>
      <c r="Q181">
        <v>1</v>
      </c>
      <c r="R181" t="str">
        <f>INDEX(Define!K:K,MATCH(Q181,Define!J:J))</f>
        <v>相手</v>
      </c>
      <c r="S181">
        <v>1</v>
      </c>
      <c r="T181" t="str">
        <f>INDEX(Define!N:N,MATCH(S181,Define!M:M))</f>
        <v>単体</v>
      </c>
      <c r="U181">
        <v>2</v>
      </c>
      <c r="V181">
        <v>7</v>
      </c>
      <c r="W181">
        <v>1</v>
      </c>
      <c r="X181">
        <v>0</v>
      </c>
    </row>
    <row r="182" spans="1:24">
      <c r="A182">
        <v>100310</v>
      </c>
      <c r="B182">
        <v>100310</v>
      </c>
      <c r="C182" t="str">
        <f>INDEX(TextData!B:B,MATCH(B182,TextData!A:A))</f>
        <v>セイクリッドバリア</v>
      </c>
      <c r="D182">
        <v>10</v>
      </c>
      <c r="E182" t="str">
        <f>INDEX(Define!X:X,MATCH(D182,Define!W:W))</f>
        <v>半神</v>
      </c>
      <c r="F182">
        <v>51</v>
      </c>
      <c r="G182" t="str">
        <f>INDEX([1]Animations!B:B,MATCH(F182,[1]Animations!A:A))</f>
        <v>NA_Effekseer/NA_aura_001</v>
      </c>
      <c r="H182">
        <v>1</v>
      </c>
      <c r="I182" t="str">
        <f>INDEX(Define!B:B,MATCH(H182,Define!A:A))</f>
        <v>単体</v>
      </c>
      <c r="J182">
        <v>0</v>
      </c>
      <c r="K182">
        <v>0</v>
      </c>
      <c r="L182">
        <v>1000</v>
      </c>
      <c r="M182">
        <v>3</v>
      </c>
      <c r="N182" t="str">
        <f>INDEX(Define!E:E,MATCH(M182,Define!D:D))</f>
        <v>氷</v>
      </c>
      <c r="O182">
        <v>3</v>
      </c>
      <c r="P182" t="str">
        <f>INDEX(Define!H:H,MATCH(O182,Define!G:G))</f>
        <v>神化</v>
      </c>
      <c r="Q182">
        <v>2</v>
      </c>
      <c r="R182" t="str">
        <f>INDEX(Define!K:K,MATCH(Q182,Define!J:J))</f>
        <v>味方</v>
      </c>
      <c r="S182">
        <v>3</v>
      </c>
      <c r="T182" t="str">
        <f>INDEX(Define!N:N,MATCH(S182,Define!M:M))</f>
        <v>全体</v>
      </c>
      <c r="U182">
        <v>2</v>
      </c>
      <c r="V182">
        <v>1</v>
      </c>
      <c r="W182">
        <v>1</v>
      </c>
      <c r="X182">
        <v>0</v>
      </c>
    </row>
    <row r="183" spans="1:24">
      <c r="A183">
        <v>100320</v>
      </c>
      <c r="B183">
        <v>100320</v>
      </c>
      <c r="C183" t="str">
        <f>INDEX(TextData!B:B,MATCH(B183,TextData!A:A))</f>
        <v>リベンジニードル</v>
      </c>
      <c r="D183">
        <v>11</v>
      </c>
      <c r="E183" t="str">
        <f>INDEX(Define!X:X,MATCH(D183,Define!W:W))</f>
        <v>覚醒</v>
      </c>
      <c r="F183">
        <v>1003</v>
      </c>
      <c r="G183" t="str">
        <f>INDEX([1]Animations!B:B,MATCH(F183,[1]Animations!A:A))</f>
        <v>MakerEffect/HitFire</v>
      </c>
      <c r="H183">
        <v>1</v>
      </c>
      <c r="I183" t="str">
        <f>INDEX(Define!B:B,MATCH(H183,Define!A:A))</f>
        <v>単体</v>
      </c>
      <c r="J183">
        <v>0</v>
      </c>
      <c r="K183">
        <v>0</v>
      </c>
      <c r="L183">
        <v>1000</v>
      </c>
      <c r="M183">
        <v>3</v>
      </c>
      <c r="N183" t="str">
        <f>INDEX(Define!E:E,MATCH(M183,Define!D:D))</f>
        <v>氷</v>
      </c>
      <c r="O183">
        <v>4</v>
      </c>
      <c r="P183" t="str">
        <f>INDEX(Define!H:H,MATCH(O183,Define!G:G))</f>
        <v>覚醒</v>
      </c>
      <c r="Q183">
        <v>1</v>
      </c>
      <c r="R183" t="str">
        <f>INDEX(Define!K:K,MATCH(Q183,Define!J:J))</f>
        <v>相手</v>
      </c>
      <c r="S183">
        <v>3</v>
      </c>
      <c r="T183" t="str">
        <f>INDEX(Define!N:N,MATCH(S183,Define!M:M))</f>
        <v>全体</v>
      </c>
      <c r="U183">
        <v>1</v>
      </c>
      <c r="V183">
        <v>1</v>
      </c>
      <c r="W183">
        <v>1</v>
      </c>
      <c r="X183">
        <v>0</v>
      </c>
    </row>
    <row r="184" spans="1:24">
      <c r="A184">
        <v>100410</v>
      </c>
      <c r="B184">
        <v>100410</v>
      </c>
      <c r="C184" t="str">
        <f>INDEX(TextData!B:B,MATCH(B184,TextData!A:A))</f>
        <v>アバンデンス</v>
      </c>
      <c r="D184">
        <v>10</v>
      </c>
      <c r="E184" t="str">
        <f>INDEX(Define!X:X,MATCH(D184,Define!W:W))</f>
        <v>半神</v>
      </c>
      <c r="F184">
        <v>401</v>
      </c>
      <c r="G184" t="str">
        <f>INDEX([1]Animations!B:B,MATCH(F184,[1]Animations!A:A))</f>
        <v>MakerEffect/LightOne1</v>
      </c>
      <c r="H184">
        <v>1</v>
      </c>
      <c r="I184" t="str">
        <f>INDEX(Define!B:B,MATCH(H184,Define!A:A))</f>
        <v>単体</v>
      </c>
      <c r="J184">
        <v>0</v>
      </c>
      <c r="K184">
        <v>0</v>
      </c>
      <c r="L184">
        <v>1000</v>
      </c>
      <c r="M184">
        <v>4</v>
      </c>
      <c r="N184" t="str">
        <f>INDEX(Define!E:E,MATCH(M184,Define!D:D))</f>
        <v>光</v>
      </c>
      <c r="O184">
        <v>3</v>
      </c>
      <c r="P184" t="str">
        <f>INDEX(Define!H:H,MATCH(O184,Define!G:G))</f>
        <v>神化</v>
      </c>
      <c r="Q184">
        <v>2</v>
      </c>
      <c r="R184" t="str">
        <f>INDEX(Define!K:K,MATCH(Q184,Define!J:J))</f>
        <v>味方</v>
      </c>
      <c r="S184">
        <v>3</v>
      </c>
      <c r="T184" t="str">
        <f>INDEX(Define!N:N,MATCH(S184,Define!M:M))</f>
        <v>全体</v>
      </c>
      <c r="U184">
        <v>2</v>
      </c>
      <c r="V184">
        <v>1</v>
      </c>
      <c r="W184">
        <v>0</v>
      </c>
      <c r="X184">
        <v>0</v>
      </c>
    </row>
    <row r="185" spans="1:24">
      <c r="A185">
        <v>100420</v>
      </c>
      <c r="B185">
        <v>100420</v>
      </c>
      <c r="C185" t="str">
        <f>INDEX(TextData!B:B,MATCH(B185,TextData!A:A))</f>
        <v>ハーヴェスト</v>
      </c>
      <c r="D185">
        <v>11</v>
      </c>
      <c r="E185" t="str">
        <f>INDEX(Define!X:X,MATCH(D185,Define!W:W))</f>
        <v>覚醒</v>
      </c>
      <c r="F185">
        <v>1004</v>
      </c>
      <c r="G185" t="str">
        <f>INDEX([1]Animations!B:B,MATCH(F185,[1]Animations!A:A))</f>
        <v>MakerEffect/HitIce</v>
      </c>
      <c r="H185">
        <v>1</v>
      </c>
      <c r="I185" t="str">
        <f>INDEX(Define!B:B,MATCH(H185,Define!A:A))</f>
        <v>単体</v>
      </c>
      <c r="J185">
        <v>0</v>
      </c>
      <c r="K185">
        <v>0</v>
      </c>
      <c r="L185">
        <v>1000</v>
      </c>
      <c r="M185">
        <v>4</v>
      </c>
      <c r="N185" t="str">
        <f>INDEX(Define!E:E,MATCH(M185,Define!D:D))</f>
        <v>光</v>
      </c>
      <c r="O185">
        <v>4</v>
      </c>
      <c r="P185" t="str">
        <f>INDEX(Define!H:H,MATCH(O185,Define!G:G))</f>
        <v>覚醒</v>
      </c>
      <c r="Q185">
        <v>2</v>
      </c>
      <c r="R185" t="str">
        <f>INDEX(Define!K:K,MATCH(Q185,Define!J:J))</f>
        <v>味方</v>
      </c>
      <c r="S185">
        <v>3</v>
      </c>
      <c r="T185" t="str">
        <f>INDEX(Define!N:N,MATCH(S185,Define!M:M))</f>
        <v>全体</v>
      </c>
      <c r="U185">
        <v>2</v>
      </c>
      <c r="V185">
        <v>1</v>
      </c>
      <c r="W185">
        <v>1</v>
      </c>
      <c r="X185">
        <v>0</v>
      </c>
    </row>
    <row r="186" ht="12" customHeight="1" spans="1:24">
      <c r="A186">
        <v>100510</v>
      </c>
      <c r="B186">
        <v>100510</v>
      </c>
      <c r="C186" t="str">
        <f>INDEX(TextData!B:B,MATCH(B186,TextData!A:A))</f>
        <v>カースドブレイク</v>
      </c>
      <c r="D186">
        <v>10</v>
      </c>
      <c r="E186" t="str">
        <f>INDEX(Define!X:X,MATCH(D186,Define!W:W))</f>
        <v>半神</v>
      </c>
      <c r="F186">
        <v>51</v>
      </c>
      <c r="G186" t="str">
        <f>INDEX([1]Animations!B:B,MATCH(F186,[1]Animations!A:A))</f>
        <v>NA_Effekseer/NA_aura_001</v>
      </c>
      <c r="H186">
        <v>1</v>
      </c>
      <c r="I186" t="str">
        <f>INDEX(Define!B:B,MATCH(H186,Define!A:A))</f>
        <v>単体</v>
      </c>
      <c r="J186">
        <v>0</v>
      </c>
      <c r="K186">
        <v>0</v>
      </c>
      <c r="L186">
        <v>1000</v>
      </c>
      <c r="M186">
        <v>5</v>
      </c>
      <c r="N186" t="str">
        <f>INDEX(Define!E:E,MATCH(M186,Define!D:D))</f>
        <v>闇</v>
      </c>
      <c r="O186">
        <v>3</v>
      </c>
      <c r="P186" t="str">
        <f>INDEX(Define!H:H,MATCH(O186,Define!G:G))</f>
        <v>神化</v>
      </c>
      <c r="Q186">
        <v>4</v>
      </c>
      <c r="R186" t="str">
        <f>INDEX(Define!K:K,MATCH(Q186,Define!J:J))</f>
        <v>自身</v>
      </c>
      <c r="S186">
        <v>4</v>
      </c>
      <c r="T186" t="str">
        <f>INDEX(Define!N:N,MATCH(S186,Define!M:M))</f>
        <v>自身</v>
      </c>
      <c r="U186">
        <v>1</v>
      </c>
      <c r="V186">
        <v>1</v>
      </c>
      <c r="W186">
        <v>1</v>
      </c>
      <c r="X186">
        <v>0</v>
      </c>
    </row>
    <row r="187" ht="12" customHeight="1" spans="1:24">
      <c r="A187">
        <v>100520</v>
      </c>
      <c r="B187">
        <v>100520</v>
      </c>
      <c r="C187" t="str">
        <f>INDEX(TextData!B:B,MATCH(B187,TextData!A:A))</f>
        <v>ムーンライトレイ</v>
      </c>
      <c r="D187">
        <v>11</v>
      </c>
      <c r="E187" t="str">
        <f>INDEX(Define!X:X,MATCH(D187,Define!W:W))</f>
        <v>覚醒</v>
      </c>
      <c r="F187">
        <v>1005</v>
      </c>
      <c r="G187" t="str">
        <f>INDEX([1]Animations!B:B,MATCH(F187,[1]Animations!A:A))</f>
        <v>MakerEffect/HitThunder</v>
      </c>
      <c r="H187">
        <v>1</v>
      </c>
      <c r="I187" t="str">
        <f>INDEX(Define!B:B,MATCH(H187,Define!A:A))</f>
        <v>単体</v>
      </c>
      <c r="J187">
        <v>0</v>
      </c>
      <c r="K187">
        <v>0</v>
      </c>
      <c r="L187">
        <v>1000</v>
      </c>
      <c r="M187">
        <v>5</v>
      </c>
      <c r="N187" t="str">
        <f>INDEX(Define!E:E,MATCH(M187,Define!D:D))</f>
        <v>闇</v>
      </c>
      <c r="O187">
        <v>4</v>
      </c>
      <c r="P187" t="str">
        <f>INDEX(Define!H:H,MATCH(O187,Define!G:G))</f>
        <v>覚醒</v>
      </c>
      <c r="Q187">
        <v>1</v>
      </c>
      <c r="R187" t="str">
        <f>INDEX(Define!K:K,MATCH(Q187,Define!J:J))</f>
        <v>相手</v>
      </c>
      <c r="S187">
        <v>3</v>
      </c>
      <c r="T187" t="str">
        <f>INDEX(Define!N:N,MATCH(S187,Define!M:M))</f>
        <v>全体</v>
      </c>
      <c r="U187">
        <v>2</v>
      </c>
      <c r="V187">
        <v>1</v>
      </c>
      <c r="W187">
        <v>1</v>
      </c>
      <c r="X187">
        <v>0</v>
      </c>
    </row>
    <row r="188" spans="1:24">
      <c r="A188">
        <v>100610</v>
      </c>
      <c r="B188">
        <v>100610</v>
      </c>
      <c r="C188" t="str">
        <f>INDEX(TextData!B:B,MATCH(B188,TextData!A:A))</f>
        <v>サンフレイム</v>
      </c>
      <c r="D188">
        <v>10</v>
      </c>
      <c r="E188" t="str">
        <f>INDEX(Define!X:X,MATCH(D188,Define!W:W))</f>
        <v>半神</v>
      </c>
      <c r="F188">
        <v>51</v>
      </c>
      <c r="G188" t="str">
        <f>INDEX([1]Animations!B:B,MATCH(F188,[1]Animations!A:A))</f>
        <v>NA_Effekseer/NA_aura_001</v>
      </c>
      <c r="H188">
        <v>1</v>
      </c>
      <c r="I188" t="str">
        <f>INDEX(Define!B:B,MATCH(H188,Define!A:A))</f>
        <v>単体</v>
      </c>
      <c r="J188">
        <v>0</v>
      </c>
      <c r="K188">
        <v>0</v>
      </c>
      <c r="L188">
        <v>1000</v>
      </c>
      <c r="M188">
        <v>1</v>
      </c>
      <c r="N188" t="str">
        <f>INDEX(Define!E:E,MATCH(M188,Define!D:D))</f>
        <v>炎</v>
      </c>
      <c r="O188">
        <v>3</v>
      </c>
      <c r="P188" t="str">
        <f>INDEX(Define!H:H,MATCH(O188,Define!G:G))</f>
        <v>神化</v>
      </c>
      <c r="Q188">
        <v>4</v>
      </c>
      <c r="R188" t="str">
        <f>INDEX(Define!K:K,MATCH(Q188,Define!J:J))</f>
        <v>自身</v>
      </c>
      <c r="S188">
        <v>31</v>
      </c>
      <c r="T188" t="str">
        <f>INDEX(Define!N:N,MATCH(S188,Define!M:M))</f>
        <v>単体と両隣</v>
      </c>
      <c r="U188">
        <v>2</v>
      </c>
      <c r="V188">
        <v>1</v>
      </c>
      <c r="W188">
        <v>1</v>
      </c>
      <c r="X188">
        <v>0</v>
      </c>
    </row>
    <row r="189" spans="1:24">
      <c r="A189">
        <v>100620</v>
      </c>
      <c r="B189">
        <v>100620</v>
      </c>
      <c r="C189" t="str">
        <f>INDEX(TextData!B:B,MATCH(B189,TextData!A:A))</f>
        <v>フレイムタン</v>
      </c>
      <c r="D189">
        <v>11</v>
      </c>
      <c r="E189" t="str">
        <f>INDEX(Define!X:X,MATCH(D189,Define!W:W))</f>
        <v>覚醒</v>
      </c>
      <c r="F189">
        <v>1005</v>
      </c>
      <c r="G189" t="str">
        <f>INDEX([1]Animations!B:B,MATCH(F189,[1]Animations!A:A))</f>
        <v>MakerEffect/HitThunder</v>
      </c>
      <c r="H189">
        <v>1</v>
      </c>
      <c r="I189" t="str">
        <f>INDEX(Define!B:B,MATCH(H189,Define!A:A))</f>
        <v>単体</v>
      </c>
      <c r="J189">
        <v>0</v>
      </c>
      <c r="K189">
        <v>0</v>
      </c>
      <c r="L189">
        <v>1000</v>
      </c>
      <c r="M189">
        <v>1</v>
      </c>
      <c r="N189" t="str">
        <f>INDEX(Define!E:E,MATCH(M189,Define!D:D))</f>
        <v>炎</v>
      </c>
      <c r="O189">
        <v>4</v>
      </c>
      <c r="P189" t="str">
        <f>INDEX(Define!H:H,MATCH(O189,Define!G:G))</f>
        <v>覚醒</v>
      </c>
      <c r="Q189">
        <v>1</v>
      </c>
      <c r="R189" t="str">
        <f>INDEX(Define!K:K,MATCH(Q189,Define!J:J))</f>
        <v>相手</v>
      </c>
      <c r="S189">
        <v>3</v>
      </c>
      <c r="T189" t="str">
        <f>INDEX(Define!N:N,MATCH(S189,Define!M:M))</f>
        <v>全体</v>
      </c>
      <c r="U189">
        <v>2</v>
      </c>
      <c r="V189">
        <v>1</v>
      </c>
      <c r="W189">
        <v>1</v>
      </c>
      <c r="X189">
        <v>0</v>
      </c>
    </row>
    <row r="190" ht="12" customHeight="1" spans="1:24">
      <c r="A190">
        <v>100710</v>
      </c>
      <c r="B190">
        <v>100710</v>
      </c>
      <c r="C190" t="str">
        <f>INDEX(TextData!B:B,MATCH(B190,TextData!A:A))</f>
        <v>ライズザフラッグ</v>
      </c>
      <c r="D190">
        <v>10</v>
      </c>
      <c r="E190" t="str">
        <f>INDEX(Define!X:X,MATCH(D190,Define!W:W))</f>
        <v>半神</v>
      </c>
      <c r="F190">
        <v>201</v>
      </c>
      <c r="G190" t="str">
        <f>INDEX([1]Animations!B:B,MATCH(F190,[1]Animations!A:A))</f>
        <v>MakerEffect/ThunderOne1</v>
      </c>
      <c r="H190">
        <v>1</v>
      </c>
      <c r="I190" t="str">
        <f>INDEX(Define!B:B,MATCH(H190,Define!A:A))</f>
        <v>単体</v>
      </c>
      <c r="J190">
        <v>0</v>
      </c>
      <c r="K190">
        <v>0</v>
      </c>
      <c r="L190">
        <v>1000</v>
      </c>
      <c r="M190">
        <v>2</v>
      </c>
      <c r="N190" t="str">
        <f>INDEX(Define!E:E,MATCH(M190,Define!D:D))</f>
        <v>雷</v>
      </c>
      <c r="O190">
        <v>3</v>
      </c>
      <c r="P190" t="str">
        <f>INDEX(Define!H:H,MATCH(O190,Define!G:G))</f>
        <v>神化</v>
      </c>
      <c r="Q190">
        <v>4</v>
      </c>
      <c r="R190" t="str">
        <f>INDEX(Define!K:K,MATCH(Q190,Define!J:J))</f>
        <v>自身</v>
      </c>
      <c r="S190">
        <v>4</v>
      </c>
      <c r="T190" t="str">
        <f>INDEX(Define!N:N,MATCH(S190,Define!M:M))</f>
        <v>自身</v>
      </c>
      <c r="U190">
        <v>1</v>
      </c>
      <c r="V190">
        <v>1</v>
      </c>
      <c r="W190">
        <v>1</v>
      </c>
      <c r="X190">
        <v>0</v>
      </c>
    </row>
    <row r="191" ht="12" customHeight="1" spans="1:24">
      <c r="A191">
        <v>100720</v>
      </c>
      <c r="B191">
        <v>100720</v>
      </c>
      <c r="C191" t="str">
        <f>INDEX(TextData!B:B,MATCH(B191,TextData!A:A))</f>
        <v>オーバーリミット</v>
      </c>
      <c r="D191">
        <v>11</v>
      </c>
      <c r="E191" t="str">
        <f>INDEX(Define!X:X,MATCH(D191,Define!W:W))</f>
        <v>覚醒</v>
      </c>
      <c r="F191">
        <v>1005</v>
      </c>
      <c r="G191" t="str">
        <f>INDEX([1]Animations!B:B,MATCH(F191,[1]Animations!A:A))</f>
        <v>MakerEffect/HitThunder</v>
      </c>
      <c r="H191">
        <v>1</v>
      </c>
      <c r="I191" t="str">
        <f>INDEX(Define!B:B,MATCH(H191,Define!A:A))</f>
        <v>単体</v>
      </c>
      <c r="J191">
        <v>0</v>
      </c>
      <c r="K191">
        <v>0</v>
      </c>
      <c r="L191">
        <v>1000</v>
      </c>
      <c r="M191">
        <v>2</v>
      </c>
      <c r="N191" t="str">
        <f>INDEX(Define!E:E,MATCH(M191,Define!D:D))</f>
        <v>雷</v>
      </c>
      <c r="O191">
        <v>4</v>
      </c>
      <c r="P191" t="str">
        <f>INDEX(Define!H:H,MATCH(O191,Define!G:G))</f>
        <v>覚醒</v>
      </c>
      <c r="Q191">
        <v>2</v>
      </c>
      <c r="R191" t="str">
        <f>INDEX(Define!K:K,MATCH(Q191,Define!J:J))</f>
        <v>味方</v>
      </c>
      <c r="S191">
        <v>2</v>
      </c>
      <c r="T191" t="str">
        <f>INDEX(Define!N:N,MATCH(S191,Define!M:M))</f>
        <v>列</v>
      </c>
      <c r="U191">
        <v>1</v>
      </c>
      <c r="V191">
        <v>1</v>
      </c>
      <c r="W191">
        <v>1</v>
      </c>
      <c r="X191">
        <v>0</v>
      </c>
    </row>
    <row r="192" ht="12" customHeight="1" spans="1:24">
      <c r="A192">
        <v>100810</v>
      </c>
      <c r="B192">
        <v>100810</v>
      </c>
      <c r="C192" t="str">
        <f>INDEX(TextData!B:B,MATCH(B192,TextData!A:A))</f>
        <v>テンパランス</v>
      </c>
      <c r="D192">
        <v>10</v>
      </c>
      <c r="E192" t="str">
        <f>INDEX(Define!X:X,MATCH(D192,Define!W:W))</f>
        <v>半神</v>
      </c>
      <c r="F192">
        <v>51</v>
      </c>
      <c r="G192" t="str">
        <f>INDEX([1]Animations!B:B,MATCH(F192,[1]Animations!A:A))</f>
        <v>NA_Effekseer/NA_aura_001</v>
      </c>
      <c r="H192">
        <v>1</v>
      </c>
      <c r="I192" t="str">
        <f>INDEX(Define!B:B,MATCH(H192,Define!A:A))</f>
        <v>単体</v>
      </c>
      <c r="J192">
        <v>0</v>
      </c>
      <c r="K192">
        <v>0</v>
      </c>
      <c r="L192">
        <v>1000</v>
      </c>
      <c r="M192">
        <v>3</v>
      </c>
      <c r="N192" t="str">
        <f>INDEX(Define!E:E,MATCH(M192,Define!D:D))</f>
        <v>氷</v>
      </c>
      <c r="O192">
        <v>3</v>
      </c>
      <c r="P192" t="str">
        <f>INDEX(Define!H:H,MATCH(O192,Define!G:G))</f>
        <v>神化</v>
      </c>
      <c r="Q192">
        <v>2</v>
      </c>
      <c r="R192" t="str">
        <f>INDEX(Define!K:K,MATCH(Q192,Define!J:J))</f>
        <v>味方</v>
      </c>
      <c r="S192">
        <v>3</v>
      </c>
      <c r="T192" t="str">
        <f>INDEX(Define!N:N,MATCH(S192,Define!M:M))</f>
        <v>全体</v>
      </c>
      <c r="U192">
        <v>2</v>
      </c>
      <c r="V192">
        <v>1</v>
      </c>
      <c r="W192">
        <v>1</v>
      </c>
      <c r="X192">
        <v>0</v>
      </c>
    </row>
    <row r="193" ht="12" customHeight="1" spans="1:24">
      <c r="A193">
        <v>100820</v>
      </c>
      <c r="B193">
        <v>100820</v>
      </c>
      <c r="C193" t="str">
        <f>INDEX(TextData!B:B,MATCH(B193,TextData!A:A))</f>
        <v>シエルクルセイダー</v>
      </c>
      <c r="D193">
        <v>11</v>
      </c>
      <c r="E193" t="str">
        <f>INDEX(Define!X:X,MATCH(D193,Define!W:W))</f>
        <v>覚醒</v>
      </c>
      <c r="F193">
        <v>1005</v>
      </c>
      <c r="G193" t="str">
        <f>INDEX([1]Animations!B:B,MATCH(F193,[1]Animations!A:A))</f>
        <v>MakerEffect/HitThunder</v>
      </c>
      <c r="H193">
        <v>1</v>
      </c>
      <c r="I193" t="str">
        <f>INDEX(Define!B:B,MATCH(H193,Define!A:A))</f>
        <v>単体</v>
      </c>
      <c r="J193">
        <v>0</v>
      </c>
      <c r="K193">
        <v>0</v>
      </c>
      <c r="L193">
        <v>1000</v>
      </c>
      <c r="M193">
        <v>3</v>
      </c>
      <c r="N193" t="str">
        <f>INDEX(Define!E:E,MATCH(M193,Define!D:D))</f>
        <v>氷</v>
      </c>
      <c r="O193">
        <v>4</v>
      </c>
      <c r="P193" t="str">
        <f>INDEX(Define!H:H,MATCH(O193,Define!G:G))</f>
        <v>覚醒</v>
      </c>
      <c r="Q193">
        <v>1</v>
      </c>
      <c r="R193" t="str">
        <f>INDEX(Define!K:K,MATCH(Q193,Define!J:J))</f>
        <v>相手</v>
      </c>
      <c r="S193">
        <v>3</v>
      </c>
      <c r="T193" t="str">
        <f>INDEX(Define!N:N,MATCH(S193,Define!M:M))</f>
        <v>全体</v>
      </c>
      <c r="U193">
        <v>2</v>
      </c>
      <c r="V193">
        <v>1</v>
      </c>
      <c r="W193">
        <v>1</v>
      </c>
      <c r="X193">
        <v>0</v>
      </c>
    </row>
    <row r="194" ht="12" customHeight="1" spans="1:24">
      <c r="A194">
        <v>100910</v>
      </c>
      <c r="B194">
        <v>100910</v>
      </c>
      <c r="C194" t="str">
        <f>INDEX(TextData!B:B,MATCH(B194,TextData!A:A))</f>
        <v>バーニングカウンター</v>
      </c>
      <c r="D194">
        <v>10</v>
      </c>
      <c r="E194" t="str">
        <f>INDEX(Define!X:X,MATCH(D194,Define!W:W))</f>
        <v>半神</v>
      </c>
      <c r="F194">
        <v>101</v>
      </c>
      <c r="G194" t="str">
        <f>INDEX([1]Animations!B:B,MATCH(F194,[1]Animations!A:A))</f>
        <v>MakerEffect/FireOne1</v>
      </c>
      <c r="H194">
        <v>1</v>
      </c>
      <c r="I194" t="str">
        <f>INDEX(Define!B:B,MATCH(H194,Define!A:A))</f>
        <v>単体</v>
      </c>
      <c r="J194">
        <v>0</v>
      </c>
      <c r="K194">
        <v>0</v>
      </c>
      <c r="L194">
        <v>1000</v>
      </c>
      <c r="M194">
        <v>1</v>
      </c>
      <c r="N194" t="str">
        <f>INDEX(Define!E:E,MATCH(M194,Define!D:D))</f>
        <v>炎</v>
      </c>
      <c r="O194">
        <v>3</v>
      </c>
      <c r="P194" t="str">
        <f>INDEX(Define!H:H,MATCH(O194,Define!G:G))</f>
        <v>神化</v>
      </c>
      <c r="Q194">
        <v>6</v>
      </c>
      <c r="R194" t="str">
        <f>INDEX(Define!K:K,MATCH(Q194,Define!J:J))</f>
        <v>反撃</v>
      </c>
      <c r="S194">
        <v>1</v>
      </c>
      <c r="T194" t="str">
        <f>INDEX(Define!N:N,MATCH(S194,Define!M:M))</f>
        <v>単体</v>
      </c>
      <c r="U194">
        <v>1</v>
      </c>
      <c r="V194">
        <v>1</v>
      </c>
      <c r="W194">
        <v>1</v>
      </c>
      <c r="X194">
        <v>0</v>
      </c>
    </row>
    <row r="195" ht="12" customHeight="1" spans="1:24">
      <c r="A195">
        <v>100911</v>
      </c>
      <c r="B195">
        <v>100911</v>
      </c>
      <c r="C195" t="str">
        <f>INDEX(TextData!B:B,MATCH(B195,TextData!A:A))</f>
        <v>バーニングカウンター</v>
      </c>
      <c r="D195">
        <v>10</v>
      </c>
      <c r="E195" t="str">
        <f>INDEX(Define!X:X,MATCH(D195,Define!W:W))</f>
        <v>半神</v>
      </c>
      <c r="F195">
        <v>51</v>
      </c>
      <c r="G195" t="str">
        <f>INDEX([1]Animations!B:B,MATCH(F195,[1]Animations!A:A))</f>
        <v>NA_Effekseer/NA_aura_001</v>
      </c>
      <c r="H195">
        <v>1</v>
      </c>
      <c r="I195" t="str">
        <f>INDEX(Define!B:B,MATCH(H195,Define!A:A))</f>
        <v>単体</v>
      </c>
      <c r="J195">
        <v>0</v>
      </c>
      <c r="K195">
        <v>0</v>
      </c>
      <c r="L195">
        <v>1000</v>
      </c>
      <c r="M195">
        <v>1</v>
      </c>
      <c r="N195" t="str">
        <f>INDEX(Define!E:E,MATCH(M195,Define!D:D))</f>
        <v>炎</v>
      </c>
      <c r="O195">
        <v>2</v>
      </c>
      <c r="P195" t="str">
        <f>INDEX(Define!H:H,MATCH(O195,Define!G:G))</f>
        <v>パッシブ</v>
      </c>
      <c r="Q195">
        <v>4</v>
      </c>
      <c r="R195" t="str">
        <f>INDEX(Define!K:K,MATCH(Q195,Define!J:J))</f>
        <v>自身</v>
      </c>
      <c r="S195">
        <v>4</v>
      </c>
      <c r="T195" t="str">
        <f>INDEX(Define!N:N,MATCH(S195,Define!M:M))</f>
        <v>自身</v>
      </c>
      <c r="U195">
        <v>1</v>
      </c>
      <c r="V195">
        <v>1</v>
      </c>
      <c r="W195">
        <v>1</v>
      </c>
      <c r="X195">
        <v>0</v>
      </c>
    </row>
    <row r="196" ht="12" customHeight="1" spans="1:24">
      <c r="A196">
        <v>100920</v>
      </c>
      <c r="B196">
        <v>100920</v>
      </c>
      <c r="C196" t="str">
        <f>INDEX(TextData!B:B,MATCH(B196,TextData!A:A))</f>
        <v>プロミネンス</v>
      </c>
      <c r="D196">
        <v>11</v>
      </c>
      <c r="E196" t="str">
        <f>INDEX(Define!X:X,MATCH(D196,Define!W:W))</f>
        <v>覚醒</v>
      </c>
      <c r="F196">
        <v>1005</v>
      </c>
      <c r="G196" t="str">
        <f>INDEX([1]Animations!B:B,MATCH(F196,[1]Animations!A:A))</f>
        <v>MakerEffect/HitThunder</v>
      </c>
      <c r="H196">
        <v>1</v>
      </c>
      <c r="I196" t="str">
        <f>INDEX(Define!B:B,MATCH(H196,Define!A:A))</f>
        <v>単体</v>
      </c>
      <c r="J196">
        <v>0</v>
      </c>
      <c r="K196">
        <v>0</v>
      </c>
      <c r="L196">
        <v>1000</v>
      </c>
      <c r="M196">
        <v>1</v>
      </c>
      <c r="N196" t="str">
        <f>INDEX(Define!E:E,MATCH(M196,Define!D:D))</f>
        <v>炎</v>
      </c>
      <c r="O196">
        <v>4</v>
      </c>
      <c r="P196" t="str">
        <f>INDEX(Define!H:H,MATCH(O196,Define!G:G))</f>
        <v>覚醒</v>
      </c>
      <c r="Q196">
        <v>1</v>
      </c>
      <c r="R196" t="str">
        <f>INDEX(Define!K:K,MATCH(Q196,Define!J:J))</f>
        <v>相手</v>
      </c>
      <c r="S196">
        <v>1</v>
      </c>
      <c r="T196" t="str">
        <f>INDEX(Define!N:N,MATCH(S196,Define!M:M))</f>
        <v>単体</v>
      </c>
      <c r="U196">
        <v>1</v>
      </c>
      <c r="V196">
        <v>1</v>
      </c>
      <c r="W196">
        <v>1</v>
      </c>
      <c r="X196">
        <v>0</v>
      </c>
    </row>
    <row r="197" ht="12" customHeight="1" spans="1:24">
      <c r="A197">
        <v>100921</v>
      </c>
      <c r="B197">
        <v>100921</v>
      </c>
      <c r="C197" t="str">
        <f>INDEX(TextData!B:B,MATCH(B197,TextData!A:A))</f>
        <v>プロミネンス</v>
      </c>
      <c r="D197">
        <v>11</v>
      </c>
      <c r="E197" t="str">
        <f>INDEX(Define!X:X,MATCH(D197,Define!W:W))</f>
        <v>覚醒</v>
      </c>
      <c r="F197">
        <v>51</v>
      </c>
      <c r="G197" t="str">
        <f>INDEX([1]Animations!B:B,MATCH(F197,[1]Animations!A:A))</f>
        <v>NA_Effekseer/NA_aura_001</v>
      </c>
      <c r="H197">
        <v>1</v>
      </c>
      <c r="I197" t="str">
        <f>INDEX(Define!B:B,MATCH(H197,Define!A:A))</f>
        <v>単体</v>
      </c>
      <c r="J197">
        <v>0</v>
      </c>
      <c r="K197">
        <v>0</v>
      </c>
      <c r="L197">
        <v>1000</v>
      </c>
      <c r="M197">
        <v>1</v>
      </c>
      <c r="N197" t="str">
        <f>INDEX(Define!E:E,MATCH(M197,Define!D:D))</f>
        <v>炎</v>
      </c>
      <c r="O197">
        <v>2</v>
      </c>
      <c r="P197" t="str">
        <f>INDEX(Define!H:H,MATCH(O197,Define!G:G))</f>
        <v>パッシブ</v>
      </c>
      <c r="Q197">
        <v>4</v>
      </c>
      <c r="R197" t="str">
        <f>INDEX(Define!K:K,MATCH(Q197,Define!J:J))</f>
        <v>自身</v>
      </c>
      <c r="S197">
        <v>4</v>
      </c>
      <c r="T197" t="str">
        <f>INDEX(Define!N:N,MATCH(S197,Define!M:M))</f>
        <v>自身</v>
      </c>
      <c r="U197">
        <v>1</v>
      </c>
      <c r="V197">
        <v>1</v>
      </c>
      <c r="W197">
        <v>1</v>
      </c>
      <c r="X197">
        <v>0</v>
      </c>
    </row>
    <row r="198" ht="12" customHeight="1" spans="1:24">
      <c r="A198">
        <v>101010</v>
      </c>
      <c r="B198">
        <v>101010</v>
      </c>
      <c r="C198" t="str">
        <f>INDEX(TextData!B:B,MATCH(B198,TextData!A:A))</f>
        <v>エウロス</v>
      </c>
      <c r="D198">
        <v>10</v>
      </c>
      <c r="E198" t="str">
        <f>INDEX(Define!X:X,MATCH(D198,Define!W:W))</f>
        <v>半神</v>
      </c>
      <c r="F198">
        <v>51</v>
      </c>
      <c r="G198" t="str">
        <f>INDEX([1]Animations!B:B,MATCH(F198,[1]Animations!A:A))</f>
        <v>NA_Effekseer/NA_aura_001</v>
      </c>
      <c r="H198">
        <v>1</v>
      </c>
      <c r="I198" t="str">
        <f>INDEX(Define!B:B,MATCH(H198,Define!A:A))</f>
        <v>単体</v>
      </c>
      <c r="J198">
        <v>0</v>
      </c>
      <c r="K198">
        <v>0</v>
      </c>
      <c r="L198">
        <v>1000</v>
      </c>
      <c r="M198">
        <v>2</v>
      </c>
      <c r="N198" t="str">
        <f>INDEX(Define!E:E,MATCH(M198,Define!D:D))</f>
        <v>雷</v>
      </c>
      <c r="O198">
        <v>3</v>
      </c>
      <c r="P198" t="str">
        <f>INDEX(Define!H:H,MATCH(O198,Define!G:G))</f>
        <v>神化</v>
      </c>
      <c r="Q198">
        <v>6</v>
      </c>
      <c r="R198" t="str">
        <f>INDEX(Define!K:K,MATCH(Q198,Define!J:J))</f>
        <v>反撃</v>
      </c>
      <c r="S198">
        <v>1</v>
      </c>
      <c r="T198" t="str">
        <f>INDEX(Define!N:N,MATCH(S198,Define!M:M))</f>
        <v>単体</v>
      </c>
      <c r="U198">
        <v>1</v>
      </c>
      <c r="V198">
        <v>1</v>
      </c>
      <c r="W198">
        <v>1</v>
      </c>
      <c r="X198">
        <v>0</v>
      </c>
    </row>
    <row r="199" ht="12" customHeight="1" spans="1:24">
      <c r="A199">
        <v>101020</v>
      </c>
      <c r="B199">
        <v>101020</v>
      </c>
      <c r="C199" t="str">
        <f>INDEX(TextData!B:B,MATCH(B199,TextData!A:A))</f>
        <v>ボレアス</v>
      </c>
      <c r="D199">
        <v>11</v>
      </c>
      <c r="E199" t="str">
        <f>INDEX(Define!X:X,MATCH(D199,Define!W:W))</f>
        <v>覚醒</v>
      </c>
      <c r="F199">
        <v>1005</v>
      </c>
      <c r="G199" t="str">
        <f>INDEX([1]Animations!B:B,MATCH(F199,[1]Animations!A:A))</f>
        <v>MakerEffect/HitThunder</v>
      </c>
      <c r="H199">
        <v>1</v>
      </c>
      <c r="I199" t="str">
        <f>INDEX(Define!B:B,MATCH(H199,Define!A:A))</f>
        <v>単体</v>
      </c>
      <c r="J199">
        <v>0</v>
      </c>
      <c r="K199">
        <v>0</v>
      </c>
      <c r="L199">
        <v>1000</v>
      </c>
      <c r="M199">
        <v>2</v>
      </c>
      <c r="N199" t="str">
        <f>INDEX(Define!E:E,MATCH(M199,Define!D:D))</f>
        <v>雷</v>
      </c>
      <c r="O199">
        <v>4</v>
      </c>
      <c r="P199" t="str">
        <f>INDEX(Define!H:H,MATCH(O199,Define!G:G))</f>
        <v>覚醒</v>
      </c>
      <c r="Q199">
        <v>1</v>
      </c>
      <c r="R199" t="str">
        <f>INDEX(Define!K:K,MATCH(Q199,Define!J:J))</f>
        <v>相手</v>
      </c>
      <c r="S199">
        <v>3</v>
      </c>
      <c r="T199" t="str">
        <f>INDEX(Define!N:N,MATCH(S199,Define!M:M))</f>
        <v>全体</v>
      </c>
      <c r="U199">
        <v>2</v>
      </c>
      <c r="V199">
        <v>1</v>
      </c>
      <c r="W199">
        <v>1</v>
      </c>
      <c r="X199">
        <v>0</v>
      </c>
    </row>
    <row r="200" ht="12" customHeight="1" spans="1:24">
      <c r="A200">
        <v>101110</v>
      </c>
      <c r="B200">
        <v>101110</v>
      </c>
      <c r="C200" t="str">
        <f>INDEX(TextData!B:B,MATCH(B200,TextData!A:A))</f>
        <v>アバランシュ</v>
      </c>
      <c r="D200">
        <v>10</v>
      </c>
      <c r="E200" t="str">
        <f>INDEX(Define!X:X,MATCH(D200,Define!W:W))</f>
        <v>半神</v>
      </c>
      <c r="F200">
        <v>301</v>
      </c>
      <c r="G200" t="str">
        <f>INDEX([1]Animations!B:B,MATCH(F200,[1]Animations!A:A))</f>
        <v>MakerEffect/IceOne1</v>
      </c>
      <c r="H200">
        <v>1</v>
      </c>
      <c r="I200" t="str">
        <f>INDEX(Define!B:B,MATCH(H200,Define!A:A))</f>
        <v>単体</v>
      </c>
      <c r="J200">
        <v>0</v>
      </c>
      <c r="K200">
        <v>0</v>
      </c>
      <c r="L200">
        <v>1000</v>
      </c>
      <c r="M200">
        <v>3</v>
      </c>
      <c r="N200" t="str">
        <f>INDEX(Define!E:E,MATCH(M200,Define!D:D))</f>
        <v>氷</v>
      </c>
      <c r="O200">
        <v>3</v>
      </c>
      <c r="P200" t="str">
        <f>INDEX(Define!H:H,MATCH(O200,Define!G:G))</f>
        <v>神化</v>
      </c>
      <c r="Q200">
        <v>1</v>
      </c>
      <c r="R200" t="str">
        <f>INDEX(Define!K:K,MATCH(Q200,Define!J:J))</f>
        <v>相手</v>
      </c>
      <c r="S200">
        <v>3</v>
      </c>
      <c r="T200" t="str">
        <f>INDEX(Define!N:N,MATCH(S200,Define!M:M))</f>
        <v>全体</v>
      </c>
      <c r="U200">
        <v>2</v>
      </c>
      <c r="V200">
        <v>1</v>
      </c>
      <c r="W200">
        <v>1</v>
      </c>
      <c r="X200">
        <v>0</v>
      </c>
    </row>
    <row r="201" ht="12" customHeight="1" spans="1:24">
      <c r="A201">
        <v>101120</v>
      </c>
      <c r="B201">
        <v>101120</v>
      </c>
      <c r="C201" t="str">
        <f>INDEX(TextData!B:B,MATCH(B201,TextData!A:A))</f>
        <v>ブリザードコフィン</v>
      </c>
      <c r="D201">
        <v>11</v>
      </c>
      <c r="E201" t="str">
        <f>INDEX(Define!X:X,MATCH(D201,Define!W:W))</f>
        <v>覚醒</v>
      </c>
      <c r="F201">
        <v>1005</v>
      </c>
      <c r="G201" t="str">
        <f>INDEX([1]Animations!B:B,MATCH(F201,[1]Animations!A:A))</f>
        <v>MakerEffect/HitThunder</v>
      </c>
      <c r="H201">
        <v>1</v>
      </c>
      <c r="I201" t="str">
        <f>INDEX(Define!B:B,MATCH(H201,Define!A:A))</f>
        <v>単体</v>
      </c>
      <c r="J201">
        <v>0</v>
      </c>
      <c r="K201">
        <v>0</v>
      </c>
      <c r="L201">
        <v>1000</v>
      </c>
      <c r="M201">
        <v>3</v>
      </c>
      <c r="N201" t="str">
        <f>INDEX(Define!E:E,MATCH(M201,Define!D:D))</f>
        <v>氷</v>
      </c>
      <c r="O201">
        <v>4</v>
      </c>
      <c r="P201" t="str">
        <f>INDEX(Define!H:H,MATCH(O201,Define!G:G))</f>
        <v>覚醒</v>
      </c>
      <c r="Q201">
        <v>1</v>
      </c>
      <c r="R201" t="str">
        <f>INDEX(Define!K:K,MATCH(Q201,Define!J:J))</f>
        <v>相手</v>
      </c>
      <c r="S201">
        <v>2</v>
      </c>
      <c r="T201" t="str">
        <f>INDEX(Define!N:N,MATCH(S201,Define!M:M))</f>
        <v>列</v>
      </c>
      <c r="U201">
        <v>2</v>
      </c>
      <c r="V201">
        <v>1</v>
      </c>
      <c r="W201">
        <v>1</v>
      </c>
      <c r="X201">
        <v>0</v>
      </c>
    </row>
    <row r="202" spans="1:24">
      <c r="A202">
        <v>110110</v>
      </c>
      <c r="B202">
        <v>110110</v>
      </c>
      <c r="C202" t="str">
        <f>INDEX(TextData!B:B,MATCH(B202,TextData!A:A))</f>
        <v>ウィビングヒストリー</v>
      </c>
      <c r="D202">
        <v>10</v>
      </c>
      <c r="E202" t="str">
        <f>INDEX(Define!X:X,MATCH(D202,Define!W:W))</f>
        <v>半神</v>
      </c>
      <c r="F202">
        <v>51</v>
      </c>
      <c r="G202" t="str">
        <f>INDEX([1]Animations!B:B,MATCH(F202,[1]Animations!A:A))</f>
        <v>NA_Effekseer/NA_aura_001</v>
      </c>
      <c r="H202">
        <v>1</v>
      </c>
      <c r="I202" t="str">
        <f>INDEX(Define!B:B,MATCH(H202,Define!A:A))</f>
        <v>単体</v>
      </c>
      <c r="J202">
        <v>0</v>
      </c>
      <c r="K202">
        <v>0</v>
      </c>
      <c r="L202">
        <v>1000</v>
      </c>
      <c r="M202">
        <v>3</v>
      </c>
      <c r="N202" t="str">
        <f>INDEX(Define!E:E,MATCH(M202,Define!D:D))</f>
        <v>氷</v>
      </c>
      <c r="O202">
        <v>3</v>
      </c>
      <c r="P202" t="str">
        <f>INDEX(Define!H:H,MATCH(O202,Define!G:G))</f>
        <v>神化</v>
      </c>
      <c r="Q202">
        <v>4</v>
      </c>
      <c r="R202" t="str">
        <f>INDEX(Define!K:K,MATCH(Q202,Define!J:J))</f>
        <v>自身</v>
      </c>
      <c r="S202">
        <v>4</v>
      </c>
      <c r="T202" t="str">
        <f>INDEX(Define!N:N,MATCH(S202,Define!M:M))</f>
        <v>自身</v>
      </c>
      <c r="U202">
        <v>1</v>
      </c>
      <c r="V202">
        <v>1</v>
      </c>
      <c r="W202">
        <v>1</v>
      </c>
      <c r="X202">
        <v>0</v>
      </c>
    </row>
    <row r="203" spans="1:24">
      <c r="A203">
        <v>110120</v>
      </c>
      <c r="B203">
        <v>110120</v>
      </c>
      <c r="C203" t="str">
        <f>INDEX(TextData!B:B,MATCH(B203,TextData!A:A))</f>
        <v>アンライバルド</v>
      </c>
      <c r="D203">
        <v>11</v>
      </c>
      <c r="E203" t="str">
        <f>INDEX(Define!X:X,MATCH(D203,Define!W:W))</f>
        <v>覚醒</v>
      </c>
      <c r="F203">
        <v>1003</v>
      </c>
      <c r="G203" t="str">
        <f>INDEX([1]Animations!B:B,MATCH(F203,[1]Animations!A:A))</f>
        <v>MakerEffect/HitFire</v>
      </c>
      <c r="H203">
        <v>1</v>
      </c>
      <c r="I203" t="str">
        <f>INDEX(Define!B:B,MATCH(H203,Define!A:A))</f>
        <v>単体</v>
      </c>
      <c r="J203">
        <v>0</v>
      </c>
      <c r="K203">
        <v>0</v>
      </c>
      <c r="L203">
        <v>1000</v>
      </c>
      <c r="M203">
        <v>3</v>
      </c>
      <c r="N203" t="str">
        <f>INDEX(Define!E:E,MATCH(M203,Define!D:D))</f>
        <v>氷</v>
      </c>
      <c r="O203">
        <v>4</v>
      </c>
      <c r="P203" t="str">
        <f>INDEX(Define!H:H,MATCH(O203,Define!G:G))</f>
        <v>覚醒</v>
      </c>
      <c r="Q203">
        <v>1</v>
      </c>
      <c r="R203" t="str">
        <f>INDEX(Define!K:K,MATCH(Q203,Define!J:J))</f>
        <v>相手</v>
      </c>
      <c r="S203">
        <v>1</v>
      </c>
      <c r="T203" t="str">
        <f>INDEX(Define!N:N,MATCH(S203,Define!M:M))</f>
        <v>単体</v>
      </c>
      <c r="U203">
        <v>1</v>
      </c>
      <c r="V203">
        <v>1</v>
      </c>
      <c r="W203">
        <v>1</v>
      </c>
      <c r="X203">
        <v>0</v>
      </c>
    </row>
    <row r="204" spans="1:24">
      <c r="A204">
        <v>110210</v>
      </c>
      <c r="B204">
        <v>110210</v>
      </c>
      <c r="C204" t="str">
        <f>INDEX(TextData!B:B,MATCH(B204,TextData!A:A))</f>
        <v>リベリオンスピリッツ</v>
      </c>
      <c r="D204">
        <v>10</v>
      </c>
      <c r="E204" t="str">
        <f>INDEX(Define!X:X,MATCH(D204,Define!W:W))</f>
        <v>半神</v>
      </c>
      <c r="F204">
        <v>501</v>
      </c>
      <c r="G204" t="str">
        <f>INDEX([1]Animations!B:B,MATCH(F204,[1]Animations!A:A))</f>
        <v>MakerEffect/DarknessOne1</v>
      </c>
      <c r="H204">
        <v>1</v>
      </c>
      <c r="I204" t="str">
        <f>INDEX(Define!B:B,MATCH(H204,Define!A:A))</f>
        <v>単体</v>
      </c>
      <c r="J204">
        <v>0</v>
      </c>
      <c r="K204">
        <v>0</v>
      </c>
      <c r="L204">
        <v>1000</v>
      </c>
      <c r="M204">
        <v>5</v>
      </c>
      <c r="N204" t="str">
        <f>INDEX(Define!E:E,MATCH(M204,Define!D:D))</f>
        <v>闇</v>
      </c>
      <c r="O204">
        <v>3</v>
      </c>
      <c r="P204" t="str">
        <f>INDEX(Define!H:H,MATCH(O204,Define!G:G))</f>
        <v>神化</v>
      </c>
      <c r="Q204">
        <v>6</v>
      </c>
      <c r="R204" t="str">
        <f>INDEX(Define!K:K,MATCH(Q204,Define!J:J))</f>
        <v>反撃</v>
      </c>
      <c r="S204">
        <v>1</v>
      </c>
      <c r="T204" t="str">
        <f>INDEX(Define!N:N,MATCH(S204,Define!M:M))</f>
        <v>単体</v>
      </c>
      <c r="U204">
        <v>1</v>
      </c>
      <c r="V204">
        <v>1</v>
      </c>
      <c r="W204">
        <v>1</v>
      </c>
      <c r="X204">
        <v>0</v>
      </c>
    </row>
    <row r="205" spans="1:24">
      <c r="A205">
        <v>110220</v>
      </c>
      <c r="B205">
        <v>110220</v>
      </c>
      <c r="C205" t="str">
        <f>INDEX(TextData!B:B,MATCH(B205,TextData!A:A))</f>
        <v>ファイナリティアビス</v>
      </c>
      <c r="D205">
        <v>11</v>
      </c>
      <c r="E205" t="str">
        <f>INDEX(Define!X:X,MATCH(D205,Define!W:W))</f>
        <v>覚醒</v>
      </c>
      <c r="F205">
        <v>613</v>
      </c>
      <c r="G205" t="str">
        <f>INDEX([1]Animations!B:B,MATCH(F205,[1]Animations!A:A))</f>
        <v>MakerEffect/NeutralAll3</v>
      </c>
      <c r="H205">
        <v>1</v>
      </c>
      <c r="I205" t="str">
        <f>INDEX(Define!B:B,MATCH(H205,Define!A:A))</f>
        <v>単体</v>
      </c>
      <c r="J205">
        <v>0</v>
      </c>
      <c r="K205">
        <v>0</v>
      </c>
      <c r="L205">
        <v>1000</v>
      </c>
      <c r="M205">
        <v>5</v>
      </c>
      <c r="N205" t="str">
        <f>INDEX(Define!E:E,MATCH(M205,Define!D:D))</f>
        <v>闇</v>
      </c>
      <c r="O205">
        <v>4</v>
      </c>
      <c r="P205" t="str">
        <f>INDEX(Define!H:H,MATCH(O205,Define!G:G))</f>
        <v>覚醒</v>
      </c>
      <c r="Q205">
        <v>1</v>
      </c>
      <c r="R205" t="str">
        <f>INDEX(Define!K:K,MATCH(Q205,Define!J:J))</f>
        <v>相手</v>
      </c>
      <c r="S205">
        <v>3</v>
      </c>
      <c r="T205" t="str">
        <f>INDEX(Define!N:N,MATCH(S205,Define!M:M))</f>
        <v>全体</v>
      </c>
      <c r="U205">
        <v>2</v>
      </c>
      <c r="V205">
        <v>1</v>
      </c>
      <c r="W205">
        <v>1</v>
      </c>
      <c r="X205">
        <v>0</v>
      </c>
    </row>
    <row r="206" spans="1:24">
      <c r="A206">
        <v>200110</v>
      </c>
      <c r="B206">
        <v>200110</v>
      </c>
      <c r="C206" t="str">
        <f>INDEX(TextData!B:B,MATCH(B206,TextData!A:A))</f>
        <v>ティアーズスクリプト</v>
      </c>
      <c r="D206">
        <v>10</v>
      </c>
      <c r="E206" t="str">
        <f>INDEX(Define!X:X,MATCH(D206,Define!W:W))</f>
        <v>半神</v>
      </c>
      <c r="F206">
        <v>51</v>
      </c>
      <c r="G206" t="str">
        <f>INDEX([1]Animations!B:B,MATCH(F206,[1]Animations!A:A))</f>
        <v>NA_Effekseer/NA_aura_001</v>
      </c>
      <c r="H206">
        <v>1</v>
      </c>
      <c r="I206" t="str">
        <f>INDEX(Define!B:B,MATCH(H206,Define!A:A))</f>
        <v>単体</v>
      </c>
      <c r="J206">
        <v>0</v>
      </c>
      <c r="K206">
        <v>0</v>
      </c>
      <c r="L206">
        <v>1000</v>
      </c>
      <c r="M206">
        <v>2</v>
      </c>
      <c r="N206" t="str">
        <f>INDEX(Define!E:E,MATCH(M206,Define!D:D))</f>
        <v>雷</v>
      </c>
      <c r="O206">
        <v>3</v>
      </c>
      <c r="P206" t="str">
        <f>INDEX(Define!H:H,MATCH(O206,Define!G:G))</f>
        <v>神化</v>
      </c>
      <c r="Q206">
        <v>4</v>
      </c>
      <c r="R206" t="str">
        <f>INDEX(Define!K:K,MATCH(Q206,Define!J:J))</f>
        <v>自身</v>
      </c>
      <c r="S206">
        <v>4</v>
      </c>
      <c r="T206" t="str">
        <f>INDEX(Define!N:N,MATCH(S206,Define!M:M))</f>
        <v>自身</v>
      </c>
      <c r="U206">
        <v>1</v>
      </c>
      <c r="V206">
        <v>1</v>
      </c>
      <c r="W206">
        <v>1</v>
      </c>
      <c r="X206">
        <v>0</v>
      </c>
    </row>
    <row r="207" spans="1:24">
      <c r="A207">
        <v>200120</v>
      </c>
      <c r="B207">
        <v>200120</v>
      </c>
      <c r="C207" t="str">
        <f>INDEX(TextData!B:B,MATCH(B207,TextData!A:A))</f>
        <v>アングリークライ</v>
      </c>
      <c r="D207">
        <v>11</v>
      </c>
      <c r="E207" t="str">
        <f>INDEX(Define!X:X,MATCH(D207,Define!W:W))</f>
        <v>覚醒</v>
      </c>
      <c r="F207">
        <v>101</v>
      </c>
      <c r="G207" t="str">
        <f>INDEX([1]Animations!B:B,MATCH(F207,[1]Animations!A:A))</f>
        <v>MakerEffect/FireOne1</v>
      </c>
      <c r="H207">
        <v>1</v>
      </c>
      <c r="I207" t="str">
        <f>INDEX(Define!B:B,MATCH(H207,Define!A:A))</f>
        <v>単体</v>
      </c>
      <c r="J207">
        <v>0</v>
      </c>
      <c r="K207">
        <v>0</v>
      </c>
      <c r="L207">
        <v>1000</v>
      </c>
      <c r="M207">
        <v>2</v>
      </c>
      <c r="N207" t="str">
        <f>INDEX(Define!E:E,MATCH(M207,Define!D:D))</f>
        <v>雷</v>
      </c>
      <c r="O207">
        <v>4</v>
      </c>
      <c r="P207" t="str">
        <f>INDEX(Define!H:H,MATCH(O207,Define!G:G))</f>
        <v>覚醒</v>
      </c>
      <c r="Q207">
        <v>1</v>
      </c>
      <c r="R207" t="str">
        <f>INDEX(Define!K:K,MATCH(Q207,Define!J:J))</f>
        <v>相手</v>
      </c>
      <c r="S207">
        <v>2</v>
      </c>
      <c r="T207" t="str">
        <f>INDEX(Define!N:N,MATCH(S207,Define!M:M))</f>
        <v>列</v>
      </c>
      <c r="U207">
        <v>2</v>
      </c>
      <c r="V207">
        <v>1</v>
      </c>
      <c r="W207">
        <v>1</v>
      </c>
      <c r="X207">
        <v>0</v>
      </c>
    </row>
    <row r="208" spans="1:24">
      <c r="A208">
        <v>200210</v>
      </c>
      <c r="B208">
        <v>200210</v>
      </c>
      <c r="C208" t="str">
        <f>INDEX(TextData!B:B,MATCH(B208,TextData!A:A))</f>
        <v>インフェルノ</v>
      </c>
      <c r="D208">
        <v>10</v>
      </c>
      <c r="E208" t="str">
        <f>INDEX(Define!X:X,MATCH(D208,Define!W:W))</f>
        <v>半神</v>
      </c>
      <c r="F208">
        <v>111</v>
      </c>
      <c r="G208" t="str">
        <f>INDEX([1]Animations!B:B,MATCH(F208,[1]Animations!A:A))</f>
        <v>MakerEffect/FireAll1</v>
      </c>
      <c r="H208">
        <v>3</v>
      </c>
      <c r="I208" t="str">
        <f>INDEX(Define!B:B,MATCH(H208,Define!A:A))</f>
        <v>全体</v>
      </c>
      <c r="J208">
        <v>0</v>
      </c>
      <c r="K208">
        <v>0</v>
      </c>
      <c r="L208">
        <v>1000</v>
      </c>
      <c r="M208">
        <v>1</v>
      </c>
      <c r="N208" t="str">
        <f>INDEX(Define!E:E,MATCH(M208,Define!D:D))</f>
        <v>炎</v>
      </c>
      <c r="O208">
        <v>3</v>
      </c>
      <c r="P208" t="str">
        <f>INDEX(Define!H:H,MATCH(O208,Define!G:G))</f>
        <v>神化</v>
      </c>
      <c r="Q208">
        <v>1</v>
      </c>
      <c r="R208" t="str">
        <f>INDEX(Define!K:K,MATCH(Q208,Define!J:J))</f>
        <v>相手</v>
      </c>
      <c r="S208">
        <v>3</v>
      </c>
      <c r="T208" t="str">
        <f>INDEX(Define!N:N,MATCH(S208,Define!M:M))</f>
        <v>全体</v>
      </c>
      <c r="U208">
        <v>2</v>
      </c>
      <c r="V208">
        <v>1</v>
      </c>
      <c r="W208">
        <v>1</v>
      </c>
      <c r="X208">
        <v>0</v>
      </c>
    </row>
    <row r="209" spans="1:24">
      <c r="A209">
        <v>200220</v>
      </c>
      <c r="B209">
        <v>200220</v>
      </c>
      <c r="C209" t="str">
        <f>INDEX(TextData!B:B,MATCH(B209,TextData!A:A))</f>
        <v>ハートアブレイズ</v>
      </c>
      <c r="D209">
        <v>11</v>
      </c>
      <c r="E209" t="str">
        <f>INDEX(Define!X:X,MATCH(D209,Define!W:W))</f>
        <v>覚醒</v>
      </c>
      <c r="F209">
        <v>2403</v>
      </c>
      <c r="G209" t="str">
        <f>INDEX([1]Animations!B:B,MATCH(F209,[1]Animations!A:A))</f>
        <v>NA_Effekseer/NA_healing_001</v>
      </c>
      <c r="H209">
        <v>1</v>
      </c>
      <c r="I209" t="str">
        <f>INDEX(Define!B:B,MATCH(H209,Define!A:A))</f>
        <v>単体</v>
      </c>
      <c r="J209">
        <v>0</v>
      </c>
      <c r="K209">
        <v>0</v>
      </c>
      <c r="L209">
        <v>1000</v>
      </c>
      <c r="M209">
        <v>1</v>
      </c>
      <c r="N209" t="str">
        <f>INDEX(Define!E:E,MATCH(M209,Define!D:D))</f>
        <v>炎</v>
      </c>
      <c r="O209">
        <v>4</v>
      </c>
      <c r="P209" t="str">
        <f>INDEX(Define!H:H,MATCH(O209,Define!G:G))</f>
        <v>覚醒</v>
      </c>
      <c r="Q209">
        <v>4</v>
      </c>
      <c r="R209" t="str">
        <f>INDEX(Define!K:K,MATCH(Q209,Define!J:J))</f>
        <v>自身</v>
      </c>
      <c r="S209">
        <v>4</v>
      </c>
      <c r="T209" t="str">
        <f>INDEX(Define!N:N,MATCH(S209,Define!M:M))</f>
        <v>自身</v>
      </c>
      <c r="U209">
        <v>1</v>
      </c>
      <c r="V209">
        <v>1</v>
      </c>
      <c r="W209">
        <v>1</v>
      </c>
      <c r="X209">
        <v>0</v>
      </c>
    </row>
    <row r="210" spans="1:24">
      <c r="A210">
        <v>200230</v>
      </c>
      <c r="B210">
        <v>200230</v>
      </c>
      <c r="C210" t="str">
        <f>INDEX(TextData!B:B,MATCH(B210,TextData!A:A))</f>
        <v>悪魔(ベリト)</v>
      </c>
      <c r="D210">
        <v>6</v>
      </c>
      <c r="E210" t="str">
        <f>INDEX(Define!X:X,MATCH(D210,Define!W:W))</f>
        <v>自己強化</v>
      </c>
      <c r="F210">
        <v>51</v>
      </c>
      <c r="G210" t="str">
        <f>INDEX([1]Animations!B:B,MATCH(F210,[1]Animations!A:A))</f>
        <v>NA_Effekseer/NA_aura_001</v>
      </c>
      <c r="H210">
        <v>1</v>
      </c>
      <c r="I210" t="str">
        <f>INDEX(Define!B:B,MATCH(H210,Define!A:A))</f>
        <v>単体</v>
      </c>
      <c r="J210">
        <v>0</v>
      </c>
      <c r="K210">
        <v>0</v>
      </c>
      <c r="L210">
        <v>0</v>
      </c>
      <c r="M210">
        <v>0</v>
      </c>
      <c r="N210" t="str">
        <f>INDEX(Define!E:E,MATCH(M210,Define!D:D))</f>
        <v>なし</v>
      </c>
      <c r="O210">
        <v>2</v>
      </c>
      <c r="P210" t="str">
        <f>INDEX(Define!H:H,MATCH(O210,Define!G:G))</f>
        <v>パッシブ</v>
      </c>
      <c r="Q210">
        <v>4</v>
      </c>
      <c r="R210" t="str">
        <f>INDEX(Define!K:K,MATCH(Q210,Define!J:J))</f>
        <v>自身</v>
      </c>
      <c r="S210">
        <v>4</v>
      </c>
      <c r="T210" t="str">
        <f>INDEX(Define!N:N,MATCH(S210,Define!M:M))</f>
        <v>自身</v>
      </c>
      <c r="U210">
        <v>1</v>
      </c>
      <c r="V210">
        <v>1</v>
      </c>
      <c r="W210">
        <v>1</v>
      </c>
      <c r="X210">
        <v>0</v>
      </c>
    </row>
    <row r="211" spans="1:24">
      <c r="A211">
        <v>200310</v>
      </c>
      <c r="B211">
        <v>200310</v>
      </c>
      <c r="C211" t="str">
        <f>INDEX(TextData!B:B,MATCH(B211,TextData!A:A))</f>
        <v>ハードウォール</v>
      </c>
      <c r="D211">
        <v>10</v>
      </c>
      <c r="E211" t="str">
        <f>INDEX(Define!X:X,MATCH(D211,Define!W:W))</f>
        <v>半神</v>
      </c>
      <c r="F211">
        <v>803</v>
      </c>
      <c r="G211" t="str">
        <f>INDEX([1]Animations!B:B,MATCH(F211,[1]Animations!A:A))</f>
        <v>MakerEffect/Powerup3</v>
      </c>
      <c r="H211">
        <v>1</v>
      </c>
      <c r="I211" t="str">
        <f>INDEX(Define!B:B,MATCH(H211,Define!A:A))</f>
        <v>単体</v>
      </c>
      <c r="J211">
        <v>0</v>
      </c>
      <c r="K211">
        <v>0</v>
      </c>
      <c r="L211">
        <v>1000</v>
      </c>
      <c r="M211">
        <v>5</v>
      </c>
      <c r="N211" t="str">
        <f>INDEX(Define!E:E,MATCH(M211,Define!D:D))</f>
        <v>闇</v>
      </c>
      <c r="O211">
        <v>3</v>
      </c>
      <c r="P211" t="str">
        <f>INDEX(Define!H:H,MATCH(O211,Define!G:G))</f>
        <v>神化</v>
      </c>
      <c r="Q211">
        <v>4</v>
      </c>
      <c r="R211" t="str">
        <f>INDEX(Define!K:K,MATCH(Q211,Define!J:J))</f>
        <v>自身</v>
      </c>
      <c r="S211">
        <v>4</v>
      </c>
      <c r="T211" t="str">
        <f>INDEX(Define!N:N,MATCH(S211,Define!M:M))</f>
        <v>自身</v>
      </c>
      <c r="U211">
        <v>1</v>
      </c>
      <c r="V211">
        <v>1</v>
      </c>
      <c r="W211">
        <v>1</v>
      </c>
      <c r="X211">
        <v>0</v>
      </c>
    </row>
    <row r="212" spans="1:24">
      <c r="A212">
        <v>200320</v>
      </c>
      <c r="B212">
        <v>200320</v>
      </c>
      <c r="C212" t="str">
        <f>INDEX(TextData!B:B,MATCH(B212,TextData!A:A))</f>
        <v>リファクター</v>
      </c>
      <c r="D212">
        <v>11</v>
      </c>
      <c r="E212" t="str">
        <f>INDEX(Define!X:X,MATCH(D212,Define!W:W))</f>
        <v>覚醒</v>
      </c>
      <c r="F212">
        <v>3023</v>
      </c>
      <c r="G212" t="str">
        <f>INDEX([1]Animations!B:B,MATCH(F212,[1]Animations!A:A))</f>
        <v>Genfulew_Effect/B&amp;S_MinMax_Cure</v>
      </c>
      <c r="H212">
        <v>1</v>
      </c>
      <c r="I212" t="str">
        <f>INDEX(Define!B:B,MATCH(H212,Define!A:A))</f>
        <v>単体</v>
      </c>
      <c r="J212">
        <v>0</v>
      </c>
      <c r="K212">
        <v>0</v>
      </c>
      <c r="L212">
        <v>1000</v>
      </c>
      <c r="M212">
        <v>5</v>
      </c>
      <c r="N212" t="str">
        <f>INDEX(Define!E:E,MATCH(M212,Define!D:D))</f>
        <v>闇</v>
      </c>
      <c r="O212">
        <v>4</v>
      </c>
      <c r="P212" t="str">
        <f>INDEX(Define!H:H,MATCH(O212,Define!G:G))</f>
        <v>覚醒</v>
      </c>
      <c r="Q212">
        <v>4</v>
      </c>
      <c r="R212" t="str">
        <f>INDEX(Define!K:K,MATCH(Q212,Define!J:J))</f>
        <v>自身</v>
      </c>
      <c r="S212">
        <v>4</v>
      </c>
      <c r="T212" t="str">
        <f>INDEX(Define!N:N,MATCH(S212,Define!M:M))</f>
        <v>自身</v>
      </c>
      <c r="U212">
        <v>1</v>
      </c>
      <c r="V212">
        <v>1</v>
      </c>
      <c r="W212">
        <v>1</v>
      </c>
      <c r="X212">
        <v>0</v>
      </c>
    </row>
    <row r="213" spans="1:24">
      <c r="A213">
        <v>200330</v>
      </c>
      <c r="B213">
        <v>200330</v>
      </c>
      <c r="C213" t="str">
        <f>INDEX(TextData!B:B,MATCH(B213,TextData!A:A))</f>
        <v>悪魔(アモン)</v>
      </c>
      <c r="D213">
        <v>6</v>
      </c>
      <c r="E213" t="str">
        <f>INDEX(Define!X:X,MATCH(D213,Define!W:W))</f>
        <v>自己強化</v>
      </c>
      <c r="F213">
        <v>51</v>
      </c>
      <c r="G213" t="str">
        <f>INDEX([1]Animations!B:B,MATCH(F213,[1]Animations!A:A))</f>
        <v>NA_Effekseer/NA_aura_001</v>
      </c>
      <c r="H213">
        <v>1</v>
      </c>
      <c r="I213" t="str">
        <f>INDEX(Define!B:B,MATCH(H213,Define!A:A))</f>
        <v>単体</v>
      </c>
      <c r="J213">
        <v>0</v>
      </c>
      <c r="K213">
        <v>0</v>
      </c>
      <c r="L213">
        <v>0</v>
      </c>
      <c r="M213">
        <v>0</v>
      </c>
      <c r="N213" t="str">
        <f>INDEX(Define!E:E,MATCH(M213,Define!D:D))</f>
        <v>なし</v>
      </c>
      <c r="O213">
        <v>2</v>
      </c>
      <c r="P213" t="str">
        <f>INDEX(Define!H:H,MATCH(O213,Define!G:G))</f>
        <v>パッシブ</v>
      </c>
      <c r="Q213">
        <v>4</v>
      </c>
      <c r="R213" t="str">
        <f>INDEX(Define!K:K,MATCH(Q213,Define!J:J))</f>
        <v>自身</v>
      </c>
      <c r="S213">
        <v>4</v>
      </c>
      <c r="T213" t="str">
        <f>INDEX(Define!N:N,MATCH(S213,Define!M:M))</f>
        <v>自身</v>
      </c>
      <c r="U213">
        <v>1</v>
      </c>
      <c r="V213">
        <v>1</v>
      </c>
      <c r="W213">
        <v>1</v>
      </c>
      <c r="X213">
        <v>0</v>
      </c>
    </row>
    <row r="214" spans="1:24">
      <c r="A214">
        <v>200410</v>
      </c>
      <c r="B214">
        <v>200410</v>
      </c>
      <c r="C214" t="str">
        <f>INDEX(TextData!B:B,MATCH(B214,TextData!A:A))</f>
        <v>コウソクテンショウ</v>
      </c>
      <c r="D214">
        <v>10</v>
      </c>
      <c r="E214" t="str">
        <f>INDEX(Define!X:X,MATCH(D214,Define!W:W))</f>
        <v>半神</v>
      </c>
      <c r="F214">
        <v>201</v>
      </c>
      <c r="G214" t="str">
        <f>INDEX([1]Animations!B:B,MATCH(F214,[1]Animations!A:A))</f>
        <v>MakerEffect/ThunderOne1</v>
      </c>
      <c r="H214">
        <v>1</v>
      </c>
      <c r="I214" t="str">
        <f>INDEX(Define!B:B,MATCH(H214,Define!A:A))</f>
        <v>単体</v>
      </c>
      <c r="J214">
        <v>0</v>
      </c>
      <c r="K214">
        <v>0</v>
      </c>
      <c r="L214">
        <v>1000</v>
      </c>
      <c r="M214">
        <v>2</v>
      </c>
      <c r="N214" t="str">
        <f>INDEX(Define!E:E,MATCH(M214,Define!D:D))</f>
        <v>雷</v>
      </c>
      <c r="O214">
        <v>3</v>
      </c>
      <c r="P214" t="str">
        <f>INDEX(Define!H:H,MATCH(O214,Define!G:G))</f>
        <v>神化</v>
      </c>
      <c r="Q214">
        <v>1</v>
      </c>
      <c r="R214" t="str">
        <f>INDEX(Define!K:K,MATCH(Q214,Define!J:J))</f>
        <v>相手</v>
      </c>
      <c r="S214">
        <v>2</v>
      </c>
      <c r="T214" t="str">
        <f>INDEX(Define!N:N,MATCH(S214,Define!M:M))</f>
        <v>列</v>
      </c>
      <c r="U214">
        <v>2</v>
      </c>
      <c r="V214">
        <v>1</v>
      </c>
      <c r="W214">
        <v>1</v>
      </c>
      <c r="X214">
        <v>0</v>
      </c>
    </row>
    <row r="215" spans="1:24">
      <c r="A215">
        <v>200411</v>
      </c>
      <c r="B215">
        <v>200411</v>
      </c>
      <c r="C215" t="str">
        <f>INDEX(TextData!B:B,MATCH(B215,TextData!A:A))</f>
        <v>コウソクテンショウ</v>
      </c>
      <c r="D215">
        <v>10</v>
      </c>
      <c r="E215" t="str">
        <f>INDEX(Define!X:X,MATCH(D215,Define!W:W))</f>
        <v>半神</v>
      </c>
      <c r="F215">
        <v>51</v>
      </c>
      <c r="G215" t="str">
        <f>INDEX([1]Animations!B:B,MATCH(F215,[1]Animations!A:A))</f>
        <v>NA_Effekseer/NA_aura_001</v>
      </c>
      <c r="H215">
        <v>1</v>
      </c>
      <c r="I215" t="str">
        <f>INDEX(Define!B:B,MATCH(H215,Define!A:A))</f>
        <v>単体</v>
      </c>
      <c r="J215">
        <v>0</v>
      </c>
      <c r="K215">
        <v>0</v>
      </c>
      <c r="L215">
        <v>1000</v>
      </c>
      <c r="M215">
        <v>2</v>
      </c>
      <c r="N215" t="str">
        <f>INDEX(Define!E:E,MATCH(M215,Define!D:D))</f>
        <v>雷</v>
      </c>
      <c r="O215">
        <v>2</v>
      </c>
      <c r="P215" t="str">
        <f>INDEX(Define!H:H,MATCH(O215,Define!G:G))</f>
        <v>パッシブ</v>
      </c>
      <c r="Q215">
        <v>4</v>
      </c>
      <c r="R215" t="str">
        <f>INDEX(Define!K:K,MATCH(Q215,Define!J:J))</f>
        <v>自身</v>
      </c>
      <c r="S215">
        <v>4</v>
      </c>
      <c r="T215" t="str">
        <f>INDEX(Define!N:N,MATCH(S215,Define!M:M))</f>
        <v>自身</v>
      </c>
      <c r="U215">
        <v>1</v>
      </c>
      <c r="V215">
        <v>1</v>
      </c>
      <c r="W215">
        <v>1</v>
      </c>
      <c r="X215">
        <v>0</v>
      </c>
    </row>
    <row r="216" spans="1:24">
      <c r="A216">
        <v>200420</v>
      </c>
      <c r="B216">
        <v>200420</v>
      </c>
      <c r="C216" t="str">
        <f>INDEX(TextData!B:B,MATCH(B216,TextData!A:A))</f>
        <v>アンチバフ</v>
      </c>
      <c r="D216">
        <v>11</v>
      </c>
      <c r="E216" t="str">
        <f>INDEX(Define!X:X,MATCH(D216,Define!W:W))</f>
        <v>覚醒</v>
      </c>
      <c r="F216">
        <v>61</v>
      </c>
      <c r="G216" t="str">
        <f>INDEX([1]Animations!B:B,MATCH(F216,[1]Animations!A:A))</f>
        <v>NA_Effekseer/NA_aura_002</v>
      </c>
      <c r="H216">
        <v>1</v>
      </c>
      <c r="I216" t="str">
        <f>INDEX(Define!B:B,MATCH(H216,Define!A:A))</f>
        <v>単体</v>
      </c>
      <c r="J216">
        <v>0</v>
      </c>
      <c r="K216">
        <v>0</v>
      </c>
      <c r="L216">
        <v>1000</v>
      </c>
      <c r="M216">
        <v>2</v>
      </c>
      <c r="N216" t="str">
        <f>INDEX(Define!E:E,MATCH(M216,Define!D:D))</f>
        <v>雷</v>
      </c>
      <c r="O216">
        <v>4</v>
      </c>
      <c r="P216" t="str">
        <f>INDEX(Define!H:H,MATCH(O216,Define!G:G))</f>
        <v>覚醒</v>
      </c>
      <c r="Q216">
        <v>1</v>
      </c>
      <c r="R216" t="str">
        <f>INDEX(Define!K:K,MATCH(Q216,Define!J:J))</f>
        <v>相手</v>
      </c>
      <c r="S216">
        <v>3</v>
      </c>
      <c r="T216" t="str">
        <f>INDEX(Define!N:N,MATCH(S216,Define!M:M))</f>
        <v>全体</v>
      </c>
      <c r="U216">
        <v>2</v>
      </c>
      <c r="V216">
        <v>1</v>
      </c>
      <c r="W216">
        <v>1</v>
      </c>
      <c r="X216">
        <v>0</v>
      </c>
    </row>
    <row r="217" spans="1:24">
      <c r="A217">
        <v>200430</v>
      </c>
      <c r="B217">
        <v>200430</v>
      </c>
      <c r="C217" t="str">
        <f>INDEX(TextData!B:B,MATCH(B217,TextData!A:A))</f>
        <v>悪魔(アンドラス)</v>
      </c>
      <c r="D217">
        <v>6</v>
      </c>
      <c r="E217" t="str">
        <f>INDEX(Define!X:X,MATCH(D217,Define!W:W))</f>
        <v>自己強化</v>
      </c>
      <c r="F217">
        <v>51</v>
      </c>
      <c r="G217" t="str">
        <f>INDEX([1]Animations!B:B,MATCH(F217,[1]Animations!A:A))</f>
        <v>NA_Effekseer/NA_aura_001</v>
      </c>
      <c r="H217">
        <v>1</v>
      </c>
      <c r="I217" t="str">
        <f>INDEX(Define!B:B,MATCH(H217,Define!A:A))</f>
        <v>単体</v>
      </c>
      <c r="J217">
        <v>0</v>
      </c>
      <c r="K217">
        <v>0</v>
      </c>
      <c r="L217">
        <v>0</v>
      </c>
      <c r="M217">
        <v>0</v>
      </c>
      <c r="N217" t="str">
        <f>INDEX(Define!E:E,MATCH(M217,Define!D:D))</f>
        <v>なし</v>
      </c>
      <c r="O217">
        <v>6</v>
      </c>
      <c r="P217" t="str">
        <f>INDEX(Define!H:H,MATCH(O217,Define!G:G))</f>
        <v>強化</v>
      </c>
      <c r="Q217">
        <v>4</v>
      </c>
      <c r="R217" t="str">
        <f>INDEX(Define!K:K,MATCH(Q217,Define!J:J))</f>
        <v>自身</v>
      </c>
      <c r="S217">
        <v>4</v>
      </c>
      <c r="T217" t="str">
        <f>INDEX(Define!N:N,MATCH(S217,Define!M:M))</f>
        <v>自身</v>
      </c>
      <c r="U217">
        <v>1</v>
      </c>
      <c r="V217">
        <v>1</v>
      </c>
      <c r="W217">
        <v>1</v>
      </c>
      <c r="X217">
        <v>0</v>
      </c>
    </row>
    <row r="218" spans="1:24">
      <c r="A218">
        <v>200510</v>
      </c>
      <c r="B218">
        <v>200510</v>
      </c>
      <c r="C218" t="str">
        <f>INDEX(TextData!B:B,MATCH(B218,TextData!A:A))</f>
        <v>カウントダウン</v>
      </c>
      <c r="D218">
        <v>10</v>
      </c>
      <c r="E218" t="str">
        <f>INDEX(Define!X:X,MATCH(D218,Define!W:W))</f>
        <v>半神</v>
      </c>
      <c r="F218">
        <v>51</v>
      </c>
      <c r="G218" t="str">
        <f>INDEX([1]Animations!B:B,MATCH(F218,[1]Animations!A:A))</f>
        <v>NA_Effekseer/NA_aura_001</v>
      </c>
      <c r="H218">
        <v>1</v>
      </c>
      <c r="I218" t="str">
        <f>INDEX(Define!B:B,MATCH(H218,Define!A:A))</f>
        <v>単体</v>
      </c>
      <c r="J218">
        <v>0</v>
      </c>
      <c r="K218">
        <v>0</v>
      </c>
      <c r="L218">
        <v>1000</v>
      </c>
      <c r="M218">
        <v>3</v>
      </c>
      <c r="N218" t="str">
        <f>INDEX(Define!E:E,MATCH(M218,Define!D:D))</f>
        <v>氷</v>
      </c>
      <c r="O218">
        <v>3</v>
      </c>
      <c r="P218" t="str">
        <f>INDEX(Define!H:H,MATCH(O218,Define!G:G))</f>
        <v>神化</v>
      </c>
      <c r="Q218">
        <v>4</v>
      </c>
      <c r="R218" t="str">
        <f>INDEX(Define!K:K,MATCH(Q218,Define!J:J))</f>
        <v>自身</v>
      </c>
      <c r="S218">
        <v>4</v>
      </c>
      <c r="T218" t="str">
        <f>INDEX(Define!N:N,MATCH(S218,Define!M:M))</f>
        <v>自身</v>
      </c>
      <c r="U218">
        <v>1</v>
      </c>
      <c r="V218">
        <v>1</v>
      </c>
      <c r="W218">
        <v>1</v>
      </c>
      <c r="X218">
        <v>0</v>
      </c>
    </row>
    <row r="219" spans="1:24">
      <c r="A219">
        <v>200520</v>
      </c>
      <c r="B219">
        <v>200520</v>
      </c>
      <c r="C219" t="str">
        <f>INDEX(TextData!B:B,MATCH(B219,TextData!A:A))</f>
        <v>グラウンドゼロ</v>
      </c>
      <c r="D219">
        <v>11</v>
      </c>
      <c r="E219" t="str">
        <f>INDEX(Define!X:X,MATCH(D219,Define!W:W))</f>
        <v>覚醒</v>
      </c>
      <c r="F219">
        <v>301</v>
      </c>
      <c r="G219" t="str">
        <f>INDEX([1]Animations!B:B,MATCH(F219,[1]Animations!A:A))</f>
        <v>MakerEffect/IceOne1</v>
      </c>
      <c r="H219">
        <v>1</v>
      </c>
      <c r="I219" t="str">
        <f>INDEX(Define!B:B,MATCH(H219,Define!A:A))</f>
        <v>単体</v>
      </c>
      <c r="J219">
        <v>0</v>
      </c>
      <c r="K219">
        <v>0</v>
      </c>
      <c r="L219">
        <v>1000</v>
      </c>
      <c r="M219">
        <v>3</v>
      </c>
      <c r="N219" t="str">
        <f>INDEX(Define!E:E,MATCH(M219,Define!D:D))</f>
        <v>氷</v>
      </c>
      <c r="O219">
        <v>4</v>
      </c>
      <c r="P219" t="str">
        <f>INDEX(Define!H:H,MATCH(O219,Define!G:G))</f>
        <v>覚醒</v>
      </c>
      <c r="Q219">
        <v>1</v>
      </c>
      <c r="R219" t="str">
        <f>INDEX(Define!K:K,MATCH(Q219,Define!J:J))</f>
        <v>相手</v>
      </c>
      <c r="S219">
        <v>3</v>
      </c>
      <c r="T219" t="str">
        <f>INDEX(Define!N:N,MATCH(S219,Define!M:M))</f>
        <v>全体</v>
      </c>
      <c r="U219">
        <v>2</v>
      </c>
      <c r="V219">
        <v>1</v>
      </c>
      <c r="W219">
        <v>1</v>
      </c>
      <c r="X219">
        <v>0</v>
      </c>
    </row>
    <row r="220" spans="1:24">
      <c r="A220">
        <v>200530</v>
      </c>
      <c r="B220">
        <v>200530</v>
      </c>
      <c r="C220" t="str">
        <f>INDEX(TextData!B:B,MATCH(B220,TextData!A:A))</f>
        <v>悪魔(ビフロンス)</v>
      </c>
      <c r="D220">
        <v>6</v>
      </c>
      <c r="E220" t="str">
        <f>INDEX(Define!X:X,MATCH(D220,Define!W:W))</f>
        <v>自己強化</v>
      </c>
      <c r="F220">
        <v>51</v>
      </c>
      <c r="G220" t="str">
        <f>INDEX([1]Animations!B:B,MATCH(F220,[1]Animations!A:A))</f>
        <v>NA_Effekseer/NA_aura_001</v>
      </c>
      <c r="H220">
        <v>1</v>
      </c>
      <c r="I220" t="str">
        <f>INDEX(Define!B:B,MATCH(H220,Define!A:A))</f>
        <v>単体</v>
      </c>
      <c r="J220">
        <v>0</v>
      </c>
      <c r="K220">
        <v>99</v>
      </c>
      <c r="L220">
        <v>0</v>
      </c>
      <c r="M220">
        <v>0</v>
      </c>
      <c r="N220" t="str">
        <f>INDEX(Define!E:E,MATCH(M220,Define!D:D))</f>
        <v>なし</v>
      </c>
      <c r="O220">
        <v>2</v>
      </c>
      <c r="P220" t="str">
        <f>INDEX(Define!H:H,MATCH(O220,Define!G:G))</f>
        <v>パッシブ</v>
      </c>
      <c r="Q220">
        <v>4</v>
      </c>
      <c r="R220" t="str">
        <f>INDEX(Define!K:K,MATCH(Q220,Define!J:J))</f>
        <v>自身</v>
      </c>
      <c r="S220">
        <v>4</v>
      </c>
      <c r="T220" t="str">
        <f>INDEX(Define!N:N,MATCH(S220,Define!M:M))</f>
        <v>自身</v>
      </c>
      <c r="U220">
        <v>1</v>
      </c>
      <c r="V220">
        <v>1</v>
      </c>
      <c r="W220">
        <v>1</v>
      </c>
      <c r="X220">
        <v>0</v>
      </c>
    </row>
    <row r="221" spans="1:24">
      <c r="A221">
        <v>201010</v>
      </c>
      <c r="B221">
        <v>201010</v>
      </c>
      <c r="C221" t="str">
        <f>INDEX(TextData!B:B,MATCH(B221,TextData!A:A))</f>
        <v>カオスペイン</v>
      </c>
      <c r="D221">
        <v>10</v>
      </c>
      <c r="E221" t="str">
        <f>INDEX(Define!X:X,MATCH(D221,Define!W:W))</f>
        <v>半神</v>
      </c>
      <c r="F221">
        <v>501</v>
      </c>
      <c r="G221" t="str">
        <f>INDEX([1]Animations!B:B,MATCH(F221,[1]Animations!A:A))</f>
        <v>MakerEffect/DarknessOne1</v>
      </c>
      <c r="H221">
        <v>1</v>
      </c>
      <c r="I221" t="str">
        <f>INDEX(Define!B:B,MATCH(H221,Define!A:A))</f>
        <v>単体</v>
      </c>
      <c r="J221">
        <v>0</v>
      </c>
      <c r="K221">
        <v>0</v>
      </c>
      <c r="L221">
        <v>1000</v>
      </c>
      <c r="M221">
        <v>5</v>
      </c>
      <c r="N221" t="str">
        <f>INDEX(Define!E:E,MATCH(M221,Define!D:D))</f>
        <v>闇</v>
      </c>
      <c r="O221">
        <v>3</v>
      </c>
      <c r="P221" t="str">
        <f>INDEX(Define!H:H,MATCH(O221,Define!G:G))</f>
        <v>神化</v>
      </c>
      <c r="Q221">
        <v>1</v>
      </c>
      <c r="R221" t="str">
        <f>INDEX(Define!K:K,MATCH(Q221,Define!J:J))</f>
        <v>相手</v>
      </c>
      <c r="S221">
        <v>3</v>
      </c>
      <c r="T221" t="str">
        <f>INDEX(Define!N:N,MATCH(S221,Define!M:M))</f>
        <v>全体</v>
      </c>
      <c r="U221">
        <v>2</v>
      </c>
      <c r="V221">
        <v>1</v>
      </c>
      <c r="W221">
        <v>1</v>
      </c>
      <c r="X221">
        <v>0</v>
      </c>
    </row>
    <row r="222" spans="1:24">
      <c r="A222">
        <v>201020</v>
      </c>
      <c r="B222">
        <v>201020</v>
      </c>
      <c r="C222" t="str">
        <f>INDEX(TextData!B:B,MATCH(B222,TextData!A:A))</f>
        <v>フォールンワン</v>
      </c>
      <c r="D222">
        <v>11</v>
      </c>
      <c r="E222" t="str">
        <f>INDEX(Define!X:X,MATCH(D222,Define!W:W))</f>
        <v>覚醒</v>
      </c>
      <c r="F222">
        <v>501</v>
      </c>
      <c r="G222" t="str">
        <f>INDEX([1]Animations!B:B,MATCH(F222,[1]Animations!A:A))</f>
        <v>MakerEffect/DarknessOne1</v>
      </c>
      <c r="H222">
        <v>1</v>
      </c>
      <c r="I222" t="str">
        <f>INDEX(Define!B:B,MATCH(H222,Define!A:A))</f>
        <v>単体</v>
      </c>
      <c r="J222">
        <v>0</v>
      </c>
      <c r="K222">
        <v>0</v>
      </c>
      <c r="L222">
        <v>1000</v>
      </c>
      <c r="M222">
        <v>5</v>
      </c>
      <c r="N222" t="str">
        <f>INDEX(Define!E:E,MATCH(M222,Define!D:D))</f>
        <v>闇</v>
      </c>
      <c r="O222">
        <v>4</v>
      </c>
      <c r="P222" t="str">
        <f>INDEX(Define!H:H,MATCH(O222,Define!G:G))</f>
        <v>覚醒</v>
      </c>
      <c r="Q222">
        <v>1</v>
      </c>
      <c r="R222" t="str">
        <f>INDEX(Define!K:K,MATCH(Q222,Define!J:J))</f>
        <v>相手</v>
      </c>
      <c r="S222">
        <v>3</v>
      </c>
      <c r="T222" t="str">
        <f>INDEX(Define!N:N,MATCH(S222,Define!M:M))</f>
        <v>全体</v>
      </c>
      <c r="U222">
        <v>2</v>
      </c>
      <c r="V222">
        <v>1</v>
      </c>
      <c r="W222">
        <v>1</v>
      </c>
      <c r="X222">
        <v>0</v>
      </c>
    </row>
    <row r="223" spans="1:24">
      <c r="A223">
        <v>201030</v>
      </c>
      <c r="B223">
        <v>201030</v>
      </c>
      <c r="C223" t="str">
        <f>INDEX(TextData!B:B,MATCH(B223,TextData!A:A))</f>
        <v>アンリマユ</v>
      </c>
      <c r="D223">
        <v>6</v>
      </c>
      <c r="E223" t="str">
        <f>INDEX(Define!X:X,MATCH(D223,Define!W:W))</f>
        <v>自己強化</v>
      </c>
      <c r="F223">
        <v>51</v>
      </c>
      <c r="G223" t="str">
        <f>INDEX([1]Animations!B:B,MATCH(F223,[1]Animations!A:A))</f>
        <v>NA_Effekseer/NA_aura_001</v>
      </c>
      <c r="H223">
        <v>1</v>
      </c>
      <c r="I223" t="str">
        <f>INDEX(Define!B:B,MATCH(H223,Define!A:A))</f>
        <v>単体</v>
      </c>
      <c r="J223">
        <v>0</v>
      </c>
      <c r="K223">
        <v>0</v>
      </c>
      <c r="L223">
        <v>0</v>
      </c>
      <c r="M223">
        <v>0</v>
      </c>
      <c r="N223" t="str">
        <f>INDEX(Define!E:E,MATCH(M223,Define!D:D))</f>
        <v>なし</v>
      </c>
      <c r="O223">
        <v>2</v>
      </c>
      <c r="P223" t="str">
        <f>INDEX(Define!H:H,MATCH(O223,Define!G:G))</f>
        <v>パッシブ</v>
      </c>
      <c r="Q223">
        <v>4</v>
      </c>
      <c r="R223" t="str">
        <f>INDEX(Define!K:K,MATCH(Q223,Define!J:J))</f>
        <v>自身</v>
      </c>
      <c r="S223">
        <v>4</v>
      </c>
      <c r="T223" t="str">
        <f>INDEX(Define!N:N,MATCH(S223,Define!M:M))</f>
        <v>自身</v>
      </c>
      <c r="U223">
        <v>1</v>
      </c>
      <c r="V223">
        <v>1</v>
      </c>
      <c r="W223">
        <v>1</v>
      </c>
      <c r="X223">
        <v>0</v>
      </c>
    </row>
    <row r="224" spans="1:24">
      <c r="A224">
        <v>209310</v>
      </c>
      <c r="B224">
        <v>209310</v>
      </c>
      <c r="C224" t="str">
        <f>INDEX(TextData!B:B,MATCH(B224,TextData!A:A))</f>
        <v>プルガシオン</v>
      </c>
      <c r="D224">
        <v>10</v>
      </c>
      <c r="E224" t="str">
        <f>INDEX(Define!X:X,MATCH(D224,Define!W:W))</f>
        <v>半神</v>
      </c>
      <c r="F224">
        <v>21</v>
      </c>
      <c r="G224" t="str">
        <f>INDEX([1]Animations!B:B,MATCH(F224,[1]Animations!A:A))</f>
        <v>tktk01/Magic2</v>
      </c>
      <c r="H224">
        <v>1</v>
      </c>
      <c r="I224" t="str">
        <f>INDEX(Define!B:B,MATCH(H224,Define!A:A))</f>
        <v>単体</v>
      </c>
      <c r="J224">
        <v>0</v>
      </c>
      <c r="K224">
        <v>0</v>
      </c>
      <c r="L224">
        <v>1000</v>
      </c>
      <c r="M224">
        <v>4</v>
      </c>
      <c r="N224" t="str">
        <f>INDEX(Define!E:E,MATCH(M224,Define!D:D))</f>
        <v>光</v>
      </c>
      <c r="O224">
        <v>3</v>
      </c>
      <c r="P224" t="str">
        <f>INDEX(Define!H:H,MATCH(O224,Define!G:G))</f>
        <v>神化</v>
      </c>
      <c r="Q224">
        <v>2</v>
      </c>
      <c r="R224" t="str">
        <f>INDEX(Define!K:K,MATCH(Q224,Define!J:J))</f>
        <v>味方</v>
      </c>
      <c r="S224">
        <v>3</v>
      </c>
      <c r="T224" t="str">
        <f>INDEX(Define!N:N,MATCH(S224,Define!M:M))</f>
        <v>全体</v>
      </c>
      <c r="U224">
        <v>2</v>
      </c>
      <c r="V224">
        <v>1</v>
      </c>
      <c r="W224">
        <v>1</v>
      </c>
      <c r="X224">
        <v>0</v>
      </c>
    </row>
    <row r="225" spans="1:24">
      <c r="A225">
        <v>209320</v>
      </c>
      <c r="B225">
        <v>209320</v>
      </c>
      <c r="C225" t="str">
        <f>INDEX(TextData!B:B,MATCH(B225,TextData!A:A))</f>
        <v>プリエステス</v>
      </c>
      <c r="D225">
        <v>11</v>
      </c>
      <c r="E225" t="str">
        <f>INDEX(Define!X:X,MATCH(D225,Define!W:W))</f>
        <v>覚醒</v>
      </c>
      <c r="F225">
        <v>21</v>
      </c>
      <c r="G225" t="str">
        <f>INDEX([1]Animations!B:B,MATCH(F225,[1]Animations!A:A))</f>
        <v>tktk01/Magic2</v>
      </c>
      <c r="H225">
        <v>1</v>
      </c>
      <c r="I225" t="str">
        <f>INDEX(Define!B:B,MATCH(H225,Define!A:A))</f>
        <v>単体</v>
      </c>
      <c r="J225">
        <v>0</v>
      </c>
      <c r="K225">
        <v>0</v>
      </c>
      <c r="L225">
        <v>1000</v>
      </c>
      <c r="M225">
        <v>4</v>
      </c>
      <c r="N225" t="str">
        <f>INDEX(Define!E:E,MATCH(M225,Define!D:D))</f>
        <v>光</v>
      </c>
      <c r="O225">
        <v>4</v>
      </c>
      <c r="P225" t="str">
        <f>INDEX(Define!H:H,MATCH(O225,Define!G:G))</f>
        <v>覚醒</v>
      </c>
      <c r="Q225">
        <v>4</v>
      </c>
      <c r="R225" t="str">
        <f>INDEX(Define!K:K,MATCH(Q225,Define!J:J))</f>
        <v>自身</v>
      </c>
      <c r="S225">
        <v>4</v>
      </c>
      <c r="T225" t="str">
        <f>INDEX(Define!N:N,MATCH(S225,Define!M:M))</f>
        <v>自身</v>
      </c>
      <c r="U225">
        <v>1</v>
      </c>
      <c r="V225">
        <v>1</v>
      </c>
      <c r="W225">
        <v>1</v>
      </c>
      <c r="X225">
        <v>0</v>
      </c>
    </row>
    <row r="226" spans="1:24">
      <c r="A226">
        <v>209330</v>
      </c>
      <c r="B226">
        <v>209330</v>
      </c>
      <c r="C226" t="str">
        <f>INDEX(TextData!B:B,MATCH(B226,TextData!A:A))</f>
        <v>悪魔(パイモン)</v>
      </c>
      <c r="D226">
        <v>6</v>
      </c>
      <c r="E226" t="str">
        <f>INDEX(Define!X:X,MATCH(D226,Define!W:W))</f>
        <v>自己強化</v>
      </c>
      <c r="F226">
        <v>51</v>
      </c>
      <c r="G226" t="str">
        <f>INDEX([1]Animations!B:B,MATCH(F226,[1]Animations!A:A))</f>
        <v>NA_Effekseer/NA_aura_001</v>
      </c>
      <c r="H226">
        <v>1</v>
      </c>
      <c r="I226" t="str">
        <f>INDEX(Define!B:B,MATCH(H226,Define!A:A))</f>
        <v>単体</v>
      </c>
      <c r="J226">
        <v>0</v>
      </c>
      <c r="K226">
        <v>0</v>
      </c>
      <c r="L226">
        <v>0</v>
      </c>
      <c r="M226">
        <v>0</v>
      </c>
      <c r="N226" t="str">
        <f>INDEX(Define!E:E,MATCH(M226,Define!D:D))</f>
        <v>なし</v>
      </c>
      <c r="O226">
        <v>2</v>
      </c>
      <c r="P226" t="str">
        <f>INDEX(Define!H:H,MATCH(O226,Define!G:G))</f>
        <v>パッシブ</v>
      </c>
      <c r="Q226">
        <v>4</v>
      </c>
      <c r="R226" t="str">
        <f>INDEX(Define!K:K,MATCH(Q226,Define!J:J))</f>
        <v>自身</v>
      </c>
      <c r="S226">
        <v>4</v>
      </c>
      <c r="T226" t="str">
        <f>INDEX(Define!N:N,MATCH(S226,Define!M:M))</f>
        <v>自身</v>
      </c>
      <c r="U226">
        <v>1</v>
      </c>
      <c r="V226">
        <v>1</v>
      </c>
      <c r="W226">
        <v>1</v>
      </c>
      <c r="X226">
        <v>0</v>
      </c>
    </row>
    <row r="227" spans="1:24">
      <c r="A227">
        <v>300010</v>
      </c>
      <c r="B227">
        <v>300010</v>
      </c>
      <c r="C227" t="str">
        <f>INDEX(TextData!B:B,MATCH(B227,TextData!A:A))</f>
        <v>ライフブースト</v>
      </c>
      <c r="D227">
        <v>6</v>
      </c>
      <c r="E227" t="str">
        <f>INDEX(Define!X:X,MATCH(D227,Define!W:W))</f>
        <v>自己強化</v>
      </c>
      <c r="F227">
        <v>51</v>
      </c>
      <c r="G227" t="str">
        <f>INDEX([1]Animations!B:B,MATCH(F227,[1]Animations!A:A))</f>
        <v>NA_Effekseer/NA_aura_001</v>
      </c>
      <c r="H227">
        <v>1</v>
      </c>
      <c r="I227" t="str">
        <f>INDEX(Define!B:B,MATCH(H227,Define!A:A))</f>
        <v>単体</v>
      </c>
      <c r="J227">
        <v>0</v>
      </c>
      <c r="K227">
        <v>0</v>
      </c>
      <c r="L227">
        <v>0</v>
      </c>
      <c r="M227">
        <v>4</v>
      </c>
      <c r="N227" t="str">
        <f>INDEX(Define!E:E,MATCH(M227,Define!D:D))</f>
        <v>光</v>
      </c>
      <c r="O227">
        <v>5</v>
      </c>
      <c r="P227" t="str">
        <f>INDEX(Define!H:H,MATCH(O227,Define!G:G))</f>
        <v>レリック</v>
      </c>
      <c r="Q227">
        <v>2</v>
      </c>
      <c r="R227" t="str">
        <f>INDEX(Define!K:K,MATCH(Q227,Define!J:J))</f>
        <v>味方</v>
      </c>
      <c r="S227">
        <v>3</v>
      </c>
      <c r="T227" t="str">
        <f>INDEX(Define!N:N,MATCH(S227,Define!M:M))</f>
        <v>全体</v>
      </c>
      <c r="U227">
        <v>2</v>
      </c>
      <c r="V227">
        <v>1</v>
      </c>
      <c r="W227">
        <v>1</v>
      </c>
      <c r="X227">
        <v>0</v>
      </c>
    </row>
    <row r="228" spans="1:24">
      <c r="A228">
        <v>300020</v>
      </c>
      <c r="B228">
        <v>300020</v>
      </c>
      <c r="C228" t="str">
        <f>INDEX(TextData!B:B,MATCH(B228,TextData!A:A))</f>
        <v>スピリットチャージ</v>
      </c>
      <c r="D228">
        <v>6</v>
      </c>
      <c r="E228" t="str">
        <f>INDEX(Define!X:X,MATCH(D228,Define!W:W))</f>
        <v>自己強化</v>
      </c>
      <c r="F228">
        <v>51</v>
      </c>
      <c r="G228" t="str">
        <f>INDEX([1]Animations!B:B,MATCH(F228,[1]Animations!A:A))</f>
        <v>NA_Effekseer/NA_aura_001</v>
      </c>
      <c r="H228">
        <v>1</v>
      </c>
      <c r="I228" t="str">
        <f>INDEX(Define!B:B,MATCH(H228,Define!A:A))</f>
        <v>単体</v>
      </c>
      <c r="J228">
        <v>0</v>
      </c>
      <c r="K228">
        <v>0</v>
      </c>
      <c r="L228">
        <v>0</v>
      </c>
      <c r="M228">
        <v>5</v>
      </c>
      <c r="N228" t="str">
        <f>INDEX(Define!E:E,MATCH(M228,Define!D:D))</f>
        <v>闇</v>
      </c>
      <c r="O228">
        <v>5</v>
      </c>
      <c r="P228" t="str">
        <f>INDEX(Define!H:H,MATCH(O228,Define!G:G))</f>
        <v>レリック</v>
      </c>
      <c r="Q228">
        <v>2</v>
      </c>
      <c r="R228" t="str">
        <f>INDEX(Define!K:K,MATCH(Q228,Define!J:J))</f>
        <v>味方</v>
      </c>
      <c r="S228">
        <v>3</v>
      </c>
      <c r="T228" t="str">
        <f>INDEX(Define!N:N,MATCH(S228,Define!M:M))</f>
        <v>全体</v>
      </c>
      <c r="U228">
        <v>2</v>
      </c>
      <c r="V228">
        <v>1</v>
      </c>
      <c r="W228">
        <v>1</v>
      </c>
      <c r="X228">
        <v>0</v>
      </c>
    </row>
    <row r="229" spans="1:24">
      <c r="A229">
        <v>300030</v>
      </c>
      <c r="B229">
        <v>300030</v>
      </c>
      <c r="C229" t="str">
        <f>INDEX(TextData!B:B,MATCH(B229,TextData!A:A))</f>
        <v>フォースライズ</v>
      </c>
      <c r="D229">
        <v>6</v>
      </c>
      <c r="E229" t="str">
        <f>INDEX(Define!X:X,MATCH(D229,Define!W:W))</f>
        <v>自己強化</v>
      </c>
      <c r="F229">
        <v>51</v>
      </c>
      <c r="G229" t="str">
        <f>INDEX([1]Animations!B:B,MATCH(F229,[1]Animations!A:A))</f>
        <v>NA_Effekseer/NA_aura_001</v>
      </c>
      <c r="H229">
        <v>1</v>
      </c>
      <c r="I229" t="str">
        <f>INDEX(Define!B:B,MATCH(H229,Define!A:A))</f>
        <v>単体</v>
      </c>
      <c r="J229">
        <v>0</v>
      </c>
      <c r="K229">
        <v>0</v>
      </c>
      <c r="L229">
        <v>0</v>
      </c>
      <c r="M229">
        <v>1</v>
      </c>
      <c r="N229" t="str">
        <f>INDEX(Define!E:E,MATCH(M229,Define!D:D))</f>
        <v>炎</v>
      </c>
      <c r="O229">
        <v>5</v>
      </c>
      <c r="P229" t="str">
        <f>INDEX(Define!H:H,MATCH(O229,Define!G:G))</f>
        <v>レリック</v>
      </c>
      <c r="Q229">
        <v>2</v>
      </c>
      <c r="R229" t="str">
        <f>INDEX(Define!K:K,MATCH(Q229,Define!J:J))</f>
        <v>味方</v>
      </c>
      <c r="S229">
        <v>3</v>
      </c>
      <c r="T229" t="str">
        <f>INDEX(Define!N:N,MATCH(S229,Define!M:M))</f>
        <v>全体</v>
      </c>
      <c r="U229">
        <v>2</v>
      </c>
      <c r="V229">
        <v>1</v>
      </c>
      <c r="W229">
        <v>1</v>
      </c>
      <c r="X229">
        <v>0</v>
      </c>
    </row>
    <row r="230" spans="1:24">
      <c r="A230">
        <v>300040</v>
      </c>
      <c r="B230">
        <v>300040</v>
      </c>
      <c r="C230" t="str">
        <f>INDEX(TextData!B:B,MATCH(B230,TextData!A:A))</f>
        <v>ディフェンスオーラ</v>
      </c>
      <c r="D230">
        <v>6</v>
      </c>
      <c r="E230" t="str">
        <f>INDEX(Define!X:X,MATCH(D230,Define!W:W))</f>
        <v>自己強化</v>
      </c>
      <c r="F230">
        <v>51</v>
      </c>
      <c r="G230" t="str">
        <f>INDEX([1]Animations!B:B,MATCH(F230,[1]Animations!A:A))</f>
        <v>NA_Effekseer/NA_aura_001</v>
      </c>
      <c r="H230">
        <v>1</v>
      </c>
      <c r="I230" t="str">
        <f>INDEX(Define!B:B,MATCH(H230,Define!A:A))</f>
        <v>単体</v>
      </c>
      <c r="J230">
        <v>0</v>
      </c>
      <c r="K230">
        <v>0</v>
      </c>
      <c r="L230">
        <v>0</v>
      </c>
      <c r="M230">
        <v>3</v>
      </c>
      <c r="N230" t="str">
        <f>INDEX(Define!E:E,MATCH(M230,Define!D:D))</f>
        <v>氷</v>
      </c>
      <c r="O230">
        <v>5</v>
      </c>
      <c r="P230" t="str">
        <f>INDEX(Define!H:H,MATCH(O230,Define!G:G))</f>
        <v>レリック</v>
      </c>
      <c r="Q230">
        <v>2</v>
      </c>
      <c r="R230" t="str">
        <f>INDEX(Define!K:K,MATCH(Q230,Define!J:J))</f>
        <v>味方</v>
      </c>
      <c r="S230">
        <v>3</v>
      </c>
      <c r="T230" t="str">
        <f>INDEX(Define!N:N,MATCH(S230,Define!M:M))</f>
        <v>全体</v>
      </c>
      <c r="U230">
        <v>2</v>
      </c>
      <c r="V230">
        <v>1</v>
      </c>
      <c r="W230">
        <v>1</v>
      </c>
      <c r="X230">
        <v>0</v>
      </c>
    </row>
    <row r="231" spans="1:24">
      <c r="A231">
        <v>300050</v>
      </c>
      <c r="B231">
        <v>300050</v>
      </c>
      <c r="C231" t="str">
        <f>INDEX(TextData!B:B,MATCH(B231,TextData!A:A))</f>
        <v>ラピッドムーブ</v>
      </c>
      <c r="D231">
        <v>6</v>
      </c>
      <c r="E231" t="str">
        <f>INDEX(Define!X:X,MATCH(D231,Define!W:W))</f>
        <v>自己強化</v>
      </c>
      <c r="F231">
        <v>51</v>
      </c>
      <c r="G231" t="str">
        <f>INDEX([1]Animations!B:B,MATCH(F231,[1]Animations!A:A))</f>
        <v>NA_Effekseer/NA_aura_001</v>
      </c>
      <c r="H231">
        <v>1</v>
      </c>
      <c r="I231" t="str">
        <f>INDEX(Define!B:B,MATCH(H231,Define!A:A))</f>
        <v>単体</v>
      </c>
      <c r="J231">
        <v>0</v>
      </c>
      <c r="K231">
        <v>0</v>
      </c>
      <c r="L231">
        <v>0</v>
      </c>
      <c r="M231">
        <v>2</v>
      </c>
      <c r="N231" t="str">
        <f>INDEX(Define!E:E,MATCH(M231,Define!D:D))</f>
        <v>雷</v>
      </c>
      <c r="O231">
        <v>5</v>
      </c>
      <c r="P231" t="str">
        <f>INDEX(Define!H:H,MATCH(O231,Define!G:G))</f>
        <v>レリック</v>
      </c>
      <c r="Q231">
        <v>2</v>
      </c>
      <c r="R231" t="str">
        <f>INDEX(Define!K:K,MATCH(Q231,Define!J:J))</f>
        <v>味方</v>
      </c>
      <c r="S231">
        <v>3</v>
      </c>
      <c r="T231" t="str">
        <f>INDEX(Define!N:N,MATCH(S231,Define!M:M))</f>
        <v>全体</v>
      </c>
      <c r="U231">
        <v>2</v>
      </c>
      <c r="V231">
        <v>1</v>
      </c>
      <c r="W231">
        <v>1</v>
      </c>
      <c r="X231">
        <v>0</v>
      </c>
    </row>
    <row r="232" spans="1:24">
      <c r="A232">
        <v>300130</v>
      </c>
      <c r="B232">
        <v>300130</v>
      </c>
      <c r="C232" t="str">
        <f>INDEX(TextData!B:B,MATCH(B232,TextData!A:A))</f>
        <v>アタックブレイク</v>
      </c>
      <c r="D232">
        <v>6</v>
      </c>
      <c r="E232" t="str">
        <f>INDEX(Define!X:X,MATCH(D232,Define!W:W))</f>
        <v>自己強化</v>
      </c>
      <c r="F232">
        <v>61</v>
      </c>
      <c r="G232" t="str">
        <f>INDEX([1]Animations!B:B,MATCH(F232,[1]Animations!A:A))</f>
        <v>NA_Effekseer/NA_aura_002</v>
      </c>
      <c r="H232">
        <v>1</v>
      </c>
      <c r="I232" t="str">
        <f>INDEX(Define!B:B,MATCH(H232,Define!A:A))</f>
        <v>単体</v>
      </c>
      <c r="J232">
        <v>0</v>
      </c>
      <c r="K232">
        <v>0</v>
      </c>
      <c r="L232">
        <v>0</v>
      </c>
      <c r="M232">
        <v>5</v>
      </c>
      <c r="N232" t="str">
        <f>INDEX(Define!E:E,MATCH(M232,Define!D:D))</f>
        <v>闇</v>
      </c>
      <c r="O232">
        <v>5</v>
      </c>
      <c r="P232" t="str">
        <f>INDEX(Define!H:H,MATCH(O232,Define!G:G))</f>
        <v>レリック</v>
      </c>
      <c r="Q232">
        <v>1</v>
      </c>
      <c r="R232" t="str">
        <f>INDEX(Define!K:K,MATCH(Q232,Define!J:J))</f>
        <v>相手</v>
      </c>
      <c r="S232">
        <v>3</v>
      </c>
      <c r="T232" t="str">
        <f>INDEX(Define!N:N,MATCH(S232,Define!M:M))</f>
        <v>全体</v>
      </c>
      <c r="U232">
        <v>2</v>
      </c>
      <c r="V232">
        <v>1</v>
      </c>
      <c r="W232">
        <v>1</v>
      </c>
      <c r="X232">
        <v>0</v>
      </c>
    </row>
    <row r="233" spans="1:24">
      <c r="A233">
        <v>300140</v>
      </c>
      <c r="B233">
        <v>300140</v>
      </c>
      <c r="C233" t="str">
        <f>INDEX(TextData!B:B,MATCH(B233,TextData!A:A))</f>
        <v>シールドバニッシュ</v>
      </c>
      <c r="D233">
        <v>6</v>
      </c>
      <c r="E233" t="str">
        <f>INDEX(Define!X:X,MATCH(D233,Define!W:W))</f>
        <v>自己強化</v>
      </c>
      <c r="F233">
        <v>61</v>
      </c>
      <c r="G233" t="str">
        <f>INDEX([1]Animations!B:B,MATCH(F233,[1]Animations!A:A))</f>
        <v>NA_Effekseer/NA_aura_002</v>
      </c>
      <c r="H233">
        <v>1</v>
      </c>
      <c r="I233" t="str">
        <f>INDEX(Define!B:B,MATCH(H233,Define!A:A))</f>
        <v>単体</v>
      </c>
      <c r="J233">
        <v>0</v>
      </c>
      <c r="K233">
        <v>0</v>
      </c>
      <c r="L233">
        <v>0</v>
      </c>
      <c r="M233">
        <v>5</v>
      </c>
      <c r="N233" t="str">
        <f>INDEX(Define!E:E,MATCH(M233,Define!D:D))</f>
        <v>闇</v>
      </c>
      <c r="O233">
        <v>5</v>
      </c>
      <c r="P233" t="str">
        <f>INDEX(Define!H:H,MATCH(O233,Define!G:G))</f>
        <v>レリック</v>
      </c>
      <c r="Q233">
        <v>1</v>
      </c>
      <c r="R233" t="str">
        <f>INDEX(Define!K:K,MATCH(Q233,Define!J:J))</f>
        <v>相手</v>
      </c>
      <c r="S233">
        <v>3</v>
      </c>
      <c r="T233" t="str">
        <f>INDEX(Define!N:N,MATCH(S233,Define!M:M))</f>
        <v>全体</v>
      </c>
      <c r="U233">
        <v>2</v>
      </c>
      <c r="V233">
        <v>1</v>
      </c>
      <c r="W233">
        <v>1</v>
      </c>
      <c r="X233">
        <v>0</v>
      </c>
    </row>
    <row r="234" spans="1:24">
      <c r="A234">
        <v>300210</v>
      </c>
      <c r="B234">
        <v>300210</v>
      </c>
      <c r="C234" t="str">
        <f>INDEX(TextData!B:B,MATCH(B234,TextData!A:A))</f>
        <v>エーテルリチャージ</v>
      </c>
      <c r="D234">
        <v>6</v>
      </c>
      <c r="E234" t="str">
        <f>INDEX(Define!X:X,MATCH(D234,Define!W:W))</f>
        <v>自己強化</v>
      </c>
      <c r="F234">
        <v>51</v>
      </c>
      <c r="G234" t="str">
        <f>INDEX([1]Animations!B:B,MATCH(F234,[1]Animations!A:A))</f>
        <v>NA_Effekseer/NA_aura_001</v>
      </c>
      <c r="H234">
        <v>1</v>
      </c>
      <c r="I234" t="str">
        <f>INDEX(Define!B:B,MATCH(H234,Define!A:A))</f>
        <v>単体</v>
      </c>
      <c r="J234">
        <v>0</v>
      </c>
      <c r="K234">
        <v>0</v>
      </c>
      <c r="L234">
        <v>0</v>
      </c>
      <c r="M234">
        <v>1</v>
      </c>
      <c r="N234" t="str">
        <f>INDEX(Define!E:E,MATCH(M234,Define!D:D))</f>
        <v>炎</v>
      </c>
      <c r="O234">
        <v>5</v>
      </c>
      <c r="P234" t="str">
        <f>INDEX(Define!H:H,MATCH(O234,Define!G:G))</f>
        <v>レリック</v>
      </c>
      <c r="Q234">
        <v>2</v>
      </c>
      <c r="R234" t="str">
        <f>INDEX(Define!K:K,MATCH(Q234,Define!J:J))</f>
        <v>味方</v>
      </c>
      <c r="S234">
        <v>3</v>
      </c>
      <c r="T234" t="str">
        <f>INDEX(Define!N:N,MATCH(S234,Define!M:M))</f>
        <v>全体</v>
      </c>
      <c r="U234">
        <v>2</v>
      </c>
      <c r="V234">
        <v>1</v>
      </c>
      <c r="W234">
        <v>1</v>
      </c>
      <c r="X234">
        <v>0</v>
      </c>
    </row>
    <row r="235" spans="1:24">
      <c r="A235">
        <v>300220</v>
      </c>
      <c r="B235">
        <v>300220</v>
      </c>
      <c r="C235" t="str">
        <f>INDEX(TextData!B:B,MATCH(B235,TextData!A:A))</f>
        <v>リカバリーエンハンス</v>
      </c>
      <c r="D235">
        <v>6</v>
      </c>
      <c r="E235" t="str">
        <f>INDEX(Define!X:X,MATCH(D235,Define!W:W))</f>
        <v>自己強化</v>
      </c>
      <c r="F235">
        <v>51</v>
      </c>
      <c r="G235" t="str">
        <f>INDEX([1]Animations!B:B,MATCH(F235,[1]Animations!A:A))</f>
        <v>NA_Effekseer/NA_aura_001</v>
      </c>
      <c r="H235">
        <v>1</v>
      </c>
      <c r="I235" t="str">
        <f>INDEX(Define!B:B,MATCH(H235,Define!A:A))</f>
        <v>単体</v>
      </c>
      <c r="J235">
        <v>0</v>
      </c>
      <c r="K235">
        <v>0</v>
      </c>
      <c r="L235">
        <v>0</v>
      </c>
      <c r="M235">
        <v>4</v>
      </c>
      <c r="N235" t="str">
        <f>INDEX(Define!E:E,MATCH(M235,Define!D:D))</f>
        <v>光</v>
      </c>
      <c r="O235">
        <v>5</v>
      </c>
      <c r="P235" t="str">
        <f>INDEX(Define!H:H,MATCH(O235,Define!G:G))</f>
        <v>レリック</v>
      </c>
      <c r="Q235">
        <v>2</v>
      </c>
      <c r="R235" t="str">
        <f>INDEX(Define!K:K,MATCH(Q235,Define!J:J))</f>
        <v>味方</v>
      </c>
      <c r="S235">
        <v>3</v>
      </c>
      <c r="T235" t="str">
        <f>INDEX(Define!N:N,MATCH(S235,Define!M:M))</f>
        <v>全体</v>
      </c>
      <c r="U235">
        <v>2</v>
      </c>
      <c r="V235">
        <v>1</v>
      </c>
      <c r="W235">
        <v>1</v>
      </c>
      <c r="X235">
        <v>0</v>
      </c>
    </row>
    <row r="236" spans="1:24">
      <c r="A236">
        <v>300230</v>
      </c>
      <c r="B236">
        <v>300230</v>
      </c>
      <c r="C236" t="str">
        <f>INDEX(TextData!B:B,MATCH(B236,TextData!A:A))</f>
        <v>ヴェンジェンス</v>
      </c>
      <c r="D236">
        <v>6</v>
      </c>
      <c r="E236" t="str">
        <f>INDEX(Define!X:X,MATCH(D236,Define!W:W))</f>
        <v>自己強化</v>
      </c>
      <c r="F236">
        <v>51</v>
      </c>
      <c r="G236" t="str">
        <f>INDEX([1]Animations!B:B,MATCH(F236,[1]Animations!A:A))</f>
        <v>NA_Effekseer/NA_aura_001</v>
      </c>
      <c r="H236">
        <v>1</v>
      </c>
      <c r="I236" t="str">
        <f>INDEX(Define!B:B,MATCH(H236,Define!A:A))</f>
        <v>単体</v>
      </c>
      <c r="J236">
        <v>0</v>
      </c>
      <c r="K236">
        <v>0</v>
      </c>
      <c r="L236">
        <v>0</v>
      </c>
      <c r="M236">
        <v>3</v>
      </c>
      <c r="N236" t="str">
        <f>INDEX(Define!E:E,MATCH(M236,Define!D:D))</f>
        <v>氷</v>
      </c>
      <c r="O236">
        <v>5</v>
      </c>
      <c r="P236" t="str">
        <f>INDEX(Define!H:H,MATCH(O236,Define!G:G))</f>
        <v>レリック</v>
      </c>
      <c r="Q236">
        <v>2</v>
      </c>
      <c r="R236" t="str">
        <f>INDEX(Define!K:K,MATCH(Q236,Define!J:J))</f>
        <v>味方</v>
      </c>
      <c r="S236">
        <v>3</v>
      </c>
      <c r="T236" t="str">
        <f>INDEX(Define!N:N,MATCH(S236,Define!M:M))</f>
        <v>全体</v>
      </c>
      <c r="U236">
        <v>2</v>
      </c>
      <c r="V236">
        <v>1</v>
      </c>
      <c r="W236">
        <v>1</v>
      </c>
      <c r="X236">
        <v>0</v>
      </c>
    </row>
    <row r="237" spans="1:24">
      <c r="A237">
        <v>301010</v>
      </c>
      <c r="B237">
        <v>301010</v>
      </c>
      <c r="C237" t="str">
        <f>INDEX(TextData!B:B,MATCH(B237,TextData!A:A))</f>
        <v>ディケイドリセット</v>
      </c>
      <c r="D237">
        <v>6</v>
      </c>
      <c r="E237" t="str">
        <f>INDEX(Define!X:X,MATCH(D237,Define!W:W))</f>
        <v>自己強化</v>
      </c>
      <c r="F237">
        <v>51</v>
      </c>
      <c r="G237" t="str">
        <f>INDEX([1]Animations!B:B,MATCH(F237,[1]Animations!A:A))</f>
        <v>NA_Effekseer/NA_aura_001</v>
      </c>
      <c r="H237">
        <v>1</v>
      </c>
      <c r="I237" t="str">
        <f>INDEX(Define!B:B,MATCH(H237,Define!A:A))</f>
        <v>単体</v>
      </c>
      <c r="J237">
        <v>0</v>
      </c>
      <c r="K237">
        <v>0</v>
      </c>
      <c r="L237">
        <v>0</v>
      </c>
      <c r="M237">
        <v>2</v>
      </c>
      <c r="N237" t="str">
        <f>INDEX(Define!E:E,MATCH(M237,Define!D:D))</f>
        <v>雷</v>
      </c>
      <c r="O237">
        <v>5</v>
      </c>
      <c r="P237" t="str">
        <f>INDEX(Define!H:H,MATCH(O237,Define!G:G))</f>
        <v>レリック</v>
      </c>
      <c r="Q237">
        <v>2</v>
      </c>
      <c r="R237" t="str">
        <f>INDEX(Define!K:K,MATCH(Q237,Define!J:J))</f>
        <v>味方</v>
      </c>
      <c r="S237">
        <v>3</v>
      </c>
      <c r="T237" t="str">
        <f>INDEX(Define!N:N,MATCH(S237,Define!M:M))</f>
        <v>全体</v>
      </c>
      <c r="U237">
        <v>2</v>
      </c>
      <c r="V237">
        <v>1</v>
      </c>
      <c r="W237">
        <v>1</v>
      </c>
      <c r="X237">
        <v>0</v>
      </c>
    </row>
    <row r="238" spans="1:24">
      <c r="A238">
        <v>301020</v>
      </c>
      <c r="B238">
        <v>301020</v>
      </c>
      <c r="C238" t="str">
        <f>INDEX(TextData!B:B,MATCH(B238,TextData!A:A))</f>
        <v>ウォーリアーブラッド</v>
      </c>
      <c r="D238">
        <v>6</v>
      </c>
      <c r="E238" t="str">
        <f>INDEX(Define!X:X,MATCH(D238,Define!W:W))</f>
        <v>自己強化</v>
      </c>
      <c r="F238">
        <v>51</v>
      </c>
      <c r="G238" t="str">
        <f>INDEX([1]Animations!B:B,MATCH(F238,[1]Animations!A:A))</f>
        <v>NA_Effekseer/NA_aura_001</v>
      </c>
      <c r="H238">
        <v>1</v>
      </c>
      <c r="I238" t="str">
        <f>INDEX(Define!B:B,MATCH(H238,Define!A:A))</f>
        <v>単体</v>
      </c>
      <c r="J238">
        <v>0</v>
      </c>
      <c r="K238">
        <v>0</v>
      </c>
      <c r="L238">
        <v>0</v>
      </c>
      <c r="M238">
        <v>5</v>
      </c>
      <c r="N238" t="str">
        <f>INDEX(Define!E:E,MATCH(M238,Define!D:D))</f>
        <v>闇</v>
      </c>
      <c r="O238">
        <v>5</v>
      </c>
      <c r="P238" t="str">
        <f>INDEX(Define!H:H,MATCH(O238,Define!G:G))</f>
        <v>レリック</v>
      </c>
      <c r="Q238">
        <v>2</v>
      </c>
      <c r="R238" t="str">
        <f>INDEX(Define!K:K,MATCH(Q238,Define!J:J))</f>
        <v>味方</v>
      </c>
      <c r="S238">
        <v>3</v>
      </c>
      <c r="T238" t="str">
        <f>INDEX(Define!N:N,MATCH(S238,Define!M:M))</f>
        <v>全体</v>
      </c>
      <c r="U238">
        <v>2</v>
      </c>
      <c r="V238">
        <v>1</v>
      </c>
      <c r="W238">
        <v>1</v>
      </c>
      <c r="X238">
        <v>0</v>
      </c>
    </row>
    <row r="239" spans="1:24">
      <c r="A239">
        <v>301030</v>
      </c>
      <c r="B239">
        <v>301030</v>
      </c>
      <c r="C239" t="str">
        <f>INDEX(TextData!B:B,MATCH(B239,TextData!A:A))</f>
        <v>トライアングルガード</v>
      </c>
      <c r="D239">
        <v>6</v>
      </c>
      <c r="E239" t="str">
        <f>INDEX(Define!X:X,MATCH(D239,Define!W:W))</f>
        <v>自己強化</v>
      </c>
      <c r="F239">
        <v>51</v>
      </c>
      <c r="G239" t="str">
        <f>INDEX([1]Animations!B:B,MATCH(F239,[1]Animations!A:A))</f>
        <v>NA_Effekseer/NA_aura_001</v>
      </c>
      <c r="H239">
        <v>1</v>
      </c>
      <c r="I239" t="str">
        <f>INDEX(Define!B:B,MATCH(H239,Define!A:A))</f>
        <v>単体</v>
      </c>
      <c r="J239">
        <v>0</v>
      </c>
      <c r="K239">
        <v>0</v>
      </c>
      <c r="L239">
        <v>0</v>
      </c>
      <c r="M239">
        <v>3</v>
      </c>
      <c r="N239" t="str">
        <f>INDEX(Define!E:E,MATCH(M239,Define!D:D))</f>
        <v>氷</v>
      </c>
      <c r="O239">
        <v>5</v>
      </c>
      <c r="P239" t="str">
        <f>INDEX(Define!H:H,MATCH(O239,Define!G:G))</f>
        <v>レリック</v>
      </c>
      <c r="Q239">
        <v>2</v>
      </c>
      <c r="R239" t="str">
        <f>INDEX(Define!K:K,MATCH(Q239,Define!J:J))</f>
        <v>味方</v>
      </c>
      <c r="S239">
        <v>3</v>
      </c>
      <c r="T239" t="str">
        <f>INDEX(Define!N:N,MATCH(S239,Define!M:M))</f>
        <v>全体</v>
      </c>
      <c r="U239">
        <v>2</v>
      </c>
      <c r="V239">
        <v>1</v>
      </c>
      <c r="W239">
        <v>1</v>
      </c>
      <c r="X239">
        <v>0</v>
      </c>
    </row>
    <row r="240" spans="1:24">
      <c r="A240">
        <v>301040</v>
      </c>
      <c r="B240">
        <v>301040</v>
      </c>
      <c r="C240" t="str">
        <f>INDEX(TextData!B:B,MATCH(B240,TextData!A:A))</f>
        <v>セーフティバリア</v>
      </c>
      <c r="D240">
        <v>6</v>
      </c>
      <c r="E240" t="str">
        <f>INDEX(Define!X:X,MATCH(D240,Define!W:W))</f>
        <v>自己強化</v>
      </c>
      <c r="F240">
        <v>51</v>
      </c>
      <c r="G240" t="str">
        <f>INDEX([1]Animations!B:B,MATCH(F240,[1]Animations!A:A))</f>
        <v>NA_Effekseer/NA_aura_001</v>
      </c>
      <c r="H240">
        <v>1</v>
      </c>
      <c r="I240" t="str">
        <f>INDEX(Define!B:B,MATCH(H240,Define!A:A))</f>
        <v>単体</v>
      </c>
      <c r="J240">
        <v>0</v>
      </c>
      <c r="K240">
        <v>0</v>
      </c>
      <c r="L240">
        <v>0</v>
      </c>
      <c r="M240">
        <v>3</v>
      </c>
      <c r="N240" t="str">
        <f>INDEX(Define!E:E,MATCH(M240,Define!D:D))</f>
        <v>氷</v>
      </c>
      <c r="O240">
        <v>5</v>
      </c>
      <c r="P240" t="str">
        <f>INDEX(Define!H:H,MATCH(O240,Define!G:G))</f>
        <v>レリック</v>
      </c>
      <c r="Q240">
        <v>2</v>
      </c>
      <c r="R240" t="str">
        <f>INDEX(Define!K:K,MATCH(Q240,Define!J:J))</f>
        <v>味方</v>
      </c>
      <c r="S240">
        <v>3</v>
      </c>
      <c r="T240" t="str">
        <f>INDEX(Define!N:N,MATCH(S240,Define!M:M))</f>
        <v>全体</v>
      </c>
      <c r="U240">
        <v>2</v>
      </c>
      <c r="V240">
        <v>1</v>
      </c>
      <c r="W240">
        <v>1</v>
      </c>
      <c r="X240">
        <v>0</v>
      </c>
    </row>
    <row r="241" spans="1:24">
      <c r="A241">
        <v>301050</v>
      </c>
      <c r="B241">
        <v>301050</v>
      </c>
      <c r="C241" t="str">
        <f>INDEX(TextData!B:B,MATCH(B241,TextData!A:A))</f>
        <v>ヒロインズハイ</v>
      </c>
      <c r="D241">
        <v>6</v>
      </c>
      <c r="E241" t="str">
        <f>INDEX(Define!X:X,MATCH(D241,Define!W:W))</f>
        <v>自己強化</v>
      </c>
      <c r="F241">
        <v>51</v>
      </c>
      <c r="G241" t="str">
        <f>INDEX([1]Animations!B:B,MATCH(F241,[1]Animations!A:A))</f>
        <v>NA_Effekseer/NA_aura_001</v>
      </c>
      <c r="H241">
        <v>1</v>
      </c>
      <c r="I241" t="str">
        <f>INDEX(Define!B:B,MATCH(H241,Define!A:A))</f>
        <v>単体</v>
      </c>
      <c r="J241">
        <v>0</v>
      </c>
      <c r="K241">
        <v>0</v>
      </c>
      <c r="L241">
        <v>0</v>
      </c>
      <c r="M241">
        <v>4</v>
      </c>
      <c r="N241" t="str">
        <f>INDEX(Define!E:E,MATCH(M241,Define!D:D))</f>
        <v>光</v>
      </c>
      <c r="O241">
        <v>5</v>
      </c>
      <c r="P241" t="str">
        <f>INDEX(Define!H:H,MATCH(O241,Define!G:G))</f>
        <v>レリック</v>
      </c>
      <c r="Q241">
        <v>2</v>
      </c>
      <c r="R241" t="str">
        <f>INDEX(Define!K:K,MATCH(Q241,Define!J:J))</f>
        <v>味方</v>
      </c>
      <c r="S241">
        <v>3</v>
      </c>
      <c r="T241" t="str">
        <f>INDEX(Define!N:N,MATCH(S241,Define!M:M))</f>
        <v>全体</v>
      </c>
      <c r="U241">
        <v>2</v>
      </c>
      <c r="V241">
        <v>1</v>
      </c>
      <c r="W241">
        <v>1</v>
      </c>
      <c r="X241">
        <v>0</v>
      </c>
    </row>
    <row r="242" spans="1:24">
      <c r="A242">
        <v>301060</v>
      </c>
      <c r="B242">
        <v>301060</v>
      </c>
      <c r="C242" t="str">
        <f>INDEX(TextData!B:B,MATCH(B242,TextData!A:A))</f>
        <v>セカンドステージ</v>
      </c>
      <c r="D242">
        <v>6</v>
      </c>
      <c r="E242" t="str">
        <f>INDEX(Define!X:X,MATCH(D242,Define!W:W))</f>
        <v>自己強化</v>
      </c>
      <c r="F242">
        <v>51</v>
      </c>
      <c r="G242" t="str">
        <f>INDEX([1]Animations!B:B,MATCH(F242,[1]Animations!A:A))</f>
        <v>NA_Effekseer/NA_aura_001</v>
      </c>
      <c r="H242">
        <v>1</v>
      </c>
      <c r="I242" t="str">
        <f>INDEX(Define!B:B,MATCH(H242,Define!A:A))</f>
        <v>単体</v>
      </c>
      <c r="J242">
        <v>0</v>
      </c>
      <c r="K242">
        <v>0</v>
      </c>
      <c r="L242">
        <v>0</v>
      </c>
      <c r="M242">
        <v>4</v>
      </c>
      <c r="N242" t="str">
        <f>INDEX(Define!E:E,MATCH(M242,Define!D:D))</f>
        <v>光</v>
      </c>
      <c r="O242">
        <v>5</v>
      </c>
      <c r="P242" t="str">
        <f>INDEX(Define!H:H,MATCH(O242,Define!G:G))</f>
        <v>レリック</v>
      </c>
      <c r="Q242">
        <v>2</v>
      </c>
      <c r="R242" t="str">
        <f>INDEX(Define!K:K,MATCH(Q242,Define!J:J))</f>
        <v>味方</v>
      </c>
      <c r="S242">
        <v>3</v>
      </c>
      <c r="T242" t="str">
        <f>INDEX(Define!N:N,MATCH(S242,Define!M:M))</f>
        <v>全体</v>
      </c>
      <c r="U242">
        <v>2</v>
      </c>
      <c r="V242">
        <v>1</v>
      </c>
      <c r="W242">
        <v>0</v>
      </c>
      <c r="X242">
        <v>0</v>
      </c>
    </row>
    <row r="243" spans="1:24">
      <c r="A243">
        <v>301070</v>
      </c>
      <c r="B243">
        <v>301070</v>
      </c>
      <c r="C243" t="str">
        <f>INDEX(TextData!B:B,MATCH(B243,TextData!A:A))</f>
        <v>ハイヒットポイント</v>
      </c>
      <c r="D243">
        <v>6</v>
      </c>
      <c r="E243" t="str">
        <f>INDEX(Define!X:X,MATCH(D243,Define!W:W))</f>
        <v>自己強化</v>
      </c>
      <c r="F243">
        <v>51</v>
      </c>
      <c r="G243" t="str">
        <f>INDEX([1]Animations!B:B,MATCH(F243,[1]Animations!A:A))</f>
        <v>NA_Effekseer/NA_aura_001</v>
      </c>
      <c r="H243">
        <v>1</v>
      </c>
      <c r="I243" t="str">
        <f>INDEX(Define!B:B,MATCH(H243,Define!A:A))</f>
        <v>単体</v>
      </c>
      <c r="J243">
        <v>0</v>
      </c>
      <c r="K243">
        <v>0</v>
      </c>
      <c r="L243">
        <v>0</v>
      </c>
      <c r="M243">
        <v>4</v>
      </c>
      <c r="N243" t="str">
        <f>INDEX(Define!E:E,MATCH(M243,Define!D:D))</f>
        <v>光</v>
      </c>
      <c r="O243">
        <v>5</v>
      </c>
      <c r="P243" t="str">
        <f>INDEX(Define!H:H,MATCH(O243,Define!G:G))</f>
        <v>レリック</v>
      </c>
      <c r="Q243">
        <v>2</v>
      </c>
      <c r="R243" t="str">
        <f>INDEX(Define!K:K,MATCH(Q243,Define!J:J))</f>
        <v>味方</v>
      </c>
      <c r="S243">
        <v>3</v>
      </c>
      <c r="T243" t="str">
        <f>INDEX(Define!N:N,MATCH(S243,Define!M:M))</f>
        <v>全体</v>
      </c>
      <c r="U243">
        <v>2</v>
      </c>
      <c r="V243">
        <v>1</v>
      </c>
      <c r="W243">
        <v>1</v>
      </c>
      <c r="X243">
        <v>0</v>
      </c>
    </row>
    <row r="244" spans="1:24">
      <c r="A244">
        <v>301080</v>
      </c>
      <c r="B244">
        <v>301080</v>
      </c>
      <c r="C244" t="str">
        <f>INDEX(TextData!B:B,MATCH(B244,TextData!A:A))</f>
        <v>セプタブラスト</v>
      </c>
      <c r="D244">
        <v>6</v>
      </c>
      <c r="E244" t="str">
        <f>INDEX(Define!X:X,MATCH(D244,Define!W:W))</f>
        <v>自己強化</v>
      </c>
      <c r="F244">
        <v>101</v>
      </c>
      <c r="G244" t="str">
        <f>INDEX([1]Animations!B:B,MATCH(F244,[1]Animations!A:A))</f>
        <v>MakerEffect/FireOne1</v>
      </c>
      <c r="H244">
        <v>1</v>
      </c>
      <c r="I244" t="str">
        <f>INDEX(Define!B:B,MATCH(H244,Define!A:A))</f>
        <v>単体</v>
      </c>
      <c r="J244">
        <v>0</v>
      </c>
      <c r="K244">
        <v>0</v>
      </c>
      <c r="L244">
        <v>0</v>
      </c>
      <c r="M244">
        <v>1</v>
      </c>
      <c r="N244" t="str">
        <f>INDEX(Define!E:E,MATCH(M244,Define!D:D))</f>
        <v>炎</v>
      </c>
      <c r="O244">
        <v>5</v>
      </c>
      <c r="P244" t="str">
        <f>INDEX(Define!H:H,MATCH(O244,Define!G:G))</f>
        <v>レリック</v>
      </c>
      <c r="Q244">
        <v>7</v>
      </c>
      <c r="R244" t="str">
        <f>INDEX(Define!K:K,MATCH(Q244,Define!J:J))</f>
        <v>追撃</v>
      </c>
      <c r="S244">
        <v>1</v>
      </c>
      <c r="T244" t="str">
        <f>INDEX(Define!N:N,MATCH(S244,Define!M:M))</f>
        <v>単体</v>
      </c>
      <c r="U244">
        <v>2</v>
      </c>
      <c r="V244">
        <v>1</v>
      </c>
      <c r="W244">
        <v>1</v>
      </c>
      <c r="X244">
        <v>0</v>
      </c>
    </row>
    <row r="245" spans="1:24">
      <c r="A245">
        <v>301090</v>
      </c>
      <c r="B245">
        <v>301090</v>
      </c>
      <c r="C245" t="str">
        <f>INDEX(TextData!B:B,MATCH(B245,TextData!A:A))</f>
        <v>イニシャルブロッカー</v>
      </c>
      <c r="D245">
        <v>6</v>
      </c>
      <c r="E245" t="str">
        <f>INDEX(Define!X:X,MATCH(D245,Define!W:W))</f>
        <v>自己強化</v>
      </c>
      <c r="F245">
        <v>51</v>
      </c>
      <c r="G245" t="str">
        <f>INDEX([1]Animations!B:B,MATCH(F245,[1]Animations!A:A))</f>
        <v>NA_Effekseer/NA_aura_001</v>
      </c>
      <c r="H245">
        <v>1</v>
      </c>
      <c r="I245" t="str">
        <f>INDEX(Define!B:B,MATCH(H245,Define!A:A))</f>
        <v>単体</v>
      </c>
      <c r="J245">
        <v>0</v>
      </c>
      <c r="K245">
        <v>0</v>
      </c>
      <c r="L245">
        <v>0</v>
      </c>
      <c r="M245">
        <v>3</v>
      </c>
      <c r="N245" t="str">
        <f>INDEX(Define!E:E,MATCH(M245,Define!D:D))</f>
        <v>氷</v>
      </c>
      <c r="O245">
        <v>5</v>
      </c>
      <c r="P245" t="str">
        <f>INDEX(Define!H:H,MATCH(O245,Define!G:G))</f>
        <v>レリック</v>
      </c>
      <c r="Q245">
        <v>2</v>
      </c>
      <c r="R245" t="str">
        <f>INDEX(Define!K:K,MATCH(Q245,Define!J:J))</f>
        <v>味方</v>
      </c>
      <c r="S245">
        <v>3</v>
      </c>
      <c r="T245" t="str">
        <f>INDEX(Define!N:N,MATCH(S245,Define!M:M))</f>
        <v>全体</v>
      </c>
      <c r="U245">
        <v>2</v>
      </c>
      <c r="V245">
        <v>1</v>
      </c>
      <c r="W245">
        <v>1</v>
      </c>
      <c r="X245">
        <v>0</v>
      </c>
    </row>
    <row r="246" spans="1:24">
      <c r="A246">
        <v>301100</v>
      </c>
      <c r="B246">
        <v>301100</v>
      </c>
      <c r="C246" t="str">
        <f>INDEX(TextData!B:B,MATCH(B246,TextData!A:A))</f>
        <v>ファーストテイク</v>
      </c>
      <c r="D246">
        <v>6</v>
      </c>
      <c r="E246" t="str">
        <f>INDEX(Define!X:X,MATCH(D246,Define!W:W))</f>
        <v>自己強化</v>
      </c>
      <c r="F246">
        <v>51</v>
      </c>
      <c r="G246" t="str">
        <f>INDEX([1]Animations!B:B,MATCH(F246,[1]Animations!A:A))</f>
        <v>NA_Effekseer/NA_aura_001</v>
      </c>
      <c r="H246">
        <v>1</v>
      </c>
      <c r="I246" t="str">
        <f>INDEX(Define!B:B,MATCH(H246,Define!A:A))</f>
        <v>単体</v>
      </c>
      <c r="J246">
        <v>0</v>
      </c>
      <c r="K246">
        <v>0</v>
      </c>
      <c r="L246">
        <v>0</v>
      </c>
      <c r="M246">
        <v>2</v>
      </c>
      <c r="N246" t="str">
        <f>INDEX(Define!E:E,MATCH(M246,Define!D:D))</f>
        <v>雷</v>
      </c>
      <c r="O246">
        <v>5</v>
      </c>
      <c r="P246" t="str">
        <f>INDEX(Define!H:H,MATCH(O246,Define!G:G))</f>
        <v>レリック</v>
      </c>
      <c r="Q246">
        <v>2</v>
      </c>
      <c r="R246" t="str">
        <f>INDEX(Define!K:K,MATCH(Q246,Define!J:J))</f>
        <v>味方</v>
      </c>
      <c r="S246">
        <v>3</v>
      </c>
      <c r="T246" t="str">
        <f>INDEX(Define!N:N,MATCH(S246,Define!M:M))</f>
        <v>全体</v>
      </c>
      <c r="U246">
        <v>2</v>
      </c>
      <c r="V246">
        <v>1</v>
      </c>
      <c r="W246">
        <v>1</v>
      </c>
      <c r="X246">
        <v>0</v>
      </c>
    </row>
    <row r="247" spans="1:24">
      <c r="A247">
        <v>310010</v>
      </c>
      <c r="B247">
        <v>310010</v>
      </c>
      <c r="C247" t="str">
        <f>INDEX(TextData!B:B,MATCH(B247,TextData!A:A))</f>
        <v>妖精の祈り</v>
      </c>
      <c r="D247">
        <v>6</v>
      </c>
      <c r="E247" t="str">
        <f>INDEX(Define!X:X,MATCH(D247,Define!W:W))</f>
        <v>自己強化</v>
      </c>
      <c r="F247">
        <v>0</v>
      </c>
      <c r="H247">
        <v>1</v>
      </c>
      <c r="I247" t="str">
        <f>INDEX(Define!B:B,MATCH(H247,Define!A:A))</f>
        <v>単体</v>
      </c>
      <c r="J247">
        <v>0</v>
      </c>
      <c r="K247">
        <v>0</v>
      </c>
      <c r="L247">
        <v>220</v>
      </c>
      <c r="M247">
        <v>4</v>
      </c>
      <c r="N247" t="str">
        <f>INDEX(Define!E:E,MATCH(M247,Define!D:D))</f>
        <v>光</v>
      </c>
      <c r="O247">
        <v>5</v>
      </c>
      <c r="P247" t="str">
        <f>INDEX(Define!H:H,MATCH(O247,Define!G:G))</f>
        <v>レリック</v>
      </c>
      <c r="Q247">
        <v>2</v>
      </c>
      <c r="R247" t="str">
        <f>INDEX(Define!K:K,MATCH(Q247,Define!J:J))</f>
        <v>味方</v>
      </c>
      <c r="S247">
        <v>3</v>
      </c>
      <c r="T247" t="str">
        <f>INDEX(Define!N:N,MATCH(S247,Define!M:M))</f>
        <v>全体</v>
      </c>
      <c r="U247">
        <v>2</v>
      </c>
      <c r="V247">
        <v>1</v>
      </c>
      <c r="W247">
        <v>1</v>
      </c>
      <c r="X247">
        <v>0</v>
      </c>
    </row>
    <row r="248" spans="1:24">
      <c r="A248">
        <v>310020</v>
      </c>
      <c r="B248">
        <v>310020</v>
      </c>
      <c r="C248" t="str">
        <f>INDEX(TextData!B:B,MATCH(B248,TextData!A:A))</f>
        <v>月のかけら</v>
      </c>
      <c r="D248">
        <v>6</v>
      </c>
      <c r="E248" t="str">
        <f>INDEX(Define!X:X,MATCH(D248,Define!W:W))</f>
        <v>自己強化</v>
      </c>
      <c r="F248">
        <v>0</v>
      </c>
      <c r="H248">
        <v>1</v>
      </c>
      <c r="I248" t="str">
        <f>INDEX(Define!B:B,MATCH(H248,Define!A:A))</f>
        <v>単体</v>
      </c>
      <c r="J248">
        <v>0</v>
      </c>
      <c r="K248">
        <v>0</v>
      </c>
      <c r="L248">
        <v>220</v>
      </c>
      <c r="M248">
        <v>4</v>
      </c>
      <c r="N248" t="str">
        <f>INDEX(Define!E:E,MATCH(M248,Define!D:D))</f>
        <v>光</v>
      </c>
      <c r="O248">
        <v>5</v>
      </c>
      <c r="P248" t="str">
        <f>INDEX(Define!H:H,MATCH(O248,Define!G:G))</f>
        <v>レリック</v>
      </c>
      <c r="Q248">
        <v>2</v>
      </c>
      <c r="R248" t="str">
        <f>INDEX(Define!K:K,MATCH(Q248,Define!J:J))</f>
        <v>味方</v>
      </c>
      <c r="S248">
        <v>3</v>
      </c>
      <c r="T248" t="str">
        <f>INDEX(Define!N:N,MATCH(S248,Define!M:M))</f>
        <v>全体</v>
      </c>
      <c r="U248">
        <v>2</v>
      </c>
      <c r="V248">
        <v>1</v>
      </c>
      <c r="W248">
        <v>1</v>
      </c>
      <c r="X248">
        <v>0</v>
      </c>
    </row>
    <row r="249" spans="1:24">
      <c r="A249">
        <v>310030</v>
      </c>
      <c r="B249">
        <v>310030</v>
      </c>
      <c r="C249" t="str">
        <f>INDEX(TextData!B:B,MATCH(B249,TextData!A:A))</f>
        <v>商売の才覚書</v>
      </c>
      <c r="D249">
        <v>6</v>
      </c>
      <c r="E249" t="str">
        <f>INDEX(Define!X:X,MATCH(D249,Define!W:W))</f>
        <v>自己強化</v>
      </c>
      <c r="F249">
        <v>0</v>
      </c>
      <c r="H249">
        <v>1</v>
      </c>
      <c r="I249" t="str">
        <f>INDEX(Define!B:B,MATCH(H249,Define!A:A))</f>
        <v>単体</v>
      </c>
      <c r="J249">
        <v>0</v>
      </c>
      <c r="K249">
        <v>0</v>
      </c>
      <c r="L249">
        <v>220</v>
      </c>
      <c r="M249">
        <v>4</v>
      </c>
      <c r="N249" t="str">
        <f>INDEX(Define!E:E,MATCH(M249,Define!D:D))</f>
        <v>光</v>
      </c>
      <c r="O249">
        <v>5</v>
      </c>
      <c r="P249" t="str">
        <f>INDEX(Define!H:H,MATCH(O249,Define!G:G))</f>
        <v>レリック</v>
      </c>
      <c r="Q249">
        <v>2</v>
      </c>
      <c r="R249" t="str">
        <f>INDEX(Define!K:K,MATCH(Q249,Define!J:J))</f>
        <v>味方</v>
      </c>
      <c r="S249">
        <v>1</v>
      </c>
      <c r="T249" t="str">
        <f>INDEX(Define!N:N,MATCH(S249,Define!M:M))</f>
        <v>単体</v>
      </c>
      <c r="U249">
        <v>2</v>
      </c>
      <c r="V249">
        <v>1</v>
      </c>
      <c r="W249">
        <v>1</v>
      </c>
      <c r="X249">
        <v>0</v>
      </c>
    </row>
    <row r="250" spans="1:24">
      <c r="A250">
        <v>310040</v>
      </c>
      <c r="B250">
        <v>310040</v>
      </c>
      <c r="C250" t="str">
        <f>INDEX(TextData!B:B,MATCH(B250,TextData!A:A))</f>
        <v>レイピッドブースト</v>
      </c>
      <c r="D250">
        <v>6</v>
      </c>
      <c r="E250" t="str">
        <f>INDEX(Define!X:X,MATCH(D250,Define!W:W))</f>
        <v>自己強化</v>
      </c>
      <c r="F250">
        <v>51</v>
      </c>
      <c r="G250" t="str">
        <f>INDEX([1]Animations!B:B,MATCH(F250,[1]Animations!A:A))</f>
        <v>NA_Effekseer/NA_aura_001</v>
      </c>
      <c r="H250">
        <v>1</v>
      </c>
      <c r="I250" t="str">
        <f>INDEX(Define!B:B,MATCH(H250,Define!A:A))</f>
        <v>単体</v>
      </c>
      <c r="J250">
        <v>0</v>
      </c>
      <c r="K250">
        <v>0</v>
      </c>
      <c r="L250">
        <v>220</v>
      </c>
      <c r="M250">
        <v>4</v>
      </c>
      <c r="N250" t="str">
        <f>INDEX(Define!E:E,MATCH(M250,Define!D:D))</f>
        <v>光</v>
      </c>
      <c r="O250">
        <v>5</v>
      </c>
      <c r="P250" t="str">
        <f>INDEX(Define!H:H,MATCH(O250,Define!G:G))</f>
        <v>レリック</v>
      </c>
      <c r="Q250">
        <v>2</v>
      </c>
      <c r="R250" t="str">
        <f>INDEX(Define!K:K,MATCH(Q250,Define!J:J))</f>
        <v>味方</v>
      </c>
      <c r="S250">
        <v>3</v>
      </c>
      <c r="T250" t="str">
        <f>INDEX(Define!N:N,MATCH(S250,Define!M:M))</f>
        <v>全体</v>
      </c>
      <c r="U250">
        <v>2</v>
      </c>
      <c r="V250">
        <v>1</v>
      </c>
      <c r="W250">
        <v>1</v>
      </c>
      <c r="X250">
        <v>0</v>
      </c>
    </row>
    <row r="251" spans="1:24">
      <c r="A251">
        <v>310050</v>
      </c>
      <c r="B251">
        <v>310050</v>
      </c>
      <c r="C251" t="str">
        <f>INDEX(TextData!B:B,MATCH(B251,TextData!A:A))</f>
        <v>黄金の守護精霊</v>
      </c>
      <c r="D251">
        <v>6</v>
      </c>
      <c r="E251" t="str">
        <f>INDEX(Define!X:X,MATCH(D251,Define!W:W))</f>
        <v>自己強化</v>
      </c>
      <c r="F251">
        <v>0</v>
      </c>
      <c r="H251">
        <v>1</v>
      </c>
      <c r="I251" t="str">
        <f>INDEX(Define!B:B,MATCH(H251,Define!A:A))</f>
        <v>単体</v>
      </c>
      <c r="J251">
        <v>0</v>
      </c>
      <c r="K251">
        <v>0</v>
      </c>
      <c r="L251">
        <v>220</v>
      </c>
      <c r="M251">
        <v>4</v>
      </c>
      <c r="N251" t="str">
        <f>INDEX(Define!E:E,MATCH(M251,Define!D:D))</f>
        <v>光</v>
      </c>
      <c r="O251">
        <v>5</v>
      </c>
      <c r="P251" t="str">
        <f>INDEX(Define!H:H,MATCH(O251,Define!G:G))</f>
        <v>レリック</v>
      </c>
      <c r="Q251">
        <v>2</v>
      </c>
      <c r="R251" t="str">
        <f>INDEX(Define!K:K,MATCH(Q251,Define!J:J))</f>
        <v>味方</v>
      </c>
      <c r="S251">
        <v>3</v>
      </c>
      <c r="T251" t="str">
        <f>INDEX(Define!N:N,MATCH(S251,Define!M:M))</f>
        <v>全体</v>
      </c>
      <c r="U251">
        <v>2</v>
      </c>
      <c r="V251">
        <v>1</v>
      </c>
      <c r="W251">
        <v>1</v>
      </c>
      <c r="X251">
        <v>0</v>
      </c>
    </row>
    <row r="252" spans="1:24">
      <c r="A252">
        <v>310060</v>
      </c>
      <c r="B252">
        <v>310060</v>
      </c>
      <c r="C252" t="str">
        <f>INDEX(TextData!B:B,MATCH(B252,TextData!A:A))</f>
        <v>ヒスイの勾玉</v>
      </c>
      <c r="D252">
        <v>6</v>
      </c>
      <c r="E252" t="str">
        <f>INDEX(Define!X:X,MATCH(D252,Define!W:W))</f>
        <v>自己強化</v>
      </c>
      <c r="F252">
        <v>0</v>
      </c>
      <c r="H252">
        <v>1</v>
      </c>
      <c r="I252" t="str">
        <f>INDEX(Define!B:B,MATCH(H252,Define!A:A))</f>
        <v>単体</v>
      </c>
      <c r="J252">
        <v>0</v>
      </c>
      <c r="K252">
        <v>0</v>
      </c>
      <c r="L252">
        <v>220</v>
      </c>
      <c r="M252">
        <v>4</v>
      </c>
      <c r="N252" t="str">
        <f>INDEX(Define!E:E,MATCH(M252,Define!D:D))</f>
        <v>光</v>
      </c>
      <c r="O252">
        <v>5</v>
      </c>
      <c r="P252" t="str">
        <f>INDEX(Define!H:H,MATCH(O252,Define!G:G))</f>
        <v>レリック</v>
      </c>
      <c r="Q252">
        <v>2</v>
      </c>
      <c r="R252" t="str">
        <f>INDEX(Define!K:K,MATCH(Q252,Define!J:J))</f>
        <v>味方</v>
      </c>
      <c r="S252">
        <v>3</v>
      </c>
      <c r="T252" t="str">
        <f>INDEX(Define!N:N,MATCH(S252,Define!M:M))</f>
        <v>全体</v>
      </c>
      <c r="U252">
        <v>2</v>
      </c>
      <c r="V252">
        <v>1</v>
      </c>
      <c r="W252">
        <v>1</v>
      </c>
      <c r="X252">
        <v>0</v>
      </c>
    </row>
    <row r="253" spans="1:24">
      <c r="A253">
        <v>310070</v>
      </c>
      <c r="B253">
        <v>310070</v>
      </c>
      <c r="C253" t="str">
        <f>INDEX(TextData!B:B,MATCH(B253,TextData!A:A))</f>
        <v>英傑の盾</v>
      </c>
      <c r="D253">
        <v>6</v>
      </c>
      <c r="E253" t="str">
        <f>INDEX(Define!X:X,MATCH(D253,Define!W:W))</f>
        <v>自己強化</v>
      </c>
      <c r="F253">
        <v>0</v>
      </c>
      <c r="H253">
        <v>1</v>
      </c>
      <c r="I253" t="str">
        <f>INDEX(Define!B:B,MATCH(H253,Define!A:A))</f>
        <v>単体</v>
      </c>
      <c r="J253">
        <v>0</v>
      </c>
      <c r="K253">
        <v>0</v>
      </c>
      <c r="L253">
        <v>220</v>
      </c>
      <c r="M253">
        <v>4</v>
      </c>
      <c r="N253" t="str">
        <f>INDEX(Define!E:E,MATCH(M253,Define!D:D))</f>
        <v>光</v>
      </c>
      <c r="O253">
        <v>5</v>
      </c>
      <c r="P253" t="str">
        <f>INDEX(Define!H:H,MATCH(O253,Define!G:G))</f>
        <v>レリック</v>
      </c>
      <c r="Q253">
        <v>2</v>
      </c>
      <c r="R253" t="str">
        <f>INDEX(Define!K:K,MATCH(Q253,Define!J:J))</f>
        <v>味方</v>
      </c>
      <c r="S253">
        <v>3</v>
      </c>
      <c r="T253" t="str">
        <f>INDEX(Define!N:N,MATCH(S253,Define!M:M))</f>
        <v>全体</v>
      </c>
      <c r="U253">
        <v>2</v>
      </c>
      <c r="V253">
        <v>1</v>
      </c>
      <c r="W253">
        <v>1</v>
      </c>
      <c r="X253">
        <v>0</v>
      </c>
    </row>
    <row r="254" spans="1:24">
      <c r="A254">
        <v>310080</v>
      </c>
      <c r="B254">
        <v>310080</v>
      </c>
      <c r="C254" t="str">
        <f>INDEX(TextData!B:B,MATCH(B254,TextData!A:A))</f>
        <v>鷹の目</v>
      </c>
      <c r="D254">
        <v>6</v>
      </c>
      <c r="E254" t="str">
        <f>INDEX(Define!X:X,MATCH(D254,Define!W:W))</f>
        <v>自己強化</v>
      </c>
      <c r="F254">
        <v>0</v>
      </c>
      <c r="H254">
        <v>1</v>
      </c>
      <c r="I254" t="str">
        <f>INDEX(Define!B:B,MATCH(H254,Define!A:A))</f>
        <v>単体</v>
      </c>
      <c r="J254">
        <v>0</v>
      </c>
      <c r="K254">
        <v>0</v>
      </c>
      <c r="L254">
        <v>220</v>
      </c>
      <c r="M254">
        <v>4</v>
      </c>
      <c r="N254" t="str">
        <f>INDEX(Define!E:E,MATCH(M254,Define!D:D))</f>
        <v>光</v>
      </c>
      <c r="O254">
        <v>5</v>
      </c>
      <c r="P254" t="str">
        <f>INDEX(Define!H:H,MATCH(O254,Define!G:G))</f>
        <v>レリック</v>
      </c>
      <c r="Q254">
        <v>2</v>
      </c>
      <c r="R254" t="str">
        <f>INDEX(Define!K:K,MATCH(Q254,Define!J:J))</f>
        <v>味方</v>
      </c>
      <c r="S254">
        <v>3</v>
      </c>
      <c r="T254" t="str">
        <f>INDEX(Define!N:N,MATCH(S254,Define!M:M))</f>
        <v>全体</v>
      </c>
      <c r="U254">
        <v>2</v>
      </c>
      <c r="V254">
        <v>1</v>
      </c>
      <c r="W254">
        <v>1</v>
      </c>
      <c r="X254">
        <v>0</v>
      </c>
    </row>
    <row r="255" spans="1:24">
      <c r="A255">
        <v>310090</v>
      </c>
      <c r="B255">
        <v>310090</v>
      </c>
      <c r="C255" t="str">
        <f>INDEX(TextData!B:B,MATCH(B255,TextData!A:A))</f>
        <v>ラーニングピアス</v>
      </c>
      <c r="D255">
        <v>6</v>
      </c>
      <c r="E255" t="str">
        <f>INDEX(Define!X:X,MATCH(D255,Define!W:W))</f>
        <v>自己強化</v>
      </c>
      <c r="F255">
        <v>0</v>
      </c>
      <c r="H255">
        <v>1</v>
      </c>
      <c r="I255" t="str">
        <f>INDEX(Define!B:B,MATCH(H255,Define!A:A))</f>
        <v>単体</v>
      </c>
      <c r="J255">
        <v>0</v>
      </c>
      <c r="K255">
        <v>0</v>
      </c>
      <c r="L255">
        <v>220</v>
      </c>
      <c r="M255">
        <v>4</v>
      </c>
      <c r="N255" t="str">
        <f>INDEX(Define!E:E,MATCH(M255,Define!D:D))</f>
        <v>光</v>
      </c>
      <c r="O255">
        <v>5</v>
      </c>
      <c r="P255" t="str">
        <f>INDEX(Define!H:H,MATCH(O255,Define!G:G))</f>
        <v>レリック</v>
      </c>
      <c r="Q255">
        <v>2</v>
      </c>
      <c r="R255" t="str">
        <f>INDEX(Define!K:K,MATCH(Q255,Define!J:J))</f>
        <v>味方</v>
      </c>
      <c r="S255">
        <v>3</v>
      </c>
      <c r="T255" t="str">
        <f>INDEX(Define!N:N,MATCH(S255,Define!M:M))</f>
        <v>全体</v>
      </c>
      <c r="U255">
        <v>2</v>
      </c>
      <c r="V255">
        <v>1</v>
      </c>
      <c r="W255">
        <v>1</v>
      </c>
      <c r="X255">
        <v>0</v>
      </c>
    </row>
    <row r="256" spans="1:24">
      <c r="A256">
        <v>310100</v>
      </c>
      <c r="B256">
        <v>310100</v>
      </c>
      <c r="C256" t="str">
        <f>INDEX(TextData!B:B,MATCH(B256,TextData!A:A))</f>
        <v>セブンズストーン</v>
      </c>
      <c r="D256">
        <v>6</v>
      </c>
      <c r="E256" t="str">
        <f>INDEX(Define!X:X,MATCH(D256,Define!W:W))</f>
        <v>自己強化</v>
      </c>
      <c r="F256">
        <v>101</v>
      </c>
      <c r="G256" t="str">
        <f>INDEX([1]Animations!B:B,MATCH(F256,[1]Animations!A:A))</f>
        <v>MakerEffect/FireOne1</v>
      </c>
      <c r="H256">
        <v>1</v>
      </c>
      <c r="I256" t="str">
        <f>INDEX(Define!B:B,MATCH(H256,Define!A:A))</f>
        <v>単体</v>
      </c>
      <c r="J256">
        <v>0</v>
      </c>
      <c r="K256">
        <v>0</v>
      </c>
      <c r="L256">
        <v>220</v>
      </c>
      <c r="M256">
        <v>4</v>
      </c>
      <c r="N256" t="str">
        <f>INDEX(Define!E:E,MATCH(M256,Define!D:D))</f>
        <v>光</v>
      </c>
      <c r="O256">
        <v>5</v>
      </c>
      <c r="P256" t="str">
        <f>INDEX(Define!H:H,MATCH(O256,Define!G:G))</f>
        <v>レリック</v>
      </c>
      <c r="Q256">
        <v>7</v>
      </c>
      <c r="R256" t="str">
        <f>INDEX(Define!K:K,MATCH(Q256,Define!J:J))</f>
        <v>追撃</v>
      </c>
      <c r="S256">
        <v>1</v>
      </c>
      <c r="T256" t="str">
        <f>INDEX(Define!N:N,MATCH(S256,Define!M:M))</f>
        <v>単体</v>
      </c>
      <c r="U256">
        <v>2</v>
      </c>
      <c r="V256">
        <v>1</v>
      </c>
      <c r="W256">
        <v>1</v>
      </c>
      <c r="X256">
        <v>0</v>
      </c>
    </row>
    <row r="257" spans="1:24">
      <c r="A257">
        <v>310110</v>
      </c>
      <c r="B257">
        <v>310110</v>
      </c>
      <c r="C257" t="str">
        <f>INDEX(TextData!B:B,MATCH(B257,TextData!A:A))</f>
        <v>ファーストトリック</v>
      </c>
      <c r="D257">
        <v>6</v>
      </c>
      <c r="E257" t="str">
        <f>INDEX(Define!X:X,MATCH(D257,Define!W:W))</f>
        <v>自己強化</v>
      </c>
      <c r="F257">
        <v>51</v>
      </c>
      <c r="G257" t="str">
        <f>INDEX([1]Animations!B:B,MATCH(F257,[1]Animations!A:A))</f>
        <v>NA_Effekseer/NA_aura_001</v>
      </c>
      <c r="H257">
        <v>1</v>
      </c>
      <c r="I257" t="str">
        <f>INDEX(Define!B:B,MATCH(H257,Define!A:A))</f>
        <v>単体</v>
      </c>
      <c r="J257">
        <v>0</v>
      </c>
      <c r="K257">
        <v>0</v>
      </c>
      <c r="L257">
        <v>220</v>
      </c>
      <c r="M257">
        <v>4</v>
      </c>
      <c r="N257" t="str">
        <f>INDEX(Define!E:E,MATCH(M257,Define!D:D))</f>
        <v>光</v>
      </c>
      <c r="O257">
        <v>5</v>
      </c>
      <c r="P257" t="str">
        <f>INDEX(Define!H:H,MATCH(O257,Define!G:G))</f>
        <v>レリック</v>
      </c>
      <c r="Q257">
        <v>2</v>
      </c>
      <c r="R257" t="str">
        <f>INDEX(Define!K:K,MATCH(Q257,Define!J:J))</f>
        <v>味方</v>
      </c>
      <c r="S257">
        <v>3</v>
      </c>
      <c r="T257" t="str">
        <f>INDEX(Define!N:N,MATCH(S257,Define!M:M))</f>
        <v>全体</v>
      </c>
      <c r="U257">
        <v>2</v>
      </c>
      <c r="V257">
        <v>1</v>
      </c>
      <c r="W257">
        <v>1</v>
      </c>
      <c r="X257">
        <v>0</v>
      </c>
    </row>
    <row r="258" spans="1:24">
      <c r="A258">
        <v>310120</v>
      </c>
      <c r="B258">
        <v>310120</v>
      </c>
      <c r="C258" t="str">
        <f>INDEX(TextData!B:B,MATCH(B258,TextData!A:A))</f>
        <v>リカバリーエンハンス</v>
      </c>
      <c r="D258">
        <v>6</v>
      </c>
      <c r="E258" t="str">
        <f>INDEX(Define!X:X,MATCH(D258,Define!W:W))</f>
        <v>自己強化</v>
      </c>
      <c r="F258">
        <v>51</v>
      </c>
      <c r="G258" t="str">
        <f>INDEX([1]Animations!B:B,MATCH(F258,[1]Animations!A:A))</f>
        <v>NA_Effekseer/NA_aura_001</v>
      </c>
      <c r="H258">
        <v>1</v>
      </c>
      <c r="I258" t="str">
        <f>INDEX(Define!B:B,MATCH(H258,Define!A:A))</f>
        <v>単体</v>
      </c>
      <c r="J258">
        <v>0</v>
      </c>
      <c r="K258">
        <v>0</v>
      </c>
      <c r="L258">
        <v>220</v>
      </c>
      <c r="M258">
        <v>4</v>
      </c>
      <c r="N258" t="str">
        <f>INDEX(Define!E:E,MATCH(M258,Define!D:D))</f>
        <v>光</v>
      </c>
      <c r="O258">
        <v>5</v>
      </c>
      <c r="P258" t="str">
        <f>INDEX(Define!H:H,MATCH(O258,Define!G:G))</f>
        <v>レリック</v>
      </c>
      <c r="Q258">
        <v>2</v>
      </c>
      <c r="R258" t="str">
        <f>INDEX(Define!K:K,MATCH(Q258,Define!J:J))</f>
        <v>味方</v>
      </c>
      <c r="S258">
        <v>3</v>
      </c>
      <c r="T258" t="str">
        <f>INDEX(Define!N:N,MATCH(S258,Define!M:M))</f>
        <v>全体</v>
      </c>
      <c r="U258">
        <v>2</v>
      </c>
      <c r="V258">
        <v>1</v>
      </c>
      <c r="W258">
        <v>1</v>
      </c>
      <c r="X258">
        <v>0</v>
      </c>
    </row>
    <row r="259" spans="1:24">
      <c r="A259">
        <v>310130</v>
      </c>
      <c r="B259">
        <v>310130</v>
      </c>
      <c r="C259" t="str">
        <f>INDEX(TextData!B:B,MATCH(B259,TextData!A:A))</f>
        <v>ヒールユニット</v>
      </c>
      <c r="D259">
        <v>6</v>
      </c>
      <c r="E259" t="str">
        <f>INDEX(Define!X:X,MATCH(D259,Define!W:W))</f>
        <v>自己強化</v>
      </c>
      <c r="F259">
        <v>0</v>
      </c>
      <c r="H259">
        <v>1</v>
      </c>
      <c r="I259" t="str">
        <f>INDEX(Define!B:B,MATCH(H259,Define!A:A))</f>
        <v>単体</v>
      </c>
      <c r="J259">
        <v>0</v>
      </c>
      <c r="K259">
        <v>0</v>
      </c>
      <c r="L259">
        <v>220</v>
      </c>
      <c r="M259">
        <v>4</v>
      </c>
      <c r="N259" t="str">
        <f>INDEX(Define!E:E,MATCH(M259,Define!D:D))</f>
        <v>光</v>
      </c>
      <c r="O259">
        <v>5</v>
      </c>
      <c r="P259" t="str">
        <f>INDEX(Define!H:H,MATCH(O259,Define!G:G))</f>
        <v>レリック</v>
      </c>
      <c r="Q259">
        <v>2</v>
      </c>
      <c r="R259" t="str">
        <f>INDEX(Define!K:K,MATCH(Q259,Define!J:J))</f>
        <v>味方</v>
      </c>
      <c r="S259">
        <v>3</v>
      </c>
      <c r="T259" t="str">
        <f>INDEX(Define!N:N,MATCH(S259,Define!M:M))</f>
        <v>全体</v>
      </c>
      <c r="U259">
        <v>2</v>
      </c>
      <c r="V259">
        <v>1</v>
      </c>
      <c r="W259">
        <v>1</v>
      </c>
      <c r="X259">
        <v>0</v>
      </c>
    </row>
    <row r="260" spans="1:24">
      <c r="A260">
        <v>320010</v>
      </c>
      <c r="B260">
        <v>320010</v>
      </c>
      <c r="C260" t="str">
        <f>INDEX(TextData!B:B,MATCH(B260,TextData!A:A))</f>
        <v>訓練所Lv1</v>
      </c>
      <c r="D260">
        <v>6</v>
      </c>
      <c r="E260" t="str">
        <f>INDEX(Define!X:X,MATCH(D260,Define!W:W))</f>
        <v>自己強化</v>
      </c>
      <c r="F260">
        <v>0</v>
      </c>
      <c r="H260">
        <v>1</v>
      </c>
      <c r="I260" t="str">
        <f>INDEX(Define!B:B,MATCH(H260,Define!A:A))</f>
        <v>単体</v>
      </c>
      <c r="J260">
        <v>0</v>
      </c>
      <c r="K260">
        <v>0</v>
      </c>
      <c r="L260">
        <v>0</v>
      </c>
      <c r="M260">
        <v>4</v>
      </c>
      <c r="N260" t="str">
        <f>INDEX(Define!E:E,MATCH(M260,Define!D:D))</f>
        <v>光</v>
      </c>
      <c r="O260">
        <v>8</v>
      </c>
      <c r="P260" t="str">
        <f>INDEX(Define!H:H,MATCH(O260,Define!G:G))</f>
        <v>カインド</v>
      </c>
      <c r="Q260">
        <v>2</v>
      </c>
      <c r="R260" t="str">
        <f>INDEX(Define!K:K,MATCH(Q260,Define!J:J))</f>
        <v>味方</v>
      </c>
      <c r="S260">
        <v>3</v>
      </c>
      <c r="T260" t="str">
        <f>INDEX(Define!N:N,MATCH(S260,Define!M:M))</f>
        <v>全体</v>
      </c>
      <c r="U260">
        <v>2</v>
      </c>
      <c r="V260">
        <v>1</v>
      </c>
      <c r="W260">
        <v>1</v>
      </c>
      <c r="X260">
        <v>0</v>
      </c>
    </row>
    <row r="261" spans="1:24">
      <c r="A261">
        <v>320011</v>
      </c>
      <c r="B261">
        <v>320011</v>
      </c>
      <c r="C261" t="str">
        <f>INDEX(TextData!B:B,MATCH(B261,TextData!A:A))</f>
        <v>訓練所Lv2</v>
      </c>
      <c r="D261">
        <v>6</v>
      </c>
      <c r="E261" t="str">
        <f>INDEX(Define!X:X,MATCH(D261,Define!W:W))</f>
        <v>自己強化</v>
      </c>
      <c r="F261">
        <v>0</v>
      </c>
      <c r="H261">
        <v>1</v>
      </c>
      <c r="I261" t="str">
        <f>INDEX(Define!B:B,MATCH(H261,Define!A:A))</f>
        <v>単体</v>
      </c>
      <c r="J261">
        <v>0</v>
      </c>
      <c r="K261">
        <v>0</v>
      </c>
      <c r="L261">
        <v>0</v>
      </c>
      <c r="M261">
        <v>4</v>
      </c>
      <c r="N261" t="str">
        <f>INDEX(Define!E:E,MATCH(M261,Define!D:D))</f>
        <v>光</v>
      </c>
      <c r="O261">
        <v>8</v>
      </c>
      <c r="P261" t="str">
        <f>INDEX(Define!H:H,MATCH(O261,Define!G:G))</f>
        <v>カインド</v>
      </c>
      <c r="Q261">
        <v>2</v>
      </c>
      <c r="R261" t="str">
        <f>INDEX(Define!K:K,MATCH(Q261,Define!J:J))</f>
        <v>味方</v>
      </c>
      <c r="S261">
        <v>3</v>
      </c>
      <c r="T261" t="str">
        <f>INDEX(Define!N:N,MATCH(S261,Define!M:M))</f>
        <v>全体</v>
      </c>
      <c r="U261">
        <v>2</v>
      </c>
      <c r="V261">
        <v>1</v>
      </c>
      <c r="W261">
        <v>1</v>
      </c>
      <c r="X261">
        <v>0</v>
      </c>
    </row>
    <row r="262" spans="1:24">
      <c r="A262">
        <v>320012</v>
      </c>
      <c r="B262">
        <v>320012</v>
      </c>
      <c r="C262" t="str">
        <f>INDEX(TextData!B:B,MATCH(B262,TextData!A:A))</f>
        <v>訓練所Lv3</v>
      </c>
      <c r="D262">
        <v>6</v>
      </c>
      <c r="E262" t="str">
        <f>INDEX(Define!X:X,MATCH(D262,Define!W:W))</f>
        <v>自己強化</v>
      </c>
      <c r="F262">
        <v>0</v>
      </c>
      <c r="H262">
        <v>1</v>
      </c>
      <c r="I262" t="str">
        <f>INDEX(Define!B:B,MATCH(H262,Define!A:A))</f>
        <v>単体</v>
      </c>
      <c r="J262">
        <v>0</v>
      </c>
      <c r="K262">
        <v>0</v>
      </c>
      <c r="L262">
        <v>0</v>
      </c>
      <c r="M262">
        <v>4</v>
      </c>
      <c r="N262" t="str">
        <f>INDEX(Define!E:E,MATCH(M262,Define!D:D))</f>
        <v>光</v>
      </c>
      <c r="O262">
        <v>8</v>
      </c>
      <c r="P262" t="str">
        <f>INDEX(Define!H:H,MATCH(O262,Define!G:G))</f>
        <v>カインド</v>
      </c>
      <c r="Q262">
        <v>2</v>
      </c>
      <c r="R262" t="str">
        <f>INDEX(Define!K:K,MATCH(Q262,Define!J:J))</f>
        <v>味方</v>
      </c>
      <c r="S262">
        <v>3</v>
      </c>
      <c r="T262" t="str">
        <f>INDEX(Define!N:N,MATCH(S262,Define!M:M))</f>
        <v>全体</v>
      </c>
      <c r="U262">
        <v>2</v>
      </c>
      <c r="V262">
        <v>1</v>
      </c>
      <c r="W262">
        <v>1</v>
      </c>
      <c r="X262">
        <v>0</v>
      </c>
    </row>
    <row r="263" spans="1:24">
      <c r="A263">
        <v>320020</v>
      </c>
      <c r="B263">
        <v>320020</v>
      </c>
      <c r="C263" t="str">
        <f>INDEX(TextData!B:B,MATCH(B263,TextData!A:A))</f>
        <v>研究施設Lv1</v>
      </c>
      <c r="D263">
        <v>6</v>
      </c>
      <c r="E263" t="str">
        <f>INDEX(Define!X:X,MATCH(D263,Define!W:W))</f>
        <v>自己強化</v>
      </c>
      <c r="F263">
        <v>0</v>
      </c>
      <c r="H263">
        <v>1</v>
      </c>
      <c r="I263" t="str">
        <f>INDEX(Define!B:B,MATCH(H263,Define!A:A))</f>
        <v>単体</v>
      </c>
      <c r="J263">
        <v>0</v>
      </c>
      <c r="K263">
        <v>0</v>
      </c>
      <c r="L263">
        <v>0</v>
      </c>
      <c r="M263">
        <v>4</v>
      </c>
      <c r="N263" t="str">
        <f>INDEX(Define!E:E,MATCH(M263,Define!D:D))</f>
        <v>光</v>
      </c>
      <c r="O263">
        <v>8</v>
      </c>
      <c r="P263" t="str">
        <f>INDEX(Define!H:H,MATCH(O263,Define!G:G))</f>
        <v>カインド</v>
      </c>
      <c r="Q263">
        <v>4</v>
      </c>
      <c r="R263" t="str">
        <f>INDEX(Define!K:K,MATCH(Q263,Define!J:J))</f>
        <v>自身</v>
      </c>
      <c r="S263">
        <v>4</v>
      </c>
      <c r="T263" t="str">
        <f>INDEX(Define!N:N,MATCH(S263,Define!M:M))</f>
        <v>自身</v>
      </c>
      <c r="U263">
        <v>1</v>
      </c>
      <c r="V263">
        <v>1</v>
      </c>
      <c r="W263">
        <v>1</v>
      </c>
      <c r="X263">
        <v>0</v>
      </c>
    </row>
    <row r="264" spans="1:24">
      <c r="A264">
        <v>320021</v>
      </c>
      <c r="B264">
        <v>320021</v>
      </c>
      <c r="C264" t="str">
        <f>INDEX(TextData!B:B,MATCH(B264,TextData!A:A))</f>
        <v>研究施設Lv2</v>
      </c>
      <c r="D264">
        <v>6</v>
      </c>
      <c r="E264" t="str">
        <f>INDEX(Define!X:X,MATCH(D264,Define!W:W))</f>
        <v>自己強化</v>
      </c>
      <c r="F264">
        <v>0</v>
      </c>
      <c r="H264">
        <v>1</v>
      </c>
      <c r="I264" t="str">
        <f>INDEX(Define!B:B,MATCH(H264,Define!A:A))</f>
        <v>単体</v>
      </c>
      <c r="J264">
        <v>0</v>
      </c>
      <c r="K264">
        <v>0</v>
      </c>
      <c r="L264">
        <v>0</v>
      </c>
      <c r="M264">
        <v>4</v>
      </c>
      <c r="N264" t="str">
        <f>INDEX(Define!E:E,MATCH(M264,Define!D:D))</f>
        <v>光</v>
      </c>
      <c r="O264">
        <v>8</v>
      </c>
      <c r="P264" t="str">
        <f>INDEX(Define!H:H,MATCH(O264,Define!G:G))</f>
        <v>カインド</v>
      </c>
      <c r="Q264">
        <v>4</v>
      </c>
      <c r="R264" t="str">
        <f>INDEX(Define!K:K,MATCH(Q264,Define!J:J))</f>
        <v>自身</v>
      </c>
      <c r="S264">
        <v>4</v>
      </c>
      <c r="T264" t="str">
        <f>INDEX(Define!N:N,MATCH(S264,Define!M:M))</f>
        <v>自身</v>
      </c>
      <c r="U264">
        <v>1</v>
      </c>
      <c r="V264">
        <v>1</v>
      </c>
      <c r="W264">
        <v>1</v>
      </c>
      <c r="X264">
        <v>0</v>
      </c>
    </row>
    <row r="265" spans="1:24">
      <c r="A265">
        <v>320022</v>
      </c>
      <c r="B265">
        <v>320022</v>
      </c>
      <c r="C265" t="str">
        <f>INDEX(TextData!B:B,MATCH(B265,TextData!A:A))</f>
        <v>研究施設Lv3</v>
      </c>
      <c r="D265">
        <v>6</v>
      </c>
      <c r="E265" t="str">
        <f>INDEX(Define!X:X,MATCH(D265,Define!W:W))</f>
        <v>自己強化</v>
      </c>
      <c r="F265">
        <v>0</v>
      </c>
      <c r="H265">
        <v>1</v>
      </c>
      <c r="I265" t="str">
        <f>INDEX(Define!B:B,MATCH(H265,Define!A:A))</f>
        <v>単体</v>
      </c>
      <c r="J265">
        <v>0</v>
      </c>
      <c r="K265">
        <v>0</v>
      </c>
      <c r="L265">
        <v>0</v>
      </c>
      <c r="M265">
        <v>4</v>
      </c>
      <c r="N265" t="str">
        <f>INDEX(Define!E:E,MATCH(M265,Define!D:D))</f>
        <v>光</v>
      </c>
      <c r="O265">
        <v>8</v>
      </c>
      <c r="P265" t="str">
        <f>INDEX(Define!H:H,MATCH(O265,Define!G:G))</f>
        <v>カインド</v>
      </c>
      <c r="Q265">
        <v>4</v>
      </c>
      <c r="R265" t="str">
        <f>INDEX(Define!K:K,MATCH(Q265,Define!J:J))</f>
        <v>自身</v>
      </c>
      <c r="S265">
        <v>4</v>
      </c>
      <c r="T265" t="str">
        <f>INDEX(Define!N:N,MATCH(S265,Define!M:M))</f>
        <v>自身</v>
      </c>
      <c r="U265">
        <v>1</v>
      </c>
      <c r="V265">
        <v>1</v>
      </c>
      <c r="W265">
        <v>1</v>
      </c>
      <c r="X265">
        <v>0</v>
      </c>
    </row>
    <row r="266" spans="1:24">
      <c r="A266">
        <v>320030</v>
      </c>
      <c r="B266">
        <v>320030</v>
      </c>
      <c r="C266" t="str">
        <f>INDEX(TextData!B:B,MATCH(B266,TextData!A:A))</f>
        <v>資料館Lv1</v>
      </c>
      <c r="D266">
        <v>6</v>
      </c>
      <c r="E266" t="str">
        <f>INDEX(Define!X:X,MATCH(D266,Define!W:W))</f>
        <v>自己強化</v>
      </c>
      <c r="F266">
        <v>0</v>
      </c>
      <c r="H266">
        <v>1</v>
      </c>
      <c r="I266" t="str">
        <f>INDEX(Define!B:B,MATCH(H266,Define!A:A))</f>
        <v>単体</v>
      </c>
      <c r="J266">
        <v>0</v>
      </c>
      <c r="K266">
        <v>0</v>
      </c>
      <c r="L266">
        <v>0</v>
      </c>
      <c r="M266">
        <v>4</v>
      </c>
      <c r="N266" t="str">
        <f>INDEX(Define!E:E,MATCH(M266,Define!D:D))</f>
        <v>光</v>
      </c>
      <c r="O266">
        <v>8</v>
      </c>
      <c r="P266" t="str">
        <f>INDEX(Define!H:H,MATCH(O266,Define!G:G))</f>
        <v>カインド</v>
      </c>
      <c r="Q266">
        <v>2</v>
      </c>
      <c r="R266" t="str">
        <f>INDEX(Define!K:K,MATCH(Q266,Define!J:J))</f>
        <v>味方</v>
      </c>
      <c r="S266">
        <v>3</v>
      </c>
      <c r="T266" t="str">
        <f>INDEX(Define!N:N,MATCH(S266,Define!M:M))</f>
        <v>全体</v>
      </c>
      <c r="U266">
        <v>2</v>
      </c>
      <c r="V266">
        <v>1</v>
      </c>
      <c r="W266">
        <v>1</v>
      </c>
      <c r="X266">
        <v>0</v>
      </c>
    </row>
    <row r="267" spans="1:24">
      <c r="A267">
        <v>320031</v>
      </c>
      <c r="B267">
        <v>320031</v>
      </c>
      <c r="C267" t="str">
        <f>INDEX(TextData!B:B,MATCH(B267,TextData!A:A))</f>
        <v>資料館Lv2</v>
      </c>
      <c r="D267">
        <v>6</v>
      </c>
      <c r="E267" t="str">
        <f>INDEX(Define!X:X,MATCH(D267,Define!W:W))</f>
        <v>自己強化</v>
      </c>
      <c r="F267">
        <v>0</v>
      </c>
      <c r="H267">
        <v>1</v>
      </c>
      <c r="I267" t="str">
        <f>INDEX(Define!B:B,MATCH(H267,Define!A:A))</f>
        <v>単体</v>
      </c>
      <c r="J267">
        <v>0</v>
      </c>
      <c r="K267">
        <v>0</v>
      </c>
      <c r="L267">
        <v>0</v>
      </c>
      <c r="M267">
        <v>4</v>
      </c>
      <c r="N267" t="str">
        <f>INDEX(Define!E:E,MATCH(M267,Define!D:D))</f>
        <v>光</v>
      </c>
      <c r="O267">
        <v>8</v>
      </c>
      <c r="P267" t="str">
        <f>INDEX(Define!H:H,MATCH(O267,Define!G:G))</f>
        <v>カインド</v>
      </c>
      <c r="Q267">
        <v>2</v>
      </c>
      <c r="R267" t="str">
        <f>INDEX(Define!K:K,MATCH(Q267,Define!J:J))</f>
        <v>味方</v>
      </c>
      <c r="S267">
        <v>3</v>
      </c>
      <c r="T267" t="str">
        <f>INDEX(Define!N:N,MATCH(S267,Define!M:M))</f>
        <v>全体</v>
      </c>
      <c r="U267">
        <v>2</v>
      </c>
      <c r="V267">
        <v>1</v>
      </c>
      <c r="W267">
        <v>1</v>
      </c>
      <c r="X267">
        <v>0</v>
      </c>
    </row>
    <row r="268" spans="1:24">
      <c r="A268">
        <v>320032</v>
      </c>
      <c r="B268">
        <v>320032</v>
      </c>
      <c r="C268" t="str">
        <f>INDEX(TextData!B:B,MATCH(B268,TextData!A:A))</f>
        <v>資料館Lv3</v>
      </c>
      <c r="D268">
        <v>6</v>
      </c>
      <c r="E268" t="str">
        <f>INDEX(Define!X:X,MATCH(D268,Define!W:W))</f>
        <v>自己強化</v>
      </c>
      <c r="F268">
        <v>0</v>
      </c>
      <c r="H268">
        <v>1</v>
      </c>
      <c r="I268" t="str">
        <f>INDEX(Define!B:B,MATCH(H268,Define!A:A))</f>
        <v>単体</v>
      </c>
      <c r="J268">
        <v>0</v>
      </c>
      <c r="K268">
        <v>0</v>
      </c>
      <c r="L268">
        <v>0</v>
      </c>
      <c r="M268">
        <v>4</v>
      </c>
      <c r="N268" t="str">
        <f>INDEX(Define!E:E,MATCH(M268,Define!D:D))</f>
        <v>光</v>
      </c>
      <c r="O268">
        <v>8</v>
      </c>
      <c r="P268" t="str">
        <f>INDEX(Define!H:H,MATCH(O268,Define!G:G))</f>
        <v>カインド</v>
      </c>
      <c r="Q268">
        <v>2</v>
      </c>
      <c r="R268" t="str">
        <f>INDEX(Define!K:K,MATCH(Q268,Define!J:J))</f>
        <v>味方</v>
      </c>
      <c r="S268">
        <v>3</v>
      </c>
      <c r="T268" t="str">
        <f>INDEX(Define!N:N,MATCH(S268,Define!M:M))</f>
        <v>全体</v>
      </c>
      <c r="U268">
        <v>2</v>
      </c>
      <c r="V268">
        <v>1</v>
      </c>
      <c r="W268">
        <v>1</v>
      </c>
      <c r="X268">
        <v>0</v>
      </c>
    </row>
    <row r="269" spans="1:24">
      <c r="A269">
        <v>320040</v>
      </c>
      <c r="B269">
        <v>320040</v>
      </c>
      <c r="C269" t="str">
        <f>INDEX(TextData!B:B,MATCH(B269,TextData!A:A))</f>
        <v>潜伏技術Lv1</v>
      </c>
      <c r="D269">
        <v>6</v>
      </c>
      <c r="E269" t="str">
        <f>INDEX(Define!X:X,MATCH(D269,Define!W:W))</f>
        <v>自己強化</v>
      </c>
      <c r="F269">
        <v>0</v>
      </c>
      <c r="H269">
        <v>1</v>
      </c>
      <c r="I269" t="str">
        <f>INDEX(Define!B:B,MATCH(H269,Define!A:A))</f>
        <v>単体</v>
      </c>
      <c r="J269">
        <v>0</v>
      </c>
      <c r="K269">
        <v>0</v>
      </c>
      <c r="L269">
        <v>0</v>
      </c>
      <c r="M269">
        <v>4</v>
      </c>
      <c r="N269" t="str">
        <f>INDEX(Define!E:E,MATCH(M269,Define!D:D))</f>
        <v>光</v>
      </c>
      <c r="O269">
        <v>8</v>
      </c>
      <c r="P269" t="str">
        <f>INDEX(Define!H:H,MATCH(O269,Define!G:G))</f>
        <v>カインド</v>
      </c>
      <c r="Q269">
        <v>2</v>
      </c>
      <c r="R269" t="str">
        <f>INDEX(Define!K:K,MATCH(Q269,Define!J:J))</f>
        <v>味方</v>
      </c>
      <c r="S269">
        <v>3</v>
      </c>
      <c r="T269" t="str">
        <f>INDEX(Define!N:N,MATCH(S269,Define!M:M))</f>
        <v>全体</v>
      </c>
      <c r="U269">
        <v>2</v>
      </c>
      <c r="V269">
        <v>1</v>
      </c>
      <c r="W269">
        <v>1</v>
      </c>
      <c r="X269">
        <v>0</v>
      </c>
    </row>
    <row r="270" spans="1:24">
      <c r="A270">
        <v>321010</v>
      </c>
      <c r="B270">
        <v>321010</v>
      </c>
      <c r="C270" t="str">
        <f>INDEX(TextData!B:B,MATCH(B270,TextData!A:A))</f>
        <v>炎の祭壇</v>
      </c>
      <c r="D270">
        <v>6</v>
      </c>
      <c r="E270" t="str">
        <f>INDEX(Define!X:X,MATCH(D270,Define!W:W))</f>
        <v>自己強化</v>
      </c>
      <c r="F270">
        <v>0</v>
      </c>
      <c r="H270">
        <v>1</v>
      </c>
      <c r="I270" t="str">
        <f>INDEX(Define!B:B,MATCH(H270,Define!A:A))</f>
        <v>単体</v>
      </c>
      <c r="J270">
        <v>0</v>
      </c>
      <c r="K270">
        <v>0</v>
      </c>
      <c r="L270">
        <v>0</v>
      </c>
      <c r="M270">
        <v>4</v>
      </c>
      <c r="N270" t="str">
        <f>INDEX(Define!E:E,MATCH(M270,Define!D:D))</f>
        <v>光</v>
      </c>
      <c r="O270">
        <v>8</v>
      </c>
      <c r="P270" t="str">
        <f>INDEX(Define!H:H,MATCH(O270,Define!G:G))</f>
        <v>カインド</v>
      </c>
      <c r="Q270">
        <v>2</v>
      </c>
      <c r="R270" t="str">
        <f>INDEX(Define!K:K,MATCH(Q270,Define!J:J))</f>
        <v>味方</v>
      </c>
      <c r="S270">
        <v>3</v>
      </c>
      <c r="T270" t="str">
        <f>INDEX(Define!N:N,MATCH(S270,Define!M:M))</f>
        <v>全体</v>
      </c>
      <c r="U270">
        <v>2</v>
      </c>
      <c r="V270">
        <v>1</v>
      </c>
      <c r="W270">
        <v>1</v>
      </c>
      <c r="X270">
        <v>0</v>
      </c>
    </row>
    <row r="271" spans="1:24">
      <c r="A271">
        <v>321020</v>
      </c>
      <c r="B271">
        <v>321020</v>
      </c>
      <c r="C271" t="str">
        <f>INDEX(TextData!B:B,MATCH(B271,TextData!A:A))</f>
        <v>稲妻の祭壇</v>
      </c>
      <c r="D271">
        <v>6</v>
      </c>
      <c r="E271" t="str">
        <f>INDEX(Define!X:X,MATCH(D271,Define!W:W))</f>
        <v>自己強化</v>
      </c>
      <c r="F271">
        <v>0</v>
      </c>
      <c r="H271">
        <v>1</v>
      </c>
      <c r="I271" t="str">
        <f>INDEX(Define!B:B,MATCH(H271,Define!A:A))</f>
        <v>単体</v>
      </c>
      <c r="J271">
        <v>0</v>
      </c>
      <c r="K271">
        <v>0</v>
      </c>
      <c r="L271">
        <v>0</v>
      </c>
      <c r="M271">
        <v>4</v>
      </c>
      <c r="N271" t="str">
        <f>INDEX(Define!E:E,MATCH(M271,Define!D:D))</f>
        <v>光</v>
      </c>
      <c r="O271">
        <v>8</v>
      </c>
      <c r="P271" t="str">
        <f>INDEX(Define!H:H,MATCH(O271,Define!G:G))</f>
        <v>カインド</v>
      </c>
      <c r="Q271">
        <v>2</v>
      </c>
      <c r="R271" t="str">
        <f>INDEX(Define!K:K,MATCH(Q271,Define!J:J))</f>
        <v>味方</v>
      </c>
      <c r="S271">
        <v>3</v>
      </c>
      <c r="T271" t="str">
        <f>INDEX(Define!N:N,MATCH(S271,Define!M:M))</f>
        <v>全体</v>
      </c>
      <c r="U271">
        <v>2</v>
      </c>
      <c r="V271">
        <v>1</v>
      </c>
      <c r="W271">
        <v>1</v>
      </c>
      <c r="X271">
        <v>0</v>
      </c>
    </row>
    <row r="272" spans="1:24">
      <c r="A272">
        <v>321030</v>
      </c>
      <c r="B272">
        <v>321030</v>
      </c>
      <c r="C272" t="str">
        <f>INDEX(TextData!B:B,MATCH(B272,TextData!A:A))</f>
        <v>蒼の祭壇</v>
      </c>
      <c r="D272">
        <v>6</v>
      </c>
      <c r="E272" t="str">
        <f>INDEX(Define!X:X,MATCH(D272,Define!W:W))</f>
        <v>自己強化</v>
      </c>
      <c r="F272">
        <v>0</v>
      </c>
      <c r="H272">
        <v>1</v>
      </c>
      <c r="I272" t="str">
        <f>INDEX(Define!B:B,MATCH(H272,Define!A:A))</f>
        <v>単体</v>
      </c>
      <c r="J272">
        <v>0</v>
      </c>
      <c r="K272">
        <v>0</v>
      </c>
      <c r="L272">
        <v>0</v>
      </c>
      <c r="M272">
        <v>4</v>
      </c>
      <c r="N272" t="str">
        <f>INDEX(Define!E:E,MATCH(M272,Define!D:D))</f>
        <v>光</v>
      </c>
      <c r="O272">
        <v>8</v>
      </c>
      <c r="P272" t="str">
        <f>INDEX(Define!H:H,MATCH(O272,Define!G:G))</f>
        <v>カインド</v>
      </c>
      <c r="Q272">
        <v>2</v>
      </c>
      <c r="R272" t="str">
        <f>INDEX(Define!K:K,MATCH(Q272,Define!J:J))</f>
        <v>味方</v>
      </c>
      <c r="S272">
        <v>3</v>
      </c>
      <c r="T272" t="str">
        <f>INDEX(Define!N:N,MATCH(S272,Define!M:M))</f>
        <v>全体</v>
      </c>
      <c r="U272">
        <v>2</v>
      </c>
      <c r="V272">
        <v>1</v>
      </c>
      <c r="W272">
        <v>1</v>
      </c>
      <c r="X272">
        <v>0</v>
      </c>
    </row>
    <row r="273" spans="1:24">
      <c r="A273">
        <v>321040</v>
      </c>
      <c r="B273">
        <v>321040</v>
      </c>
      <c r="C273" t="str">
        <f>INDEX(TextData!B:B,MATCH(B273,TextData!A:A))</f>
        <v>光の祭壇</v>
      </c>
      <c r="D273">
        <v>6</v>
      </c>
      <c r="E273" t="str">
        <f>INDEX(Define!X:X,MATCH(D273,Define!W:W))</f>
        <v>自己強化</v>
      </c>
      <c r="F273">
        <v>0</v>
      </c>
      <c r="H273">
        <v>1</v>
      </c>
      <c r="I273" t="str">
        <f>INDEX(Define!B:B,MATCH(H273,Define!A:A))</f>
        <v>単体</v>
      </c>
      <c r="J273">
        <v>0</v>
      </c>
      <c r="K273">
        <v>0</v>
      </c>
      <c r="L273">
        <v>0</v>
      </c>
      <c r="M273">
        <v>4</v>
      </c>
      <c r="N273" t="str">
        <f>INDEX(Define!E:E,MATCH(M273,Define!D:D))</f>
        <v>光</v>
      </c>
      <c r="O273">
        <v>8</v>
      </c>
      <c r="P273" t="str">
        <f>INDEX(Define!H:H,MATCH(O273,Define!G:G))</f>
        <v>カインド</v>
      </c>
      <c r="Q273">
        <v>2</v>
      </c>
      <c r="R273" t="str">
        <f>INDEX(Define!K:K,MATCH(Q273,Define!J:J))</f>
        <v>味方</v>
      </c>
      <c r="S273">
        <v>3</v>
      </c>
      <c r="T273" t="str">
        <f>INDEX(Define!N:N,MATCH(S273,Define!M:M))</f>
        <v>全体</v>
      </c>
      <c r="U273">
        <v>2</v>
      </c>
      <c r="V273">
        <v>1</v>
      </c>
      <c r="W273">
        <v>1</v>
      </c>
      <c r="X273">
        <v>0</v>
      </c>
    </row>
    <row r="274" spans="1:24">
      <c r="A274">
        <v>321050</v>
      </c>
      <c r="B274">
        <v>321050</v>
      </c>
      <c r="C274" t="str">
        <f>INDEX(TextData!B:B,MATCH(B274,TextData!A:A))</f>
        <v>月の祭壇</v>
      </c>
      <c r="D274">
        <v>6</v>
      </c>
      <c r="E274" t="str">
        <f>INDEX(Define!X:X,MATCH(D274,Define!W:W))</f>
        <v>自己強化</v>
      </c>
      <c r="F274">
        <v>0</v>
      </c>
      <c r="H274">
        <v>1</v>
      </c>
      <c r="I274" t="str">
        <f>INDEX(Define!B:B,MATCH(H274,Define!A:A))</f>
        <v>単体</v>
      </c>
      <c r="J274">
        <v>0</v>
      </c>
      <c r="K274">
        <v>0</v>
      </c>
      <c r="L274">
        <v>0</v>
      </c>
      <c r="M274">
        <v>4</v>
      </c>
      <c r="N274" t="str">
        <f>INDEX(Define!E:E,MATCH(M274,Define!D:D))</f>
        <v>光</v>
      </c>
      <c r="O274">
        <v>8</v>
      </c>
      <c r="P274" t="str">
        <f>INDEX(Define!H:H,MATCH(O274,Define!G:G))</f>
        <v>カインド</v>
      </c>
      <c r="Q274">
        <v>2</v>
      </c>
      <c r="R274" t="str">
        <f>INDEX(Define!K:K,MATCH(Q274,Define!J:J))</f>
        <v>味方</v>
      </c>
      <c r="S274">
        <v>3</v>
      </c>
      <c r="T274" t="str">
        <f>INDEX(Define!N:N,MATCH(S274,Define!M:M))</f>
        <v>全体</v>
      </c>
      <c r="U274">
        <v>2</v>
      </c>
      <c r="V274">
        <v>1</v>
      </c>
      <c r="W274">
        <v>1</v>
      </c>
      <c r="X274">
        <v>0</v>
      </c>
    </row>
    <row r="275" spans="1:24">
      <c r="A275">
        <v>322010</v>
      </c>
      <c r="B275">
        <v>322010</v>
      </c>
      <c r="C275" t="str">
        <f>INDEX(TextData!B:B,MATCH(B275,TextData!A:A))</f>
        <v>食糧庫Lv1</v>
      </c>
      <c r="D275">
        <v>6</v>
      </c>
      <c r="E275" t="str">
        <f>INDEX(Define!X:X,MATCH(D275,Define!W:W))</f>
        <v>自己強化</v>
      </c>
      <c r="F275">
        <v>0</v>
      </c>
      <c r="H275">
        <v>1</v>
      </c>
      <c r="I275" t="str">
        <f>INDEX(Define!B:B,MATCH(H275,Define!A:A))</f>
        <v>単体</v>
      </c>
      <c r="J275">
        <v>0</v>
      </c>
      <c r="K275">
        <v>0</v>
      </c>
      <c r="L275">
        <v>0</v>
      </c>
      <c r="M275">
        <v>4</v>
      </c>
      <c r="N275" t="str">
        <f>INDEX(Define!E:E,MATCH(M275,Define!D:D))</f>
        <v>光</v>
      </c>
      <c r="O275">
        <v>8</v>
      </c>
      <c r="P275" t="str">
        <f>INDEX(Define!H:H,MATCH(O275,Define!G:G))</f>
        <v>カインド</v>
      </c>
      <c r="Q275">
        <v>2</v>
      </c>
      <c r="R275" t="str">
        <f>INDEX(Define!K:K,MATCH(Q275,Define!J:J))</f>
        <v>味方</v>
      </c>
      <c r="S275">
        <v>3</v>
      </c>
      <c r="T275" t="str">
        <f>INDEX(Define!N:N,MATCH(S275,Define!M:M))</f>
        <v>全体</v>
      </c>
      <c r="U275">
        <v>2</v>
      </c>
      <c r="V275">
        <v>1</v>
      </c>
      <c r="W275">
        <v>1</v>
      </c>
      <c r="X275">
        <v>0</v>
      </c>
    </row>
    <row r="276" spans="1:24">
      <c r="A276">
        <v>322020</v>
      </c>
      <c r="B276">
        <v>322020</v>
      </c>
      <c r="C276" t="str">
        <f>INDEX(TextData!B:B,MATCH(B276,TextData!A:A))</f>
        <v>攻撃技術Lv1</v>
      </c>
      <c r="D276">
        <v>6</v>
      </c>
      <c r="E276" t="str">
        <f>INDEX(Define!X:X,MATCH(D276,Define!W:W))</f>
        <v>自己強化</v>
      </c>
      <c r="F276">
        <v>0</v>
      </c>
      <c r="H276">
        <v>1</v>
      </c>
      <c r="I276" t="str">
        <f>INDEX(Define!B:B,MATCH(H276,Define!A:A))</f>
        <v>単体</v>
      </c>
      <c r="J276">
        <v>0</v>
      </c>
      <c r="K276">
        <v>0</v>
      </c>
      <c r="L276">
        <v>0</v>
      </c>
      <c r="M276">
        <v>4</v>
      </c>
      <c r="N276" t="str">
        <f>INDEX(Define!E:E,MATCH(M276,Define!D:D))</f>
        <v>光</v>
      </c>
      <c r="O276">
        <v>8</v>
      </c>
      <c r="P276" t="str">
        <f>INDEX(Define!H:H,MATCH(O276,Define!G:G))</f>
        <v>カインド</v>
      </c>
      <c r="Q276">
        <v>2</v>
      </c>
      <c r="R276" t="str">
        <f>INDEX(Define!K:K,MATCH(Q276,Define!J:J))</f>
        <v>味方</v>
      </c>
      <c r="S276">
        <v>3</v>
      </c>
      <c r="T276" t="str">
        <f>INDEX(Define!N:N,MATCH(S276,Define!M:M))</f>
        <v>全体</v>
      </c>
      <c r="U276">
        <v>2</v>
      </c>
      <c r="V276">
        <v>1</v>
      </c>
      <c r="W276">
        <v>1</v>
      </c>
      <c r="X276">
        <v>0</v>
      </c>
    </row>
    <row r="277" spans="1:24">
      <c r="A277">
        <v>322030</v>
      </c>
      <c r="B277">
        <v>322030</v>
      </c>
      <c r="C277" t="str">
        <f>INDEX(TextData!B:B,MATCH(B277,TextData!A:A))</f>
        <v>防御技術Lv1</v>
      </c>
      <c r="D277">
        <v>6</v>
      </c>
      <c r="E277" t="str">
        <f>INDEX(Define!X:X,MATCH(D277,Define!W:W))</f>
        <v>自己強化</v>
      </c>
      <c r="F277">
        <v>0</v>
      </c>
      <c r="H277">
        <v>1</v>
      </c>
      <c r="I277" t="str">
        <f>INDEX(Define!B:B,MATCH(H277,Define!A:A))</f>
        <v>単体</v>
      </c>
      <c r="J277">
        <v>0</v>
      </c>
      <c r="K277">
        <v>0</v>
      </c>
      <c r="L277">
        <v>0</v>
      </c>
      <c r="M277">
        <v>4</v>
      </c>
      <c r="N277" t="str">
        <f>INDEX(Define!E:E,MATCH(M277,Define!D:D))</f>
        <v>光</v>
      </c>
      <c r="O277">
        <v>8</v>
      </c>
      <c r="P277" t="str">
        <f>INDEX(Define!H:H,MATCH(O277,Define!G:G))</f>
        <v>カインド</v>
      </c>
      <c r="Q277">
        <v>2</v>
      </c>
      <c r="R277" t="str">
        <f>INDEX(Define!K:K,MATCH(Q277,Define!J:J))</f>
        <v>味方</v>
      </c>
      <c r="S277">
        <v>3</v>
      </c>
      <c r="T277" t="str">
        <f>INDEX(Define!N:N,MATCH(S277,Define!M:M))</f>
        <v>全体</v>
      </c>
      <c r="U277">
        <v>2</v>
      </c>
      <c r="V277">
        <v>1</v>
      </c>
      <c r="W277">
        <v>1</v>
      </c>
      <c r="X277">
        <v>0</v>
      </c>
    </row>
    <row r="278" spans="1:24">
      <c r="A278">
        <v>322040</v>
      </c>
      <c r="B278">
        <v>322040</v>
      </c>
      <c r="C278" t="str">
        <f>INDEX(TextData!B:B,MATCH(B278,TextData!A:A))</f>
        <v>詠唱技術Lv1</v>
      </c>
      <c r="D278">
        <v>6</v>
      </c>
      <c r="E278" t="str">
        <f>INDEX(Define!X:X,MATCH(D278,Define!W:W))</f>
        <v>自己強化</v>
      </c>
      <c r="F278">
        <v>0</v>
      </c>
      <c r="H278">
        <v>1</v>
      </c>
      <c r="I278" t="str">
        <f>INDEX(Define!B:B,MATCH(H278,Define!A:A))</f>
        <v>単体</v>
      </c>
      <c r="J278">
        <v>0</v>
      </c>
      <c r="K278">
        <v>0</v>
      </c>
      <c r="L278">
        <v>0</v>
      </c>
      <c r="M278">
        <v>4</v>
      </c>
      <c r="N278" t="str">
        <f>INDEX(Define!E:E,MATCH(M278,Define!D:D))</f>
        <v>光</v>
      </c>
      <c r="O278">
        <v>8</v>
      </c>
      <c r="P278" t="str">
        <f>INDEX(Define!H:H,MATCH(O278,Define!G:G))</f>
        <v>カインド</v>
      </c>
      <c r="Q278">
        <v>2</v>
      </c>
      <c r="R278" t="str">
        <f>INDEX(Define!K:K,MATCH(Q278,Define!J:J))</f>
        <v>味方</v>
      </c>
      <c r="S278">
        <v>3</v>
      </c>
      <c r="T278" t="str">
        <f>INDEX(Define!N:N,MATCH(S278,Define!M:M))</f>
        <v>全体</v>
      </c>
      <c r="U278">
        <v>2</v>
      </c>
      <c r="V278">
        <v>1</v>
      </c>
      <c r="W278">
        <v>1</v>
      </c>
      <c r="X278">
        <v>0</v>
      </c>
    </row>
    <row r="279" spans="1:24">
      <c r="A279">
        <v>401010</v>
      </c>
      <c r="B279">
        <v>401010</v>
      </c>
      <c r="C279" t="str">
        <f>INDEX(TextData!B:B,MATCH(B279,TextData!A:A))</f>
        <v>ファイアボール+</v>
      </c>
      <c r="D279">
        <v>1</v>
      </c>
      <c r="E279" t="str">
        <f>INDEX(Define!X:X,MATCH(D279,Define!W:W))</f>
        <v>元素</v>
      </c>
      <c r="F279">
        <v>101</v>
      </c>
      <c r="G279" t="str">
        <f>INDEX([1]Animations!B:B,MATCH(F279,[1]Animations!A:A))</f>
        <v>MakerEffect/FireOne1</v>
      </c>
      <c r="H279">
        <v>1</v>
      </c>
      <c r="I279" t="str">
        <f>INDEX(Define!B:B,MATCH(H279,Define!A:A))</f>
        <v>単体</v>
      </c>
      <c r="J279">
        <v>0</v>
      </c>
      <c r="K279">
        <v>0</v>
      </c>
      <c r="L279">
        <v>0</v>
      </c>
      <c r="M279">
        <v>1</v>
      </c>
      <c r="N279" t="str">
        <f>INDEX(Define!E:E,MATCH(M279,Define!D:D))</f>
        <v>炎</v>
      </c>
      <c r="O279">
        <v>6</v>
      </c>
      <c r="P279" t="str">
        <f>INDEX(Define!H:H,MATCH(O279,Define!G:G))</f>
        <v>強化</v>
      </c>
      <c r="Q279">
        <v>4</v>
      </c>
      <c r="R279" t="str">
        <f>INDEX(Define!K:K,MATCH(Q279,Define!J:J))</f>
        <v>自身</v>
      </c>
      <c r="S279">
        <v>4</v>
      </c>
      <c r="T279" t="str">
        <f>INDEX(Define!N:N,MATCH(S279,Define!M:M))</f>
        <v>自身</v>
      </c>
      <c r="U279">
        <v>1</v>
      </c>
      <c r="V279">
        <v>1</v>
      </c>
      <c r="W279">
        <v>1</v>
      </c>
      <c r="X279">
        <v>0</v>
      </c>
    </row>
    <row r="280" spans="1:24">
      <c r="A280">
        <v>401020</v>
      </c>
      <c r="B280">
        <v>401020</v>
      </c>
      <c r="C280" t="str">
        <f>INDEX(TextData!B:B,MATCH(B280,TextData!A:A))</f>
        <v>バーンストーム+</v>
      </c>
      <c r="D280">
        <v>1</v>
      </c>
      <c r="E280" t="str">
        <f>INDEX(Define!X:X,MATCH(D280,Define!W:W))</f>
        <v>元素</v>
      </c>
      <c r="F280">
        <v>101</v>
      </c>
      <c r="G280" t="str">
        <f>INDEX([1]Animations!B:B,MATCH(F280,[1]Animations!A:A))</f>
        <v>MakerEffect/FireOne1</v>
      </c>
      <c r="H280">
        <v>2</v>
      </c>
      <c r="I280" t="str">
        <f>INDEX(Define!B:B,MATCH(H280,Define!A:A))</f>
        <v>列</v>
      </c>
      <c r="J280">
        <v>0</v>
      </c>
      <c r="K280">
        <v>0</v>
      </c>
      <c r="L280">
        <v>0</v>
      </c>
      <c r="M280">
        <v>1</v>
      </c>
      <c r="N280" t="str">
        <f>INDEX(Define!E:E,MATCH(M280,Define!D:D))</f>
        <v>炎</v>
      </c>
      <c r="O280">
        <v>6</v>
      </c>
      <c r="P280" t="str">
        <f>INDEX(Define!H:H,MATCH(O280,Define!G:G))</f>
        <v>強化</v>
      </c>
      <c r="Q280">
        <v>4</v>
      </c>
      <c r="R280" t="str">
        <f>INDEX(Define!K:K,MATCH(Q280,Define!J:J))</f>
        <v>自身</v>
      </c>
      <c r="S280">
        <v>4</v>
      </c>
      <c r="T280" t="str">
        <f>INDEX(Define!N:N,MATCH(S280,Define!M:M))</f>
        <v>自身</v>
      </c>
      <c r="U280">
        <v>1</v>
      </c>
      <c r="V280">
        <v>1</v>
      </c>
      <c r="W280">
        <v>1</v>
      </c>
      <c r="X280">
        <v>0</v>
      </c>
    </row>
    <row r="281" spans="1:24">
      <c r="A281">
        <v>401030</v>
      </c>
      <c r="B281">
        <v>401030</v>
      </c>
      <c r="C281" t="str">
        <f>INDEX(TextData!B:B,MATCH(B281,TextData!A:A))</f>
        <v>ヒートスタンプ+</v>
      </c>
      <c r="D281">
        <v>2</v>
      </c>
      <c r="E281" t="str">
        <f>INDEX(Define!X:X,MATCH(D281,Define!W:W))</f>
        <v>光</v>
      </c>
      <c r="F281">
        <v>21</v>
      </c>
      <c r="G281" t="str">
        <f>INDEX([1]Animations!B:B,MATCH(F281,[1]Animations!A:A))</f>
        <v>tktk01/Magic2</v>
      </c>
      <c r="H281">
        <v>1</v>
      </c>
      <c r="I281" t="str">
        <f>INDEX(Define!B:B,MATCH(H281,Define!A:A))</f>
        <v>単体</v>
      </c>
      <c r="J281">
        <v>0</v>
      </c>
      <c r="K281">
        <v>0</v>
      </c>
      <c r="L281">
        <v>0</v>
      </c>
      <c r="M281">
        <v>1</v>
      </c>
      <c r="N281" t="str">
        <f>INDEX(Define!E:E,MATCH(M281,Define!D:D))</f>
        <v>炎</v>
      </c>
      <c r="O281">
        <v>6</v>
      </c>
      <c r="P281" t="str">
        <f>INDEX(Define!H:H,MATCH(O281,Define!G:G))</f>
        <v>強化</v>
      </c>
      <c r="Q281">
        <v>4</v>
      </c>
      <c r="R281" t="str">
        <f>INDEX(Define!K:K,MATCH(Q281,Define!J:J))</f>
        <v>自身</v>
      </c>
      <c r="S281">
        <v>4</v>
      </c>
      <c r="T281" t="str">
        <f>INDEX(Define!N:N,MATCH(S281,Define!M:M))</f>
        <v>自身</v>
      </c>
      <c r="U281">
        <v>1</v>
      </c>
      <c r="V281">
        <v>1</v>
      </c>
      <c r="W281">
        <v>1</v>
      </c>
      <c r="X281">
        <v>0</v>
      </c>
    </row>
    <row r="282" spans="1:24">
      <c r="A282">
        <v>401040</v>
      </c>
      <c r="B282">
        <v>401040</v>
      </c>
      <c r="C282" t="str">
        <f>INDEX(TextData!B:B,MATCH(B282,TextData!A:A))</f>
        <v>ソードアダプト+</v>
      </c>
      <c r="D282">
        <v>4</v>
      </c>
      <c r="E282" t="str">
        <f>INDEX(Define!X:X,MATCH(D282,Define!W:W))</f>
        <v>精神</v>
      </c>
      <c r="F282">
        <v>51</v>
      </c>
      <c r="G282" t="str">
        <f>INDEX([1]Animations!B:B,MATCH(F282,[1]Animations!A:A))</f>
        <v>NA_Effekseer/NA_aura_001</v>
      </c>
      <c r="H282">
        <v>1</v>
      </c>
      <c r="I282" t="str">
        <f>INDEX(Define!B:B,MATCH(H282,Define!A:A))</f>
        <v>単体</v>
      </c>
      <c r="J282">
        <v>0</v>
      </c>
      <c r="K282">
        <v>0</v>
      </c>
      <c r="L282">
        <v>0</v>
      </c>
      <c r="M282">
        <v>1</v>
      </c>
      <c r="N282" t="str">
        <f>INDEX(Define!E:E,MATCH(M282,Define!D:D))</f>
        <v>炎</v>
      </c>
      <c r="O282">
        <v>6</v>
      </c>
      <c r="P282" t="str">
        <f>INDEX(Define!H:H,MATCH(O282,Define!G:G))</f>
        <v>強化</v>
      </c>
      <c r="Q282">
        <v>4</v>
      </c>
      <c r="R282" t="str">
        <f>INDEX(Define!K:K,MATCH(Q282,Define!J:J))</f>
        <v>自身</v>
      </c>
      <c r="S282">
        <v>4</v>
      </c>
      <c r="T282" t="str">
        <f>INDEX(Define!N:N,MATCH(S282,Define!M:M))</f>
        <v>自身</v>
      </c>
      <c r="U282">
        <v>1</v>
      </c>
      <c r="V282">
        <v>1</v>
      </c>
      <c r="W282">
        <v>1</v>
      </c>
      <c r="X282">
        <v>0</v>
      </c>
    </row>
    <row r="283" ht="12" customHeight="1" spans="1:24">
      <c r="A283">
        <v>401050</v>
      </c>
      <c r="B283">
        <v>401050</v>
      </c>
      <c r="C283" t="str">
        <f>INDEX(TextData!B:B,MATCH(B283,TextData!A:A))</f>
        <v>フレイムレイン+</v>
      </c>
      <c r="D283">
        <v>1</v>
      </c>
      <c r="E283" t="str">
        <f>INDEX(Define!X:X,MATCH(D283,Define!W:W))</f>
        <v>元素</v>
      </c>
      <c r="F283">
        <v>101</v>
      </c>
      <c r="G283" t="str">
        <f>INDEX([1]Animations!B:B,MATCH(F283,[1]Animations!A:A))</f>
        <v>MakerEffect/FireOne1</v>
      </c>
      <c r="H283">
        <v>1</v>
      </c>
      <c r="I283" t="str">
        <f>INDEX(Define!B:B,MATCH(H283,Define!A:A))</f>
        <v>単体</v>
      </c>
      <c r="J283">
        <v>0</v>
      </c>
      <c r="K283">
        <v>0</v>
      </c>
      <c r="L283">
        <v>0</v>
      </c>
      <c r="M283">
        <v>1</v>
      </c>
      <c r="N283" t="str">
        <f>INDEX(Define!E:E,MATCH(M283,Define!D:D))</f>
        <v>炎</v>
      </c>
      <c r="O283">
        <v>6</v>
      </c>
      <c r="P283" t="str">
        <f>INDEX(Define!H:H,MATCH(O283,Define!G:G))</f>
        <v>強化</v>
      </c>
      <c r="Q283">
        <v>4</v>
      </c>
      <c r="R283" t="str">
        <f>INDEX(Define!K:K,MATCH(Q283,Define!J:J))</f>
        <v>自身</v>
      </c>
      <c r="S283">
        <v>4</v>
      </c>
      <c r="T283" t="str">
        <f>INDEX(Define!N:N,MATCH(S283,Define!M:M))</f>
        <v>自身</v>
      </c>
      <c r="U283">
        <v>1</v>
      </c>
      <c r="V283">
        <v>1</v>
      </c>
      <c r="W283">
        <v>1</v>
      </c>
      <c r="X283">
        <v>0</v>
      </c>
    </row>
    <row r="284" ht="12" customHeight="1" spans="1:24">
      <c r="A284">
        <v>401060</v>
      </c>
      <c r="B284">
        <v>401060</v>
      </c>
      <c r="C284" t="str">
        <f>INDEX(TextData!B:B,MATCH(B284,TextData!A:A))</f>
        <v>イクスティンクション+</v>
      </c>
      <c r="D284">
        <v>1</v>
      </c>
      <c r="E284" t="str">
        <f>INDEX(Define!X:X,MATCH(D284,Define!W:W))</f>
        <v>元素</v>
      </c>
      <c r="F284">
        <v>101</v>
      </c>
      <c r="G284" t="str">
        <f>INDEX([1]Animations!B:B,MATCH(F284,[1]Animations!A:A))</f>
        <v>MakerEffect/FireOne1</v>
      </c>
      <c r="H284">
        <v>1</v>
      </c>
      <c r="I284" t="str">
        <f>INDEX(Define!B:B,MATCH(H284,Define!A:A))</f>
        <v>単体</v>
      </c>
      <c r="J284">
        <v>0</v>
      </c>
      <c r="K284">
        <v>0</v>
      </c>
      <c r="L284">
        <v>0</v>
      </c>
      <c r="M284">
        <v>1</v>
      </c>
      <c r="N284" t="str">
        <f>INDEX(Define!E:E,MATCH(M284,Define!D:D))</f>
        <v>炎</v>
      </c>
      <c r="O284">
        <v>6</v>
      </c>
      <c r="P284" t="str">
        <f>INDEX(Define!H:H,MATCH(O284,Define!G:G))</f>
        <v>強化</v>
      </c>
      <c r="Q284">
        <v>4</v>
      </c>
      <c r="R284" t="str">
        <f>INDEX(Define!K:K,MATCH(Q284,Define!J:J))</f>
        <v>自身</v>
      </c>
      <c r="S284">
        <v>4</v>
      </c>
      <c r="T284" t="str">
        <f>INDEX(Define!N:N,MATCH(S284,Define!M:M))</f>
        <v>自身</v>
      </c>
      <c r="U284">
        <v>1</v>
      </c>
      <c r="V284">
        <v>1</v>
      </c>
      <c r="W284">
        <v>1</v>
      </c>
      <c r="X284">
        <v>0</v>
      </c>
    </row>
    <row r="285" ht="12" customHeight="1" spans="1:24">
      <c r="A285">
        <v>401070</v>
      </c>
      <c r="B285">
        <v>401070</v>
      </c>
      <c r="C285" t="str">
        <f>INDEX(TextData!B:B,MATCH(B285,TextData!A:A))</f>
        <v>バーニングソウル+</v>
      </c>
      <c r="D285">
        <v>2</v>
      </c>
      <c r="E285" t="str">
        <f>INDEX(Define!X:X,MATCH(D285,Define!W:W))</f>
        <v>光</v>
      </c>
      <c r="F285">
        <v>101</v>
      </c>
      <c r="G285" t="str">
        <f>INDEX([1]Animations!B:B,MATCH(F285,[1]Animations!A:A))</f>
        <v>MakerEffect/FireOne1</v>
      </c>
      <c r="H285">
        <v>1</v>
      </c>
      <c r="I285" t="str">
        <f>INDEX(Define!B:B,MATCH(H285,Define!A:A))</f>
        <v>単体</v>
      </c>
      <c r="J285">
        <v>0</v>
      </c>
      <c r="K285">
        <v>0</v>
      </c>
      <c r="L285">
        <v>0</v>
      </c>
      <c r="M285">
        <v>1</v>
      </c>
      <c r="N285" t="str">
        <f>INDEX(Define!E:E,MATCH(M285,Define!D:D))</f>
        <v>炎</v>
      </c>
      <c r="O285">
        <v>6</v>
      </c>
      <c r="P285" t="str">
        <f>INDEX(Define!H:H,MATCH(O285,Define!G:G))</f>
        <v>強化</v>
      </c>
      <c r="Q285">
        <v>4</v>
      </c>
      <c r="R285" t="str">
        <f>INDEX(Define!K:K,MATCH(Q285,Define!J:J))</f>
        <v>自身</v>
      </c>
      <c r="S285">
        <v>4</v>
      </c>
      <c r="T285" t="str">
        <f>INDEX(Define!N:N,MATCH(S285,Define!M:M))</f>
        <v>自身</v>
      </c>
      <c r="U285">
        <v>1</v>
      </c>
      <c r="V285">
        <v>1</v>
      </c>
      <c r="W285">
        <v>1</v>
      </c>
      <c r="X285">
        <v>0</v>
      </c>
    </row>
    <row r="286" ht="12" customHeight="1" spans="1:24">
      <c r="A286">
        <v>401080</v>
      </c>
      <c r="B286">
        <v>401080</v>
      </c>
      <c r="C286" t="str">
        <f>INDEX(TextData!B:B,MATCH(B286,TextData!A:A))</f>
        <v>レイジングバウンサー+</v>
      </c>
      <c r="D286">
        <v>1</v>
      </c>
      <c r="E286" t="str">
        <f>INDEX(Define!X:X,MATCH(D286,Define!W:W))</f>
        <v>元素</v>
      </c>
      <c r="F286">
        <v>51</v>
      </c>
      <c r="G286" t="str">
        <f>INDEX([1]Animations!B:B,MATCH(F286,[1]Animations!A:A))</f>
        <v>NA_Effekseer/NA_aura_001</v>
      </c>
      <c r="H286">
        <v>1</v>
      </c>
      <c r="I286" t="str">
        <f>INDEX(Define!B:B,MATCH(H286,Define!A:A))</f>
        <v>単体</v>
      </c>
      <c r="J286">
        <v>0</v>
      </c>
      <c r="K286">
        <v>0</v>
      </c>
      <c r="L286">
        <v>0</v>
      </c>
      <c r="M286">
        <v>1</v>
      </c>
      <c r="N286" t="str">
        <f>INDEX(Define!E:E,MATCH(M286,Define!D:D))</f>
        <v>炎</v>
      </c>
      <c r="O286">
        <v>6</v>
      </c>
      <c r="P286" t="str">
        <f>INDEX(Define!H:H,MATCH(O286,Define!G:G))</f>
        <v>強化</v>
      </c>
      <c r="Q286">
        <v>4</v>
      </c>
      <c r="R286" t="str">
        <f>INDEX(Define!K:K,MATCH(Q286,Define!J:J))</f>
        <v>自身</v>
      </c>
      <c r="S286">
        <v>4</v>
      </c>
      <c r="T286" t="str">
        <f>INDEX(Define!N:N,MATCH(S286,Define!M:M))</f>
        <v>自身</v>
      </c>
      <c r="U286">
        <v>1</v>
      </c>
      <c r="V286">
        <v>1</v>
      </c>
      <c r="W286">
        <v>1</v>
      </c>
      <c r="X286">
        <v>0</v>
      </c>
    </row>
    <row r="287" spans="1:24">
      <c r="A287">
        <v>402010</v>
      </c>
      <c r="B287">
        <v>402010</v>
      </c>
      <c r="C287" t="str">
        <f>INDEX(TextData!B:B,MATCH(B287,TextData!A:A))</f>
        <v>ディスチャージ+</v>
      </c>
      <c r="D287">
        <v>1</v>
      </c>
      <c r="E287" t="str">
        <f>INDEX(Define!X:X,MATCH(D287,Define!W:W))</f>
        <v>元素</v>
      </c>
      <c r="F287">
        <v>201</v>
      </c>
      <c r="G287" t="str">
        <f>INDEX([1]Animations!B:B,MATCH(F287,[1]Animations!A:A))</f>
        <v>MakerEffect/ThunderOne1</v>
      </c>
      <c r="H287">
        <v>1</v>
      </c>
      <c r="I287" t="str">
        <f>INDEX(Define!B:B,MATCH(H287,Define!A:A))</f>
        <v>単体</v>
      </c>
      <c r="J287">
        <v>0</v>
      </c>
      <c r="K287">
        <v>0</v>
      </c>
      <c r="L287">
        <v>0</v>
      </c>
      <c r="M287">
        <v>2</v>
      </c>
      <c r="N287" t="str">
        <f>INDEX(Define!E:E,MATCH(M287,Define!D:D))</f>
        <v>雷</v>
      </c>
      <c r="O287">
        <v>6</v>
      </c>
      <c r="P287" t="str">
        <f>INDEX(Define!H:H,MATCH(O287,Define!G:G))</f>
        <v>強化</v>
      </c>
      <c r="Q287">
        <v>4</v>
      </c>
      <c r="R287" t="str">
        <f>INDEX(Define!K:K,MATCH(Q287,Define!J:J))</f>
        <v>自身</v>
      </c>
      <c r="S287">
        <v>4</v>
      </c>
      <c r="T287" t="str">
        <f>INDEX(Define!N:N,MATCH(S287,Define!M:M))</f>
        <v>自身</v>
      </c>
      <c r="U287">
        <v>1</v>
      </c>
      <c r="V287">
        <v>1</v>
      </c>
      <c r="W287">
        <v>1</v>
      </c>
      <c r="X287">
        <v>0</v>
      </c>
    </row>
    <row r="288" spans="1:24">
      <c r="A288">
        <v>402020</v>
      </c>
      <c r="B288">
        <v>402020</v>
      </c>
      <c r="C288" t="str">
        <f>INDEX(TextData!B:B,MATCH(B288,TextData!A:A))</f>
        <v>イベイドコード+</v>
      </c>
      <c r="D288">
        <v>4</v>
      </c>
      <c r="E288" t="str">
        <f>INDEX(Define!X:X,MATCH(D288,Define!W:W))</f>
        <v>精神</v>
      </c>
      <c r="F288">
        <v>51</v>
      </c>
      <c r="G288" t="str">
        <f>INDEX([1]Animations!B:B,MATCH(F288,[1]Animations!A:A))</f>
        <v>NA_Effekseer/NA_aura_001</v>
      </c>
      <c r="H288">
        <v>1</v>
      </c>
      <c r="I288" t="str">
        <f>INDEX(Define!B:B,MATCH(H288,Define!A:A))</f>
        <v>単体</v>
      </c>
      <c r="J288">
        <v>0</v>
      </c>
      <c r="K288">
        <v>0</v>
      </c>
      <c r="L288">
        <v>0</v>
      </c>
      <c r="M288">
        <v>2</v>
      </c>
      <c r="N288" t="str">
        <f>INDEX(Define!E:E,MATCH(M288,Define!D:D))</f>
        <v>雷</v>
      </c>
      <c r="O288">
        <v>6</v>
      </c>
      <c r="P288" t="str">
        <f>INDEX(Define!H:H,MATCH(O288,Define!G:G))</f>
        <v>強化</v>
      </c>
      <c r="Q288">
        <v>4</v>
      </c>
      <c r="R288" t="str">
        <f>INDEX(Define!K:K,MATCH(Q288,Define!J:J))</f>
        <v>自身</v>
      </c>
      <c r="S288">
        <v>4</v>
      </c>
      <c r="T288" t="str">
        <f>INDEX(Define!N:N,MATCH(S288,Define!M:M))</f>
        <v>自身</v>
      </c>
      <c r="U288">
        <v>1</v>
      </c>
      <c r="V288">
        <v>1</v>
      </c>
      <c r="W288">
        <v>1</v>
      </c>
      <c r="X288">
        <v>0</v>
      </c>
    </row>
    <row r="289" spans="1:24">
      <c r="A289">
        <v>402030</v>
      </c>
      <c r="B289">
        <v>402030</v>
      </c>
      <c r="C289" t="str">
        <f>INDEX(TextData!B:B,MATCH(B289,TextData!A:A))</f>
        <v>ショックインパルス+</v>
      </c>
      <c r="D289">
        <v>3</v>
      </c>
      <c r="E289" t="str">
        <f>INDEX(Define!X:X,MATCH(D289,Define!W:W))</f>
        <v>理術</v>
      </c>
      <c r="F289">
        <v>201</v>
      </c>
      <c r="G289" t="str">
        <f>INDEX([1]Animations!B:B,MATCH(F289,[1]Animations!A:A))</f>
        <v>MakerEffect/ThunderOne1</v>
      </c>
      <c r="H289">
        <v>1</v>
      </c>
      <c r="I289" t="str">
        <f>INDEX(Define!B:B,MATCH(H289,Define!A:A))</f>
        <v>単体</v>
      </c>
      <c r="J289">
        <v>0</v>
      </c>
      <c r="K289">
        <v>0</v>
      </c>
      <c r="L289">
        <v>0</v>
      </c>
      <c r="M289">
        <v>2</v>
      </c>
      <c r="N289" t="str">
        <f>INDEX(Define!E:E,MATCH(M289,Define!D:D))</f>
        <v>雷</v>
      </c>
      <c r="O289">
        <v>6</v>
      </c>
      <c r="P289" t="str">
        <f>INDEX(Define!H:H,MATCH(O289,Define!G:G))</f>
        <v>強化</v>
      </c>
      <c r="Q289">
        <v>4</v>
      </c>
      <c r="R289" t="str">
        <f>INDEX(Define!K:K,MATCH(Q289,Define!J:J))</f>
        <v>自身</v>
      </c>
      <c r="S289">
        <v>4</v>
      </c>
      <c r="T289" t="str">
        <f>INDEX(Define!N:N,MATCH(S289,Define!M:M))</f>
        <v>自身</v>
      </c>
      <c r="U289">
        <v>1</v>
      </c>
      <c r="V289">
        <v>1</v>
      </c>
      <c r="W289">
        <v>1</v>
      </c>
      <c r="X289">
        <v>0</v>
      </c>
    </row>
    <row r="290" spans="1:24">
      <c r="A290">
        <v>402040</v>
      </c>
      <c r="B290">
        <v>402040</v>
      </c>
      <c r="C290" t="str">
        <f>INDEX(TextData!B:B,MATCH(B290,TextData!A:A))</f>
        <v>トラストチェイン+</v>
      </c>
      <c r="D290">
        <v>1</v>
      </c>
      <c r="E290" t="str">
        <f>INDEX(Define!X:X,MATCH(D290,Define!W:W))</f>
        <v>元素</v>
      </c>
      <c r="F290">
        <v>51</v>
      </c>
      <c r="G290" t="str">
        <f>INDEX([1]Animations!B:B,MATCH(F290,[1]Animations!A:A))</f>
        <v>NA_Effekseer/NA_aura_001</v>
      </c>
      <c r="H290">
        <v>1</v>
      </c>
      <c r="I290" t="str">
        <f>INDEX(Define!B:B,MATCH(H290,Define!A:A))</f>
        <v>単体</v>
      </c>
      <c r="J290">
        <v>0</v>
      </c>
      <c r="K290">
        <v>0</v>
      </c>
      <c r="L290">
        <v>0</v>
      </c>
      <c r="M290">
        <v>2</v>
      </c>
      <c r="N290" t="str">
        <f>INDEX(Define!E:E,MATCH(M290,Define!D:D))</f>
        <v>雷</v>
      </c>
      <c r="O290">
        <v>6</v>
      </c>
      <c r="P290" t="str">
        <f>INDEX(Define!H:H,MATCH(O290,Define!G:G))</f>
        <v>強化</v>
      </c>
      <c r="Q290">
        <v>4</v>
      </c>
      <c r="R290" t="str">
        <f>INDEX(Define!K:K,MATCH(Q290,Define!J:J))</f>
        <v>自身</v>
      </c>
      <c r="S290">
        <v>4</v>
      </c>
      <c r="T290" t="str">
        <f>INDEX(Define!N:N,MATCH(S290,Define!M:M))</f>
        <v>自身</v>
      </c>
      <c r="U290">
        <v>1</v>
      </c>
      <c r="V290">
        <v>1</v>
      </c>
      <c r="W290">
        <v>1</v>
      </c>
      <c r="X290">
        <v>0</v>
      </c>
    </row>
    <row r="291" spans="1:24">
      <c r="A291">
        <v>402050</v>
      </c>
      <c r="B291">
        <v>402050</v>
      </c>
      <c r="C291" t="str">
        <f>INDEX(TextData!B:B,MATCH(B291,TextData!A:A))</f>
        <v>スペルバニシング+</v>
      </c>
      <c r="D291">
        <v>1</v>
      </c>
      <c r="E291" t="str">
        <f>INDEX(Define!X:X,MATCH(D291,Define!W:W))</f>
        <v>元素</v>
      </c>
      <c r="F291">
        <v>201</v>
      </c>
      <c r="G291" t="str">
        <f>INDEX([1]Animations!B:B,MATCH(F291,[1]Animations!A:A))</f>
        <v>MakerEffect/ThunderOne1</v>
      </c>
      <c r="H291">
        <v>1</v>
      </c>
      <c r="I291" t="str">
        <f>INDEX(Define!B:B,MATCH(H291,Define!A:A))</f>
        <v>単体</v>
      </c>
      <c r="J291">
        <v>0</v>
      </c>
      <c r="K291">
        <v>0</v>
      </c>
      <c r="L291">
        <v>0</v>
      </c>
      <c r="M291">
        <v>2</v>
      </c>
      <c r="N291" t="str">
        <f>INDEX(Define!E:E,MATCH(M291,Define!D:D))</f>
        <v>雷</v>
      </c>
      <c r="O291">
        <v>6</v>
      </c>
      <c r="P291" t="str">
        <f>INDEX(Define!H:H,MATCH(O291,Define!G:G))</f>
        <v>強化</v>
      </c>
      <c r="Q291">
        <v>4</v>
      </c>
      <c r="R291" t="str">
        <f>INDEX(Define!K:K,MATCH(Q291,Define!J:J))</f>
        <v>自身</v>
      </c>
      <c r="S291">
        <v>4</v>
      </c>
      <c r="T291" t="str">
        <f>INDEX(Define!N:N,MATCH(S291,Define!M:M))</f>
        <v>自身</v>
      </c>
      <c r="U291">
        <v>1</v>
      </c>
      <c r="V291">
        <v>1</v>
      </c>
      <c r="W291">
        <v>1</v>
      </c>
      <c r="X291">
        <v>0</v>
      </c>
    </row>
    <row r="292" spans="1:24">
      <c r="A292">
        <v>402060</v>
      </c>
      <c r="B292">
        <v>402060</v>
      </c>
      <c r="C292" t="str">
        <f>INDEX(TextData!B:B,MATCH(B292,TextData!A:A))</f>
        <v>アーテニーストライク+</v>
      </c>
      <c r="D292">
        <v>1</v>
      </c>
      <c r="E292" t="str">
        <f>INDEX(Define!X:X,MATCH(D292,Define!W:W))</f>
        <v>元素</v>
      </c>
      <c r="F292">
        <v>201</v>
      </c>
      <c r="G292" t="str">
        <f>INDEX([1]Animations!B:B,MATCH(F292,[1]Animations!A:A))</f>
        <v>MakerEffect/ThunderOne1</v>
      </c>
      <c r="H292">
        <v>1</v>
      </c>
      <c r="I292" t="str">
        <f>INDEX(Define!B:B,MATCH(H292,Define!A:A))</f>
        <v>単体</v>
      </c>
      <c r="J292">
        <v>0</v>
      </c>
      <c r="K292">
        <v>0</v>
      </c>
      <c r="L292">
        <v>0</v>
      </c>
      <c r="M292">
        <v>2</v>
      </c>
      <c r="N292" t="str">
        <f>INDEX(Define!E:E,MATCH(M292,Define!D:D))</f>
        <v>雷</v>
      </c>
      <c r="O292">
        <v>6</v>
      </c>
      <c r="P292" t="str">
        <f>INDEX(Define!H:H,MATCH(O292,Define!G:G))</f>
        <v>強化</v>
      </c>
      <c r="Q292">
        <v>4</v>
      </c>
      <c r="R292" t="str">
        <f>INDEX(Define!K:K,MATCH(Q292,Define!J:J))</f>
        <v>自身</v>
      </c>
      <c r="S292">
        <v>4</v>
      </c>
      <c r="T292" t="str">
        <f>INDEX(Define!N:N,MATCH(S292,Define!M:M))</f>
        <v>自身</v>
      </c>
      <c r="U292">
        <v>1</v>
      </c>
      <c r="V292">
        <v>1</v>
      </c>
      <c r="W292">
        <v>1</v>
      </c>
      <c r="X292">
        <v>0</v>
      </c>
    </row>
    <row r="293" spans="1:24">
      <c r="A293">
        <v>402070</v>
      </c>
      <c r="B293">
        <v>402070</v>
      </c>
      <c r="C293" t="str">
        <f>INDEX(TextData!B:B,MATCH(B293,TextData!A:A))</f>
        <v>コンセントレイト+</v>
      </c>
      <c r="D293">
        <v>3</v>
      </c>
      <c r="E293" t="str">
        <f>INDEX(Define!X:X,MATCH(D293,Define!W:W))</f>
        <v>理術</v>
      </c>
      <c r="F293">
        <v>51</v>
      </c>
      <c r="G293" t="str">
        <f>INDEX([1]Animations!B:B,MATCH(F293,[1]Animations!A:A))</f>
        <v>NA_Effekseer/NA_aura_001</v>
      </c>
      <c r="H293">
        <v>1</v>
      </c>
      <c r="I293" t="str">
        <f>INDEX(Define!B:B,MATCH(H293,Define!A:A))</f>
        <v>単体</v>
      </c>
      <c r="J293">
        <v>0</v>
      </c>
      <c r="K293">
        <v>0</v>
      </c>
      <c r="L293">
        <v>0</v>
      </c>
      <c r="M293">
        <v>2</v>
      </c>
      <c r="N293" t="str">
        <f>INDEX(Define!E:E,MATCH(M293,Define!D:D))</f>
        <v>雷</v>
      </c>
      <c r="O293">
        <v>6</v>
      </c>
      <c r="P293" t="str">
        <f>INDEX(Define!H:H,MATCH(O293,Define!G:G))</f>
        <v>強化</v>
      </c>
      <c r="Q293">
        <v>4</v>
      </c>
      <c r="R293" t="str">
        <f>INDEX(Define!K:K,MATCH(Q293,Define!J:J))</f>
        <v>自身</v>
      </c>
      <c r="S293">
        <v>4</v>
      </c>
      <c r="T293" t="str">
        <f>INDEX(Define!N:N,MATCH(S293,Define!M:M))</f>
        <v>自身</v>
      </c>
      <c r="U293">
        <v>1</v>
      </c>
      <c r="V293">
        <v>1</v>
      </c>
      <c r="W293">
        <v>1</v>
      </c>
      <c r="X293">
        <v>0</v>
      </c>
    </row>
    <row r="294" spans="1:24">
      <c r="A294">
        <v>402080</v>
      </c>
      <c r="B294">
        <v>402080</v>
      </c>
      <c r="C294" t="str">
        <f>INDEX(TextData!B:B,MATCH(B294,TextData!A:A))</f>
        <v>ディレイマジック+</v>
      </c>
      <c r="D294">
        <v>5</v>
      </c>
      <c r="E294" t="str">
        <f>INDEX(Define!X:X,MATCH(D294,Define!W:W))</f>
        <v>超次元</v>
      </c>
      <c r="F294">
        <v>201</v>
      </c>
      <c r="G294" t="str">
        <f>INDEX([1]Animations!B:B,MATCH(F294,[1]Animations!A:A))</f>
        <v>MakerEffect/ThunderOne1</v>
      </c>
      <c r="H294">
        <v>1</v>
      </c>
      <c r="I294" t="str">
        <f>INDEX(Define!B:B,MATCH(H294,Define!A:A))</f>
        <v>単体</v>
      </c>
      <c r="J294">
        <v>0</v>
      </c>
      <c r="K294">
        <v>0</v>
      </c>
      <c r="L294">
        <v>0</v>
      </c>
      <c r="M294">
        <v>2</v>
      </c>
      <c r="N294" t="str">
        <f>INDEX(Define!E:E,MATCH(M294,Define!D:D))</f>
        <v>雷</v>
      </c>
      <c r="O294">
        <v>6</v>
      </c>
      <c r="P294" t="str">
        <f>INDEX(Define!H:H,MATCH(O294,Define!G:G))</f>
        <v>強化</v>
      </c>
      <c r="Q294">
        <v>4</v>
      </c>
      <c r="R294" t="str">
        <f>INDEX(Define!K:K,MATCH(Q294,Define!J:J))</f>
        <v>自身</v>
      </c>
      <c r="S294">
        <v>4</v>
      </c>
      <c r="T294" t="str">
        <f>INDEX(Define!N:N,MATCH(S294,Define!M:M))</f>
        <v>自身</v>
      </c>
      <c r="U294">
        <v>1</v>
      </c>
      <c r="V294">
        <v>1</v>
      </c>
      <c r="W294">
        <v>1</v>
      </c>
      <c r="X294">
        <v>0</v>
      </c>
    </row>
    <row r="295" spans="1:24">
      <c r="A295">
        <v>403010</v>
      </c>
      <c r="B295">
        <v>403010</v>
      </c>
      <c r="C295" t="str">
        <f>INDEX(TextData!B:B,MATCH(B295,TextData!A:A))</f>
        <v>アイスブレイド+</v>
      </c>
      <c r="D295">
        <v>1</v>
      </c>
      <c r="E295" t="str">
        <f>INDEX(Define!X:X,MATCH(D295,Define!W:W))</f>
        <v>元素</v>
      </c>
      <c r="F295">
        <v>301</v>
      </c>
      <c r="G295" t="str">
        <f>INDEX([1]Animations!B:B,MATCH(F295,[1]Animations!A:A))</f>
        <v>MakerEffect/IceOne1</v>
      </c>
      <c r="H295">
        <v>1</v>
      </c>
      <c r="I295" t="str">
        <f>INDEX(Define!B:B,MATCH(H295,Define!A:A))</f>
        <v>単体</v>
      </c>
      <c r="J295">
        <v>0</v>
      </c>
      <c r="K295">
        <v>0</v>
      </c>
      <c r="L295">
        <v>0</v>
      </c>
      <c r="M295">
        <v>3</v>
      </c>
      <c r="N295" t="str">
        <f>INDEX(Define!E:E,MATCH(M295,Define!D:D))</f>
        <v>氷</v>
      </c>
      <c r="O295">
        <v>6</v>
      </c>
      <c r="P295" t="str">
        <f>INDEX(Define!H:H,MATCH(O295,Define!G:G))</f>
        <v>強化</v>
      </c>
      <c r="Q295">
        <v>4</v>
      </c>
      <c r="R295" t="str">
        <f>INDEX(Define!K:K,MATCH(Q295,Define!J:J))</f>
        <v>自身</v>
      </c>
      <c r="S295">
        <v>4</v>
      </c>
      <c r="T295" t="str">
        <f>INDEX(Define!N:N,MATCH(S295,Define!M:M))</f>
        <v>自身</v>
      </c>
      <c r="U295">
        <v>1</v>
      </c>
      <c r="V295">
        <v>1</v>
      </c>
      <c r="W295">
        <v>1</v>
      </c>
      <c r="X295">
        <v>0</v>
      </c>
    </row>
    <row r="296" spans="1:24">
      <c r="A296">
        <v>403020</v>
      </c>
      <c r="B296">
        <v>403020</v>
      </c>
      <c r="C296" t="str">
        <f>INDEX(TextData!B:B,MATCH(B296,TextData!A:A))</f>
        <v>カウンターオーラ+</v>
      </c>
      <c r="D296">
        <v>2</v>
      </c>
      <c r="E296" t="str">
        <f>INDEX(Define!X:X,MATCH(D296,Define!W:W))</f>
        <v>光</v>
      </c>
      <c r="F296">
        <v>301</v>
      </c>
      <c r="G296" t="str">
        <f>INDEX([1]Animations!B:B,MATCH(F296,[1]Animations!A:A))</f>
        <v>MakerEffect/IceOne1</v>
      </c>
      <c r="H296">
        <v>1</v>
      </c>
      <c r="I296" t="str">
        <f>INDEX(Define!B:B,MATCH(H296,Define!A:A))</f>
        <v>単体</v>
      </c>
      <c r="J296">
        <v>0</v>
      </c>
      <c r="K296">
        <v>0</v>
      </c>
      <c r="L296">
        <v>0</v>
      </c>
      <c r="M296">
        <v>3</v>
      </c>
      <c r="N296" t="str">
        <f>INDEX(Define!E:E,MATCH(M296,Define!D:D))</f>
        <v>氷</v>
      </c>
      <c r="O296">
        <v>6</v>
      </c>
      <c r="P296" t="str">
        <f>INDEX(Define!H:H,MATCH(O296,Define!G:G))</f>
        <v>強化</v>
      </c>
      <c r="Q296">
        <v>4</v>
      </c>
      <c r="R296" t="str">
        <f>INDEX(Define!K:K,MATCH(Q296,Define!J:J))</f>
        <v>自身</v>
      </c>
      <c r="S296">
        <v>4</v>
      </c>
      <c r="T296" t="str">
        <f>INDEX(Define!N:N,MATCH(S296,Define!M:M))</f>
        <v>自身</v>
      </c>
      <c r="U296">
        <v>1</v>
      </c>
      <c r="V296">
        <v>1</v>
      </c>
      <c r="W296">
        <v>1</v>
      </c>
      <c r="X296">
        <v>0</v>
      </c>
    </row>
    <row r="297" spans="1:24">
      <c r="A297">
        <v>403030</v>
      </c>
      <c r="B297">
        <v>403030</v>
      </c>
      <c r="C297" t="str">
        <f>INDEX(TextData!B:B,MATCH(B297,TextData!A:A))</f>
        <v>ラインプロテクト+</v>
      </c>
      <c r="D297">
        <v>4</v>
      </c>
      <c r="E297" t="str">
        <f>INDEX(Define!X:X,MATCH(D297,Define!W:W))</f>
        <v>精神</v>
      </c>
      <c r="F297">
        <v>51</v>
      </c>
      <c r="G297" t="str">
        <f>INDEX([1]Animations!B:B,MATCH(F297,[1]Animations!A:A))</f>
        <v>NA_Effekseer/NA_aura_001</v>
      </c>
      <c r="H297">
        <v>1</v>
      </c>
      <c r="I297" t="str">
        <f>INDEX(Define!B:B,MATCH(H297,Define!A:A))</f>
        <v>単体</v>
      </c>
      <c r="J297">
        <v>0</v>
      </c>
      <c r="K297">
        <v>0</v>
      </c>
      <c r="L297">
        <v>0</v>
      </c>
      <c r="M297">
        <v>3</v>
      </c>
      <c r="N297" t="str">
        <f>INDEX(Define!E:E,MATCH(M297,Define!D:D))</f>
        <v>氷</v>
      </c>
      <c r="O297">
        <v>6</v>
      </c>
      <c r="P297" t="str">
        <f>INDEX(Define!H:H,MATCH(O297,Define!G:G))</f>
        <v>強化</v>
      </c>
      <c r="Q297">
        <v>4</v>
      </c>
      <c r="R297" t="str">
        <f>INDEX(Define!K:K,MATCH(Q297,Define!J:J))</f>
        <v>自身</v>
      </c>
      <c r="S297">
        <v>4</v>
      </c>
      <c r="T297" t="str">
        <f>INDEX(Define!N:N,MATCH(S297,Define!M:M))</f>
        <v>自身</v>
      </c>
      <c r="U297">
        <v>1</v>
      </c>
      <c r="V297">
        <v>1</v>
      </c>
      <c r="W297">
        <v>1</v>
      </c>
      <c r="X297">
        <v>0</v>
      </c>
    </row>
    <row r="298" spans="1:24">
      <c r="A298">
        <v>403040</v>
      </c>
      <c r="B298">
        <v>403040</v>
      </c>
      <c r="C298" t="str">
        <f>INDEX(TextData!B:B,MATCH(B298,TextData!A:A))</f>
        <v>エスコートソール+</v>
      </c>
      <c r="D298">
        <v>3</v>
      </c>
      <c r="E298" t="str">
        <f>INDEX(Define!X:X,MATCH(D298,Define!W:W))</f>
        <v>理術</v>
      </c>
      <c r="F298">
        <v>61</v>
      </c>
      <c r="G298" t="str">
        <f>INDEX([1]Animations!B:B,MATCH(F298,[1]Animations!A:A))</f>
        <v>NA_Effekseer/NA_aura_002</v>
      </c>
      <c r="H298">
        <v>1</v>
      </c>
      <c r="I298" t="str">
        <f>INDEX(Define!B:B,MATCH(H298,Define!A:A))</f>
        <v>単体</v>
      </c>
      <c r="J298">
        <v>0</v>
      </c>
      <c r="K298">
        <v>0</v>
      </c>
      <c r="L298">
        <v>0</v>
      </c>
      <c r="M298">
        <v>3</v>
      </c>
      <c r="N298" t="str">
        <f>INDEX(Define!E:E,MATCH(M298,Define!D:D))</f>
        <v>氷</v>
      </c>
      <c r="O298">
        <v>6</v>
      </c>
      <c r="P298" t="str">
        <f>INDEX(Define!H:H,MATCH(O298,Define!G:G))</f>
        <v>強化</v>
      </c>
      <c r="Q298">
        <v>4</v>
      </c>
      <c r="R298" t="str">
        <f>INDEX(Define!K:K,MATCH(Q298,Define!J:J))</f>
        <v>自身</v>
      </c>
      <c r="S298">
        <v>4</v>
      </c>
      <c r="T298" t="str">
        <f>INDEX(Define!N:N,MATCH(S298,Define!M:M))</f>
        <v>自身</v>
      </c>
      <c r="U298">
        <v>1</v>
      </c>
      <c r="V298">
        <v>1</v>
      </c>
      <c r="W298">
        <v>1</v>
      </c>
      <c r="X298">
        <v>0</v>
      </c>
    </row>
    <row r="299" spans="1:24">
      <c r="A299">
        <v>403050</v>
      </c>
      <c r="B299">
        <v>403050</v>
      </c>
      <c r="C299" t="str">
        <f>INDEX(TextData!B:B,MATCH(B299,TextData!A:A))</f>
        <v>ディープフリーズ+</v>
      </c>
      <c r="D299">
        <v>3</v>
      </c>
      <c r="E299" t="str">
        <f>INDEX(Define!X:X,MATCH(D299,Define!W:W))</f>
        <v>理術</v>
      </c>
      <c r="F299">
        <v>301</v>
      </c>
      <c r="G299" t="str">
        <f>INDEX([1]Animations!B:B,MATCH(F299,[1]Animations!A:A))</f>
        <v>MakerEffect/IceOne1</v>
      </c>
      <c r="H299">
        <v>1</v>
      </c>
      <c r="I299" t="str">
        <f>INDEX(Define!B:B,MATCH(H299,Define!A:A))</f>
        <v>単体</v>
      </c>
      <c r="J299">
        <v>0</v>
      </c>
      <c r="K299">
        <v>0</v>
      </c>
      <c r="L299">
        <v>0</v>
      </c>
      <c r="M299">
        <v>3</v>
      </c>
      <c r="N299" t="str">
        <f>INDEX(Define!E:E,MATCH(M299,Define!D:D))</f>
        <v>氷</v>
      </c>
      <c r="O299">
        <v>6</v>
      </c>
      <c r="P299" t="str">
        <f>INDEX(Define!H:H,MATCH(O299,Define!G:G))</f>
        <v>強化</v>
      </c>
      <c r="Q299">
        <v>4</v>
      </c>
      <c r="R299" t="str">
        <f>INDEX(Define!K:K,MATCH(Q299,Define!J:J))</f>
        <v>自身</v>
      </c>
      <c r="S299">
        <v>4</v>
      </c>
      <c r="T299" t="str">
        <f>INDEX(Define!N:N,MATCH(S299,Define!M:M))</f>
        <v>自身</v>
      </c>
      <c r="U299">
        <v>1</v>
      </c>
      <c r="V299">
        <v>1</v>
      </c>
      <c r="W299">
        <v>1</v>
      </c>
      <c r="X299">
        <v>0</v>
      </c>
    </row>
    <row r="300" spans="1:24">
      <c r="A300">
        <v>403060</v>
      </c>
      <c r="B300">
        <v>403060</v>
      </c>
      <c r="C300" t="str">
        <f>INDEX(TextData!B:B,MATCH(B300,TextData!A:A))</f>
        <v>バブルブロウ+</v>
      </c>
      <c r="D300">
        <v>3</v>
      </c>
      <c r="E300" t="str">
        <f>INDEX(Define!X:X,MATCH(D300,Define!W:W))</f>
        <v>理術</v>
      </c>
      <c r="F300">
        <v>301</v>
      </c>
      <c r="G300" t="str">
        <f>INDEX([1]Animations!B:B,MATCH(F300,[1]Animations!A:A))</f>
        <v>MakerEffect/IceOne1</v>
      </c>
      <c r="H300">
        <v>1</v>
      </c>
      <c r="I300" t="str">
        <f>INDEX(Define!B:B,MATCH(H300,Define!A:A))</f>
        <v>単体</v>
      </c>
      <c r="J300">
        <v>0</v>
      </c>
      <c r="K300">
        <v>0</v>
      </c>
      <c r="L300">
        <v>0</v>
      </c>
      <c r="M300">
        <v>3</v>
      </c>
      <c r="N300" t="str">
        <f>INDEX(Define!E:E,MATCH(M300,Define!D:D))</f>
        <v>氷</v>
      </c>
      <c r="O300">
        <v>6</v>
      </c>
      <c r="P300" t="str">
        <f>INDEX(Define!H:H,MATCH(O300,Define!G:G))</f>
        <v>強化</v>
      </c>
      <c r="Q300">
        <v>4</v>
      </c>
      <c r="R300" t="str">
        <f>INDEX(Define!K:K,MATCH(Q300,Define!J:J))</f>
        <v>自身</v>
      </c>
      <c r="S300">
        <v>4</v>
      </c>
      <c r="T300" t="str">
        <f>INDEX(Define!N:N,MATCH(S300,Define!M:M))</f>
        <v>自身</v>
      </c>
      <c r="U300">
        <v>1</v>
      </c>
      <c r="V300">
        <v>1</v>
      </c>
      <c r="W300">
        <v>1</v>
      </c>
      <c r="X300">
        <v>0</v>
      </c>
    </row>
    <row r="301" spans="1:24">
      <c r="A301">
        <v>403070</v>
      </c>
      <c r="B301">
        <v>403070</v>
      </c>
      <c r="C301" t="str">
        <f>INDEX(TextData!B:B,MATCH(B301,TextData!A:A))</f>
        <v>アクアミラージュ+</v>
      </c>
      <c r="D301">
        <v>4</v>
      </c>
      <c r="E301" t="str">
        <f>INDEX(Define!X:X,MATCH(D301,Define!W:W))</f>
        <v>精神</v>
      </c>
      <c r="F301">
        <v>51</v>
      </c>
      <c r="G301" t="str">
        <f>INDEX([1]Animations!B:B,MATCH(F301,[1]Animations!A:A))</f>
        <v>NA_Effekseer/NA_aura_001</v>
      </c>
      <c r="H301">
        <v>1</v>
      </c>
      <c r="I301" t="str">
        <f>INDEX(Define!B:B,MATCH(H301,Define!A:A))</f>
        <v>単体</v>
      </c>
      <c r="J301">
        <v>0</v>
      </c>
      <c r="K301">
        <v>0</v>
      </c>
      <c r="L301">
        <v>0</v>
      </c>
      <c r="M301">
        <v>3</v>
      </c>
      <c r="N301" t="str">
        <f>INDEX(Define!E:E,MATCH(M301,Define!D:D))</f>
        <v>氷</v>
      </c>
      <c r="O301">
        <v>6</v>
      </c>
      <c r="P301" t="str">
        <f>INDEX(Define!H:H,MATCH(O301,Define!G:G))</f>
        <v>強化</v>
      </c>
      <c r="Q301">
        <v>4</v>
      </c>
      <c r="R301" t="str">
        <f>INDEX(Define!K:K,MATCH(Q301,Define!J:J))</f>
        <v>自身</v>
      </c>
      <c r="S301">
        <v>4</v>
      </c>
      <c r="T301" t="str">
        <f>INDEX(Define!N:N,MATCH(S301,Define!M:M))</f>
        <v>自身</v>
      </c>
      <c r="U301">
        <v>1</v>
      </c>
      <c r="V301">
        <v>1</v>
      </c>
      <c r="W301">
        <v>1</v>
      </c>
      <c r="X301">
        <v>0</v>
      </c>
    </row>
    <row r="302" spans="1:24">
      <c r="A302">
        <v>403080</v>
      </c>
      <c r="B302">
        <v>403080</v>
      </c>
      <c r="C302" t="str">
        <f>INDEX(TextData!B:B,MATCH(B302,TextData!A:A))</f>
        <v>フロストシールド+</v>
      </c>
      <c r="D302">
        <v>4</v>
      </c>
      <c r="E302" t="str">
        <f>INDEX(Define!X:X,MATCH(D302,Define!W:W))</f>
        <v>精神</v>
      </c>
      <c r="F302">
        <v>51</v>
      </c>
      <c r="G302" t="str">
        <f>INDEX([1]Animations!B:B,MATCH(F302,[1]Animations!A:A))</f>
        <v>NA_Effekseer/NA_aura_001</v>
      </c>
      <c r="H302">
        <v>1</v>
      </c>
      <c r="I302" t="str">
        <f>INDEX(Define!B:B,MATCH(H302,Define!A:A))</f>
        <v>単体</v>
      </c>
      <c r="J302">
        <v>0</v>
      </c>
      <c r="K302">
        <v>0</v>
      </c>
      <c r="L302">
        <v>0</v>
      </c>
      <c r="M302">
        <v>3</v>
      </c>
      <c r="N302" t="str">
        <f>INDEX(Define!E:E,MATCH(M302,Define!D:D))</f>
        <v>氷</v>
      </c>
      <c r="O302">
        <v>6</v>
      </c>
      <c r="P302" t="str">
        <f>INDEX(Define!H:H,MATCH(O302,Define!G:G))</f>
        <v>強化</v>
      </c>
      <c r="Q302">
        <v>4</v>
      </c>
      <c r="R302" t="str">
        <f>INDEX(Define!K:K,MATCH(Q302,Define!J:J))</f>
        <v>自身</v>
      </c>
      <c r="S302">
        <v>4</v>
      </c>
      <c r="T302" t="str">
        <f>INDEX(Define!N:N,MATCH(S302,Define!M:M))</f>
        <v>自身</v>
      </c>
      <c r="U302">
        <v>1</v>
      </c>
      <c r="V302">
        <v>1</v>
      </c>
      <c r="W302">
        <v>1</v>
      </c>
      <c r="X302">
        <v>0</v>
      </c>
    </row>
    <row r="303" ht="12" customHeight="1" spans="1:24">
      <c r="A303">
        <v>404010</v>
      </c>
      <c r="B303">
        <v>404010</v>
      </c>
      <c r="C303" t="str">
        <f>INDEX(TextData!B:B,MATCH(B303,TextData!A:A))</f>
        <v>セイントレーザー+</v>
      </c>
      <c r="D303">
        <v>1</v>
      </c>
      <c r="E303" t="str">
        <f>INDEX(Define!X:X,MATCH(D303,Define!W:W))</f>
        <v>元素</v>
      </c>
      <c r="F303">
        <v>401</v>
      </c>
      <c r="G303" t="str">
        <f>INDEX([1]Animations!B:B,MATCH(F303,[1]Animations!A:A))</f>
        <v>MakerEffect/LightOne1</v>
      </c>
      <c r="H303">
        <v>1</v>
      </c>
      <c r="I303" t="str">
        <f>INDEX(Define!B:B,MATCH(H303,Define!A:A))</f>
        <v>単体</v>
      </c>
      <c r="J303">
        <v>0</v>
      </c>
      <c r="K303">
        <v>0</v>
      </c>
      <c r="L303">
        <v>0</v>
      </c>
      <c r="M303">
        <v>4</v>
      </c>
      <c r="N303" t="str">
        <f>INDEX(Define!E:E,MATCH(M303,Define!D:D))</f>
        <v>光</v>
      </c>
      <c r="O303">
        <v>6</v>
      </c>
      <c r="P303" t="str">
        <f>INDEX(Define!H:H,MATCH(O303,Define!G:G))</f>
        <v>強化</v>
      </c>
      <c r="Q303">
        <v>4</v>
      </c>
      <c r="R303" t="str">
        <f>INDEX(Define!K:K,MATCH(Q303,Define!J:J))</f>
        <v>自身</v>
      </c>
      <c r="S303">
        <v>4</v>
      </c>
      <c r="T303" t="str">
        <f>INDEX(Define!N:N,MATCH(S303,Define!M:M))</f>
        <v>自身</v>
      </c>
      <c r="U303">
        <v>1</v>
      </c>
      <c r="V303">
        <v>1</v>
      </c>
      <c r="W303">
        <v>1</v>
      </c>
      <c r="X303">
        <v>0</v>
      </c>
    </row>
    <row r="304" ht="12" customHeight="1" spans="1:24">
      <c r="A304">
        <v>404020</v>
      </c>
      <c r="B304">
        <v>404020</v>
      </c>
      <c r="C304" t="str">
        <f>INDEX(TextData!B:B,MATCH(B304,TextData!A:A))</f>
        <v>ペネトレイト+</v>
      </c>
      <c r="D304">
        <v>1</v>
      </c>
      <c r="E304" t="str">
        <f>INDEX(Define!X:X,MATCH(D304,Define!W:W))</f>
        <v>元素</v>
      </c>
      <c r="F304">
        <v>401</v>
      </c>
      <c r="G304" t="str">
        <f>INDEX([1]Animations!B:B,MATCH(F304,[1]Animations!A:A))</f>
        <v>MakerEffect/LightOne1</v>
      </c>
      <c r="H304">
        <v>1</v>
      </c>
      <c r="I304" t="str">
        <f>INDEX(Define!B:B,MATCH(H304,Define!A:A))</f>
        <v>単体</v>
      </c>
      <c r="J304">
        <v>0</v>
      </c>
      <c r="K304">
        <v>0</v>
      </c>
      <c r="L304">
        <v>0</v>
      </c>
      <c r="M304">
        <v>4</v>
      </c>
      <c r="N304" t="str">
        <f>INDEX(Define!E:E,MATCH(M304,Define!D:D))</f>
        <v>光</v>
      </c>
      <c r="O304">
        <v>6</v>
      </c>
      <c r="P304" t="str">
        <f>INDEX(Define!H:H,MATCH(O304,Define!G:G))</f>
        <v>強化</v>
      </c>
      <c r="Q304">
        <v>4</v>
      </c>
      <c r="R304" t="str">
        <f>INDEX(Define!K:K,MATCH(Q304,Define!J:J))</f>
        <v>自身</v>
      </c>
      <c r="S304">
        <v>4</v>
      </c>
      <c r="T304" t="str">
        <f>INDEX(Define!N:N,MATCH(S304,Define!M:M))</f>
        <v>自身</v>
      </c>
      <c r="U304">
        <v>1</v>
      </c>
      <c r="V304">
        <v>1</v>
      </c>
      <c r="W304">
        <v>1</v>
      </c>
      <c r="X304">
        <v>0</v>
      </c>
    </row>
    <row r="305" ht="12" customHeight="1" spans="1:24">
      <c r="A305">
        <v>404030</v>
      </c>
      <c r="B305">
        <v>404030</v>
      </c>
      <c r="C305" t="str">
        <f>INDEX(TextData!B:B,MATCH(B305,TextData!A:A))</f>
        <v>ヒーリング+</v>
      </c>
      <c r="D305">
        <v>2</v>
      </c>
      <c r="E305" t="str">
        <f>INDEX(Define!X:X,MATCH(D305,Define!W:W))</f>
        <v>光</v>
      </c>
      <c r="F305">
        <v>21</v>
      </c>
      <c r="G305" t="str">
        <f>INDEX([1]Animations!B:B,MATCH(F305,[1]Animations!A:A))</f>
        <v>tktk01/Magic2</v>
      </c>
      <c r="H305">
        <v>1</v>
      </c>
      <c r="I305" t="str">
        <f>INDEX(Define!B:B,MATCH(H305,Define!A:A))</f>
        <v>単体</v>
      </c>
      <c r="J305">
        <v>0</v>
      </c>
      <c r="K305">
        <v>0</v>
      </c>
      <c r="L305">
        <v>0</v>
      </c>
      <c r="M305">
        <v>4</v>
      </c>
      <c r="N305" t="str">
        <f>INDEX(Define!E:E,MATCH(M305,Define!D:D))</f>
        <v>光</v>
      </c>
      <c r="O305">
        <v>6</v>
      </c>
      <c r="P305" t="str">
        <f>INDEX(Define!H:H,MATCH(O305,Define!G:G))</f>
        <v>強化</v>
      </c>
      <c r="Q305">
        <v>4</v>
      </c>
      <c r="R305" t="str">
        <f>INDEX(Define!K:K,MATCH(Q305,Define!J:J))</f>
        <v>自身</v>
      </c>
      <c r="S305">
        <v>4</v>
      </c>
      <c r="T305" t="str">
        <f>INDEX(Define!N:N,MATCH(S305,Define!M:M))</f>
        <v>自身</v>
      </c>
      <c r="U305">
        <v>1</v>
      </c>
      <c r="V305">
        <v>1</v>
      </c>
      <c r="W305">
        <v>1</v>
      </c>
      <c r="X305">
        <v>0</v>
      </c>
    </row>
    <row r="306" spans="1:24">
      <c r="A306">
        <v>404040</v>
      </c>
      <c r="B306">
        <v>404040</v>
      </c>
      <c r="C306" t="str">
        <f>INDEX(TextData!B:B,MATCH(B306,TextData!A:A))</f>
        <v>リザイアフォトン+</v>
      </c>
      <c r="D306">
        <v>2</v>
      </c>
      <c r="E306" t="str">
        <f>INDEX(Define!X:X,MATCH(D306,Define!W:W))</f>
        <v>光</v>
      </c>
      <c r="F306">
        <v>401</v>
      </c>
      <c r="G306" t="str">
        <f>INDEX([1]Animations!B:B,MATCH(F306,[1]Animations!A:A))</f>
        <v>MakerEffect/LightOne1</v>
      </c>
      <c r="H306">
        <v>1</v>
      </c>
      <c r="I306" t="str">
        <f>INDEX(Define!B:B,MATCH(H306,Define!A:A))</f>
        <v>単体</v>
      </c>
      <c r="J306">
        <v>0</v>
      </c>
      <c r="K306">
        <v>0</v>
      </c>
      <c r="L306">
        <v>0</v>
      </c>
      <c r="M306">
        <v>4</v>
      </c>
      <c r="N306" t="str">
        <f>INDEX(Define!E:E,MATCH(M306,Define!D:D))</f>
        <v>光</v>
      </c>
      <c r="O306">
        <v>6</v>
      </c>
      <c r="P306" t="str">
        <f>INDEX(Define!H:H,MATCH(O306,Define!G:G))</f>
        <v>強化</v>
      </c>
      <c r="Q306">
        <v>4</v>
      </c>
      <c r="R306" t="str">
        <f>INDEX(Define!K:K,MATCH(Q306,Define!J:J))</f>
        <v>自身</v>
      </c>
      <c r="S306">
        <v>4</v>
      </c>
      <c r="T306" t="str">
        <f>INDEX(Define!N:N,MATCH(S306,Define!M:M))</f>
        <v>自身</v>
      </c>
      <c r="U306">
        <v>1</v>
      </c>
      <c r="V306">
        <v>1</v>
      </c>
      <c r="W306">
        <v>1</v>
      </c>
      <c r="X306">
        <v>0</v>
      </c>
    </row>
    <row r="307" ht="12" customHeight="1" spans="1:24">
      <c r="A307">
        <v>404050</v>
      </c>
      <c r="B307">
        <v>404050</v>
      </c>
      <c r="C307" t="str">
        <f>INDEX(TextData!B:B,MATCH(B307,TextData!A:A))</f>
        <v>べネディクション+</v>
      </c>
      <c r="D307">
        <v>2</v>
      </c>
      <c r="E307" t="str">
        <f>INDEX(Define!X:X,MATCH(D307,Define!W:W))</f>
        <v>光</v>
      </c>
      <c r="F307">
        <v>21</v>
      </c>
      <c r="G307" t="str">
        <f>INDEX([1]Animations!B:B,MATCH(F307,[1]Animations!A:A))</f>
        <v>tktk01/Magic2</v>
      </c>
      <c r="H307">
        <v>1</v>
      </c>
      <c r="I307" t="str">
        <f>INDEX(Define!B:B,MATCH(H307,Define!A:A))</f>
        <v>単体</v>
      </c>
      <c r="J307">
        <v>0</v>
      </c>
      <c r="K307">
        <v>0</v>
      </c>
      <c r="L307">
        <v>0</v>
      </c>
      <c r="M307">
        <v>4</v>
      </c>
      <c r="N307" t="str">
        <f>INDEX(Define!E:E,MATCH(M307,Define!D:D))</f>
        <v>光</v>
      </c>
      <c r="O307">
        <v>6</v>
      </c>
      <c r="P307" t="str">
        <f>INDEX(Define!H:H,MATCH(O307,Define!G:G))</f>
        <v>強化</v>
      </c>
      <c r="Q307">
        <v>4</v>
      </c>
      <c r="R307" t="str">
        <f>INDEX(Define!K:K,MATCH(Q307,Define!J:J))</f>
        <v>自身</v>
      </c>
      <c r="S307">
        <v>4</v>
      </c>
      <c r="T307" t="str">
        <f>INDEX(Define!N:N,MATCH(S307,Define!M:M))</f>
        <v>自身</v>
      </c>
      <c r="U307">
        <v>1</v>
      </c>
      <c r="V307">
        <v>1</v>
      </c>
      <c r="W307">
        <v>1</v>
      </c>
      <c r="X307">
        <v>0</v>
      </c>
    </row>
    <row r="308" spans="1:24">
      <c r="A308">
        <v>404060</v>
      </c>
      <c r="B308">
        <v>404060</v>
      </c>
      <c r="C308" t="str">
        <f>INDEX(TextData!B:B,MATCH(B308,TextData!A:A))</f>
        <v>ホーリーグレイス+</v>
      </c>
      <c r="D308">
        <v>2</v>
      </c>
      <c r="E308" t="str">
        <f>INDEX(Define!X:X,MATCH(D308,Define!W:W))</f>
        <v>光</v>
      </c>
      <c r="F308">
        <v>21</v>
      </c>
      <c r="G308" t="str">
        <f>INDEX([1]Animations!B:B,MATCH(F308,[1]Animations!A:A))</f>
        <v>tktk01/Magic2</v>
      </c>
      <c r="H308">
        <v>1</v>
      </c>
      <c r="I308" t="str">
        <f>INDEX(Define!B:B,MATCH(H308,Define!A:A))</f>
        <v>単体</v>
      </c>
      <c r="J308">
        <v>0</v>
      </c>
      <c r="K308">
        <v>0</v>
      </c>
      <c r="L308">
        <v>0</v>
      </c>
      <c r="M308">
        <v>4</v>
      </c>
      <c r="N308" t="str">
        <f>INDEX(Define!E:E,MATCH(M308,Define!D:D))</f>
        <v>光</v>
      </c>
      <c r="O308">
        <v>6</v>
      </c>
      <c r="P308" t="str">
        <f>INDEX(Define!H:H,MATCH(O308,Define!G:G))</f>
        <v>強化</v>
      </c>
      <c r="Q308">
        <v>4</v>
      </c>
      <c r="R308" t="str">
        <f>INDEX(Define!K:K,MATCH(Q308,Define!J:J))</f>
        <v>自身</v>
      </c>
      <c r="S308">
        <v>4</v>
      </c>
      <c r="T308" t="str">
        <f>INDEX(Define!N:N,MATCH(S308,Define!M:M))</f>
        <v>自身</v>
      </c>
      <c r="U308">
        <v>1</v>
      </c>
      <c r="V308">
        <v>1</v>
      </c>
      <c r="W308">
        <v>1</v>
      </c>
      <c r="X308">
        <v>0</v>
      </c>
    </row>
    <row r="309" spans="1:24">
      <c r="A309">
        <v>404070</v>
      </c>
      <c r="B309">
        <v>404070</v>
      </c>
      <c r="C309" t="str">
        <f>INDEX(TextData!B:B,MATCH(B309,TextData!A:A))</f>
        <v>キュアエール+</v>
      </c>
      <c r="D309">
        <v>2</v>
      </c>
      <c r="E309" t="str">
        <f>INDEX(Define!X:X,MATCH(D309,Define!W:W))</f>
        <v>光</v>
      </c>
      <c r="F309">
        <v>21</v>
      </c>
      <c r="G309" t="str">
        <f>INDEX([1]Animations!B:B,MATCH(F309,[1]Animations!A:A))</f>
        <v>tktk01/Magic2</v>
      </c>
      <c r="H309">
        <v>1</v>
      </c>
      <c r="I309" t="str">
        <f>INDEX(Define!B:B,MATCH(H309,Define!A:A))</f>
        <v>単体</v>
      </c>
      <c r="J309">
        <v>0</v>
      </c>
      <c r="K309">
        <v>0</v>
      </c>
      <c r="L309">
        <v>0</v>
      </c>
      <c r="M309">
        <v>4</v>
      </c>
      <c r="N309" t="str">
        <f>INDEX(Define!E:E,MATCH(M309,Define!D:D))</f>
        <v>光</v>
      </c>
      <c r="O309">
        <v>6</v>
      </c>
      <c r="P309" t="str">
        <f>INDEX(Define!H:H,MATCH(O309,Define!G:G))</f>
        <v>強化</v>
      </c>
      <c r="Q309">
        <v>4</v>
      </c>
      <c r="R309" t="str">
        <f>INDEX(Define!K:K,MATCH(Q309,Define!J:J))</f>
        <v>自身</v>
      </c>
      <c r="S309">
        <v>4</v>
      </c>
      <c r="T309" t="str">
        <f>INDEX(Define!N:N,MATCH(S309,Define!M:M))</f>
        <v>自身</v>
      </c>
      <c r="U309">
        <v>1</v>
      </c>
      <c r="V309">
        <v>1</v>
      </c>
      <c r="W309">
        <v>1</v>
      </c>
      <c r="X309">
        <v>0</v>
      </c>
    </row>
    <row r="310" spans="1:24">
      <c r="A310">
        <v>404080</v>
      </c>
      <c r="B310">
        <v>404080</v>
      </c>
      <c r="C310" t="str">
        <f>INDEX(TextData!B:B,MATCH(B310,TextData!A:A))</f>
        <v>ラインバリア+</v>
      </c>
      <c r="D310">
        <v>2</v>
      </c>
      <c r="E310" t="str">
        <f>INDEX(Define!X:X,MATCH(D310,Define!W:W))</f>
        <v>光</v>
      </c>
      <c r="F310">
        <v>51</v>
      </c>
      <c r="G310" t="str">
        <f>INDEX([1]Animations!B:B,MATCH(F310,[1]Animations!A:A))</f>
        <v>NA_Effekseer/NA_aura_001</v>
      </c>
      <c r="H310">
        <v>1</v>
      </c>
      <c r="I310" t="str">
        <f>INDEX(Define!B:B,MATCH(H310,Define!A:A))</f>
        <v>単体</v>
      </c>
      <c r="J310">
        <v>0</v>
      </c>
      <c r="K310">
        <v>0</v>
      </c>
      <c r="L310">
        <v>0</v>
      </c>
      <c r="M310">
        <v>4</v>
      </c>
      <c r="N310" t="str">
        <f>INDEX(Define!E:E,MATCH(M310,Define!D:D))</f>
        <v>光</v>
      </c>
      <c r="O310">
        <v>6</v>
      </c>
      <c r="P310" t="str">
        <f>INDEX(Define!H:H,MATCH(O310,Define!G:G))</f>
        <v>強化</v>
      </c>
      <c r="Q310">
        <v>4</v>
      </c>
      <c r="R310" t="str">
        <f>INDEX(Define!K:K,MATCH(Q310,Define!J:J))</f>
        <v>自身</v>
      </c>
      <c r="S310">
        <v>4</v>
      </c>
      <c r="T310" t="str">
        <f>INDEX(Define!N:N,MATCH(S310,Define!M:M))</f>
        <v>自身</v>
      </c>
      <c r="U310">
        <v>1</v>
      </c>
      <c r="V310">
        <v>1</v>
      </c>
      <c r="W310">
        <v>1</v>
      </c>
      <c r="X310">
        <v>0</v>
      </c>
    </row>
    <row r="311" ht="12" customHeight="1" spans="1:24">
      <c r="A311">
        <v>405010</v>
      </c>
      <c r="B311">
        <v>405010</v>
      </c>
      <c r="C311" t="str">
        <f>INDEX(TextData!B:B,MATCH(B311,TextData!A:A))</f>
        <v>ダークプリズン+</v>
      </c>
      <c r="D311">
        <v>5</v>
      </c>
      <c r="E311" t="str">
        <f>INDEX(Define!X:X,MATCH(D311,Define!W:W))</f>
        <v>超次元</v>
      </c>
      <c r="F311">
        <v>501</v>
      </c>
      <c r="G311" t="str">
        <f>INDEX([1]Animations!B:B,MATCH(F311,[1]Animations!A:A))</f>
        <v>MakerEffect/DarknessOne1</v>
      </c>
      <c r="H311">
        <v>1</v>
      </c>
      <c r="I311" t="str">
        <f>INDEX(Define!B:B,MATCH(H311,Define!A:A))</f>
        <v>単体</v>
      </c>
      <c r="J311">
        <v>0</v>
      </c>
      <c r="K311">
        <v>0</v>
      </c>
      <c r="L311">
        <v>0</v>
      </c>
      <c r="M311">
        <v>5</v>
      </c>
      <c r="N311" t="str">
        <f>INDEX(Define!E:E,MATCH(M311,Define!D:D))</f>
        <v>闇</v>
      </c>
      <c r="O311">
        <v>6</v>
      </c>
      <c r="P311" t="str">
        <f>INDEX(Define!H:H,MATCH(O311,Define!G:G))</f>
        <v>強化</v>
      </c>
      <c r="Q311">
        <v>4</v>
      </c>
      <c r="R311" t="str">
        <f>INDEX(Define!K:K,MATCH(Q311,Define!J:J))</f>
        <v>自身</v>
      </c>
      <c r="S311">
        <v>4</v>
      </c>
      <c r="T311" t="str">
        <f>INDEX(Define!N:N,MATCH(S311,Define!M:M))</f>
        <v>自身</v>
      </c>
      <c r="U311">
        <v>1</v>
      </c>
      <c r="V311">
        <v>1</v>
      </c>
      <c r="W311">
        <v>1</v>
      </c>
      <c r="X311">
        <v>0</v>
      </c>
    </row>
    <row r="312" ht="12" customHeight="1" spans="1:24">
      <c r="A312">
        <v>405020</v>
      </c>
      <c r="B312">
        <v>405020</v>
      </c>
      <c r="C312" t="str">
        <f>INDEX(TextData!B:B,MATCH(B312,TextData!A:A))</f>
        <v>ユーサネイジア+</v>
      </c>
      <c r="D312">
        <v>5</v>
      </c>
      <c r="E312" t="str">
        <f>INDEX(Define!X:X,MATCH(D312,Define!W:W))</f>
        <v>超次元</v>
      </c>
      <c r="F312">
        <v>501</v>
      </c>
      <c r="G312" t="str">
        <f>INDEX([1]Animations!B:B,MATCH(F312,[1]Animations!A:A))</f>
        <v>MakerEffect/DarknessOne1</v>
      </c>
      <c r="H312">
        <v>3</v>
      </c>
      <c r="I312" t="str">
        <f>INDEX(Define!B:B,MATCH(H312,Define!A:A))</f>
        <v>全体</v>
      </c>
      <c r="J312">
        <v>0</v>
      </c>
      <c r="K312">
        <v>0</v>
      </c>
      <c r="L312">
        <v>0</v>
      </c>
      <c r="M312">
        <v>5</v>
      </c>
      <c r="N312" t="str">
        <f>INDEX(Define!E:E,MATCH(M312,Define!D:D))</f>
        <v>闇</v>
      </c>
      <c r="O312">
        <v>6</v>
      </c>
      <c r="P312" t="str">
        <f>INDEX(Define!H:H,MATCH(O312,Define!G:G))</f>
        <v>強化</v>
      </c>
      <c r="Q312">
        <v>4</v>
      </c>
      <c r="R312" t="str">
        <f>INDEX(Define!K:K,MATCH(Q312,Define!J:J))</f>
        <v>自身</v>
      </c>
      <c r="S312">
        <v>4</v>
      </c>
      <c r="T312" t="str">
        <f>INDEX(Define!N:N,MATCH(S312,Define!M:M))</f>
        <v>自身</v>
      </c>
      <c r="U312">
        <v>1</v>
      </c>
      <c r="V312">
        <v>1</v>
      </c>
      <c r="W312">
        <v>1</v>
      </c>
      <c r="X312">
        <v>0</v>
      </c>
    </row>
    <row r="313" ht="12" customHeight="1" spans="1:24">
      <c r="A313">
        <v>405030</v>
      </c>
      <c r="B313">
        <v>405030</v>
      </c>
      <c r="C313" t="str">
        <f>INDEX(TextData!B:B,MATCH(B313,TextData!A:A))</f>
        <v>ドレインヒール+</v>
      </c>
      <c r="D313">
        <v>5</v>
      </c>
      <c r="E313" t="str">
        <f>INDEX(Define!X:X,MATCH(D313,Define!W:W))</f>
        <v>超次元</v>
      </c>
      <c r="F313">
        <v>501</v>
      </c>
      <c r="G313" t="str">
        <f>INDEX([1]Animations!B:B,MATCH(F313,[1]Animations!A:A))</f>
        <v>MakerEffect/DarknessOne1</v>
      </c>
      <c r="H313">
        <v>1</v>
      </c>
      <c r="I313" t="str">
        <f>INDEX(Define!B:B,MATCH(H313,Define!A:A))</f>
        <v>単体</v>
      </c>
      <c r="J313">
        <v>0</v>
      </c>
      <c r="K313">
        <v>0</v>
      </c>
      <c r="L313">
        <v>0</v>
      </c>
      <c r="M313">
        <v>5</v>
      </c>
      <c r="N313" t="str">
        <f>INDEX(Define!E:E,MATCH(M313,Define!D:D))</f>
        <v>闇</v>
      </c>
      <c r="O313">
        <v>6</v>
      </c>
      <c r="P313" t="str">
        <f>INDEX(Define!H:H,MATCH(O313,Define!G:G))</f>
        <v>強化</v>
      </c>
      <c r="Q313">
        <v>4</v>
      </c>
      <c r="R313" t="str">
        <f>INDEX(Define!K:K,MATCH(Q313,Define!J:J))</f>
        <v>自身</v>
      </c>
      <c r="S313">
        <v>4</v>
      </c>
      <c r="T313" t="str">
        <f>INDEX(Define!N:N,MATCH(S313,Define!M:M))</f>
        <v>自身</v>
      </c>
      <c r="U313">
        <v>1</v>
      </c>
      <c r="V313">
        <v>1</v>
      </c>
      <c r="W313">
        <v>1</v>
      </c>
      <c r="X313">
        <v>0</v>
      </c>
    </row>
    <row r="314" ht="12" customHeight="1" spans="1:24">
      <c r="A314">
        <v>405040</v>
      </c>
      <c r="B314">
        <v>405040</v>
      </c>
      <c r="C314" t="str">
        <f>INDEX(TextData!B:B,MATCH(B314,TextData!A:A))</f>
        <v>アビサルデスペア+</v>
      </c>
      <c r="D314">
        <v>5</v>
      </c>
      <c r="E314" t="str">
        <f>INDEX(Define!X:X,MATCH(D314,Define!W:W))</f>
        <v>超次元</v>
      </c>
      <c r="F314">
        <v>501</v>
      </c>
      <c r="G314" t="str">
        <f>INDEX([1]Animations!B:B,MATCH(F314,[1]Animations!A:A))</f>
        <v>MakerEffect/DarknessOne1</v>
      </c>
      <c r="H314">
        <v>1</v>
      </c>
      <c r="I314" t="str">
        <f>INDEX(Define!B:B,MATCH(H314,Define!A:A))</f>
        <v>単体</v>
      </c>
      <c r="J314">
        <v>0</v>
      </c>
      <c r="K314">
        <v>0</v>
      </c>
      <c r="L314">
        <v>0</v>
      </c>
      <c r="M314">
        <v>5</v>
      </c>
      <c r="N314" t="str">
        <f>INDEX(Define!E:E,MATCH(M314,Define!D:D))</f>
        <v>闇</v>
      </c>
      <c r="O314">
        <v>6</v>
      </c>
      <c r="P314" t="str">
        <f>INDEX(Define!H:H,MATCH(O314,Define!G:G))</f>
        <v>強化</v>
      </c>
      <c r="Q314">
        <v>4</v>
      </c>
      <c r="R314" t="str">
        <f>INDEX(Define!K:K,MATCH(Q314,Define!J:J))</f>
        <v>自身</v>
      </c>
      <c r="S314">
        <v>4</v>
      </c>
      <c r="T314" t="str">
        <f>INDEX(Define!N:N,MATCH(S314,Define!M:M))</f>
        <v>自身</v>
      </c>
      <c r="U314">
        <v>1</v>
      </c>
      <c r="V314">
        <v>1</v>
      </c>
      <c r="W314">
        <v>1</v>
      </c>
      <c r="X314">
        <v>0</v>
      </c>
    </row>
    <row r="315" ht="12" customHeight="1" spans="1:24">
      <c r="A315">
        <v>405050</v>
      </c>
      <c r="B315">
        <v>405050</v>
      </c>
      <c r="C315" t="str">
        <f>INDEX(TextData!B:B,MATCH(B315,TextData!A:A))</f>
        <v>ディプラヴィティ+</v>
      </c>
      <c r="D315">
        <v>3</v>
      </c>
      <c r="E315" t="str">
        <f>INDEX(Define!X:X,MATCH(D315,Define!W:W))</f>
        <v>理術</v>
      </c>
      <c r="F315">
        <v>501</v>
      </c>
      <c r="G315" t="str">
        <f>INDEX([1]Animations!B:B,MATCH(F315,[1]Animations!A:A))</f>
        <v>MakerEffect/DarknessOne1</v>
      </c>
      <c r="H315">
        <v>1</v>
      </c>
      <c r="I315" t="str">
        <f>INDEX(Define!B:B,MATCH(H315,Define!A:A))</f>
        <v>単体</v>
      </c>
      <c r="J315">
        <v>0</v>
      </c>
      <c r="K315">
        <v>0</v>
      </c>
      <c r="L315">
        <v>0</v>
      </c>
      <c r="M315">
        <v>5</v>
      </c>
      <c r="N315" t="str">
        <f>INDEX(Define!E:E,MATCH(M315,Define!D:D))</f>
        <v>闇</v>
      </c>
      <c r="O315">
        <v>6</v>
      </c>
      <c r="P315" t="str">
        <f>INDEX(Define!H:H,MATCH(O315,Define!G:G))</f>
        <v>強化</v>
      </c>
      <c r="Q315">
        <v>4</v>
      </c>
      <c r="R315" t="str">
        <f>INDEX(Define!K:K,MATCH(Q315,Define!J:J))</f>
        <v>自身</v>
      </c>
      <c r="S315">
        <v>4</v>
      </c>
      <c r="T315" t="str">
        <f>INDEX(Define!N:N,MATCH(S315,Define!M:M))</f>
        <v>自身</v>
      </c>
      <c r="U315">
        <v>1</v>
      </c>
      <c r="V315">
        <v>1</v>
      </c>
      <c r="W315">
        <v>1</v>
      </c>
      <c r="X315">
        <v>0</v>
      </c>
    </row>
    <row r="316" ht="12" customHeight="1" spans="1:24">
      <c r="A316">
        <v>405060</v>
      </c>
      <c r="B316">
        <v>405060</v>
      </c>
      <c r="C316" t="str">
        <f>INDEX(TextData!B:B,MATCH(B316,TextData!A:A))</f>
        <v>ダークネス+</v>
      </c>
      <c r="D316">
        <v>3</v>
      </c>
      <c r="E316" t="str">
        <f>INDEX(Define!X:X,MATCH(D316,Define!W:W))</f>
        <v>理術</v>
      </c>
      <c r="F316">
        <v>61</v>
      </c>
      <c r="G316" t="str">
        <f>INDEX([1]Animations!B:B,MATCH(F316,[1]Animations!A:A))</f>
        <v>NA_Effekseer/NA_aura_002</v>
      </c>
      <c r="H316">
        <v>1</v>
      </c>
      <c r="I316" t="str">
        <f>INDEX(Define!B:B,MATCH(H316,Define!A:A))</f>
        <v>単体</v>
      </c>
      <c r="J316">
        <v>0</v>
      </c>
      <c r="K316">
        <v>0</v>
      </c>
      <c r="L316">
        <v>0</v>
      </c>
      <c r="M316">
        <v>5</v>
      </c>
      <c r="N316" t="str">
        <f>INDEX(Define!E:E,MATCH(M316,Define!D:D))</f>
        <v>闇</v>
      </c>
      <c r="O316">
        <v>6</v>
      </c>
      <c r="P316" t="str">
        <f>INDEX(Define!H:H,MATCH(O316,Define!G:G))</f>
        <v>強化</v>
      </c>
      <c r="Q316">
        <v>4</v>
      </c>
      <c r="R316" t="str">
        <f>INDEX(Define!K:K,MATCH(Q316,Define!J:J))</f>
        <v>自身</v>
      </c>
      <c r="S316">
        <v>4</v>
      </c>
      <c r="T316" t="str">
        <f>INDEX(Define!N:N,MATCH(S316,Define!M:M))</f>
        <v>自身</v>
      </c>
      <c r="U316">
        <v>1</v>
      </c>
      <c r="V316">
        <v>1</v>
      </c>
      <c r="W316">
        <v>1</v>
      </c>
      <c r="X316">
        <v>0</v>
      </c>
    </row>
    <row r="317" ht="12" customHeight="1" spans="1:24">
      <c r="A317">
        <v>405070</v>
      </c>
      <c r="B317">
        <v>405070</v>
      </c>
      <c r="C317" t="str">
        <f>INDEX(TextData!B:B,MATCH(B317,TextData!A:A))</f>
        <v>シェイディークラウド+</v>
      </c>
      <c r="D317">
        <v>5</v>
      </c>
      <c r="E317" t="str">
        <f>INDEX(Define!X:X,MATCH(D317,Define!W:W))</f>
        <v>超次元</v>
      </c>
      <c r="F317">
        <v>61</v>
      </c>
      <c r="G317" t="str">
        <f>INDEX([1]Animations!B:B,MATCH(F317,[1]Animations!A:A))</f>
        <v>NA_Effekseer/NA_aura_002</v>
      </c>
      <c r="H317">
        <v>1</v>
      </c>
      <c r="I317" t="str">
        <f>INDEX(Define!B:B,MATCH(H317,Define!A:A))</f>
        <v>単体</v>
      </c>
      <c r="J317">
        <v>0</v>
      </c>
      <c r="K317">
        <v>0</v>
      </c>
      <c r="L317">
        <v>0</v>
      </c>
      <c r="M317">
        <v>5</v>
      </c>
      <c r="N317" t="str">
        <f>INDEX(Define!E:E,MATCH(M317,Define!D:D))</f>
        <v>闇</v>
      </c>
      <c r="O317">
        <v>6</v>
      </c>
      <c r="P317" t="str">
        <f>INDEX(Define!H:H,MATCH(O317,Define!G:G))</f>
        <v>強化</v>
      </c>
      <c r="Q317">
        <v>4</v>
      </c>
      <c r="R317" t="str">
        <f>INDEX(Define!K:K,MATCH(Q317,Define!J:J))</f>
        <v>自身</v>
      </c>
      <c r="S317">
        <v>4</v>
      </c>
      <c r="T317" t="str">
        <f>INDEX(Define!N:N,MATCH(S317,Define!M:M))</f>
        <v>自身</v>
      </c>
      <c r="U317">
        <v>1</v>
      </c>
      <c r="V317">
        <v>1</v>
      </c>
      <c r="W317">
        <v>1</v>
      </c>
      <c r="X317">
        <v>0</v>
      </c>
    </row>
    <row r="318" ht="12" customHeight="1" spans="1:24">
      <c r="A318">
        <v>405080</v>
      </c>
      <c r="B318">
        <v>405080</v>
      </c>
      <c r="C318" t="str">
        <f>INDEX(TextData!B:B,MATCH(B318,TextData!A:A))</f>
        <v>ポイズンブロウ+</v>
      </c>
      <c r="D318">
        <v>5</v>
      </c>
      <c r="E318" t="str">
        <f>INDEX(Define!X:X,MATCH(D318,Define!W:W))</f>
        <v>超次元</v>
      </c>
      <c r="F318">
        <v>501</v>
      </c>
      <c r="G318" t="str">
        <f>INDEX([1]Animations!B:B,MATCH(F318,[1]Animations!A:A))</f>
        <v>MakerEffect/DarknessOne1</v>
      </c>
      <c r="H318">
        <v>1</v>
      </c>
      <c r="I318" t="str">
        <f>INDEX(Define!B:B,MATCH(H318,Define!A:A))</f>
        <v>単体</v>
      </c>
      <c r="J318">
        <v>0</v>
      </c>
      <c r="K318">
        <v>0</v>
      </c>
      <c r="L318">
        <v>0</v>
      </c>
      <c r="M318">
        <v>5</v>
      </c>
      <c r="N318" t="str">
        <f>INDEX(Define!E:E,MATCH(M318,Define!D:D))</f>
        <v>闇</v>
      </c>
      <c r="O318">
        <v>6</v>
      </c>
      <c r="P318" t="str">
        <f>INDEX(Define!H:H,MATCH(O318,Define!G:G))</f>
        <v>強化</v>
      </c>
      <c r="Q318">
        <v>4</v>
      </c>
      <c r="R318" t="str">
        <f>INDEX(Define!K:K,MATCH(Q318,Define!J:J))</f>
        <v>自身</v>
      </c>
      <c r="S318">
        <v>4</v>
      </c>
      <c r="T318" t="str">
        <f>INDEX(Define!N:N,MATCH(S318,Define!M:M))</f>
        <v>自身</v>
      </c>
      <c r="U318">
        <v>1</v>
      </c>
      <c r="V318">
        <v>1</v>
      </c>
      <c r="W318">
        <v>1</v>
      </c>
      <c r="X318">
        <v>0</v>
      </c>
    </row>
    <row r="319" spans="1:24">
      <c r="A319">
        <v>411010</v>
      </c>
      <c r="B319">
        <v>411010</v>
      </c>
      <c r="C319" t="str">
        <f>INDEX(TextData!B:B,MATCH(B319,TextData!A:A))</f>
        <v>ウルフソウル+</v>
      </c>
      <c r="D319">
        <v>6</v>
      </c>
      <c r="E319" t="str">
        <f>INDEX(Define!X:X,MATCH(D319,Define!W:W))</f>
        <v>自己強化</v>
      </c>
      <c r="H319">
        <v>1</v>
      </c>
      <c r="I319" t="str">
        <f>INDEX(Define!B:B,MATCH(H319,Define!A:A))</f>
        <v>単体</v>
      </c>
      <c r="J319">
        <v>0</v>
      </c>
      <c r="K319">
        <v>0</v>
      </c>
      <c r="L319">
        <v>0</v>
      </c>
      <c r="M319">
        <v>1</v>
      </c>
      <c r="N319" t="str">
        <f>INDEX(Define!E:E,MATCH(M319,Define!D:D))</f>
        <v>炎</v>
      </c>
      <c r="O319">
        <v>6</v>
      </c>
      <c r="P319" t="str">
        <f>INDEX(Define!H:H,MATCH(O319,Define!G:G))</f>
        <v>強化</v>
      </c>
      <c r="Q319">
        <v>4</v>
      </c>
      <c r="R319" t="str">
        <f>INDEX(Define!K:K,MATCH(Q319,Define!J:J))</f>
        <v>自身</v>
      </c>
      <c r="S319">
        <v>4</v>
      </c>
      <c r="T319" t="str">
        <f>INDEX(Define!N:N,MATCH(S319,Define!M:M))</f>
        <v>自身</v>
      </c>
      <c r="U319">
        <v>1</v>
      </c>
      <c r="V319">
        <v>1</v>
      </c>
      <c r="W319">
        <v>1</v>
      </c>
      <c r="X319">
        <v>0</v>
      </c>
    </row>
    <row r="320" spans="1:24">
      <c r="A320">
        <v>411020</v>
      </c>
      <c r="B320">
        <v>411020</v>
      </c>
      <c r="C320" t="str">
        <f>INDEX(TextData!B:B,MATCH(B320,TextData!A:A))</f>
        <v>プリディカメント+</v>
      </c>
      <c r="D320">
        <v>6</v>
      </c>
      <c r="E320" t="str">
        <f>INDEX(Define!X:X,MATCH(D320,Define!W:W))</f>
        <v>自己強化</v>
      </c>
      <c r="H320">
        <v>1</v>
      </c>
      <c r="I320" t="str">
        <f>INDEX(Define!B:B,MATCH(H320,Define!A:A))</f>
        <v>単体</v>
      </c>
      <c r="J320">
        <v>0</v>
      </c>
      <c r="K320">
        <v>0</v>
      </c>
      <c r="L320">
        <v>0</v>
      </c>
      <c r="M320">
        <v>1</v>
      </c>
      <c r="N320" t="str">
        <f>INDEX(Define!E:E,MATCH(M320,Define!D:D))</f>
        <v>炎</v>
      </c>
      <c r="O320">
        <v>6</v>
      </c>
      <c r="P320" t="str">
        <f>INDEX(Define!H:H,MATCH(O320,Define!G:G))</f>
        <v>強化</v>
      </c>
      <c r="Q320">
        <v>4</v>
      </c>
      <c r="R320" t="str">
        <f>INDEX(Define!K:K,MATCH(Q320,Define!J:J))</f>
        <v>自身</v>
      </c>
      <c r="S320">
        <v>4</v>
      </c>
      <c r="T320" t="str">
        <f>INDEX(Define!N:N,MATCH(S320,Define!M:M))</f>
        <v>自身</v>
      </c>
      <c r="U320">
        <v>1</v>
      </c>
      <c r="V320">
        <v>1</v>
      </c>
      <c r="W320">
        <v>1</v>
      </c>
      <c r="X320">
        <v>0</v>
      </c>
    </row>
    <row r="321" spans="1:24">
      <c r="A321">
        <v>411030</v>
      </c>
      <c r="B321">
        <v>411030</v>
      </c>
      <c r="C321" t="str">
        <f>INDEX(TextData!B:B,MATCH(B321,TextData!A:A))</f>
        <v>アサルトシフト+</v>
      </c>
      <c r="D321">
        <v>6</v>
      </c>
      <c r="E321" t="str">
        <f>INDEX(Define!X:X,MATCH(D321,Define!W:W))</f>
        <v>自己強化</v>
      </c>
      <c r="H321">
        <v>1</v>
      </c>
      <c r="I321" t="str">
        <f>INDEX(Define!B:B,MATCH(H321,Define!A:A))</f>
        <v>単体</v>
      </c>
      <c r="J321">
        <v>0</v>
      </c>
      <c r="K321">
        <v>0</v>
      </c>
      <c r="L321">
        <v>0</v>
      </c>
      <c r="M321">
        <v>1</v>
      </c>
      <c r="N321" t="str">
        <f>INDEX(Define!E:E,MATCH(M321,Define!D:D))</f>
        <v>炎</v>
      </c>
      <c r="O321">
        <v>6</v>
      </c>
      <c r="P321" t="str">
        <f>INDEX(Define!H:H,MATCH(O321,Define!G:G))</f>
        <v>強化</v>
      </c>
      <c r="Q321">
        <v>4</v>
      </c>
      <c r="R321" t="str">
        <f>INDEX(Define!K:K,MATCH(Q321,Define!J:J))</f>
        <v>自身</v>
      </c>
      <c r="S321">
        <v>4</v>
      </c>
      <c r="T321" t="str">
        <f>INDEX(Define!N:N,MATCH(S321,Define!M:M))</f>
        <v>自身</v>
      </c>
      <c r="U321">
        <v>1</v>
      </c>
      <c r="V321">
        <v>1</v>
      </c>
      <c r="W321">
        <v>1</v>
      </c>
      <c r="X321">
        <v>0</v>
      </c>
    </row>
    <row r="322" spans="1:24">
      <c r="A322">
        <v>411040</v>
      </c>
      <c r="B322">
        <v>411040</v>
      </c>
      <c r="C322" t="str">
        <f>INDEX(TextData!B:B,MATCH(B322,TextData!A:A))</f>
        <v>アクティブギフト+</v>
      </c>
      <c r="D322">
        <v>6</v>
      </c>
      <c r="E322" t="str">
        <f>INDEX(Define!X:X,MATCH(D322,Define!W:W))</f>
        <v>自己強化</v>
      </c>
      <c r="H322">
        <v>1</v>
      </c>
      <c r="I322" t="str">
        <f>INDEX(Define!B:B,MATCH(H322,Define!A:A))</f>
        <v>単体</v>
      </c>
      <c r="J322">
        <v>0</v>
      </c>
      <c r="K322">
        <v>0</v>
      </c>
      <c r="L322">
        <v>0</v>
      </c>
      <c r="M322">
        <v>1</v>
      </c>
      <c r="N322" t="str">
        <f>INDEX(Define!E:E,MATCH(M322,Define!D:D))</f>
        <v>炎</v>
      </c>
      <c r="O322">
        <v>6</v>
      </c>
      <c r="P322" t="str">
        <f>INDEX(Define!H:H,MATCH(O322,Define!G:G))</f>
        <v>強化</v>
      </c>
      <c r="Q322">
        <v>4</v>
      </c>
      <c r="R322" t="str">
        <f>INDEX(Define!K:K,MATCH(Q322,Define!J:J))</f>
        <v>自身</v>
      </c>
      <c r="S322">
        <v>4</v>
      </c>
      <c r="T322" t="str">
        <f>INDEX(Define!N:N,MATCH(S322,Define!M:M))</f>
        <v>自身</v>
      </c>
      <c r="U322">
        <v>1</v>
      </c>
      <c r="V322">
        <v>1</v>
      </c>
      <c r="W322">
        <v>1</v>
      </c>
      <c r="X322">
        <v>0</v>
      </c>
    </row>
    <row r="323" spans="1:24">
      <c r="A323">
        <v>411050</v>
      </c>
      <c r="B323">
        <v>411050</v>
      </c>
      <c r="C323" t="str">
        <f>INDEX(TextData!B:B,MATCH(B323,TextData!A:A))</f>
        <v>イグナイテッド+</v>
      </c>
      <c r="D323">
        <v>6</v>
      </c>
      <c r="E323" t="str">
        <f>INDEX(Define!X:X,MATCH(D323,Define!W:W))</f>
        <v>自己強化</v>
      </c>
      <c r="H323">
        <v>1</v>
      </c>
      <c r="I323" t="str">
        <f>INDEX(Define!B:B,MATCH(H323,Define!A:A))</f>
        <v>単体</v>
      </c>
      <c r="J323">
        <v>0</v>
      </c>
      <c r="K323">
        <v>0</v>
      </c>
      <c r="L323">
        <v>0</v>
      </c>
      <c r="M323">
        <v>1</v>
      </c>
      <c r="N323" t="str">
        <f>INDEX(Define!E:E,MATCH(M323,Define!D:D))</f>
        <v>炎</v>
      </c>
      <c r="O323">
        <v>6</v>
      </c>
      <c r="P323" t="str">
        <f>INDEX(Define!H:H,MATCH(O323,Define!G:G))</f>
        <v>強化</v>
      </c>
      <c r="Q323">
        <v>4</v>
      </c>
      <c r="R323" t="str">
        <f>INDEX(Define!K:K,MATCH(Q323,Define!J:J))</f>
        <v>自身</v>
      </c>
      <c r="S323">
        <v>4</v>
      </c>
      <c r="T323" t="str">
        <f>INDEX(Define!N:N,MATCH(S323,Define!M:M))</f>
        <v>自身</v>
      </c>
      <c r="U323">
        <v>1</v>
      </c>
      <c r="V323">
        <v>1</v>
      </c>
      <c r="W323">
        <v>1</v>
      </c>
      <c r="X323">
        <v>0</v>
      </c>
    </row>
    <row r="324" spans="1:24">
      <c r="A324">
        <v>411060</v>
      </c>
      <c r="B324">
        <v>411060</v>
      </c>
      <c r="C324" t="str">
        <f>INDEX(TextData!B:B,MATCH(B324,TextData!A:A))</f>
        <v>ライジングファイア+</v>
      </c>
      <c r="D324">
        <v>6</v>
      </c>
      <c r="E324" t="str">
        <f>INDEX(Define!X:X,MATCH(D324,Define!W:W))</f>
        <v>自己強化</v>
      </c>
      <c r="H324">
        <v>1</v>
      </c>
      <c r="I324" t="str">
        <f>INDEX(Define!B:B,MATCH(H324,Define!A:A))</f>
        <v>単体</v>
      </c>
      <c r="J324">
        <v>0</v>
      </c>
      <c r="K324">
        <v>0</v>
      </c>
      <c r="L324">
        <v>0</v>
      </c>
      <c r="M324">
        <v>1</v>
      </c>
      <c r="N324" t="str">
        <f>INDEX(Define!E:E,MATCH(M324,Define!D:D))</f>
        <v>炎</v>
      </c>
      <c r="O324">
        <v>6</v>
      </c>
      <c r="P324" t="str">
        <f>INDEX(Define!H:H,MATCH(O324,Define!G:G))</f>
        <v>強化</v>
      </c>
      <c r="Q324">
        <v>4</v>
      </c>
      <c r="R324" t="str">
        <f>INDEX(Define!K:K,MATCH(Q324,Define!J:J))</f>
        <v>自身</v>
      </c>
      <c r="S324">
        <v>4</v>
      </c>
      <c r="T324" t="str">
        <f>INDEX(Define!N:N,MATCH(S324,Define!M:M))</f>
        <v>自身</v>
      </c>
      <c r="U324">
        <v>1</v>
      </c>
      <c r="V324">
        <v>1</v>
      </c>
      <c r="W324">
        <v>1</v>
      </c>
      <c r="X324">
        <v>0</v>
      </c>
    </row>
    <row r="325" spans="1:24">
      <c r="A325">
        <v>411070</v>
      </c>
      <c r="B325">
        <v>411070</v>
      </c>
      <c r="C325" t="str">
        <f>INDEX(TextData!B:B,MATCH(B325,TextData!A:A))</f>
        <v>ルージュバック+</v>
      </c>
      <c r="D325">
        <v>6</v>
      </c>
      <c r="E325" t="str">
        <f>INDEX(Define!X:X,MATCH(D325,Define!W:W))</f>
        <v>自己強化</v>
      </c>
      <c r="H325">
        <v>1</v>
      </c>
      <c r="I325" t="str">
        <f>INDEX(Define!B:B,MATCH(H325,Define!A:A))</f>
        <v>単体</v>
      </c>
      <c r="J325">
        <v>0</v>
      </c>
      <c r="K325">
        <v>0</v>
      </c>
      <c r="L325">
        <v>0</v>
      </c>
      <c r="M325">
        <v>1</v>
      </c>
      <c r="N325" t="str">
        <f>INDEX(Define!E:E,MATCH(M325,Define!D:D))</f>
        <v>炎</v>
      </c>
      <c r="O325">
        <v>6</v>
      </c>
      <c r="P325" t="str">
        <f>INDEX(Define!H:H,MATCH(O325,Define!G:G))</f>
        <v>強化</v>
      </c>
      <c r="Q325">
        <v>4</v>
      </c>
      <c r="R325" t="str">
        <f>INDEX(Define!K:K,MATCH(Q325,Define!J:J))</f>
        <v>自身</v>
      </c>
      <c r="S325">
        <v>4</v>
      </c>
      <c r="T325" t="str">
        <f>INDEX(Define!N:N,MATCH(S325,Define!M:M))</f>
        <v>自身</v>
      </c>
      <c r="U325">
        <v>1</v>
      </c>
      <c r="V325">
        <v>1</v>
      </c>
      <c r="W325">
        <v>1</v>
      </c>
      <c r="X325">
        <v>0</v>
      </c>
    </row>
    <row r="326" spans="1:24">
      <c r="A326">
        <v>411080</v>
      </c>
      <c r="B326">
        <v>411080</v>
      </c>
      <c r="C326" t="str">
        <f>INDEX(TextData!B:B,MATCH(B326,TextData!A:A))</f>
        <v>パワーエール+</v>
      </c>
      <c r="D326">
        <v>6</v>
      </c>
      <c r="E326" t="str">
        <f>INDEX(Define!X:X,MATCH(D326,Define!W:W))</f>
        <v>自己強化</v>
      </c>
      <c r="H326">
        <v>1</v>
      </c>
      <c r="I326" t="str">
        <f>INDEX(Define!B:B,MATCH(H326,Define!A:A))</f>
        <v>単体</v>
      </c>
      <c r="J326">
        <v>0</v>
      </c>
      <c r="K326">
        <v>0</v>
      </c>
      <c r="L326">
        <v>0</v>
      </c>
      <c r="M326">
        <v>1</v>
      </c>
      <c r="N326" t="str">
        <f>INDEX(Define!E:E,MATCH(M326,Define!D:D))</f>
        <v>炎</v>
      </c>
      <c r="O326">
        <v>6</v>
      </c>
      <c r="P326" t="str">
        <f>INDEX(Define!H:H,MATCH(O326,Define!G:G))</f>
        <v>強化</v>
      </c>
      <c r="Q326">
        <v>4</v>
      </c>
      <c r="R326" t="str">
        <f>INDEX(Define!K:K,MATCH(Q326,Define!J:J))</f>
        <v>自身</v>
      </c>
      <c r="S326">
        <v>4</v>
      </c>
      <c r="T326" t="str">
        <f>INDEX(Define!N:N,MATCH(S326,Define!M:M))</f>
        <v>自身</v>
      </c>
      <c r="U326">
        <v>1</v>
      </c>
      <c r="V326">
        <v>1</v>
      </c>
      <c r="W326">
        <v>1</v>
      </c>
      <c r="X326">
        <v>0</v>
      </c>
    </row>
    <row r="327" spans="1:24">
      <c r="A327">
        <v>411090</v>
      </c>
      <c r="B327">
        <v>411090</v>
      </c>
      <c r="C327" t="str">
        <f>INDEX(TextData!B:B,MATCH(B327,TextData!A:A))</f>
        <v>スレイプニル+</v>
      </c>
      <c r="D327">
        <v>6</v>
      </c>
      <c r="E327" t="str">
        <f>INDEX(Define!X:X,MATCH(D327,Define!W:W))</f>
        <v>自己強化</v>
      </c>
      <c r="H327">
        <v>1</v>
      </c>
      <c r="I327" t="str">
        <f>INDEX(Define!B:B,MATCH(H327,Define!A:A))</f>
        <v>単体</v>
      </c>
      <c r="J327">
        <v>0</v>
      </c>
      <c r="K327">
        <v>0</v>
      </c>
      <c r="L327">
        <v>0</v>
      </c>
      <c r="M327">
        <v>1</v>
      </c>
      <c r="N327" t="str">
        <f>INDEX(Define!E:E,MATCH(M327,Define!D:D))</f>
        <v>炎</v>
      </c>
      <c r="O327">
        <v>6</v>
      </c>
      <c r="P327" t="str">
        <f>INDEX(Define!H:H,MATCH(O327,Define!G:G))</f>
        <v>強化</v>
      </c>
      <c r="Q327">
        <v>4</v>
      </c>
      <c r="R327" t="str">
        <f>INDEX(Define!K:K,MATCH(Q327,Define!J:J))</f>
        <v>自身</v>
      </c>
      <c r="S327">
        <v>4</v>
      </c>
      <c r="T327" t="str">
        <f>INDEX(Define!N:N,MATCH(S327,Define!M:M))</f>
        <v>自身</v>
      </c>
      <c r="U327">
        <v>1</v>
      </c>
      <c r="V327">
        <v>1</v>
      </c>
      <c r="W327">
        <v>1</v>
      </c>
      <c r="X327">
        <v>0</v>
      </c>
    </row>
    <row r="328" spans="1:24">
      <c r="A328">
        <v>412010</v>
      </c>
      <c r="B328">
        <v>412010</v>
      </c>
      <c r="C328" t="str">
        <f>INDEX(TextData!B:B,MATCH(B328,TextData!A:A))</f>
        <v>エクステンション+</v>
      </c>
      <c r="D328">
        <v>6</v>
      </c>
      <c r="E328" t="str">
        <f>INDEX(Define!X:X,MATCH(D328,Define!W:W))</f>
        <v>自己強化</v>
      </c>
      <c r="H328">
        <v>1</v>
      </c>
      <c r="I328" t="str">
        <f>INDEX(Define!B:B,MATCH(H328,Define!A:A))</f>
        <v>単体</v>
      </c>
      <c r="J328">
        <v>0</v>
      </c>
      <c r="K328">
        <v>0</v>
      </c>
      <c r="L328">
        <v>0</v>
      </c>
      <c r="M328">
        <v>2</v>
      </c>
      <c r="N328" t="str">
        <f>INDEX(Define!E:E,MATCH(M328,Define!D:D))</f>
        <v>雷</v>
      </c>
      <c r="O328">
        <v>6</v>
      </c>
      <c r="P328" t="str">
        <f>INDEX(Define!H:H,MATCH(O328,Define!G:G))</f>
        <v>強化</v>
      </c>
      <c r="Q328">
        <v>4</v>
      </c>
      <c r="R328" t="str">
        <f>INDEX(Define!K:K,MATCH(Q328,Define!J:J))</f>
        <v>自身</v>
      </c>
      <c r="S328">
        <v>4</v>
      </c>
      <c r="T328" t="str">
        <f>INDEX(Define!N:N,MATCH(S328,Define!M:M))</f>
        <v>自身</v>
      </c>
      <c r="U328">
        <v>1</v>
      </c>
      <c r="V328">
        <v>1</v>
      </c>
      <c r="W328">
        <v>1</v>
      </c>
      <c r="X328">
        <v>0</v>
      </c>
    </row>
    <row r="329" spans="1:24">
      <c r="A329">
        <v>412020</v>
      </c>
      <c r="B329">
        <v>412020</v>
      </c>
      <c r="C329" t="str">
        <f>INDEX(TextData!B:B,MATCH(B329,TextData!A:A))</f>
        <v>ヘブンリーラック+</v>
      </c>
      <c r="D329">
        <v>6</v>
      </c>
      <c r="E329" t="str">
        <f>INDEX(Define!X:X,MATCH(D329,Define!W:W))</f>
        <v>自己強化</v>
      </c>
      <c r="H329">
        <v>1</v>
      </c>
      <c r="I329" t="str">
        <f>INDEX(Define!B:B,MATCH(H329,Define!A:A))</f>
        <v>単体</v>
      </c>
      <c r="J329">
        <v>0</v>
      </c>
      <c r="K329">
        <v>0</v>
      </c>
      <c r="L329">
        <v>0</v>
      </c>
      <c r="M329">
        <v>2</v>
      </c>
      <c r="N329" t="str">
        <f>INDEX(Define!E:E,MATCH(M329,Define!D:D))</f>
        <v>雷</v>
      </c>
      <c r="O329">
        <v>6</v>
      </c>
      <c r="P329" t="str">
        <f>INDEX(Define!H:H,MATCH(O329,Define!G:G))</f>
        <v>強化</v>
      </c>
      <c r="Q329">
        <v>4</v>
      </c>
      <c r="R329" t="str">
        <f>INDEX(Define!K:K,MATCH(Q329,Define!J:J))</f>
        <v>自身</v>
      </c>
      <c r="S329">
        <v>4</v>
      </c>
      <c r="T329" t="str">
        <f>INDEX(Define!N:N,MATCH(S329,Define!M:M))</f>
        <v>自身</v>
      </c>
      <c r="U329">
        <v>1</v>
      </c>
      <c r="V329">
        <v>1</v>
      </c>
      <c r="W329">
        <v>1</v>
      </c>
      <c r="X329">
        <v>0</v>
      </c>
    </row>
    <row r="330" spans="1:24">
      <c r="A330">
        <v>412030</v>
      </c>
      <c r="B330">
        <v>412030</v>
      </c>
      <c r="C330" t="str">
        <f>INDEX(TextData!B:B,MATCH(B330,TextData!A:A))</f>
        <v>スウィフトカレント+</v>
      </c>
      <c r="D330">
        <v>6</v>
      </c>
      <c r="E330" t="str">
        <f>INDEX(Define!X:X,MATCH(D330,Define!W:W))</f>
        <v>自己強化</v>
      </c>
      <c r="H330">
        <v>1</v>
      </c>
      <c r="I330" t="s">
        <v>18</v>
      </c>
      <c r="J330">
        <v>0</v>
      </c>
      <c r="K330">
        <v>0</v>
      </c>
      <c r="L330">
        <v>0</v>
      </c>
      <c r="M330">
        <v>2</v>
      </c>
      <c r="N330" t="str">
        <f>INDEX(Define!E:E,MATCH(M330,Define!D:D))</f>
        <v>雷</v>
      </c>
      <c r="O330">
        <v>6</v>
      </c>
      <c r="P330" t="str">
        <f>INDEX(Define!H:H,MATCH(O330,Define!G:G))</f>
        <v>強化</v>
      </c>
      <c r="Q330">
        <v>4</v>
      </c>
      <c r="R330" t="str">
        <f>INDEX(Define!K:K,MATCH(Q330,Define!J:J))</f>
        <v>自身</v>
      </c>
      <c r="S330">
        <v>4</v>
      </c>
      <c r="T330" t="str">
        <f>INDEX(Define!N:N,MATCH(S330,Define!M:M))</f>
        <v>自身</v>
      </c>
      <c r="U330">
        <v>1</v>
      </c>
      <c r="V330">
        <v>1</v>
      </c>
      <c r="W330">
        <v>1</v>
      </c>
      <c r="X330">
        <v>0</v>
      </c>
    </row>
    <row r="331" spans="1:24">
      <c r="A331">
        <v>412040</v>
      </c>
      <c r="B331">
        <v>412040</v>
      </c>
      <c r="C331" t="str">
        <f>INDEX(TextData!B:B,MATCH(B331,TextData!A:A))</f>
        <v>イヴェイドオール+</v>
      </c>
      <c r="D331">
        <v>6</v>
      </c>
      <c r="E331" t="str">
        <f>INDEX(Define!X:X,MATCH(D331,Define!W:W))</f>
        <v>自己強化</v>
      </c>
      <c r="H331">
        <v>1</v>
      </c>
      <c r="I331" t="s">
        <v>18</v>
      </c>
      <c r="J331">
        <v>0</v>
      </c>
      <c r="K331">
        <v>0</v>
      </c>
      <c r="L331">
        <v>0</v>
      </c>
      <c r="M331">
        <v>2</v>
      </c>
      <c r="N331" t="str">
        <f>INDEX(Define!E:E,MATCH(M331,Define!D:D))</f>
        <v>雷</v>
      </c>
      <c r="O331">
        <v>6</v>
      </c>
      <c r="P331" t="str">
        <f>INDEX(Define!H:H,MATCH(O331,Define!G:G))</f>
        <v>強化</v>
      </c>
      <c r="Q331">
        <v>4</v>
      </c>
      <c r="R331" t="str">
        <f>INDEX(Define!K:K,MATCH(Q331,Define!J:J))</f>
        <v>自身</v>
      </c>
      <c r="S331">
        <v>4</v>
      </c>
      <c r="T331" t="str">
        <f>INDEX(Define!N:N,MATCH(S331,Define!M:M))</f>
        <v>自身</v>
      </c>
      <c r="U331">
        <v>1</v>
      </c>
      <c r="V331">
        <v>1</v>
      </c>
      <c r="W331">
        <v>1</v>
      </c>
      <c r="X331">
        <v>0</v>
      </c>
    </row>
    <row r="332" spans="1:24">
      <c r="A332">
        <v>412050</v>
      </c>
      <c r="B332">
        <v>412050</v>
      </c>
      <c r="C332" t="str">
        <f>INDEX(TextData!B:B,MATCH(B332,TextData!A:A))</f>
        <v>クイックムーブ+</v>
      </c>
      <c r="D332">
        <v>6</v>
      </c>
      <c r="E332" t="str">
        <f>INDEX(Define!X:X,MATCH(D332,Define!W:W))</f>
        <v>自己強化</v>
      </c>
      <c r="H332">
        <v>1</v>
      </c>
      <c r="I332" t="s">
        <v>18</v>
      </c>
      <c r="J332">
        <v>0</v>
      </c>
      <c r="K332">
        <v>0</v>
      </c>
      <c r="L332">
        <v>0</v>
      </c>
      <c r="M332">
        <v>2</v>
      </c>
      <c r="N332" t="str">
        <f>INDEX(Define!E:E,MATCH(M332,Define!D:D))</f>
        <v>雷</v>
      </c>
      <c r="O332">
        <v>6</v>
      </c>
      <c r="P332" t="str">
        <f>INDEX(Define!H:H,MATCH(O332,Define!G:G))</f>
        <v>強化</v>
      </c>
      <c r="Q332">
        <v>4</v>
      </c>
      <c r="R332" t="str">
        <f>INDEX(Define!K:K,MATCH(Q332,Define!J:J))</f>
        <v>自身</v>
      </c>
      <c r="S332">
        <v>4</v>
      </c>
      <c r="T332" t="str">
        <f>INDEX(Define!N:N,MATCH(S332,Define!M:M))</f>
        <v>自身</v>
      </c>
      <c r="U332">
        <v>1</v>
      </c>
      <c r="V332">
        <v>1</v>
      </c>
      <c r="W332">
        <v>1</v>
      </c>
      <c r="X332">
        <v>0</v>
      </c>
    </row>
    <row r="333" spans="1:24">
      <c r="A333">
        <v>412060</v>
      </c>
      <c r="B333">
        <v>412060</v>
      </c>
      <c r="C333" t="str">
        <f>INDEX(TextData!B:B,MATCH(B333,TextData!A:A))</f>
        <v>チェイスマジック+</v>
      </c>
      <c r="D333">
        <v>6</v>
      </c>
      <c r="E333" t="str">
        <f>INDEX(Define!X:X,MATCH(D333,Define!W:W))</f>
        <v>自己強化</v>
      </c>
      <c r="H333">
        <v>1</v>
      </c>
      <c r="I333" t="s">
        <v>18</v>
      </c>
      <c r="J333">
        <v>0</v>
      </c>
      <c r="K333">
        <v>0</v>
      </c>
      <c r="L333">
        <v>0</v>
      </c>
      <c r="M333">
        <v>2</v>
      </c>
      <c r="N333" t="str">
        <f>INDEX(Define!E:E,MATCH(M333,Define!D:D))</f>
        <v>雷</v>
      </c>
      <c r="O333">
        <v>6</v>
      </c>
      <c r="P333" t="str">
        <f>INDEX(Define!H:H,MATCH(O333,Define!G:G))</f>
        <v>強化</v>
      </c>
      <c r="Q333">
        <v>4</v>
      </c>
      <c r="R333" t="str">
        <f>INDEX(Define!K:K,MATCH(Q333,Define!J:J))</f>
        <v>自身</v>
      </c>
      <c r="S333">
        <v>4</v>
      </c>
      <c r="T333" t="str">
        <f>INDEX(Define!N:N,MATCH(S333,Define!M:M))</f>
        <v>自身</v>
      </c>
      <c r="U333">
        <v>1</v>
      </c>
      <c r="V333">
        <v>1</v>
      </c>
      <c r="W333">
        <v>1</v>
      </c>
      <c r="X333">
        <v>0</v>
      </c>
    </row>
    <row r="334" spans="1:24">
      <c r="A334">
        <v>412070</v>
      </c>
      <c r="B334">
        <v>412070</v>
      </c>
      <c r="C334" t="str">
        <f>INDEX(TextData!B:B,MATCH(B334,TextData!A:A))</f>
        <v>ソーサリーコネクト+</v>
      </c>
      <c r="D334">
        <v>6</v>
      </c>
      <c r="E334" t="str">
        <f>INDEX(Define!X:X,MATCH(D334,Define!W:W))</f>
        <v>自己強化</v>
      </c>
      <c r="H334">
        <v>1</v>
      </c>
      <c r="I334" t="s">
        <v>18</v>
      </c>
      <c r="J334">
        <v>0</v>
      </c>
      <c r="K334">
        <v>0</v>
      </c>
      <c r="L334">
        <v>0</v>
      </c>
      <c r="M334">
        <v>2</v>
      </c>
      <c r="N334" t="str">
        <f>INDEX(Define!E:E,MATCH(M334,Define!D:D))</f>
        <v>雷</v>
      </c>
      <c r="O334">
        <v>6</v>
      </c>
      <c r="P334" t="str">
        <f>INDEX(Define!H:H,MATCH(O334,Define!G:G))</f>
        <v>強化</v>
      </c>
      <c r="Q334">
        <v>4</v>
      </c>
      <c r="R334" t="str">
        <f>INDEX(Define!K:K,MATCH(Q334,Define!J:J))</f>
        <v>自身</v>
      </c>
      <c r="S334">
        <v>4</v>
      </c>
      <c r="T334" t="str">
        <f>INDEX(Define!N:N,MATCH(S334,Define!M:M))</f>
        <v>自身</v>
      </c>
      <c r="U334">
        <v>1</v>
      </c>
      <c r="V334">
        <v>1</v>
      </c>
      <c r="W334">
        <v>1</v>
      </c>
      <c r="X334">
        <v>0</v>
      </c>
    </row>
    <row r="335" spans="1:24">
      <c r="A335">
        <v>412080</v>
      </c>
      <c r="B335">
        <v>412080</v>
      </c>
      <c r="C335" t="str">
        <f>INDEX(TextData!B:B,MATCH(B335,TextData!A:A))</f>
        <v>ウィンドライズ+</v>
      </c>
      <c r="D335">
        <v>6</v>
      </c>
      <c r="E335" t="str">
        <f>INDEX(Define!X:X,MATCH(D335,Define!W:W))</f>
        <v>自己強化</v>
      </c>
      <c r="H335">
        <v>1</v>
      </c>
      <c r="I335" t="s">
        <v>18</v>
      </c>
      <c r="J335">
        <v>0</v>
      </c>
      <c r="K335">
        <v>0</v>
      </c>
      <c r="L335">
        <v>0</v>
      </c>
      <c r="M335">
        <v>2</v>
      </c>
      <c r="N335" t="str">
        <f>INDEX(Define!E:E,MATCH(M335,Define!D:D))</f>
        <v>雷</v>
      </c>
      <c r="O335">
        <v>6</v>
      </c>
      <c r="P335" t="str">
        <f>INDEX(Define!H:H,MATCH(O335,Define!G:G))</f>
        <v>強化</v>
      </c>
      <c r="Q335">
        <v>4</v>
      </c>
      <c r="R335" t="str">
        <f>INDEX(Define!K:K,MATCH(Q335,Define!J:J))</f>
        <v>自身</v>
      </c>
      <c r="S335">
        <v>4</v>
      </c>
      <c r="T335" t="str">
        <f>INDEX(Define!N:N,MATCH(S335,Define!M:M))</f>
        <v>自身</v>
      </c>
      <c r="U335">
        <v>1</v>
      </c>
      <c r="V335">
        <v>1</v>
      </c>
      <c r="W335">
        <v>1</v>
      </c>
      <c r="X335">
        <v>0</v>
      </c>
    </row>
    <row r="336" spans="1:24">
      <c r="A336">
        <v>412090</v>
      </c>
      <c r="B336">
        <v>412090</v>
      </c>
      <c r="C336" t="str">
        <f>INDEX(TextData!B:B,MATCH(B336,TextData!A:A))</f>
        <v>アウトオブオーダー+</v>
      </c>
      <c r="D336">
        <v>6</v>
      </c>
      <c r="E336" t="str">
        <f>INDEX(Define!X:X,MATCH(D336,Define!W:W))</f>
        <v>自己強化</v>
      </c>
      <c r="H336">
        <v>1</v>
      </c>
      <c r="I336" t="s">
        <v>18</v>
      </c>
      <c r="J336">
        <v>0</v>
      </c>
      <c r="K336">
        <v>0</v>
      </c>
      <c r="L336">
        <v>0</v>
      </c>
      <c r="M336">
        <v>2</v>
      </c>
      <c r="N336" t="str">
        <f>INDEX(Define!E:E,MATCH(M336,Define!D:D))</f>
        <v>雷</v>
      </c>
      <c r="O336">
        <v>6</v>
      </c>
      <c r="P336" t="str">
        <f>INDEX(Define!H:H,MATCH(O336,Define!G:G))</f>
        <v>強化</v>
      </c>
      <c r="Q336">
        <v>4</v>
      </c>
      <c r="R336" t="str">
        <f>INDEX(Define!K:K,MATCH(Q336,Define!J:J))</f>
        <v>自身</v>
      </c>
      <c r="S336">
        <v>4</v>
      </c>
      <c r="T336" t="str">
        <f>INDEX(Define!N:N,MATCH(S336,Define!M:M))</f>
        <v>自身</v>
      </c>
      <c r="U336">
        <v>1</v>
      </c>
      <c r="V336">
        <v>1</v>
      </c>
      <c r="W336">
        <v>1</v>
      </c>
      <c r="X336">
        <v>0</v>
      </c>
    </row>
    <row r="337" spans="1:24">
      <c r="A337">
        <v>413010</v>
      </c>
      <c r="B337">
        <v>413010</v>
      </c>
      <c r="C337" t="str">
        <f>INDEX(TextData!B:B,MATCH(B337,TextData!A:A))</f>
        <v>アーマーコード+</v>
      </c>
      <c r="D337">
        <v>6</v>
      </c>
      <c r="E337" t="str">
        <f>INDEX(Define!X:X,MATCH(D337,Define!W:W))</f>
        <v>自己強化</v>
      </c>
      <c r="H337">
        <v>1</v>
      </c>
      <c r="I337" t="s">
        <v>18</v>
      </c>
      <c r="J337">
        <v>0</v>
      </c>
      <c r="K337">
        <v>0</v>
      </c>
      <c r="L337">
        <v>0</v>
      </c>
      <c r="M337">
        <v>3</v>
      </c>
      <c r="N337" t="str">
        <f>INDEX(Define!E:E,MATCH(M337,Define!D:D))</f>
        <v>氷</v>
      </c>
      <c r="O337">
        <v>6</v>
      </c>
      <c r="P337" t="str">
        <f>INDEX(Define!H:H,MATCH(O337,Define!G:G))</f>
        <v>強化</v>
      </c>
      <c r="Q337">
        <v>4</v>
      </c>
      <c r="R337" t="str">
        <f>INDEX(Define!K:K,MATCH(Q337,Define!J:J))</f>
        <v>自身</v>
      </c>
      <c r="S337">
        <v>4</v>
      </c>
      <c r="T337" t="str">
        <f>INDEX(Define!N:N,MATCH(S337,Define!M:M))</f>
        <v>自身</v>
      </c>
      <c r="U337">
        <v>1</v>
      </c>
      <c r="V337">
        <v>1</v>
      </c>
      <c r="W337">
        <v>1</v>
      </c>
      <c r="X337">
        <v>0</v>
      </c>
    </row>
    <row r="338" ht="12" customHeight="1" spans="1:24">
      <c r="A338">
        <v>413020</v>
      </c>
      <c r="B338">
        <v>413020</v>
      </c>
      <c r="C338" t="str">
        <f>INDEX(TextData!B:B,MATCH(B338,TextData!A:A))</f>
        <v>クイックバリア+</v>
      </c>
      <c r="D338">
        <v>6</v>
      </c>
      <c r="E338" t="str">
        <f>INDEX(Define!X:X,MATCH(D338,Define!W:W))</f>
        <v>自己強化</v>
      </c>
      <c r="H338">
        <v>1</v>
      </c>
      <c r="I338" t="str">
        <f>INDEX(Define!B:B,MATCH(H338,Define!A:A))</f>
        <v>単体</v>
      </c>
      <c r="J338">
        <v>0</v>
      </c>
      <c r="K338">
        <v>0</v>
      </c>
      <c r="L338">
        <v>0</v>
      </c>
      <c r="M338">
        <v>3</v>
      </c>
      <c r="N338" t="str">
        <f>INDEX(Define!E:E,MATCH(M338,Define!D:D))</f>
        <v>氷</v>
      </c>
      <c r="O338">
        <v>6</v>
      </c>
      <c r="P338" t="str">
        <f>INDEX(Define!H:H,MATCH(O338,Define!G:G))</f>
        <v>強化</v>
      </c>
      <c r="Q338">
        <v>4</v>
      </c>
      <c r="R338" t="str">
        <f>INDEX(Define!K:K,MATCH(Q338,Define!J:J))</f>
        <v>自身</v>
      </c>
      <c r="S338">
        <v>4</v>
      </c>
      <c r="T338" t="str">
        <f>INDEX(Define!N:N,MATCH(S338,Define!M:M))</f>
        <v>自身</v>
      </c>
      <c r="U338">
        <v>1</v>
      </c>
      <c r="V338">
        <v>1</v>
      </c>
      <c r="W338">
        <v>1</v>
      </c>
      <c r="X338">
        <v>0</v>
      </c>
    </row>
    <row r="339" ht="12" customHeight="1" spans="1:24">
      <c r="A339">
        <v>413030</v>
      </c>
      <c r="B339">
        <v>413030</v>
      </c>
      <c r="C339" t="str">
        <f>INDEX(TextData!B:B,MATCH(B339,TextData!A:A))</f>
        <v>クイックキュア+</v>
      </c>
      <c r="D339">
        <v>6</v>
      </c>
      <c r="E339" t="str">
        <f>INDEX(Define!X:X,MATCH(D339,Define!W:W))</f>
        <v>自己強化</v>
      </c>
      <c r="H339">
        <v>1</v>
      </c>
      <c r="I339" t="str">
        <f>INDEX(Define!B:B,MATCH(H339,Define!A:A))</f>
        <v>単体</v>
      </c>
      <c r="J339">
        <v>0</v>
      </c>
      <c r="K339">
        <v>0</v>
      </c>
      <c r="L339">
        <v>0</v>
      </c>
      <c r="M339">
        <v>3</v>
      </c>
      <c r="N339" t="str">
        <f>INDEX(Define!E:E,MATCH(M339,Define!D:D))</f>
        <v>氷</v>
      </c>
      <c r="O339">
        <v>6</v>
      </c>
      <c r="P339" t="str">
        <f>INDEX(Define!H:H,MATCH(O339,Define!G:G))</f>
        <v>強化</v>
      </c>
      <c r="Q339">
        <v>4</v>
      </c>
      <c r="R339" t="str">
        <f>INDEX(Define!K:K,MATCH(Q339,Define!J:J))</f>
        <v>自身</v>
      </c>
      <c r="S339">
        <v>4</v>
      </c>
      <c r="T339" t="str">
        <f>INDEX(Define!N:N,MATCH(S339,Define!M:M))</f>
        <v>自身</v>
      </c>
      <c r="U339">
        <v>1</v>
      </c>
      <c r="V339">
        <v>1</v>
      </c>
      <c r="W339">
        <v>1</v>
      </c>
      <c r="X339">
        <v>0</v>
      </c>
    </row>
    <row r="340" spans="1:24">
      <c r="A340">
        <v>413040</v>
      </c>
      <c r="B340">
        <v>413040</v>
      </c>
      <c r="C340" t="str">
        <f>INDEX(TextData!B:B,MATCH(B340,TextData!A:A))</f>
        <v>セルフシールド+</v>
      </c>
      <c r="D340">
        <v>6</v>
      </c>
      <c r="E340" t="str">
        <f>INDEX(Define!X:X,MATCH(D340,Define!W:W))</f>
        <v>自己強化</v>
      </c>
      <c r="H340">
        <v>1</v>
      </c>
      <c r="I340" t="str">
        <f>INDEX(Define!B:B,MATCH(H340,Define!A:A))</f>
        <v>単体</v>
      </c>
      <c r="J340">
        <v>0</v>
      </c>
      <c r="K340">
        <v>0</v>
      </c>
      <c r="L340">
        <v>0</v>
      </c>
      <c r="M340">
        <v>3</v>
      </c>
      <c r="N340" t="str">
        <f>INDEX(Define!E:E,MATCH(M340,Define!D:D))</f>
        <v>氷</v>
      </c>
      <c r="O340">
        <v>6</v>
      </c>
      <c r="P340" t="str">
        <f>INDEX(Define!H:H,MATCH(O340,Define!G:G))</f>
        <v>強化</v>
      </c>
      <c r="Q340">
        <v>4</v>
      </c>
      <c r="R340" t="str">
        <f>INDEX(Define!K:K,MATCH(Q340,Define!J:J))</f>
        <v>自身</v>
      </c>
      <c r="S340">
        <v>4</v>
      </c>
      <c r="T340" t="str">
        <f>INDEX(Define!N:N,MATCH(S340,Define!M:M))</f>
        <v>自身</v>
      </c>
      <c r="U340">
        <v>1</v>
      </c>
      <c r="V340">
        <v>1</v>
      </c>
      <c r="W340">
        <v>1</v>
      </c>
      <c r="X340">
        <v>0</v>
      </c>
    </row>
    <row r="341" spans="1:24">
      <c r="A341">
        <v>413050</v>
      </c>
      <c r="B341">
        <v>413050</v>
      </c>
      <c r="C341" t="str">
        <f>INDEX(TextData!B:B,MATCH(B341,TextData!A:A))</f>
        <v>パッシブジャミング+</v>
      </c>
      <c r="D341">
        <v>6</v>
      </c>
      <c r="E341" t="str">
        <f>INDEX(Define!X:X,MATCH(D341,Define!W:W))</f>
        <v>自己強化</v>
      </c>
      <c r="H341">
        <v>1</v>
      </c>
      <c r="I341" t="str">
        <f>INDEX(Define!B:B,MATCH(H341,Define!A:A))</f>
        <v>単体</v>
      </c>
      <c r="J341">
        <v>0</v>
      </c>
      <c r="K341">
        <v>0</v>
      </c>
      <c r="L341">
        <v>0</v>
      </c>
      <c r="M341">
        <v>3</v>
      </c>
      <c r="N341" t="str">
        <f>INDEX(Define!E:E,MATCH(M341,Define!D:D))</f>
        <v>氷</v>
      </c>
      <c r="O341">
        <v>6</v>
      </c>
      <c r="P341" t="str">
        <f>INDEX(Define!H:H,MATCH(O341,Define!G:G))</f>
        <v>強化</v>
      </c>
      <c r="Q341">
        <v>4</v>
      </c>
      <c r="R341" t="str">
        <f>INDEX(Define!K:K,MATCH(Q341,Define!J:J))</f>
        <v>自身</v>
      </c>
      <c r="S341">
        <v>4</v>
      </c>
      <c r="T341" t="str">
        <f>INDEX(Define!N:N,MATCH(S341,Define!M:M))</f>
        <v>自身</v>
      </c>
      <c r="U341">
        <v>1</v>
      </c>
      <c r="V341">
        <v>1</v>
      </c>
      <c r="W341">
        <v>1</v>
      </c>
      <c r="X341">
        <v>0</v>
      </c>
    </row>
    <row r="342" spans="1:24">
      <c r="A342">
        <v>413060</v>
      </c>
      <c r="B342">
        <v>413060</v>
      </c>
      <c r="C342" t="str">
        <f>INDEX(TextData!B:B,MATCH(B342,TextData!A:A))</f>
        <v>サプライカバー+</v>
      </c>
      <c r="D342">
        <v>6</v>
      </c>
      <c r="E342" t="str">
        <f>INDEX(Define!X:X,MATCH(D342,Define!W:W))</f>
        <v>自己強化</v>
      </c>
      <c r="H342">
        <v>1</v>
      </c>
      <c r="I342" t="str">
        <f>INDEX(Define!B:B,MATCH(H342,Define!A:A))</f>
        <v>単体</v>
      </c>
      <c r="J342">
        <v>0</v>
      </c>
      <c r="K342">
        <v>0</v>
      </c>
      <c r="L342">
        <v>0</v>
      </c>
      <c r="M342">
        <v>3</v>
      </c>
      <c r="N342" t="str">
        <f>INDEX(Define!E:E,MATCH(M342,Define!D:D))</f>
        <v>氷</v>
      </c>
      <c r="O342">
        <v>6</v>
      </c>
      <c r="P342" t="str">
        <f>INDEX(Define!H:H,MATCH(O342,Define!G:G))</f>
        <v>強化</v>
      </c>
      <c r="Q342">
        <v>4</v>
      </c>
      <c r="R342" t="str">
        <f>INDEX(Define!K:K,MATCH(Q342,Define!J:J))</f>
        <v>自身</v>
      </c>
      <c r="S342">
        <v>4</v>
      </c>
      <c r="T342" t="str">
        <f>INDEX(Define!N:N,MATCH(S342,Define!M:M))</f>
        <v>自身</v>
      </c>
      <c r="U342">
        <v>1</v>
      </c>
      <c r="V342">
        <v>1</v>
      </c>
      <c r="W342">
        <v>1</v>
      </c>
      <c r="X342">
        <v>0</v>
      </c>
    </row>
    <row r="343" spans="1:24">
      <c r="A343">
        <v>413070</v>
      </c>
      <c r="B343">
        <v>413070</v>
      </c>
      <c r="C343" t="str">
        <f>INDEX(TextData!B:B,MATCH(B343,TextData!A:A))</f>
        <v>アシッドラッシュ+</v>
      </c>
      <c r="D343">
        <v>6</v>
      </c>
      <c r="E343" t="str">
        <f>INDEX(Define!X:X,MATCH(D343,Define!W:W))</f>
        <v>自己強化</v>
      </c>
      <c r="H343">
        <v>1</v>
      </c>
      <c r="I343" t="str">
        <f>INDEX(Define!B:B,MATCH(H343,Define!A:A))</f>
        <v>単体</v>
      </c>
      <c r="J343">
        <v>0</v>
      </c>
      <c r="K343">
        <v>0</v>
      </c>
      <c r="L343">
        <v>0</v>
      </c>
      <c r="M343">
        <v>3</v>
      </c>
      <c r="N343" t="str">
        <f>INDEX(Define!E:E,MATCH(M343,Define!D:D))</f>
        <v>氷</v>
      </c>
      <c r="O343">
        <v>6</v>
      </c>
      <c r="P343" t="str">
        <f>INDEX(Define!H:H,MATCH(O343,Define!G:G))</f>
        <v>強化</v>
      </c>
      <c r="Q343">
        <v>4</v>
      </c>
      <c r="R343" t="str">
        <f>INDEX(Define!K:K,MATCH(Q343,Define!J:J))</f>
        <v>自身</v>
      </c>
      <c r="S343">
        <v>4</v>
      </c>
      <c r="T343" t="str">
        <f>INDEX(Define!N:N,MATCH(S343,Define!M:M))</f>
        <v>自身</v>
      </c>
      <c r="U343">
        <v>1</v>
      </c>
      <c r="V343">
        <v>1</v>
      </c>
      <c r="W343">
        <v>1</v>
      </c>
      <c r="X343">
        <v>0</v>
      </c>
    </row>
    <row r="344" spans="1:24">
      <c r="A344">
        <v>413080</v>
      </c>
      <c r="B344">
        <v>413080</v>
      </c>
      <c r="C344" t="str">
        <f>INDEX(TextData!B:B,MATCH(B344,TextData!A:A))</f>
        <v>ライフスティール+</v>
      </c>
      <c r="D344">
        <v>6</v>
      </c>
      <c r="E344" t="str">
        <f>INDEX(Define!X:X,MATCH(D344,Define!W:W))</f>
        <v>自己強化</v>
      </c>
      <c r="H344">
        <v>1</v>
      </c>
      <c r="I344" t="str">
        <f>INDEX(Define!B:B,MATCH(H344,Define!A:A))</f>
        <v>単体</v>
      </c>
      <c r="J344">
        <v>0</v>
      </c>
      <c r="K344">
        <v>0</v>
      </c>
      <c r="L344">
        <v>0</v>
      </c>
      <c r="M344">
        <v>3</v>
      </c>
      <c r="N344" t="str">
        <f>INDEX(Define!E:E,MATCH(M344,Define!D:D))</f>
        <v>氷</v>
      </c>
      <c r="O344">
        <v>6</v>
      </c>
      <c r="P344" t="str">
        <f>INDEX(Define!H:H,MATCH(O344,Define!G:G))</f>
        <v>強化</v>
      </c>
      <c r="Q344">
        <v>4</v>
      </c>
      <c r="R344" t="str">
        <f>INDEX(Define!K:K,MATCH(Q344,Define!J:J))</f>
        <v>自身</v>
      </c>
      <c r="S344">
        <v>4</v>
      </c>
      <c r="T344" t="str">
        <f>INDEX(Define!N:N,MATCH(S344,Define!M:M))</f>
        <v>自身</v>
      </c>
      <c r="U344">
        <v>1</v>
      </c>
      <c r="V344">
        <v>1</v>
      </c>
      <c r="W344">
        <v>1</v>
      </c>
      <c r="X344">
        <v>0</v>
      </c>
    </row>
    <row r="345" spans="1:24">
      <c r="A345">
        <v>413090</v>
      </c>
      <c r="B345">
        <v>413090</v>
      </c>
      <c r="C345" t="str">
        <f>INDEX(TextData!B:B,MATCH(B345,TextData!A:A))</f>
        <v>アイスセイバー+</v>
      </c>
      <c r="D345">
        <v>6</v>
      </c>
      <c r="E345" t="str">
        <f>INDEX(Define!X:X,MATCH(D345,Define!W:W))</f>
        <v>自己強化</v>
      </c>
      <c r="H345">
        <v>1</v>
      </c>
      <c r="I345" t="str">
        <f>INDEX(Define!B:B,MATCH(H345,Define!A:A))</f>
        <v>単体</v>
      </c>
      <c r="J345">
        <v>0</v>
      </c>
      <c r="K345">
        <v>0</v>
      </c>
      <c r="L345">
        <v>0</v>
      </c>
      <c r="M345">
        <v>3</v>
      </c>
      <c r="N345" t="str">
        <f>INDEX(Define!E:E,MATCH(M345,Define!D:D))</f>
        <v>氷</v>
      </c>
      <c r="O345">
        <v>6</v>
      </c>
      <c r="P345" t="str">
        <f>INDEX(Define!H:H,MATCH(O345,Define!G:G))</f>
        <v>強化</v>
      </c>
      <c r="Q345">
        <v>4</v>
      </c>
      <c r="R345" t="str">
        <f>INDEX(Define!K:K,MATCH(Q345,Define!J:J))</f>
        <v>自身</v>
      </c>
      <c r="S345">
        <v>4</v>
      </c>
      <c r="T345" t="str">
        <f>INDEX(Define!N:N,MATCH(S345,Define!M:M))</f>
        <v>自身</v>
      </c>
      <c r="U345">
        <v>1</v>
      </c>
      <c r="V345">
        <v>1</v>
      </c>
      <c r="W345">
        <v>1</v>
      </c>
      <c r="X345">
        <v>0</v>
      </c>
    </row>
    <row r="346" ht="12" customHeight="1" spans="1:24">
      <c r="A346">
        <v>414010</v>
      </c>
      <c r="B346">
        <v>414010</v>
      </c>
      <c r="C346" t="str">
        <f>INDEX(TextData!B:B,MATCH(B346,TextData!A:A))</f>
        <v>ディバインシールド+</v>
      </c>
      <c r="D346">
        <v>6</v>
      </c>
      <c r="E346" t="str">
        <f>INDEX(Define!X:X,MATCH(D346,Define!W:W))</f>
        <v>自己強化</v>
      </c>
      <c r="H346">
        <v>1</v>
      </c>
      <c r="I346" t="str">
        <f>INDEX(Define!B:B,MATCH(H346,Define!A:A))</f>
        <v>単体</v>
      </c>
      <c r="J346">
        <v>0</v>
      </c>
      <c r="K346">
        <v>0</v>
      </c>
      <c r="L346">
        <v>0</v>
      </c>
      <c r="M346">
        <v>4</v>
      </c>
      <c r="N346" t="str">
        <f>INDEX(Define!E:E,MATCH(M346,Define!D:D))</f>
        <v>光</v>
      </c>
      <c r="O346">
        <v>6</v>
      </c>
      <c r="P346" t="str">
        <f>INDEX(Define!H:H,MATCH(O346,Define!G:G))</f>
        <v>強化</v>
      </c>
      <c r="Q346">
        <v>4</v>
      </c>
      <c r="R346" t="str">
        <f>INDEX(Define!K:K,MATCH(Q346,Define!J:J))</f>
        <v>自身</v>
      </c>
      <c r="S346">
        <v>4</v>
      </c>
      <c r="T346" t="str">
        <f>INDEX(Define!N:N,MATCH(S346,Define!M:M))</f>
        <v>自身</v>
      </c>
      <c r="U346">
        <v>1</v>
      </c>
      <c r="V346">
        <v>1</v>
      </c>
      <c r="W346">
        <v>1</v>
      </c>
      <c r="X346">
        <v>0</v>
      </c>
    </row>
    <row r="347" ht="12" customHeight="1" spans="1:24">
      <c r="A347">
        <v>414020</v>
      </c>
      <c r="B347">
        <v>414020</v>
      </c>
      <c r="C347" t="str">
        <f>INDEX(TextData!B:B,MATCH(B347,TextData!A:A))</f>
        <v>ライフディバイド+</v>
      </c>
      <c r="D347">
        <v>6</v>
      </c>
      <c r="E347" t="str">
        <f>INDEX(Define!X:X,MATCH(D347,Define!W:W))</f>
        <v>自己強化</v>
      </c>
      <c r="H347">
        <v>1</v>
      </c>
      <c r="I347" t="str">
        <f>INDEX(Define!B:B,MATCH(H347,Define!A:A))</f>
        <v>単体</v>
      </c>
      <c r="J347">
        <v>0</v>
      </c>
      <c r="K347">
        <v>0</v>
      </c>
      <c r="L347">
        <v>0</v>
      </c>
      <c r="M347">
        <v>4</v>
      </c>
      <c r="N347" t="str">
        <f>INDEX(Define!E:E,MATCH(M347,Define!D:D))</f>
        <v>光</v>
      </c>
      <c r="O347">
        <v>6</v>
      </c>
      <c r="P347" t="str">
        <f>INDEX(Define!H:H,MATCH(O347,Define!G:G))</f>
        <v>強化</v>
      </c>
      <c r="Q347">
        <v>4</v>
      </c>
      <c r="R347" t="str">
        <f>INDEX(Define!K:K,MATCH(Q347,Define!J:J))</f>
        <v>自身</v>
      </c>
      <c r="S347">
        <v>4</v>
      </c>
      <c r="T347" t="str">
        <f>INDEX(Define!N:N,MATCH(S347,Define!M:M))</f>
        <v>自身</v>
      </c>
      <c r="U347">
        <v>1</v>
      </c>
      <c r="V347">
        <v>1</v>
      </c>
      <c r="W347">
        <v>1</v>
      </c>
      <c r="X347">
        <v>0</v>
      </c>
    </row>
    <row r="348" ht="12" customHeight="1" spans="1:24">
      <c r="A348">
        <v>414030</v>
      </c>
      <c r="B348">
        <v>414030</v>
      </c>
      <c r="C348" t="str">
        <f>INDEX(TextData!B:B,MATCH(B348,TextData!A:A))</f>
        <v>エイミングスコープ+</v>
      </c>
      <c r="D348">
        <v>6</v>
      </c>
      <c r="E348" t="str">
        <f>INDEX(Define!X:X,MATCH(D348,Define!W:W))</f>
        <v>自己強化</v>
      </c>
      <c r="H348">
        <v>1</v>
      </c>
      <c r="I348" t="str">
        <f>INDEX(Define!B:B,MATCH(H348,Define!A:A))</f>
        <v>単体</v>
      </c>
      <c r="J348">
        <v>0</v>
      </c>
      <c r="K348">
        <v>0</v>
      </c>
      <c r="L348">
        <v>0</v>
      </c>
      <c r="M348">
        <v>4</v>
      </c>
      <c r="N348" t="str">
        <f>INDEX(Define!E:E,MATCH(M348,Define!D:D))</f>
        <v>光</v>
      </c>
      <c r="O348">
        <v>6</v>
      </c>
      <c r="P348" t="str">
        <f>INDEX(Define!H:H,MATCH(O348,Define!G:G))</f>
        <v>強化</v>
      </c>
      <c r="Q348">
        <v>4</v>
      </c>
      <c r="R348" t="str">
        <f>INDEX(Define!K:K,MATCH(Q348,Define!J:J))</f>
        <v>自身</v>
      </c>
      <c r="S348">
        <v>4</v>
      </c>
      <c r="T348" t="str">
        <f>INDEX(Define!N:N,MATCH(S348,Define!M:M))</f>
        <v>自身</v>
      </c>
      <c r="U348">
        <v>1</v>
      </c>
      <c r="V348">
        <v>1</v>
      </c>
      <c r="W348">
        <v>1</v>
      </c>
      <c r="X348">
        <v>0</v>
      </c>
    </row>
    <row r="349" ht="12" customHeight="1" spans="1:24">
      <c r="A349">
        <v>414040</v>
      </c>
      <c r="B349">
        <v>414040</v>
      </c>
      <c r="C349" t="str">
        <f>INDEX(TextData!B:B,MATCH(B349,TextData!A:A))</f>
        <v>リジェネレーション+</v>
      </c>
      <c r="D349">
        <v>6</v>
      </c>
      <c r="E349" t="str">
        <f>INDEX(Define!X:X,MATCH(D349,Define!W:W))</f>
        <v>自己強化</v>
      </c>
      <c r="H349">
        <v>1</v>
      </c>
      <c r="I349" t="str">
        <f>INDEX(Define!B:B,MATCH(H349,Define!A:A))</f>
        <v>単体</v>
      </c>
      <c r="J349">
        <v>0</v>
      </c>
      <c r="K349">
        <v>0</v>
      </c>
      <c r="L349">
        <v>0</v>
      </c>
      <c r="M349">
        <v>4</v>
      </c>
      <c r="N349" t="str">
        <f>INDEX(Define!E:E,MATCH(M349,Define!D:D))</f>
        <v>光</v>
      </c>
      <c r="O349">
        <v>6</v>
      </c>
      <c r="P349" t="str">
        <f>INDEX(Define!H:H,MATCH(O349,Define!G:G))</f>
        <v>強化</v>
      </c>
      <c r="Q349">
        <v>4</v>
      </c>
      <c r="R349" t="str">
        <f>INDEX(Define!K:K,MATCH(Q349,Define!J:J))</f>
        <v>自身</v>
      </c>
      <c r="S349">
        <v>4</v>
      </c>
      <c r="T349" t="str">
        <f>INDEX(Define!N:N,MATCH(S349,Define!M:M))</f>
        <v>自身</v>
      </c>
      <c r="U349">
        <v>1</v>
      </c>
      <c r="V349">
        <v>1</v>
      </c>
      <c r="W349">
        <v>1</v>
      </c>
      <c r="X349">
        <v>0</v>
      </c>
    </row>
    <row r="350" ht="12" customHeight="1" spans="1:24">
      <c r="A350">
        <v>414050</v>
      </c>
      <c r="B350">
        <v>414050</v>
      </c>
      <c r="C350" t="str">
        <f>INDEX(TextData!B:B,MATCH(B350,TextData!A:A))</f>
        <v>ホープフルアイリス+</v>
      </c>
      <c r="D350">
        <v>6</v>
      </c>
      <c r="E350" t="str">
        <f>INDEX(Define!X:X,MATCH(D350,Define!W:W))</f>
        <v>自己強化</v>
      </c>
      <c r="H350">
        <v>1</v>
      </c>
      <c r="I350" t="str">
        <f>INDEX(Define!B:B,MATCH(H350,Define!A:A))</f>
        <v>単体</v>
      </c>
      <c r="J350">
        <v>0</v>
      </c>
      <c r="K350">
        <v>0</v>
      </c>
      <c r="L350">
        <v>0</v>
      </c>
      <c r="M350">
        <v>4</v>
      </c>
      <c r="N350" t="str">
        <f>INDEX(Define!E:E,MATCH(M350,Define!D:D))</f>
        <v>光</v>
      </c>
      <c r="O350">
        <v>6</v>
      </c>
      <c r="P350" t="str">
        <f>INDEX(Define!H:H,MATCH(O350,Define!G:G))</f>
        <v>強化</v>
      </c>
      <c r="Q350">
        <v>4</v>
      </c>
      <c r="R350" t="str">
        <f>INDEX(Define!K:K,MATCH(Q350,Define!J:J))</f>
        <v>自身</v>
      </c>
      <c r="S350">
        <v>4</v>
      </c>
      <c r="T350" t="str">
        <f>INDEX(Define!N:N,MATCH(S350,Define!M:M))</f>
        <v>自身</v>
      </c>
      <c r="U350">
        <v>1</v>
      </c>
      <c r="V350">
        <v>1</v>
      </c>
      <c r="W350">
        <v>1</v>
      </c>
      <c r="X350">
        <v>0</v>
      </c>
    </row>
    <row r="351" ht="12" customHeight="1" spans="1:24">
      <c r="A351">
        <v>414060</v>
      </c>
      <c r="B351">
        <v>414060</v>
      </c>
      <c r="C351" t="str">
        <f>INDEX(TextData!B:B,MATCH(B351,TextData!A:A))</f>
        <v>パッシブサプライ+</v>
      </c>
      <c r="D351">
        <v>6</v>
      </c>
      <c r="E351" t="str">
        <f>INDEX(Define!X:X,MATCH(D351,Define!W:W))</f>
        <v>自己強化</v>
      </c>
      <c r="H351">
        <v>1</v>
      </c>
      <c r="I351" t="str">
        <f>INDEX(Define!B:B,MATCH(H351,Define!A:A))</f>
        <v>単体</v>
      </c>
      <c r="J351">
        <v>0</v>
      </c>
      <c r="K351">
        <v>0</v>
      </c>
      <c r="L351">
        <v>0</v>
      </c>
      <c r="M351">
        <v>4</v>
      </c>
      <c r="N351" t="str">
        <f>INDEX(Define!E:E,MATCH(M351,Define!D:D))</f>
        <v>光</v>
      </c>
      <c r="O351">
        <v>6</v>
      </c>
      <c r="P351" t="str">
        <f>INDEX(Define!H:H,MATCH(O351,Define!G:G))</f>
        <v>強化</v>
      </c>
      <c r="Q351">
        <v>4</v>
      </c>
      <c r="R351" t="str">
        <f>INDEX(Define!K:K,MATCH(Q351,Define!J:J))</f>
        <v>自身</v>
      </c>
      <c r="S351">
        <v>4</v>
      </c>
      <c r="T351" t="str">
        <f>INDEX(Define!N:N,MATCH(S351,Define!M:M))</f>
        <v>自身</v>
      </c>
      <c r="U351">
        <v>1</v>
      </c>
      <c r="V351">
        <v>1</v>
      </c>
      <c r="W351">
        <v>1</v>
      </c>
      <c r="X351">
        <v>0</v>
      </c>
    </row>
    <row r="352" ht="12" customHeight="1" spans="1:24">
      <c r="A352">
        <v>414070</v>
      </c>
      <c r="B352">
        <v>414070</v>
      </c>
      <c r="C352" t="str">
        <f>INDEX(TextData!B:B,MATCH(B352,TextData!A:A))</f>
        <v>ホーミングクルセイド+</v>
      </c>
      <c r="D352">
        <v>6</v>
      </c>
      <c r="E352" t="str">
        <f>INDEX(Define!X:X,MATCH(D352,Define!W:W))</f>
        <v>自己強化</v>
      </c>
      <c r="H352">
        <v>1</v>
      </c>
      <c r="I352" t="str">
        <f>INDEX(Define!B:B,MATCH(H352,Define!A:A))</f>
        <v>単体</v>
      </c>
      <c r="J352">
        <v>0</v>
      </c>
      <c r="K352">
        <v>0</v>
      </c>
      <c r="L352">
        <v>0</v>
      </c>
      <c r="M352">
        <v>4</v>
      </c>
      <c r="N352" t="str">
        <f>INDEX(Define!E:E,MATCH(M352,Define!D:D))</f>
        <v>光</v>
      </c>
      <c r="O352">
        <v>6</v>
      </c>
      <c r="P352" t="str">
        <f>INDEX(Define!H:H,MATCH(O352,Define!G:G))</f>
        <v>強化</v>
      </c>
      <c r="Q352">
        <v>4</v>
      </c>
      <c r="R352" t="str">
        <f>INDEX(Define!K:K,MATCH(Q352,Define!J:J))</f>
        <v>自身</v>
      </c>
      <c r="S352">
        <v>4</v>
      </c>
      <c r="T352" t="str">
        <f>INDEX(Define!N:N,MATCH(S352,Define!M:M))</f>
        <v>自身</v>
      </c>
      <c r="U352">
        <v>1</v>
      </c>
      <c r="V352">
        <v>1</v>
      </c>
      <c r="W352">
        <v>1</v>
      </c>
      <c r="X352">
        <v>0</v>
      </c>
    </row>
    <row r="353" ht="12" customHeight="1" spans="1:24">
      <c r="A353">
        <v>414080</v>
      </c>
      <c r="B353">
        <v>414080</v>
      </c>
      <c r="C353" t="str">
        <f>INDEX(TextData!B:B,MATCH(B353,TextData!A:A))</f>
        <v>クイックヒール+</v>
      </c>
      <c r="D353">
        <v>6</v>
      </c>
      <c r="E353" t="str">
        <f>INDEX(Define!X:X,MATCH(D353,Define!W:W))</f>
        <v>自己強化</v>
      </c>
      <c r="H353">
        <v>1</v>
      </c>
      <c r="I353" t="str">
        <f>INDEX(Define!B:B,MATCH(H353,Define!A:A))</f>
        <v>単体</v>
      </c>
      <c r="J353">
        <v>0</v>
      </c>
      <c r="K353">
        <v>0</v>
      </c>
      <c r="L353">
        <v>0</v>
      </c>
      <c r="M353">
        <v>4</v>
      </c>
      <c r="N353" t="str">
        <f>INDEX(Define!E:E,MATCH(M353,Define!D:D))</f>
        <v>光</v>
      </c>
      <c r="O353">
        <v>6</v>
      </c>
      <c r="P353" t="str">
        <f>INDEX(Define!H:H,MATCH(O353,Define!G:G))</f>
        <v>強化</v>
      </c>
      <c r="Q353">
        <v>4</v>
      </c>
      <c r="R353" t="str">
        <f>INDEX(Define!K:K,MATCH(Q353,Define!J:J))</f>
        <v>自身</v>
      </c>
      <c r="S353">
        <v>4</v>
      </c>
      <c r="T353" t="str">
        <f>INDEX(Define!N:N,MATCH(S353,Define!M:M))</f>
        <v>自身</v>
      </c>
      <c r="U353">
        <v>1</v>
      </c>
      <c r="V353">
        <v>1</v>
      </c>
      <c r="W353">
        <v>1</v>
      </c>
      <c r="X353">
        <v>0</v>
      </c>
    </row>
    <row r="354" ht="12" customHeight="1" spans="1:24">
      <c r="A354">
        <v>414090</v>
      </c>
      <c r="B354">
        <v>414090</v>
      </c>
      <c r="C354" t="str">
        <f>INDEX(TextData!B:B,MATCH(B354,TextData!A:A))</f>
        <v>リレイズ+</v>
      </c>
      <c r="D354">
        <v>6</v>
      </c>
      <c r="E354" t="str">
        <f>INDEX(Define!X:X,MATCH(D354,Define!W:W))</f>
        <v>自己強化</v>
      </c>
      <c r="H354">
        <v>1</v>
      </c>
      <c r="I354" t="str">
        <f>INDEX(Define!B:B,MATCH(H354,Define!A:A))</f>
        <v>単体</v>
      </c>
      <c r="J354">
        <v>0</v>
      </c>
      <c r="K354">
        <v>0</v>
      </c>
      <c r="L354">
        <v>0</v>
      </c>
      <c r="M354">
        <v>4</v>
      </c>
      <c r="N354" t="str">
        <f>INDEX(Define!E:E,MATCH(M354,Define!D:D))</f>
        <v>光</v>
      </c>
      <c r="O354">
        <v>6</v>
      </c>
      <c r="P354" t="str">
        <f>INDEX(Define!H:H,MATCH(O354,Define!G:G))</f>
        <v>強化</v>
      </c>
      <c r="Q354">
        <v>4</v>
      </c>
      <c r="R354" t="str">
        <f>INDEX(Define!K:K,MATCH(Q354,Define!J:J))</f>
        <v>自身</v>
      </c>
      <c r="S354">
        <v>4</v>
      </c>
      <c r="T354" t="str">
        <f>INDEX(Define!N:N,MATCH(S354,Define!M:M))</f>
        <v>自身</v>
      </c>
      <c r="U354">
        <v>1</v>
      </c>
      <c r="V354">
        <v>1</v>
      </c>
      <c r="W354">
        <v>1</v>
      </c>
      <c r="X354">
        <v>0</v>
      </c>
    </row>
    <row r="355" ht="12" customHeight="1" spans="1:24">
      <c r="A355">
        <v>415010</v>
      </c>
      <c r="B355">
        <v>415010</v>
      </c>
      <c r="C355" t="str">
        <f>INDEX(TextData!B:B,MATCH(B355,TextData!A:A))</f>
        <v>イーグルアイ+</v>
      </c>
      <c r="D355">
        <v>6</v>
      </c>
      <c r="E355" t="str">
        <f>INDEX(Define!X:X,MATCH(D355,Define!W:W))</f>
        <v>自己強化</v>
      </c>
      <c r="H355">
        <v>1</v>
      </c>
      <c r="I355" t="str">
        <f>INDEX(Define!B:B,MATCH(H355,Define!A:A))</f>
        <v>単体</v>
      </c>
      <c r="J355">
        <v>0</v>
      </c>
      <c r="K355">
        <v>0</v>
      </c>
      <c r="L355">
        <v>0</v>
      </c>
      <c r="M355">
        <v>5</v>
      </c>
      <c r="N355" t="str">
        <f>INDEX(Define!E:E,MATCH(M355,Define!D:D))</f>
        <v>闇</v>
      </c>
      <c r="O355">
        <v>6</v>
      </c>
      <c r="P355" t="str">
        <f>INDEX(Define!H:H,MATCH(O355,Define!G:G))</f>
        <v>強化</v>
      </c>
      <c r="Q355">
        <v>4</v>
      </c>
      <c r="R355" t="str">
        <f>INDEX(Define!K:K,MATCH(Q355,Define!J:J))</f>
        <v>自身</v>
      </c>
      <c r="S355">
        <v>4</v>
      </c>
      <c r="T355" t="str">
        <f>INDEX(Define!N:N,MATCH(S355,Define!M:M))</f>
        <v>自身</v>
      </c>
      <c r="U355">
        <v>1</v>
      </c>
      <c r="V355">
        <v>1</v>
      </c>
      <c r="W355">
        <v>1</v>
      </c>
      <c r="X355">
        <v>0</v>
      </c>
    </row>
    <row r="356" ht="12" customHeight="1" spans="1:24">
      <c r="A356">
        <v>415020</v>
      </c>
      <c r="B356">
        <v>415020</v>
      </c>
      <c r="C356" t="str">
        <f>INDEX(TextData!B:B,MATCH(B356,TextData!A:A))</f>
        <v>ネヴァーエンド+</v>
      </c>
      <c r="D356">
        <v>6</v>
      </c>
      <c r="E356" t="str">
        <f>INDEX(Define!X:X,MATCH(D356,Define!W:W))</f>
        <v>自己強化</v>
      </c>
      <c r="H356">
        <v>1</v>
      </c>
      <c r="I356" t="str">
        <f>INDEX(Define!B:B,MATCH(H356,Define!A:A))</f>
        <v>単体</v>
      </c>
      <c r="J356">
        <v>0</v>
      </c>
      <c r="K356">
        <v>0</v>
      </c>
      <c r="L356">
        <v>0</v>
      </c>
      <c r="M356">
        <v>5</v>
      </c>
      <c r="N356" t="str">
        <f>INDEX(Define!E:E,MATCH(M356,Define!D:D))</f>
        <v>闇</v>
      </c>
      <c r="O356">
        <v>6</v>
      </c>
      <c r="P356" t="str">
        <f>INDEX(Define!H:H,MATCH(O356,Define!G:G))</f>
        <v>強化</v>
      </c>
      <c r="Q356">
        <v>4</v>
      </c>
      <c r="R356" t="str">
        <f>INDEX(Define!K:K,MATCH(Q356,Define!J:J))</f>
        <v>自身</v>
      </c>
      <c r="S356">
        <v>4</v>
      </c>
      <c r="T356" t="str">
        <f>INDEX(Define!N:N,MATCH(S356,Define!M:M))</f>
        <v>自身</v>
      </c>
      <c r="U356">
        <v>1</v>
      </c>
      <c r="V356">
        <v>1</v>
      </c>
      <c r="W356">
        <v>1</v>
      </c>
      <c r="X356">
        <v>0</v>
      </c>
    </row>
    <row r="357" ht="12" customHeight="1" spans="1:24">
      <c r="A357">
        <v>415030</v>
      </c>
      <c r="B357">
        <v>415030</v>
      </c>
      <c r="C357" t="str">
        <f>INDEX(TextData!B:B,MATCH(B357,TextData!A:A))</f>
        <v>グレイブアクト+</v>
      </c>
      <c r="D357">
        <v>6</v>
      </c>
      <c r="E357" t="str">
        <f>INDEX(Define!X:X,MATCH(D357,Define!W:W))</f>
        <v>自己強化</v>
      </c>
      <c r="H357">
        <v>1</v>
      </c>
      <c r="I357" t="str">
        <f>INDEX(Define!B:B,MATCH(H357,Define!A:A))</f>
        <v>単体</v>
      </c>
      <c r="J357">
        <v>0</v>
      </c>
      <c r="K357">
        <v>0</v>
      </c>
      <c r="L357">
        <v>0</v>
      </c>
      <c r="M357">
        <v>5</v>
      </c>
      <c r="N357" t="str">
        <f>INDEX(Define!E:E,MATCH(M357,Define!D:D))</f>
        <v>闇</v>
      </c>
      <c r="O357">
        <v>6</v>
      </c>
      <c r="P357" t="str">
        <f>INDEX(Define!H:H,MATCH(O357,Define!G:G))</f>
        <v>強化</v>
      </c>
      <c r="Q357">
        <v>4</v>
      </c>
      <c r="R357" t="str">
        <f>INDEX(Define!K:K,MATCH(Q357,Define!J:J))</f>
        <v>自身</v>
      </c>
      <c r="S357">
        <v>4</v>
      </c>
      <c r="T357" t="str">
        <f>INDEX(Define!N:N,MATCH(S357,Define!M:M))</f>
        <v>自身</v>
      </c>
      <c r="U357">
        <v>1</v>
      </c>
      <c r="V357">
        <v>1</v>
      </c>
      <c r="W357">
        <v>1</v>
      </c>
      <c r="X357">
        <v>0</v>
      </c>
    </row>
    <row r="358" ht="12" customHeight="1" spans="1:24">
      <c r="A358">
        <v>415040</v>
      </c>
      <c r="B358">
        <v>415040</v>
      </c>
      <c r="C358" t="str">
        <f>INDEX(TextData!B:B,MATCH(B358,TextData!A:A))</f>
        <v>スカルグラッジ+</v>
      </c>
      <c r="D358">
        <v>6</v>
      </c>
      <c r="E358" t="str">
        <f>INDEX(Define!X:X,MATCH(D358,Define!W:W))</f>
        <v>自己強化</v>
      </c>
      <c r="H358">
        <v>1</v>
      </c>
      <c r="I358" t="str">
        <f>INDEX(Define!B:B,MATCH(H358,Define!A:A))</f>
        <v>単体</v>
      </c>
      <c r="J358">
        <v>0</v>
      </c>
      <c r="K358">
        <v>0</v>
      </c>
      <c r="L358">
        <v>0</v>
      </c>
      <c r="M358">
        <v>5</v>
      </c>
      <c r="N358" t="str">
        <f>INDEX(Define!E:E,MATCH(M358,Define!D:D))</f>
        <v>闇</v>
      </c>
      <c r="O358">
        <v>6</v>
      </c>
      <c r="P358" t="str">
        <f>INDEX(Define!H:H,MATCH(O358,Define!G:G))</f>
        <v>強化</v>
      </c>
      <c r="Q358">
        <v>4</v>
      </c>
      <c r="R358" t="str">
        <f>INDEX(Define!K:K,MATCH(Q358,Define!J:J))</f>
        <v>自身</v>
      </c>
      <c r="S358">
        <v>4</v>
      </c>
      <c r="T358" t="str">
        <f>INDEX(Define!N:N,MATCH(S358,Define!M:M))</f>
        <v>自身</v>
      </c>
      <c r="U358">
        <v>1</v>
      </c>
      <c r="V358">
        <v>1</v>
      </c>
      <c r="W358">
        <v>1</v>
      </c>
      <c r="X358">
        <v>0</v>
      </c>
    </row>
    <row r="359" ht="12" customHeight="1" spans="1:24">
      <c r="A359">
        <v>415050</v>
      </c>
      <c r="B359">
        <v>415050</v>
      </c>
      <c r="C359" t="str">
        <f>INDEX(TextData!B:B,MATCH(B359,TextData!A:A))</f>
        <v>ネガティブドレイン+</v>
      </c>
      <c r="D359">
        <v>6</v>
      </c>
      <c r="E359" t="str">
        <f>INDEX(Define!X:X,MATCH(D359,Define!W:W))</f>
        <v>自己強化</v>
      </c>
      <c r="H359">
        <v>1</v>
      </c>
      <c r="I359" t="str">
        <f>INDEX(Define!B:B,MATCH(H359,Define!A:A))</f>
        <v>単体</v>
      </c>
      <c r="J359">
        <v>0</v>
      </c>
      <c r="K359">
        <v>0</v>
      </c>
      <c r="L359">
        <v>0</v>
      </c>
      <c r="M359">
        <v>5</v>
      </c>
      <c r="N359" t="str">
        <f>INDEX(Define!E:E,MATCH(M359,Define!D:D))</f>
        <v>闇</v>
      </c>
      <c r="O359">
        <v>6</v>
      </c>
      <c r="P359" t="str">
        <f>INDEX(Define!H:H,MATCH(O359,Define!G:G))</f>
        <v>強化</v>
      </c>
      <c r="Q359">
        <v>4</v>
      </c>
      <c r="R359" t="str">
        <f>INDEX(Define!K:K,MATCH(Q359,Define!J:J))</f>
        <v>自身</v>
      </c>
      <c r="S359">
        <v>4</v>
      </c>
      <c r="T359" t="str">
        <f>INDEX(Define!N:N,MATCH(S359,Define!M:M))</f>
        <v>自身</v>
      </c>
      <c r="U359">
        <v>1</v>
      </c>
      <c r="V359">
        <v>1</v>
      </c>
      <c r="W359">
        <v>1</v>
      </c>
      <c r="X359">
        <v>0</v>
      </c>
    </row>
    <row r="360" ht="12" customHeight="1" spans="1:24">
      <c r="A360">
        <v>415060</v>
      </c>
      <c r="B360">
        <v>415060</v>
      </c>
      <c r="C360" t="str">
        <f>INDEX(TextData!B:B,MATCH(B360,TextData!A:A))</f>
        <v>アンデッドペイン+</v>
      </c>
      <c r="D360">
        <v>6</v>
      </c>
      <c r="E360" t="str">
        <f>INDEX(Define!X:X,MATCH(D360,Define!W:W))</f>
        <v>自己強化</v>
      </c>
      <c r="H360">
        <v>1</v>
      </c>
      <c r="I360" t="str">
        <f>INDEX(Define!B:B,MATCH(H360,Define!A:A))</f>
        <v>単体</v>
      </c>
      <c r="J360">
        <v>0</v>
      </c>
      <c r="K360">
        <v>0</v>
      </c>
      <c r="L360">
        <v>0</v>
      </c>
      <c r="M360">
        <v>5</v>
      </c>
      <c r="N360" t="str">
        <f>INDEX(Define!E:E,MATCH(M360,Define!D:D))</f>
        <v>闇</v>
      </c>
      <c r="O360">
        <v>6</v>
      </c>
      <c r="P360" t="str">
        <f>INDEX(Define!H:H,MATCH(O360,Define!G:G))</f>
        <v>強化</v>
      </c>
      <c r="Q360">
        <v>4</v>
      </c>
      <c r="R360" t="str">
        <f>INDEX(Define!K:K,MATCH(Q360,Define!J:J))</f>
        <v>自身</v>
      </c>
      <c r="S360">
        <v>4</v>
      </c>
      <c r="T360" t="str">
        <f>INDEX(Define!N:N,MATCH(S360,Define!M:M))</f>
        <v>自身</v>
      </c>
      <c r="U360">
        <v>1</v>
      </c>
      <c r="V360">
        <v>1</v>
      </c>
      <c r="W360">
        <v>1</v>
      </c>
      <c r="X360">
        <v>0</v>
      </c>
    </row>
    <row r="361" ht="12" customHeight="1" spans="1:24">
      <c r="A361">
        <v>415070</v>
      </c>
      <c r="B361">
        <v>415070</v>
      </c>
      <c r="C361" t="str">
        <f>INDEX(TextData!B:B,MATCH(B361,TextData!A:A))</f>
        <v>ジャックポッド+</v>
      </c>
      <c r="D361">
        <v>6</v>
      </c>
      <c r="E361" t="str">
        <f>INDEX(Define!X:X,MATCH(D361,Define!W:W))</f>
        <v>自己強化</v>
      </c>
      <c r="H361">
        <v>1</v>
      </c>
      <c r="I361" t="str">
        <f>INDEX(Define!B:B,MATCH(H361,Define!A:A))</f>
        <v>単体</v>
      </c>
      <c r="J361">
        <v>0</v>
      </c>
      <c r="K361">
        <v>0</v>
      </c>
      <c r="L361">
        <v>0</v>
      </c>
      <c r="M361">
        <v>5</v>
      </c>
      <c r="N361" t="str">
        <f>INDEX(Define!E:E,MATCH(M361,Define!D:D))</f>
        <v>闇</v>
      </c>
      <c r="O361">
        <v>6</v>
      </c>
      <c r="P361" t="str">
        <f>INDEX(Define!H:H,MATCH(O361,Define!G:G))</f>
        <v>強化</v>
      </c>
      <c r="Q361">
        <v>4</v>
      </c>
      <c r="R361" t="str">
        <f>INDEX(Define!K:K,MATCH(Q361,Define!J:J))</f>
        <v>自身</v>
      </c>
      <c r="S361">
        <v>4</v>
      </c>
      <c r="T361" t="str">
        <f>INDEX(Define!N:N,MATCH(S361,Define!M:M))</f>
        <v>自身</v>
      </c>
      <c r="U361">
        <v>1</v>
      </c>
      <c r="V361">
        <v>1</v>
      </c>
      <c r="W361">
        <v>1</v>
      </c>
      <c r="X361">
        <v>0</v>
      </c>
    </row>
    <row r="362" ht="12" customHeight="1" spans="1:24">
      <c r="A362">
        <v>415080</v>
      </c>
      <c r="B362">
        <v>415080</v>
      </c>
      <c r="C362" t="str">
        <f>INDEX(TextData!B:B,MATCH(B362,TextData!A:A))</f>
        <v>ヒールハント+</v>
      </c>
      <c r="D362">
        <v>6</v>
      </c>
      <c r="E362" t="str">
        <f>INDEX(Define!X:X,MATCH(D362,Define!W:W))</f>
        <v>自己強化</v>
      </c>
      <c r="H362">
        <v>1</v>
      </c>
      <c r="I362" t="str">
        <f>INDEX(Define!B:B,MATCH(H362,Define!A:A))</f>
        <v>単体</v>
      </c>
      <c r="J362">
        <v>0</v>
      </c>
      <c r="K362">
        <v>0</v>
      </c>
      <c r="L362">
        <v>0</v>
      </c>
      <c r="M362">
        <v>5</v>
      </c>
      <c r="N362" t="str">
        <f>INDEX(Define!E:E,MATCH(M362,Define!D:D))</f>
        <v>闇</v>
      </c>
      <c r="O362">
        <v>6</v>
      </c>
      <c r="P362" t="str">
        <f>INDEX(Define!H:H,MATCH(O362,Define!G:G))</f>
        <v>強化</v>
      </c>
      <c r="Q362">
        <v>4</v>
      </c>
      <c r="R362" t="str">
        <f>INDEX(Define!K:K,MATCH(Q362,Define!J:J))</f>
        <v>自身</v>
      </c>
      <c r="S362">
        <v>4</v>
      </c>
      <c r="T362" t="str">
        <f>INDEX(Define!N:N,MATCH(S362,Define!M:M))</f>
        <v>自身</v>
      </c>
      <c r="U362">
        <v>1</v>
      </c>
      <c r="V362">
        <v>1</v>
      </c>
      <c r="W362">
        <v>1</v>
      </c>
      <c r="X362">
        <v>0</v>
      </c>
    </row>
    <row r="363" ht="12" customHeight="1" spans="1:24">
      <c r="A363">
        <v>415090</v>
      </c>
      <c r="B363">
        <v>415090</v>
      </c>
      <c r="C363" t="str">
        <f>INDEX(TextData!B:B,MATCH(B363,TextData!A:A))</f>
        <v>クイックカース+</v>
      </c>
      <c r="D363">
        <v>6</v>
      </c>
      <c r="E363" t="str">
        <f>INDEX(Define!X:X,MATCH(D363,Define!W:W))</f>
        <v>自己強化</v>
      </c>
      <c r="H363">
        <v>1</v>
      </c>
      <c r="I363" t="str">
        <f>INDEX(Define!B:B,MATCH(H363,Define!A:A))</f>
        <v>単体</v>
      </c>
      <c r="J363">
        <v>0</v>
      </c>
      <c r="K363">
        <v>0</v>
      </c>
      <c r="L363">
        <v>0</v>
      </c>
      <c r="M363">
        <v>5</v>
      </c>
      <c r="N363" t="str">
        <f>INDEX(Define!E:E,MATCH(M363,Define!D:D))</f>
        <v>闇</v>
      </c>
      <c r="O363">
        <v>6</v>
      </c>
      <c r="P363" t="str">
        <f>INDEX(Define!H:H,MATCH(O363,Define!G:G))</f>
        <v>強化</v>
      </c>
      <c r="Q363">
        <v>4</v>
      </c>
      <c r="R363" t="str">
        <f>INDEX(Define!K:K,MATCH(Q363,Define!J:J))</f>
        <v>自身</v>
      </c>
      <c r="S363">
        <v>4</v>
      </c>
      <c r="T363" t="str">
        <f>INDEX(Define!N:N,MATCH(S363,Define!M:M))</f>
        <v>自身</v>
      </c>
      <c r="U363">
        <v>1</v>
      </c>
      <c r="V363">
        <v>1</v>
      </c>
      <c r="W363">
        <v>1</v>
      </c>
      <c r="X363">
        <v>0</v>
      </c>
    </row>
    <row r="364" ht="12" customHeight="1" spans="1:24">
      <c r="A364">
        <v>501010</v>
      </c>
      <c r="B364">
        <v>501010</v>
      </c>
      <c r="C364" t="str">
        <f>INDEX(TextData!B:B,MATCH(B364,TextData!A:A))</f>
        <v>火傷耐性+20%</v>
      </c>
      <c r="D364">
        <v>6</v>
      </c>
      <c r="E364" t="str">
        <f>INDEX(Define!X:X,MATCH(D364,Define!W:W))</f>
        <v>自己強化</v>
      </c>
      <c r="H364">
        <v>1</v>
      </c>
      <c r="I364" t="str">
        <f>INDEX(Define!B:B,MATCH(H364,Define!A:A))</f>
        <v>単体</v>
      </c>
      <c r="J364">
        <v>0</v>
      </c>
      <c r="K364">
        <v>0</v>
      </c>
      <c r="L364">
        <v>10</v>
      </c>
      <c r="M364">
        <v>1</v>
      </c>
      <c r="N364" t="str">
        <f>INDEX(Define!E:E,MATCH(M364,Define!D:D))</f>
        <v>炎</v>
      </c>
      <c r="O364">
        <v>9</v>
      </c>
      <c r="P364" t="str">
        <f>INDEX(Define!H:H,MATCH(O364,Define!G:G))</f>
        <v>装備パッシブ</v>
      </c>
      <c r="Q364">
        <v>4</v>
      </c>
      <c r="R364" t="str">
        <f>INDEX(Define!K:K,MATCH(Q364,Define!J:J))</f>
        <v>自身</v>
      </c>
      <c r="S364">
        <v>4</v>
      </c>
      <c r="T364" t="str">
        <f>INDEX(Define!N:N,MATCH(S364,Define!M:M))</f>
        <v>自身</v>
      </c>
      <c r="U364">
        <v>1</v>
      </c>
      <c r="V364">
        <v>1</v>
      </c>
      <c r="W364">
        <v>1</v>
      </c>
      <c r="X364">
        <v>0</v>
      </c>
    </row>
    <row r="365" ht="12" customHeight="1" spans="1:24">
      <c r="A365">
        <v>501020</v>
      </c>
      <c r="B365">
        <v>501020</v>
      </c>
      <c r="C365" t="str">
        <f>INDEX(TextData!B:B,MATCH(B365,TextData!A:A))</f>
        <v>命中率+5%</v>
      </c>
      <c r="D365">
        <v>6</v>
      </c>
      <c r="E365" t="str">
        <f>INDEX(Define!X:X,MATCH(D365,Define!W:W))</f>
        <v>自己強化</v>
      </c>
      <c r="H365">
        <v>1</v>
      </c>
      <c r="I365" t="str">
        <f>INDEX(Define!B:B,MATCH(H365,Define!A:A))</f>
        <v>単体</v>
      </c>
      <c r="J365">
        <v>0</v>
      </c>
      <c r="K365">
        <v>0</v>
      </c>
      <c r="L365">
        <v>10</v>
      </c>
      <c r="M365">
        <v>1</v>
      </c>
      <c r="N365" t="str">
        <f>INDEX(Define!E:E,MATCH(M365,Define!D:D))</f>
        <v>炎</v>
      </c>
      <c r="O365">
        <v>9</v>
      </c>
      <c r="P365" t="str">
        <f>INDEX(Define!H:H,MATCH(O365,Define!G:G))</f>
        <v>装備パッシブ</v>
      </c>
      <c r="Q365">
        <v>4</v>
      </c>
      <c r="R365" t="str">
        <f>INDEX(Define!K:K,MATCH(Q365,Define!J:J))</f>
        <v>自身</v>
      </c>
      <c r="S365">
        <v>4</v>
      </c>
      <c r="T365" t="str">
        <f>INDEX(Define!N:N,MATCH(S365,Define!M:M))</f>
        <v>自身</v>
      </c>
      <c r="U365">
        <v>1</v>
      </c>
      <c r="V365">
        <v>1</v>
      </c>
      <c r="W365">
        <v>1</v>
      </c>
      <c r="X365">
        <v>0</v>
      </c>
    </row>
    <row r="366" ht="12" customHeight="1" spans="1:24">
      <c r="A366">
        <v>501030</v>
      </c>
      <c r="B366">
        <v>501030</v>
      </c>
      <c r="C366" t="str">
        <f>INDEX(TextData!B:B,MATCH(B366,TextData!A:A))</f>
        <v>最大HP+2</v>
      </c>
      <c r="D366">
        <v>6</v>
      </c>
      <c r="E366" t="str">
        <f>INDEX(Define!X:X,MATCH(D366,Define!W:W))</f>
        <v>自己強化</v>
      </c>
      <c r="H366">
        <v>1</v>
      </c>
      <c r="I366" t="str">
        <f>INDEX(Define!B:B,MATCH(H366,Define!A:A))</f>
        <v>単体</v>
      </c>
      <c r="J366">
        <v>0</v>
      </c>
      <c r="K366">
        <v>0</v>
      </c>
      <c r="L366">
        <v>10</v>
      </c>
      <c r="M366">
        <v>1</v>
      </c>
      <c r="N366" t="str">
        <f>INDEX(Define!E:E,MATCH(M366,Define!D:D))</f>
        <v>炎</v>
      </c>
      <c r="O366">
        <v>9</v>
      </c>
      <c r="P366" t="str">
        <f>INDEX(Define!H:H,MATCH(O366,Define!G:G))</f>
        <v>装備パッシブ</v>
      </c>
      <c r="Q366">
        <v>4</v>
      </c>
      <c r="R366" t="str">
        <f>INDEX(Define!K:K,MATCH(Q366,Define!J:J))</f>
        <v>自身</v>
      </c>
      <c r="S366">
        <v>4</v>
      </c>
      <c r="T366" t="str">
        <f>INDEX(Define!N:N,MATCH(S366,Define!M:M))</f>
        <v>自身</v>
      </c>
      <c r="U366">
        <v>1</v>
      </c>
      <c r="V366">
        <v>1</v>
      </c>
      <c r="W366">
        <v>1</v>
      </c>
      <c r="X366">
        <v>0</v>
      </c>
    </row>
    <row r="367" ht="12" customHeight="1" spans="1:24">
      <c r="A367">
        <v>501040</v>
      </c>
      <c r="B367">
        <v>501040</v>
      </c>
      <c r="C367" t="str">
        <f>INDEX(TextData!B:B,MATCH(B367,TextData!A:A))</f>
        <v>ATK+2</v>
      </c>
      <c r="D367">
        <v>6</v>
      </c>
      <c r="E367" t="str">
        <f>INDEX(Define!X:X,MATCH(D367,Define!W:W))</f>
        <v>自己強化</v>
      </c>
      <c r="H367">
        <v>1</v>
      </c>
      <c r="I367" t="str">
        <f>INDEX(Define!B:B,MATCH(H367,Define!A:A))</f>
        <v>単体</v>
      </c>
      <c r="J367">
        <v>0</v>
      </c>
      <c r="K367">
        <v>0</v>
      </c>
      <c r="L367">
        <v>10</v>
      </c>
      <c r="M367">
        <v>1</v>
      </c>
      <c r="N367" t="str">
        <f>INDEX(Define!E:E,MATCH(M367,Define!D:D))</f>
        <v>炎</v>
      </c>
      <c r="O367">
        <v>9</v>
      </c>
      <c r="P367" t="str">
        <f>INDEX(Define!H:H,MATCH(O367,Define!G:G))</f>
        <v>装備パッシブ</v>
      </c>
      <c r="Q367">
        <v>4</v>
      </c>
      <c r="R367" t="str">
        <f>INDEX(Define!K:K,MATCH(Q367,Define!J:J))</f>
        <v>自身</v>
      </c>
      <c r="S367">
        <v>4</v>
      </c>
      <c r="T367" t="str">
        <f>INDEX(Define!N:N,MATCH(S367,Define!M:M))</f>
        <v>自身</v>
      </c>
      <c r="U367">
        <v>1</v>
      </c>
      <c r="V367">
        <v>1</v>
      </c>
      <c r="W367">
        <v>1</v>
      </c>
      <c r="X367">
        <v>0</v>
      </c>
    </row>
    <row r="368" ht="12" customHeight="1" spans="1:24">
      <c r="A368">
        <v>501110</v>
      </c>
      <c r="B368">
        <v>501110</v>
      </c>
      <c r="C368" t="str">
        <f>INDEX(TextData!B:B,MATCH(B368,TextData!A:A))</f>
        <v>DEF+2</v>
      </c>
      <c r="D368">
        <v>6</v>
      </c>
      <c r="E368" t="str">
        <f>INDEX(Define!X:X,MATCH(D368,Define!W:W))</f>
        <v>自己強化</v>
      </c>
      <c r="H368">
        <v>1</v>
      </c>
      <c r="I368" t="str">
        <f>INDEX(Define!B:B,MATCH(H368,Define!A:A))</f>
        <v>単体</v>
      </c>
      <c r="J368">
        <v>0</v>
      </c>
      <c r="K368">
        <v>0</v>
      </c>
      <c r="L368">
        <v>10</v>
      </c>
      <c r="M368">
        <v>1</v>
      </c>
      <c r="N368" t="str">
        <f>INDEX(Define!E:E,MATCH(M368,Define!D:D))</f>
        <v>炎</v>
      </c>
      <c r="O368">
        <v>9</v>
      </c>
      <c r="P368" t="str">
        <f>INDEX(Define!H:H,MATCH(O368,Define!G:G))</f>
        <v>装備パッシブ</v>
      </c>
      <c r="Q368">
        <v>4</v>
      </c>
      <c r="R368" t="str">
        <f>INDEX(Define!K:K,MATCH(Q368,Define!J:J))</f>
        <v>自身</v>
      </c>
      <c r="S368">
        <v>4</v>
      </c>
      <c r="T368" t="str">
        <f>INDEX(Define!N:N,MATCH(S368,Define!M:M))</f>
        <v>自身</v>
      </c>
      <c r="U368">
        <v>1</v>
      </c>
      <c r="V368">
        <v>1</v>
      </c>
      <c r="W368">
        <v>1</v>
      </c>
      <c r="X368">
        <v>0</v>
      </c>
    </row>
    <row r="369" ht="12" customHeight="1" spans="1:24">
      <c r="A369">
        <v>501120</v>
      </c>
      <c r="B369">
        <v>501120</v>
      </c>
      <c r="C369" t="str">
        <f>INDEX(TextData!B:B,MATCH(B369,TextData!A:A))</f>
        <v>命中率+10%</v>
      </c>
      <c r="D369">
        <v>6</v>
      </c>
      <c r="E369" t="str">
        <f>INDEX(Define!X:X,MATCH(D369,Define!W:W))</f>
        <v>自己強化</v>
      </c>
      <c r="H369">
        <v>1</v>
      </c>
      <c r="I369" t="str">
        <f>INDEX(Define!B:B,MATCH(H369,Define!A:A))</f>
        <v>単体</v>
      </c>
      <c r="J369">
        <v>0</v>
      </c>
      <c r="K369">
        <v>0</v>
      </c>
      <c r="L369">
        <v>10</v>
      </c>
      <c r="M369">
        <v>1</v>
      </c>
      <c r="N369" t="str">
        <f>INDEX(Define!E:E,MATCH(M369,Define!D:D))</f>
        <v>炎</v>
      </c>
      <c r="O369">
        <v>9</v>
      </c>
      <c r="P369" t="str">
        <f>INDEX(Define!H:H,MATCH(O369,Define!G:G))</f>
        <v>装備パッシブ</v>
      </c>
      <c r="Q369">
        <v>4</v>
      </c>
      <c r="R369" t="str">
        <f>INDEX(Define!K:K,MATCH(Q369,Define!J:J))</f>
        <v>自身</v>
      </c>
      <c r="S369">
        <v>4</v>
      </c>
      <c r="T369" t="str">
        <f>INDEX(Define!N:N,MATCH(S369,Define!M:M))</f>
        <v>自身</v>
      </c>
      <c r="U369">
        <v>1</v>
      </c>
      <c r="V369">
        <v>1</v>
      </c>
      <c r="W369">
        <v>1</v>
      </c>
      <c r="X369">
        <v>0</v>
      </c>
    </row>
    <row r="370" ht="12" customHeight="1" spans="1:24">
      <c r="A370">
        <v>501130</v>
      </c>
      <c r="B370">
        <v>501130</v>
      </c>
      <c r="C370" t="str">
        <f>INDEX(TextData!B:B,MATCH(B370,TextData!A:A))</f>
        <v>SPD+2</v>
      </c>
      <c r="D370">
        <v>6</v>
      </c>
      <c r="E370" t="str">
        <f>INDEX(Define!X:X,MATCH(D370,Define!W:W))</f>
        <v>自己強化</v>
      </c>
      <c r="H370">
        <v>1</v>
      </c>
      <c r="I370" t="str">
        <f>INDEX(Define!B:B,MATCH(H370,Define!A:A))</f>
        <v>単体</v>
      </c>
      <c r="J370">
        <v>0</v>
      </c>
      <c r="K370">
        <v>0</v>
      </c>
      <c r="L370">
        <v>10</v>
      </c>
      <c r="M370">
        <v>1</v>
      </c>
      <c r="N370" t="str">
        <f>INDEX(Define!E:E,MATCH(M370,Define!D:D))</f>
        <v>炎</v>
      </c>
      <c r="O370">
        <v>9</v>
      </c>
      <c r="P370" t="str">
        <f>INDEX(Define!H:H,MATCH(O370,Define!G:G))</f>
        <v>装備パッシブ</v>
      </c>
      <c r="Q370">
        <v>4</v>
      </c>
      <c r="R370" t="str">
        <f>INDEX(Define!K:K,MATCH(Q370,Define!J:J))</f>
        <v>自身</v>
      </c>
      <c r="S370">
        <v>4</v>
      </c>
      <c r="T370" t="str">
        <f>INDEX(Define!N:N,MATCH(S370,Define!M:M))</f>
        <v>自身</v>
      </c>
      <c r="U370">
        <v>1</v>
      </c>
      <c r="V370">
        <v>1</v>
      </c>
      <c r="W370">
        <v>1</v>
      </c>
      <c r="X370">
        <v>0</v>
      </c>
    </row>
    <row r="371" ht="12" customHeight="1" spans="1:24">
      <c r="A371">
        <v>502010</v>
      </c>
      <c r="B371">
        <v>502010</v>
      </c>
      <c r="C371" t="str">
        <f>INDEX(TextData!B:B,MATCH(B371,TextData!A:A))</f>
        <v>DEF+1</v>
      </c>
      <c r="D371">
        <v>6</v>
      </c>
      <c r="E371" t="str">
        <f>INDEX(Define!X:X,MATCH(D371,Define!W:W))</f>
        <v>自己強化</v>
      </c>
      <c r="H371">
        <v>1</v>
      </c>
      <c r="I371" t="str">
        <f>INDEX(Define!B:B,MATCH(H371,Define!A:A))</f>
        <v>単体</v>
      </c>
      <c r="J371">
        <v>0</v>
      </c>
      <c r="K371">
        <v>0</v>
      </c>
      <c r="L371">
        <v>10</v>
      </c>
      <c r="M371">
        <v>2</v>
      </c>
      <c r="N371" t="str">
        <f>INDEX(Define!E:E,MATCH(M371,Define!D:D))</f>
        <v>雷</v>
      </c>
      <c r="O371">
        <v>9</v>
      </c>
      <c r="P371" t="str">
        <f>INDEX(Define!H:H,MATCH(O371,Define!G:G))</f>
        <v>装備パッシブ</v>
      </c>
      <c r="Q371">
        <v>4</v>
      </c>
      <c r="R371" t="str">
        <f>INDEX(Define!K:K,MATCH(Q371,Define!J:J))</f>
        <v>自身</v>
      </c>
      <c r="S371">
        <v>4</v>
      </c>
      <c r="T371" t="str">
        <f>INDEX(Define!N:N,MATCH(S371,Define!M:M))</f>
        <v>自身</v>
      </c>
      <c r="U371">
        <v>1</v>
      </c>
      <c r="V371">
        <v>1</v>
      </c>
      <c r="W371">
        <v>1</v>
      </c>
      <c r="X371">
        <v>0</v>
      </c>
    </row>
    <row r="372" ht="12" customHeight="1" spans="1:24">
      <c r="A372">
        <v>502020</v>
      </c>
      <c r="B372">
        <v>502020</v>
      </c>
      <c r="C372" t="str">
        <f>INDEX(TextData!B:B,MATCH(B372,TextData!A:A))</f>
        <v>SPD+1</v>
      </c>
      <c r="D372">
        <v>6</v>
      </c>
      <c r="E372" t="str">
        <f>INDEX(Define!X:X,MATCH(D372,Define!W:W))</f>
        <v>自己強化</v>
      </c>
      <c r="H372">
        <v>1</v>
      </c>
      <c r="I372" t="str">
        <f>INDEX(Define!B:B,MATCH(H372,Define!A:A))</f>
        <v>単体</v>
      </c>
      <c r="J372">
        <v>0</v>
      </c>
      <c r="K372">
        <v>0</v>
      </c>
      <c r="L372">
        <v>10</v>
      </c>
      <c r="M372">
        <v>2</v>
      </c>
      <c r="N372" t="str">
        <f>INDEX(Define!E:E,MATCH(M372,Define!D:D))</f>
        <v>雷</v>
      </c>
      <c r="O372">
        <v>9</v>
      </c>
      <c r="P372" t="str">
        <f>INDEX(Define!H:H,MATCH(O372,Define!G:G))</f>
        <v>装備パッシブ</v>
      </c>
      <c r="Q372">
        <v>4</v>
      </c>
      <c r="R372" t="str">
        <f>INDEX(Define!K:K,MATCH(Q372,Define!J:J))</f>
        <v>自身</v>
      </c>
      <c r="S372">
        <v>4</v>
      </c>
      <c r="T372" t="str">
        <f>INDEX(Define!N:N,MATCH(S372,Define!M:M))</f>
        <v>自身</v>
      </c>
      <c r="U372">
        <v>1</v>
      </c>
      <c r="V372">
        <v>1</v>
      </c>
      <c r="W372">
        <v>1</v>
      </c>
      <c r="X372">
        <v>0</v>
      </c>
    </row>
    <row r="373" ht="12" customHeight="1" spans="1:24">
      <c r="A373">
        <v>502030</v>
      </c>
      <c r="B373">
        <v>502030</v>
      </c>
      <c r="C373" t="str">
        <f>INDEX(TextData!B:B,MATCH(B373,TextData!A:A))</f>
        <v>SPD+1</v>
      </c>
      <c r="D373">
        <v>6</v>
      </c>
      <c r="E373" t="str">
        <f>INDEX(Define!X:X,MATCH(D373,Define!W:W))</f>
        <v>自己強化</v>
      </c>
      <c r="H373">
        <v>1</v>
      </c>
      <c r="I373" t="str">
        <f>INDEX(Define!B:B,MATCH(H373,Define!A:A))</f>
        <v>単体</v>
      </c>
      <c r="J373">
        <v>0</v>
      </c>
      <c r="K373">
        <v>0</v>
      </c>
      <c r="L373">
        <v>10</v>
      </c>
      <c r="M373">
        <v>2</v>
      </c>
      <c r="N373" t="str">
        <f>INDEX(Define!E:E,MATCH(M373,Define!D:D))</f>
        <v>雷</v>
      </c>
      <c r="O373">
        <v>9</v>
      </c>
      <c r="P373" t="str">
        <f>INDEX(Define!H:H,MATCH(O373,Define!G:G))</f>
        <v>装備パッシブ</v>
      </c>
      <c r="Q373">
        <v>4</v>
      </c>
      <c r="R373" t="str">
        <f>INDEX(Define!K:K,MATCH(Q373,Define!J:J))</f>
        <v>自身</v>
      </c>
      <c r="S373">
        <v>4</v>
      </c>
      <c r="T373" t="str">
        <f>INDEX(Define!N:N,MATCH(S373,Define!M:M))</f>
        <v>自身</v>
      </c>
      <c r="U373">
        <v>1</v>
      </c>
      <c r="V373">
        <v>1</v>
      </c>
      <c r="W373">
        <v>1</v>
      </c>
      <c r="X373">
        <v>0</v>
      </c>
    </row>
    <row r="374" ht="12" customHeight="1" spans="1:24">
      <c r="A374">
        <v>502040</v>
      </c>
      <c r="B374">
        <v>502040</v>
      </c>
      <c r="C374" t="str">
        <f>INDEX(TextData!B:B,MATCH(B374,TextData!A:A))</f>
        <v>回避率+5%</v>
      </c>
      <c r="D374">
        <v>6</v>
      </c>
      <c r="E374" t="str">
        <f>INDEX(Define!X:X,MATCH(D374,Define!W:W))</f>
        <v>自己強化</v>
      </c>
      <c r="H374">
        <v>1</v>
      </c>
      <c r="I374" t="str">
        <f>INDEX(Define!B:B,MATCH(H374,Define!A:A))</f>
        <v>単体</v>
      </c>
      <c r="J374">
        <v>0</v>
      </c>
      <c r="K374">
        <v>0</v>
      </c>
      <c r="L374">
        <v>10</v>
      </c>
      <c r="M374">
        <v>2</v>
      </c>
      <c r="N374" t="str">
        <f>INDEX(Define!E:E,MATCH(M374,Define!D:D))</f>
        <v>雷</v>
      </c>
      <c r="O374">
        <v>9</v>
      </c>
      <c r="P374" t="str">
        <f>INDEX(Define!H:H,MATCH(O374,Define!G:G))</f>
        <v>装備パッシブ</v>
      </c>
      <c r="Q374">
        <v>4</v>
      </c>
      <c r="R374" t="str">
        <f>INDEX(Define!K:K,MATCH(Q374,Define!J:J))</f>
        <v>自身</v>
      </c>
      <c r="S374">
        <v>4</v>
      </c>
      <c r="T374" t="str">
        <f>INDEX(Define!N:N,MATCH(S374,Define!M:M))</f>
        <v>自身</v>
      </c>
      <c r="U374">
        <v>1</v>
      </c>
      <c r="V374">
        <v>1</v>
      </c>
      <c r="W374">
        <v>1</v>
      </c>
      <c r="X374">
        <v>0</v>
      </c>
    </row>
    <row r="375" ht="12" customHeight="1" spans="1:24">
      <c r="A375">
        <v>502110</v>
      </c>
      <c r="B375">
        <v>502110</v>
      </c>
      <c r="C375" t="str">
        <f>INDEX(TextData!B:B,MATCH(B375,TextData!A:A))</f>
        <v>会心ダメージ率+25%</v>
      </c>
      <c r="D375">
        <v>6</v>
      </c>
      <c r="E375" t="str">
        <f>INDEX(Define!X:X,MATCH(D375,Define!W:W))</f>
        <v>自己強化</v>
      </c>
      <c r="H375">
        <v>1</v>
      </c>
      <c r="I375" t="str">
        <f>INDEX(Define!B:B,MATCH(H375,Define!A:A))</f>
        <v>単体</v>
      </c>
      <c r="J375">
        <v>0</v>
      </c>
      <c r="K375">
        <v>0</v>
      </c>
      <c r="L375">
        <v>10</v>
      </c>
      <c r="M375">
        <v>2</v>
      </c>
      <c r="N375" t="str">
        <f>INDEX(Define!E:E,MATCH(M375,Define!D:D))</f>
        <v>雷</v>
      </c>
      <c r="O375">
        <v>9</v>
      </c>
      <c r="P375" t="str">
        <f>INDEX(Define!H:H,MATCH(O375,Define!G:G))</f>
        <v>装備パッシブ</v>
      </c>
      <c r="Q375">
        <v>4</v>
      </c>
      <c r="R375" t="str">
        <f>INDEX(Define!K:K,MATCH(Q375,Define!J:J))</f>
        <v>自身</v>
      </c>
      <c r="S375">
        <v>4</v>
      </c>
      <c r="T375" t="str">
        <f>INDEX(Define!N:N,MATCH(S375,Define!M:M))</f>
        <v>自身</v>
      </c>
      <c r="U375">
        <v>1</v>
      </c>
      <c r="V375">
        <v>1</v>
      </c>
      <c r="W375">
        <v>1</v>
      </c>
      <c r="X375">
        <v>0</v>
      </c>
    </row>
    <row r="376" ht="12" customHeight="1" spans="1:24">
      <c r="A376">
        <v>502120</v>
      </c>
      <c r="B376">
        <v>502120</v>
      </c>
      <c r="C376" t="str">
        <f>INDEX(TextData!B:B,MATCH(B376,TextData!A:A))</f>
        <v>命中率+5%</v>
      </c>
      <c r="D376">
        <v>6</v>
      </c>
      <c r="E376" t="str">
        <f>INDEX(Define!X:X,MATCH(D376,Define!W:W))</f>
        <v>自己強化</v>
      </c>
      <c r="H376">
        <v>1</v>
      </c>
      <c r="I376" t="str">
        <f>INDEX(Define!B:B,MATCH(H376,Define!A:A))</f>
        <v>単体</v>
      </c>
      <c r="J376">
        <v>0</v>
      </c>
      <c r="K376">
        <v>0</v>
      </c>
      <c r="L376">
        <v>10</v>
      </c>
      <c r="M376">
        <v>2</v>
      </c>
      <c r="N376" t="str">
        <f>INDEX(Define!E:E,MATCH(M376,Define!D:D))</f>
        <v>雷</v>
      </c>
      <c r="O376">
        <v>9</v>
      </c>
      <c r="P376" t="str">
        <f>INDEX(Define!H:H,MATCH(O376,Define!G:G))</f>
        <v>装備パッシブ</v>
      </c>
      <c r="Q376">
        <v>4</v>
      </c>
      <c r="R376" t="str">
        <f>INDEX(Define!K:K,MATCH(Q376,Define!J:J))</f>
        <v>自身</v>
      </c>
      <c r="S376">
        <v>4</v>
      </c>
      <c r="T376" t="str">
        <f>INDEX(Define!N:N,MATCH(S376,Define!M:M))</f>
        <v>自身</v>
      </c>
      <c r="U376">
        <v>1</v>
      </c>
      <c r="V376">
        <v>1</v>
      </c>
      <c r="W376">
        <v>1</v>
      </c>
      <c r="X376">
        <v>0</v>
      </c>
    </row>
    <row r="377" ht="12" customHeight="1" spans="1:24">
      <c r="A377">
        <v>502121</v>
      </c>
      <c r="B377">
        <v>502121</v>
      </c>
      <c r="C377" t="str">
        <f>INDEX(TextData!B:B,MATCH(B377,TextData!A:A))</f>
        <v>回避率+5%</v>
      </c>
      <c r="D377">
        <v>6</v>
      </c>
      <c r="E377" t="str">
        <f>INDEX(Define!X:X,MATCH(D377,Define!W:W))</f>
        <v>自己強化</v>
      </c>
      <c r="H377">
        <v>1</v>
      </c>
      <c r="I377" t="str">
        <f>INDEX(Define!B:B,MATCH(H377,Define!A:A))</f>
        <v>単体</v>
      </c>
      <c r="J377">
        <v>0</v>
      </c>
      <c r="K377">
        <v>0</v>
      </c>
      <c r="L377">
        <v>10</v>
      </c>
      <c r="M377">
        <v>2</v>
      </c>
      <c r="N377" t="str">
        <f>INDEX(Define!E:E,MATCH(M377,Define!D:D))</f>
        <v>雷</v>
      </c>
      <c r="O377">
        <v>9</v>
      </c>
      <c r="P377" t="str">
        <f>INDEX(Define!H:H,MATCH(O377,Define!G:G))</f>
        <v>装備パッシブ</v>
      </c>
      <c r="Q377">
        <v>4</v>
      </c>
      <c r="R377" t="str">
        <f>INDEX(Define!K:K,MATCH(Q377,Define!J:J))</f>
        <v>自身</v>
      </c>
      <c r="S377">
        <v>4</v>
      </c>
      <c r="T377" t="str">
        <f>INDEX(Define!N:N,MATCH(S377,Define!M:M))</f>
        <v>自身</v>
      </c>
      <c r="U377">
        <v>1</v>
      </c>
      <c r="V377">
        <v>1</v>
      </c>
      <c r="W377">
        <v>1</v>
      </c>
      <c r="X377">
        <v>0</v>
      </c>
    </row>
    <row r="378" ht="12" customHeight="1" spans="1:24">
      <c r="A378">
        <v>502130</v>
      </c>
      <c r="B378">
        <v>502130</v>
      </c>
      <c r="C378" t="str">
        <f>INDEX(TextData!B:B,MATCH(B378,TextData!A:A))</f>
        <v>SPD+2</v>
      </c>
      <c r="D378">
        <v>6</v>
      </c>
      <c r="E378" t="str">
        <f>INDEX(Define!X:X,MATCH(D378,Define!W:W))</f>
        <v>自己強化</v>
      </c>
      <c r="H378">
        <v>1</v>
      </c>
      <c r="I378" t="str">
        <f>INDEX(Define!B:B,MATCH(H378,Define!A:A))</f>
        <v>単体</v>
      </c>
      <c r="J378">
        <v>0</v>
      </c>
      <c r="K378">
        <v>0</v>
      </c>
      <c r="L378">
        <v>10</v>
      </c>
      <c r="M378">
        <v>2</v>
      </c>
      <c r="N378" t="str">
        <f>INDEX(Define!E:E,MATCH(M378,Define!D:D))</f>
        <v>雷</v>
      </c>
      <c r="O378">
        <v>9</v>
      </c>
      <c r="P378" t="str">
        <f>INDEX(Define!H:H,MATCH(O378,Define!G:G))</f>
        <v>装備パッシブ</v>
      </c>
      <c r="Q378">
        <v>4</v>
      </c>
      <c r="R378" t="str">
        <f>INDEX(Define!K:K,MATCH(Q378,Define!J:J))</f>
        <v>自身</v>
      </c>
      <c r="S378">
        <v>4</v>
      </c>
      <c r="T378" t="str">
        <f>INDEX(Define!N:N,MATCH(S378,Define!M:M))</f>
        <v>自身</v>
      </c>
      <c r="U378">
        <v>1</v>
      </c>
      <c r="V378">
        <v>1</v>
      </c>
      <c r="W378">
        <v>1</v>
      </c>
      <c r="X378">
        <v>0</v>
      </c>
    </row>
    <row r="379" ht="12" customHeight="1" spans="1:24">
      <c r="A379">
        <v>503010</v>
      </c>
      <c r="B379">
        <v>503010</v>
      </c>
      <c r="C379" t="str">
        <f>INDEX(TextData!B:B,MATCH(B379,TextData!A:A))</f>
        <v>DEF+1</v>
      </c>
      <c r="D379">
        <v>6</v>
      </c>
      <c r="E379" t="str">
        <f>INDEX(Define!X:X,MATCH(D379,Define!W:W))</f>
        <v>自己強化</v>
      </c>
      <c r="H379">
        <v>1</v>
      </c>
      <c r="I379" t="str">
        <f>INDEX(Define!B:B,MATCH(H379,Define!A:A))</f>
        <v>単体</v>
      </c>
      <c r="J379">
        <v>0</v>
      </c>
      <c r="K379">
        <v>0</v>
      </c>
      <c r="L379">
        <v>10</v>
      </c>
      <c r="M379">
        <v>3</v>
      </c>
      <c r="N379" t="str">
        <f>INDEX(Define!E:E,MATCH(M379,Define!D:D))</f>
        <v>氷</v>
      </c>
      <c r="O379">
        <v>9</v>
      </c>
      <c r="P379" t="str">
        <f>INDEX(Define!H:H,MATCH(O379,Define!G:G))</f>
        <v>装備パッシブ</v>
      </c>
      <c r="Q379">
        <v>4</v>
      </c>
      <c r="R379" t="str">
        <f>INDEX(Define!K:K,MATCH(Q379,Define!J:J))</f>
        <v>自身</v>
      </c>
      <c r="S379">
        <v>4</v>
      </c>
      <c r="T379" t="str">
        <f>INDEX(Define!N:N,MATCH(S379,Define!M:M))</f>
        <v>自身</v>
      </c>
      <c r="U379">
        <v>1</v>
      </c>
      <c r="V379">
        <v>1</v>
      </c>
      <c r="W379">
        <v>1</v>
      </c>
      <c r="X379">
        <v>0</v>
      </c>
    </row>
    <row r="380" ht="12" customHeight="1" spans="1:24">
      <c r="A380">
        <v>503020</v>
      </c>
      <c r="B380">
        <v>503020</v>
      </c>
      <c r="C380" t="str">
        <f>INDEX(TextData!B:B,MATCH(B380,TextData!A:A))</f>
        <v>凍結耐性+20%</v>
      </c>
      <c r="D380">
        <v>6</v>
      </c>
      <c r="E380" t="str">
        <f>INDEX(Define!X:X,MATCH(D380,Define!W:W))</f>
        <v>自己強化</v>
      </c>
      <c r="H380">
        <v>1</v>
      </c>
      <c r="I380" t="str">
        <f>INDEX(Define!B:B,MATCH(H380,Define!A:A))</f>
        <v>単体</v>
      </c>
      <c r="J380">
        <v>0</v>
      </c>
      <c r="K380">
        <v>0</v>
      </c>
      <c r="L380">
        <v>10</v>
      </c>
      <c r="M380">
        <v>3</v>
      </c>
      <c r="N380" t="str">
        <f>INDEX(Define!E:E,MATCH(M380,Define!D:D))</f>
        <v>氷</v>
      </c>
      <c r="O380">
        <v>9</v>
      </c>
      <c r="P380" t="str">
        <f>INDEX(Define!H:H,MATCH(O380,Define!G:G))</f>
        <v>装備パッシブ</v>
      </c>
      <c r="Q380">
        <v>4</v>
      </c>
      <c r="R380" t="str">
        <f>INDEX(Define!K:K,MATCH(Q380,Define!J:J))</f>
        <v>自身</v>
      </c>
      <c r="S380">
        <v>4</v>
      </c>
      <c r="T380" t="str">
        <f>INDEX(Define!N:N,MATCH(S380,Define!M:M))</f>
        <v>自身</v>
      </c>
      <c r="U380">
        <v>1</v>
      </c>
      <c r="V380">
        <v>1</v>
      </c>
      <c r="W380">
        <v>1</v>
      </c>
      <c r="X380">
        <v>0</v>
      </c>
    </row>
    <row r="381" ht="12" customHeight="1" spans="1:24">
      <c r="A381">
        <v>503030</v>
      </c>
      <c r="B381">
        <v>503030</v>
      </c>
      <c r="C381" t="str">
        <f>INDEX(TextData!B:B,MATCH(B381,TextData!A:A))</f>
        <v>最大HP+2</v>
      </c>
      <c r="D381">
        <v>6</v>
      </c>
      <c r="E381" t="str">
        <f>INDEX(Define!X:X,MATCH(D381,Define!W:W))</f>
        <v>自己強化</v>
      </c>
      <c r="H381">
        <v>1</v>
      </c>
      <c r="I381" t="str">
        <f>INDEX(Define!B:B,MATCH(H381,Define!A:A))</f>
        <v>単体</v>
      </c>
      <c r="J381">
        <v>0</v>
      </c>
      <c r="K381">
        <v>0</v>
      </c>
      <c r="L381">
        <v>10</v>
      </c>
      <c r="M381">
        <v>3</v>
      </c>
      <c r="N381" t="str">
        <f>INDEX(Define!E:E,MATCH(M381,Define!D:D))</f>
        <v>氷</v>
      </c>
      <c r="O381">
        <v>9</v>
      </c>
      <c r="P381" t="str">
        <f>INDEX(Define!H:H,MATCH(O381,Define!G:G))</f>
        <v>装備パッシブ</v>
      </c>
      <c r="Q381">
        <v>4</v>
      </c>
      <c r="R381" t="str">
        <f>INDEX(Define!K:K,MATCH(Q381,Define!J:J))</f>
        <v>自身</v>
      </c>
      <c r="S381">
        <v>4</v>
      </c>
      <c r="T381" t="str">
        <f>INDEX(Define!N:N,MATCH(S381,Define!M:M))</f>
        <v>自身</v>
      </c>
      <c r="U381">
        <v>1</v>
      </c>
      <c r="V381">
        <v>1</v>
      </c>
      <c r="W381">
        <v>1</v>
      </c>
      <c r="X381">
        <v>0</v>
      </c>
    </row>
    <row r="382" ht="12" customHeight="1" spans="1:24">
      <c r="A382">
        <v>503040</v>
      </c>
      <c r="B382">
        <v>503040</v>
      </c>
      <c r="C382" t="str">
        <f>INDEX(TextData!B:B,MATCH(B382,TextData!A:A))</f>
        <v>DEF+2</v>
      </c>
      <c r="D382">
        <v>6</v>
      </c>
      <c r="E382" t="str">
        <f>INDEX(Define!X:X,MATCH(D382,Define!W:W))</f>
        <v>自己強化</v>
      </c>
      <c r="H382">
        <v>1</v>
      </c>
      <c r="I382" t="str">
        <f>INDEX(Define!B:B,MATCH(H382,Define!A:A))</f>
        <v>単体</v>
      </c>
      <c r="J382">
        <v>0</v>
      </c>
      <c r="K382">
        <v>0</v>
      </c>
      <c r="L382">
        <v>10</v>
      </c>
      <c r="M382">
        <v>3</v>
      </c>
      <c r="N382" t="str">
        <f>INDEX(Define!E:E,MATCH(M382,Define!D:D))</f>
        <v>氷</v>
      </c>
      <c r="O382">
        <v>9</v>
      </c>
      <c r="P382" t="str">
        <f>INDEX(Define!H:H,MATCH(O382,Define!G:G))</f>
        <v>装備パッシブ</v>
      </c>
      <c r="Q382">
        <v>4</v>
      </c>
      <c r="R382" t="str">
        <f>INDEX(Define!K:K,MATCH(Q382,Define!J:J))</f>
        <v>自身</v>
      </c>
      <c r="S382">
        <v>4</v>
      </c>
      <c r="T382" t="str">
        <f>INDEX(Define!N:N,MATCH(S382,Define!M:M))</f>
        <v>自身</v>
      </c>
      <c r="U382">
        <v>1</v>
      </c>
      <c r="V382">
        <v>1</v>
      </c>
      <c r="W382">
        <v>1</v>
      </c>
      <c r="X382">
        <v>0</v>
      </c>
    </row>
    <row r="383" ht="12" customHeight="1" spans="1:24">
      <c r="A383">
        <v>503110</v>
      </c>
      <c r="B383">
        <v>503110</v>
      </c>
      <c r="C383" t="str">
        <f>INDEX(TextData!B:B,MATCH(B383,TextData!A:A))</f>
        <v>DEF+2</v>
      </c>
      <c r="D383">
        <v>6</v>
      </c>
      <c r="E383" t="str">
        <f>INDEX(Define!X:X,MATCH(D383,Define!W:W))</f>
        <v>自己強化</v>
      </c>
      <c r="H383">
        <v>1</v>
      </c>
      <c r="I383" t="str">
        <f>INDEX(Define!B:B,MATCH(H383,Define!A:A))</f>
        <v>単体</v>
      </c>
      <c r="J383">
        <v>0</v>
      </c>
      <c r="K383">
        <v>0</v>
      </c>
      <c r="L383">
        <v>10</v>
      </c>
      <c r="M383">
        <v>3</v>
      </c>
      <c r="N383" t="str">
        <f>INDEX(Define!E:E,MATCH(M383,Define!D:D))</f>
        <v>氷</v>
      </c>
      <c r="O383">
        <v>9</v>
      </c>
      <c r="P383" t="str">
        <f>INDEX(Define!H:H,MATCH(O383,Define!G:G))</f>
        <v>装備パッシブ</v>
      </c>
      <c r="Q383">
        <v>4</v>
      </c>
      <c r="R383" t="str">
        <f>INDEX(Define!K:K,MATCH(Q383,Define!J:J))</f>
        <v>自身</v>
      </c>
      <c r="S383">
        <v>4</v>
      </c>
      <c r="T383" t="str">
        <f>INDEX(Define!N:N,MATCH(S383,Define!M:M))</f>
        <v>自身</v>
      </c>
      <c r="U383">
        <v>1</v>
      </c>
      <c r="V383">
        <v>1</v>
      </c>
      <c r="W383">
        <v>1</v>
      </c>
      <c r="X383">
        <v>0</v>
      </c>
    </row>
    <row r="384" ht="12" customHeight="1" spans="1:24">
      <c r="A384">
        <v>503120</v>
      </c>
      <c r="B384">
        <v>503120</v>
      </c>
      <c r="C384" t="str">
        <f>INDEX(TextData!B:B,MATCH(B384,TextData!A:A))</f>
        <v>ATK+2</v>
      </c>
      <c r="D384">
        <v>6</v>
      </c>
      <c r="E384" t="str">
        <f>INDEX(Define!X:X,MATCH(D384,Define!W:W))</f>
        <v>自己強化</v>
      </c>
      <c r="H384">
        <v>1</v>
      </c>
      <c r="I384" t="str">
        <f>INDEX(Define!B:B,MATCH(H384,Define!A:A))</f>
        <v>単体</v>
      </c>
      <c r="J384">
        <v>0</v>
      </c>
      <c r="K384">
        <v>0</v>
      </c>
      <c r="L384">
        <v>10</v>
      </c>
      <c r="M384">
        <v>3</v>
      </c>
      <c r="N384" t="str">
        <f>INDEX(Define!E:E,MATCH(M384,Define!D:D))</f>
        <v>氷</v>
      </c>
      <c r="O384">
        <v>9</v>
      </c>
      <c r="P384" t="str">
        <f>INDEX(Define!H:H,MATCH(O384,Define!G:G))</f>
        <v>装備パッシブ</v>
      </c>
      <c r="Q384">
        <v>4</v>
      </c>
      <c r="R384" t="str">
        <f>INDEX(Define!K:K,MATCH(Q384,Define!J:J))</f>
        <v>自身</v>
      </c>
      <c r="S384">
        <v>4</v>
      </c>
      <c r="T384" t="str">
        <f>INDEX(Define!N:N,MATCH(S384,Define!M:M))</f>
        <v>自身</v>
      </c>
      <c r="U384">
        <v>1</v>
      </c>
      <c r="V384">
        <v>1</v>
      </c>
      <c r="W384">
        <v>1</v>
      </c>
      <c r="X384">
        <v>0</v>
      </c>
    </row>
    <row r="385" ht="12" customHeight="1" spans="1:24">
      <c r="A385">
        <v>503130</v>
      </c>
      <c r="B385">
        <v>503130</v>
      </c>
      <c r="C385" t="str">
        <f>INDEX(TextData!B:B,MATCH(B385,TextData!A:A))</f>
        <v>ダメージ軽減効果無視+10%</v>
      </c>
      <c r="D385">
        <v>6</v>
      </c>
      <c r="E385" t="str">
        <f>INDEX(Define!X:X,MATCH(D385,Define!W:W))</f>
        <v>自己強化</v>
      </c>
      <c r="H385">
        <v>1</v>
      </c>
      <c r="I385" t="str">
        <f>INDEX(Define!B:B,MATCH(H385,Define!A:A))</f>
        <v>単体</v>
      </c>
      <c r="J385">
        <v>0</v>
      </c>
      <c r="K385">
        <v>0</v>
      </c>
      <c r="L385">
        <v>10</v>
      </c>
      <c r="M385">
        <v>3</v>
      </c>
      <c r="N385" t="str">
        <f>INDEX(Define!E:E,MATCH(M385,Define!D:D))</f>
        <v>氷</v>
      </c>
      <c r="O385">
        <v>9</v>
      </c>
      <c r="P385" t="str">
        <f>INDEX(Define!H:H,MATCH(O385,Define!G:G))</f>
        <v>装備パッシブ</v>
      </c>
      <c r="Q385">
        <v>4</v>
      </c>
      <c r="R385" t="str">
        <f>INDEX(Define!K:K,MATCH(Q385,Define!J:J))</f>
        <v>自身</v>
      </c>
      <c r="S385">
        <v>4</v>
      </c>
      <c r="T385" t="str">
        <f>INDEX(Define!N:N,MATCH(S385,Define!M:M))</f>
        <v>自身</v>
      </c>
      <c r="U385">
        <v>1</v>
      </c>
      <c r="V385">
        <v>1</v>
      </c>
      <c r="W385">
        <v>1</v>
      </c>
      <c r="X385">
        <v>0</v>
      </c>
    </row>
    <row r="386" ht="12" customHeight="1" spans="1:24">
      <c r="A386">
        <v>504010</v>
      </c>
      <c r="B386">
        <v>504010</v>
      </c>
      <c r="C386" t="str">
        <f>INDEX(TextData!B:B,MATCH(B386,TextData!A:A))</f>
        <v>Hp回復効果+2</v>
      </c>
      <c r="D386">
        <v>6</v>
      </c>
      <c r="E386" t="str">
        <f>INDEX(Define!X:X,MATCH(D386,Define!W:W))</f>
        <v>自己強化</v>
      </c>
      <c r="H386">
        <v>1</v>
      </c>
      <c r="I386" t="str">
        <f>INDEX(Define!B:B,MATCH(H386,Define!A:A))</f>
        <v>単体</v>
      </c>
      <c r="J386">
        <v>0</v>
      </c>
      <c r="K386">
        <v>0</v>
      </c>
      <c r="L386">
        <v>10</v>
      </c>
      <c r="M386">
        <v>4</v>
      </c>
      <c r="N386" t="str">
        <f>INDEX(Define!E:E,MATCH(M386,Define!D:D))</f>
        <v>光</v>
      </c>
      <c r="O386">
        <v>9</v>
      </c>
      <c r="P386" t="str">
        <f>INDEX(Define!H:H,MATCH(O386,Define!G:G))</f>
        <v>装備パッシブ</v>
      </c>
      <c r="Q386">
        <v>4</v>
      </c>
      <c r="R386" t="str">
        <f>INDEX(Define!K:K,MATCH(Q386,Define!J:J))</f>
        <v>自身</v>
      </c>
      <c r="S386">
        <v>4</v>
      </c>
      <c r="T386" t="str">
        <f>INDEX(Define!N:N,MATCH(S386,Define!M:M))</f>
        <v>自身</v>
      </c>
      <c r="U386">
        <v>1</v>
      </c>
      <c r="V386">
        <v>1</v>
      </c>
      <c r="W386">
        <v>1</v>
      </c>
      <c r="X386">
        <v>0</v>
      </c>
    </row>
    <row r="387" ht="12" customHeight="1" spans="1:24">
      <c r="A387">
        <v>504020</v>
      </c>
      <c r="B387">
        <v>504020</v>
      </c>
      <c r="C387" t="str">
        <f>INDEX(TextData!B:B,MATCH(B387,TextData!A:A))</f>
        <v>SPD+1</v>
      </c>
      <c r="D387">
        <v>6</v>
      </c>
      <c r="E387" t="str">
        <f>INDEX(Define!X:X,MATCH(D387,Define!W:W))</f>
        <v>自己強化</v>
      </c>
      <c r="H387">
        <v>1</v>
      </c>
      <c r="I387" t="str">
        <f>INDEX(Define!B:B,MATCH(H387,Define!A:A))</f>
        <v>単体</v>
      </c>
      <c r="J387">
        <v>0</v>
      </c>
      <c r="K387">
        <v>0</v>
      </c>
      <c r="L387">
        <v>10</v>
      </c>
      <c r="M387">
        <v>4</v>
      </c>
      <c r="N387" t="str">
        <f>INDEX(Define!E:E,MATCH(M387,Define!D:D))</f>
        <v>光</v>
      </c>
      <c r="O387">
        <v>9</v>
      </c>
      <c r="P387" t="str">
        <f>INDEX(Define!H:H,MATCH(O387,Define!G:G))</f>
        <v>装備パッシブ</v>
      </c>
      <c r="Q387">
        <v>4</v>
      </c>
      <c r="R387" t="str">
        <f>INDEX(Define!K:K,MATCH(Q387,Define!J:J))</f>
        <v>自身</v>
      </c>
      <c r="S387">
        <v>4</v>
      </c>
      <c r="T387" t="str">
        <f>INDEX(Define!N:N,MATCH(S387,Define!M:M))</f>
        <v>自身</v>
      </c>
      <c r="U387">
        <v>1</v>
      </c>
      <c r="V387">
        <v>1</v>
      </c>
      <c r="W387">
        <v>1</v>
      </c>
      <c r="X387">
        <v>0</v>
      </c>
    </row>
    <row r="388" ht="12" customHeight="1" spans="1:24">
      <c r="A388">
        <v>504030</v>
      </c>
      <c r="B388">
        <v>504030</v>
      </c>
      <c r="C388" t="str">
        <f>INDEX(TextData!B:B,MATCH(B388,TextData!A:A))</f>
        <v>命中率+5%</v>
      </c>
      <c r="D388">
        <v>6</v>
      </c>
      <c r="E388" t="str">
        <f>INDEX(Define!X:X,MATCH(D388,Define!W:W))</f>
        <v>自己強化</v>
      </c>
      <c r="H388">
        <v>1</v>
      </c>
      <c r="I388" t="str">
        <f>INDEX(Define!B:B,MATCH(H388,Define!A:A))</f>
        <v>単体</v>
      </c>
      <c r="J388">
        <v>0</v>
      </c>
      <c r="K388">
        <v>0</v>
      </c>
      <c r="L388">
        <v>10</v>
      </c>
      <c r="M388">
        <v>4</v>
      </c>
      <c r="N388" t="str">
        <f>INDEX(Define!E:E,MATCH(M388,Define!D:D))</f>
        <v>光</v>
      </c>
      <c r="O388">
        <v>9</v>
      </c>
      <c r="P388" t="str">
        <f>INDEX(Define!H:H,MATCH(O388,Define!G:G))</f>
        <v>装備パッシブ</v>
      </c>
      <c r="Q388">
        <v>4</v>
      </c>
      <c r="R388" t="str">
        <f>INDEX(Define!K:K,MATCH(Q388,Define!J:J))</f>
        <v>自身</v>
      </c>
      <c r="S388">
        <v>4</v>
      </c>
      <c r="T388" t="str">
        <f>INDEX(Define!N:N,MATCH(S388,Define!M:M))</f>
        <v>自身</v>
      </c>
      <c r="U388">
        <v>1</v>
      </c>
      <c r="V388">
        <v>1</v>
      </c>
      <c r="W388">
        <v>1</v>
      </c>
      <c r="X388">
        <v>0</v>
      </c>
    </row>
    <row r="389" ht="12" customHeight="1" spans="1:24">
      <c r="A389">
        <v>504040</v>
      </c>
      <c r="B389">
        <v>504040</v>
      </c>
      <c r="C389" t="str">
        <f>INDEX(TextData!B:B,MATCH(B389,TextData!A:A))</f>
        <v>最大HP+2</v>
      </c>
      <c r="D389">
        <v>6</v>
      </c>
      <c r="E389" t="str">
        <f>INDEX(Define!X:X,MATCH(D389,Define!W:W))</f>
        <v>自己強化</v>
      </c>
      <c r="H389">
        <v>1</v>
      </c>
      <c r="I389" t="str">
        <f>INDEX(Define!B:B,MATCH(H389,Define!A:A))</f>
        <v>単体</v>
      </c>
      <c r="J389">
        <v>0</v>
      </c>
      <c r="K389">
        <v>0</v>
      </c>
      <c r="L389">
        <v>10</v>
      </c>
      <c r="M389">
        <v>4</v>
      </c>
      <c r="N389" t="str">
        <f>INDEX(Define!E:E,MATCH(M389,Define!D:D))</f>
        <v>光</v>
      </c>
      <c r="O389">
        <v>9</v>
      </c>
      <c r="P389" t="str">
        <f>INDEX(Define!H:H,MATCH(O389,Define!G:G))</f>
        <v>装備パッシブ</v>
      </c>
      <c r="Q389">
        <v>4</v>
      </c>
      <c r="R389" t="str">
        <f>INDEX(Define!K:K,MATCH(Q389,Define!J:J))</f>
        <v>自身</v>
      </c>
      <c r="S389">
        <v>4</v>
      </c>
      <c r="T389" t="str">
        <f>INDEX(Define!N:N,MATCH(S389,Define!M:M))</f>
        <v>自身</v>
      </c>
      <c r="U389">
        <v>1</v>
      </c>
      <c r="V389">
        <v>1</v>
      </c>
      <c r="W389">
        <v>1</v>
      </c>
      <c r="X389">
        <v>0</v>
      </c>
    </row>
    <row r="390" ht="12" customHeight="1" spans="1:24">
      <c r="A390">
        <v>504110</v>
      </c>
      <c r="B390">
        <v>504110</v>
      </c>
      <c r="C390" t="str">
        <f>INDEX(TextData!B:B,MATCH(B390,TextData!A:A))</f>
        <v>命中率+10%</v>
      </c>
      <c r="D390">
        <v>6</v>
      </c>
      <c r="E390" t="str">
        <f>INDEX(Define!X:X,MATCH(D390,Define!W:W))</f>
        <v>自己強化</v>
      </c>
      <c r="H390">
        <v>1</v>
      </c>
      <c r="I390" t="str">
        <f>INDEX(Define!B:B,MATCH(H390,Define!A:A))</f>
        <v>単体</v>
      </c>
      <c r="J390">
        <v>0</v>
      </c>
      <c r="K390">
        <v>0</v>
      </c>
      <c r="L390">
        <v>10</v>
      </c>
      <c r="M390">
        <v>4</v>
      </c>
      <c r="N390" t="str">
        <f>INDEX(Define!E:E,MATCH(M390,Define!D:D))</f>
        <v>光</v>
      </c>
      <c r="O390">
        <v>9</v>
      </c>
      <c r="P390" t="str">
        <f>INDEX(Define!H:H,MATCH(O390,Define!G:G))</f>
        <v>装備パッシブ</v>
      </c>
      <c r="Q390">
        <v>4</v>
      </c>
      <c r="R390" t="str">
        <f>INDEX(Define!K:K,MATCH(Q390,Define!J:J))</f>
        <v>自身</v>
      </c>
      <c r="S390">
        <v>4</v>
      </c>
      <c r="T390" t="str">
        <f>INDEX(Define!N:N,MATCH(S390,Define!M:M))</f>
        <v>自身</v>
      </c>
      <c r="U390">
        <v>1</v>
      </c>
      <c r="V390">
        <v>1</v>
      </c>
      <c r="W390">
        <v>1</v>
      </c>
      <c r="X390">
        <v>0</v>
      </c>
    </row>
    <row r="391" ht="12" customHeight="1" spans="1:24">
      <c r="A391">
        <v>504120</v>
      </c>
      <c r="B391">
        <v>504120</v>
      </c>
      <c r="C391" t="str">
        <f>INDEX(TextData!B:B,MATCH(B391,TextData!A:A))</f>
        <v>最大HP+2</v>
      </c>
      <c r="D391">
        <v>6</v>
      </c>
      <c r="E391" t="str">
        <f>INDEX(Define!X:X,MATCH(D391,Define!W:W))</f>
        <v>自己強化</v>
      </c>
      <c r="H391">
        <v>1</v>
      </c>
      <c r="I391" t="str">
        <f>INDEX(Define!B:B,MATCH(H391,Define!A:A))</f>
        <v>単体</v>
      </c>
      <c r="J391">
        <v>0</v>
      </c>
      <c r="K391">
        <v>0</v>
      </c>
      <c r="L391">
        <v>10</v>
      </c>
      <c r="M391">
        <v>4</v>
      </c>
      <c r="N391" t="str">
        <f>INDEX(Define!E:E,MATCH(M391,Define!D:D))</f>
        <v>光</v>
      </c>
      <c r="O391">
        <v>9</v>
      </c>
      <c r="P391" t="str">
        <f>INDEX(Define!H:H,MATCH(O391,Define!G:G))</f>
        <v>装備パッシブ</v>
      </c>
      <c r="Q391">
        <v>4</v>
      </c>
      <c r="R391" t="str">
        <f>INDEX(Define!K:K,MATCH(Q391,Define!J:J))</f>
        <v>自身</v>
      </c>
      <c r="S391">
        <v>4</v>
      </c>
      <c r="T391" t="str">
        <f>INDEX(Define!N:N,MATCH(S391,Define!M:M))</f>
        <v>自身</v>
      </c>
      <c r="U391">
        <v>1</v>
      </c>
      <c r="V391">
        <v>1</v>
      </c>
      <c r="W391">
        <v>1</v>
      </c>
      <c r="X391">
        <v>0</v>
      </c>
    </row>
    <row r="392" ht="12" customHeight="1" spans="1:24">
      <c r="A392">
        <v>504130</v>
      </c>
      <c r="B392">
        <v>504130</v>
      </c>
      <c r="C392" t="str">
        <f>INDEX(TextData!B:B,MATCH(B392,TextData!A:A))</f>
        <v>ダメージ軽減効果無視+10%</v>
      </c>
      <c r="D392">
        <v>6</v>
      </c>
      <c r="E392" t="str">
        <f>INDEX(Define!X:X,MATCH(D392,Define!W:W))</f>
        <v>自己強化</v>
      </c>
      <c r="H392">
        <v>1</v>
      </c>
      <c r="I392" t="str">
        <f>INDEX(Define!B:B,MATCH(H392,Define!A:A))</f>
        <v>単体</v>
      </c>
      <c r="J392">
        <v>0</v>
      </c>
      <c r="K392">
        <v>0</v>
      </c>
      <c r="L392">
        <v>10</v>
      </c>
      <c r="M392">
        <v>4</v>
      </c>
      <c r="N392" t="str">
        <f>INDEX(Define!E:E,MATCH(M392,Define!D:D))</f>
        <v>光</v>
      </c>
      <c r="O392">
        <v>9</v>
      </c>
      <c r="P392" t="str">
        <f>INDEX(Define!H:H,MATCH(O392,Define!G:G))</f>
        <v>装備パッシブ</v>
      </c>
      <c r="Q392">
        <v>4</v>
      </c>
      <c r="R392" t="str">
        <f>INDEX(Define!K:K,MATCH(Q392,Define!J:J))</f>
        <v>自身</v>
      </c>
      <c r="S392">
        <v>4</v>
      </c>
      <c r="T392" t="str">
        <f>INDEX(Define!N:N,MATCH(S392,Define!M:M))</f>
        <v>自身</v>
      </c>
      <c r="U392">
        <v>1</v>
      </c>
      <c r="V392">
        <v>1</v>
      </c>
      <c r="W392">
        <v>1</v>
      </c>
      <c r="X392">
        <v>0</v>
      </c>
    </row>
    <row r="393" ht="12" customHeight="1" spans="1:24">
      <c r="A393">
        <v>505010</v>
      </c>
      <c r="B393">
        <v>505010</v>
      </c>
      <c r="C393" t="str">
        <f>INDEX(TextData!B:B,MATCH(B393,TextData!A:A))</f>
        <v>回避率+5%</v>
      </c>
      <c r="D393">
        <v>6</v>
      </c>
      <c r="E393" t="str">
        <f>INDEX(Define!X:X,MATCH(D393,Define!W:W))</f>
        <v>自己強化</v>
      </c>
      <c r="H393">
        <v>1</v>
      </c>
      <c r="I393" t="str">
        <f>INDEX(Define!B:B,MATCH(H393,Define!A:A))</f>
        <v>単体</v>
      </c>
      <c r="J393">
        <v>0</v>
      </c>
      <c r="K393">
        <v>0</v>
      </c>
      <c r="L393">
        <v>10</v>
      </c>
      <c r="M393">
        <v>5</v>
      </c>
      <c r="N393" t="str">
        <f>INDEX(Define!E:E,MATCH(M393,Define!D:D))</f>
        <v>闇</v>
      </c>
      <c r="O393">
        <v>9</v>
      </c>
      <c r="P393" t="str">
        <f>INDEX(Define!H:H,MATCH(O393,Define!G:G))</f>
        <v>装備パッシブ</v>
      </c>
      <c r="Q393">
        <v>4</v>
      </c>
      <c r="R393" t="str">
        <f>INDEX(Define!K:K,MATCH(Q393,Define!J:J))</f>
        <v>自身</v>
      </c>
      <c r="S393">
        <v>4</v>
      </c>
      <c r="T393" t="str">
        <f>INDEX(Define!N:N,MATCH(S393,Define!M:M))</f>
        <v>自身</v>
      </c>
      <c r="U393">
        <v>1</v>
      </c>
      <c r="V393">
        <v>1</v>
      </c>
      <c r="W393">
        <v>1</v>
      </c>
      <c r="X393">
        <v>0</v>
      </c>
    </row>
    <row r="394" ht="12" customHeight="1" spans="1:24">
      <c r="A394">
        <v>505020</v>
      </c>
      <c r="B394">
        <v>505020</v>
      </c>
      <c r="C394" t="str">
        <f>INDEX(TextData!B:B,MATCH(B394,TextData!A:A))</f>
        <v>SPD+1</v>
      </c>
      <c r="D394">
        <v>6</v>
      </c>
      <c r="E394" t="str">
        <f>INDEX(Define!X:X,MATCH(D394,Define!W:W))</f>
        <v>自己強化</v>
      </c>
      <c r="H394">
        <v>1</v>
      </c>
      <c r="I394" t="str">
        <f>INDEX(Define!B:B,MATCH(H394,Define!A:A))</f>
        <v>単体</v>
      </c>
      <c r="J394">
        <v>0</v>
      </c>
      <c r="K394">
        <v>0</v>
      </c>
      <c r="L394">
        <v>10</v>
      </c>
      <c r="M394">
        <v>5</v>
      </c>
      <c r="N394" t="str">
        <f>INDEX(Define!E:E,MATCH(M394,Define!D:D))</f>
        <v>闇</v>
      </c>
      <c r="O394">
        <v>9</v>
      </c>
      <c r="P394" t="str">
        <f>INDEX(Define!H:H,MATCH(O394,Define!G:G))</f>
        <v>装備パッシブ</v>
      </c>
      <c r="Q394">
        <v>4</v>
      </c>
      <c r="R394" t="str">
        <f>INDEX(Define!K:K,MATCH(Q394,Define!J:J))</f>
        <v>自身</v>
      </c>
      <c r="S394">
        <v>4</v>
      </c>
      <c r="T394" t="str">
        <f>INDEX(Define!N:N,MATCH(S394,Define!M:M))</f>
        <v>自身</v>
      </c>
      <c r="U394">
        <v>1</v>
      </c>
      <c r="V394">
        <v>1</v>
      </c>
      <c r="W394">
        <v>1</v>
      </c>
      <c r="X394">
        <v>0</v>
      </c>
    </row>
    <row r="395" ht="12" customHeight="1" spans="1:24">
      <c r="A395">
        <v>505030</v>
      </c>
      <c r="B395">
        <v>505030</v>
      </c>
      <c r="C395" t="str">
        <f>INDEX(TextData!B:B,MATCH(B395,TextData!A:A))</f>
        <v>最大HP+2</v>
      </c>
      <c r="D395">
        <v>6</v>
      </c>
      <c r="E395" t="str">
        <f>INDEX(Define!X:X,MATCH(D395,Define!W:W))</f>
        <v>自己強化</v>
      </c>
      <c r="H395">
        <v>1</v>
      </c>
      <c r="I395" t="str">
        <f>INDEX(Define!B:B,MATCH(H395,Define!A:A))</f>
        <v>単体</v>
      </c>
      <c r="J395">
        <v>0</v>
      </c>
      <c r="K395">
        <v>0</v>
      </c>
      <c r="L395">
        <v>10</v>
      </c>
      <c r="M395">
        <v>5</v>
      </c>
      <c r="N395" t="str">
        <f>INDEX(Define!E:E,MATCH(M395,Define!D:D))</f>
        <v>闇</v>
      </c>
      <c r="O395">
        <v>9</v>
      </c>
      <c r="P395" t="str">
        <f>INDEX(Define!H:H,MATCH(O395,Define!G:G))</f>
        <v>装備パッシブ</v>
      </c>
      <c r="Q395">
        <v>4</v>
      </c>
      <c r="R395" t="str">
        <f>INDEX(Define!K:K,MATCH(Q395,Define!J:J))</f>
        <v>自身</v>
      </c>
      <c r="S395">
        <v>4</v>
      </c>
      <c r="T395" t="str">
        <f>INDEX(Define!N:N,MATCH(S395,Define!M:M))</f>
        <v>自身</v>
      </c>
      <c r="U395">
        <v>1</v>
      </c>
      <c r="V395">
        <v>1</v>
      </c>
      <c r="W395">
        <v>1</v>
      </c>
      <c r="X395">
        <v>0</v>
      </c>
    </row>
    <row r="396" ht="12" customHeight="1" spans="1:24">
      <c r="A396">
        <v>505040</v>
      </c>
      <c r="B396">
        <v>505040</v>
      </c>
      <c r="C396" t="str">
        <f>INDEX(TextData!B:B,MATCH(B396,TextData!A:A))</f>
        <v>ATK+1</v>
      </c>
      <c r="D396">
        <v>6</v>
      </c>
      <c r="E396" t="str">
        <f>INDEX(Define!X:X,MATCH(D396,Define!W:W))</f>
        <v>自己強化</v>
      </c>
      <c r="H396">
        <v>1</v>
      </c>
      <c r="I396" t="str">
        <f>INDEX(Define!B:B,MATCH(H396,Define!A:A))</f>
        <v>単体</v>
      </c>
      <c r="J396">
        <v>0</v>
      </c>
      <c r="K396">
        <v>0</v>
      </c>
      <c r="L396">
        <v>10</v>
      </c>
      <c r="M396">
        <v>5</v>
      </c>
      <c r="N396" t="str">
        <f>INDEX(Define!E:E,MATCH(M396,Define!D:D))</f>
        <v>闇</v>
      </c>
      <c r="O396">
        <v>9</v>
      </c>
      <c r="P396" t="str">
        <f>INDEX(Define!H:H,MATCH(O396,Define!G:G))</f>
        <v>装備パッシブ</v>
      </c>
      <c r="Q396">
        <v>4</v>
      </c>
      <c r="R396" t="str">
        <f>INDEX(Define!K:K,MATCH(Q396,Define!J:J))</f>
        <v>自身</v>
      </c>
      <c r="S396">
        <v>4</v>
      </c>
      <c r="T396" t="str">
        <f>INDEX(Define!N:N,MATCH(S396,Define!M:M))</f>
        <v>自身</v>
      </c>
      <c r="U396">
        <v>1</v>
      </c>
      <c r="V396">
        <v>1</v>
      </c>
      <c r="W396">
        <v>1</v>
      </c>
      <c r="X396">
        <v>0</v>
      </c>
    </row>
    <row r="397" ht="12" customHeight="1" spans="1:24">
      <c r="A397">
        <v>505110</v>
      </c>
      <c r="B397">
        <v>505110</v>
      </c>
      <c r="C397" t="str">
        <f>INDEX(TextData!B:B,MATCH(B397,TextData!A:A))</f>
        <v>命中率+5%</v>
      </c>
      <c r="D397">
        <v>6</v>
      </c>
      <c r="E397" t="str">
        <f>INDEX(Define!X:X,MATCH(D397,Define!W:W))</f>
        <v>自己強化</v>
      </c>
      <c r="H397">
        <v>1</v>
      </c>
      <c r="I397" t="str">
        <f>INDEX(Define!B:B,MATCH(H397,Define!A:A))</f>
        <v>単体</v>
      </c>
      <c r="J397">
        <v>0</v>
      </c>
      <c r="K397">
        <v>0</v>
      </c>
      <c r="L397">
        <v>10</v>
      </c>
      <c r="M397">
        <v>5</v>
      </c>
      <c r="N397" t="str">
        <f>INDEX(Define!E:E,MATCH(M397,Define!D:D))</f>
        <v>闇</v>
      </c>
      <c r="O397">
        <v>9</v>
      </c>
      <c r="P397" t="str">
        <f>INDEX(Define!H:H,MATCH(O397,Define!G:G))</f>
        <v>装備パッシブ</v>
      </c>
      <c r="Q397">
        <v>4</v>
      </c>
      <c r="R397" t="str">
        <f>INDEX(Define!K:K,MATCH(Q397,Define!J:J))</f>
        <v>自身</v>
      </c>
      <c r="S397">
        <v>4</v>
      </c>
      <c r="T397" t="str">
        <f>INDEX(Define!N:N,MATCH(S397,Define!M:M))</f>
        <v>自身</v>
      </c>
      <c r="U397">
        <v>1</v>
      </c>
      <c r="V397">
        <v>1</v>
      </c>
      <c r="W397">
        <v>1</v>
      </c>
      <c r="X397">
        <v>0</v>
      </c>
    </row>
    <row r="398" ht="12" customHeight="1" spans="1:24">
      <c r="A398">
        <v>505111</v>
      </c>
      <c r="B398">
        <v>505111</v>
      </c>
      <c r="C398" t="str">
        <f>INDEX(TextData!B:B,MATCH(B398,TextData!A:A))</f>
        <v>回避率+5%</v>
      </c>
      <c r="D398">
        <v>6</v>
      </c>
      <c r="E398" t="str">
        <f>INDEX(Define!X:X,MATCH(D398,Define!W:W))</f>
        <v>自己強化</v>
      </c>
      <c r="H398">
        <v>1</v>
      </c>
      <c r="I398" t="str">
        <f>INDEX(Define!B:B,MATCH(H398,Define!A:A))</f>
        <v>単体</v>
      </c>
      <c r="J398">
        <v>0</v>
      </c>
      <c r="K398">
        <v>0</v>
      </c>
      <c r="L398">
        <v>10</v>
      </c>
      <c r="M398">
        <v>5</v>
      </c>
      <c r="N398" t="str">
        <f>INDEX(Define!E:E,MATCH(M398,Define!D:D))</f>
        <v>闇</v>
      </c>
      <c r="O398">
        <v>9</v>
      </c>
      <c r="P398" t="str">
        <f>INDEX(Define!H:H,MATCH(O398,Define!G:G))</f>
        <v>装備パッシブ</v>
      </c>
      <c r="Q398">
        <v>4</v>
      </c>
      <c r="R398" t="str">
        <f>INDEX(Define!K:K,MATCH(Q398,Define!J:J))</f>
        <v>自身</v>
      </c>
      <c r="S398">
        <v>4</v>
      </c>
      <c r="T398" t="str">
        <f>INDEX(Define!N:N,MATCH(S398,Define!M:M))</f>
        <v>自身</v>
      </c>
      <c r="U398">
        <v>1</v>
      </c>
      <c r="V398">
        <v>1</v>
      </c>
      <c r="W398">
        <v>1</v>
      </c>
      <c r="X398">
        <v>0</v>
      </c>
    </row>
    <row r="399" ht="12" customHeight="1" spans="1:24">
      <c r="A399">
        <v>505120</v>
      </c>
      <c r="B399">
        <v>505120</v>
      </c>
      <c r="C399" t="str">
        <f>INDEX(TextData!B:B,MATCH(B399,TextData!A:A))</f>
        <v>ATK+1</v>
      </c>
      <c r="D399">
        <v>6</v>
      </c>
      <c r="E399" t="str">
        <f>INDEX(Define!X:X,MATCH(D399,Define!W:W))</f>
        <v>自己強化</v>
      </c>
      <c r="H399">
        <v>1</v>
      </c>
      <c r="I399" t="str">
        <f>INDEX(Define!B:B,MATCH(H399,Define!A:A))</f>
        <v>単体</v>
      </c>
      <c r="J399">
        <v>0</v>
      </c>
      <c r="K399">
        <v>0</v>
      </c>
      <c r="L399">
        <v>10</v>
      </c>
      <c r="M399">
        <v>5</v>
      </c>
      <c r="N399" t="str">
        <f>INDEX(Define!E:E,MATCH(M399,Define!D:D))</f>
        <v>闇</v>
      </c>
      <c r="O399">
        <v>9</v>
      </c>
      <c r="P399" t="str">
        <f>INDEX(Define!H:H,MATCH(O399,Define!G:G))</f>
        <v>装備パッシブ</v>
      </c>
      <c r="Q399">
        <v>4</v>
      </c>
      <c r="R399" t="str">
        <f>INDEX(Define!K:K,MATCH(Q399,Define!J:J))</f>
        <v>自身</v>
      </c>
      <c r="S399">
        <v>4</v>
      </c>
      <c r="T399" t="str">
        <f>INDEX(Define!N:N,MATCH(S399,Define!M:M))</f>
        <v>自身</v>
      </c>
      <c r="U399">
        <v>1</v>
      </c>
      <c r="V399">
        <v>1</v>
      </c>
      <c r="W399">
        <v>1</v>
      </c>
      <c r="X399">
        <v>0</v>
      </c>
    </row>
    <row r="400" ht="12" customHeight="1" spans="1:24">
      <c r="A400">
        <v>505121</v>
      </c>
      <c r="B400">
        <v>505121</v>
      </c>
      <c r="C400" t="str">
        <f>INDEX(TextData!B:B,MATCH(B400,TextData!A:A))</f>
        <v>SPD+1</v>
      </c>
      <c r="D400">
        <v>6</v>
      </c>
      <c r="E400" t="str">
        <f>INDEX(Define!X:X,MATCH(D400,Define!W:W))</f>
        <v>自己強化</v>
      </c>
      <c r="H400">
        <v>1</v>
      </c>
      <c r="I400" t="str">
        <f>INDEX(Define!B:B,MATCH(H400,Define!A:A))</f>
        <v>単体</v>
      </c>
      <c r="J400">
        <v>0</v>
      </c>
      <c r="K400">
        <v>0</v>
      </c>
      <c r="L400">
        <v>10</v>
      </c>
      <c r="M400">
        <v>5</v>
      </c>
      <c r="N400" t="str">
        <f>INDEX(Define!E:E,MATCH(M400,Define!D:D))</f>
        <v>闇</v>
      </c>
      <c r="O400">
        <v>9</v>
      </c>
      <c r="P400" t="str">
        <f>INDEX(Define!H:H,MATCH(O400,Define!G:G))</f>
        <v>装備パッシブ</v>
      </c>
      <c r="Q400">
        <v>4</v>
      </c>
      <c r="R400" t="str">
        <f>INDEX(Define!K:K,MATCH(Q400,Define!J:J))</f>
        <v>自身</v>
      </c>
      <c r="S400">
        <v>4</v>
      </c>
      <c r="T400" t="str">
        <f>INDEX(Define!N:N,MATCH(S400,Define!M:M))</f>
        <v>自身</v>
      </c>
      <c r="U400">
        <v>1</v>
      </c>
      <c r="V400">
        <v>1</v>
      </c>
      <c r="W400">
        <v>1</v>
      </c>
      <c r="X400">
        <v>0</v>
      </c>
    </row>
    <row r="401" ht="12" customHeight="1" spans="1:24">
      <c r="A401">
        <v>505130</v>
      </c>
      <c r="B401">
        <v>505130</v>
      </c>
      <c r="C401" t="str">
        <f>INDEX(TextData!B:B,MATCH(B401,TextData!A:A))</f>
        <v>SPD+2</v>
      </c>
      <c r="D401">
        <v>6</v>
      </c>
      <c r="E401" t="str">
        <f>INDEX(Define!X:X,MATCH(D401,Define!W:W))</f>
        <v>自己強化</v>
      </c>
      <c r="H401">
        <v>1</v>
      </c>
      <c r="I401" t="str">
        <f>INDEX(Define!B:B,MATCH(H401,Define!A:A))</f>
        <v>単体</v>
      </c>
      <c r="J401">
        <v>0</v>
      </c>
      <c r="K401">
        <v>0</v>
      </c>
      <c r="L401">
        <v>10</v>
      </c>
      <c r="M401">
        <v>5</v>
      </c>
      <c r="N401" t="str">
        <f>INDEX(Define!E:E,MATCH(M401,Define!D:D))</f>
        <v>闇</v>
      </c>
      <c r="O401">
        <v>9</v>
      </c>
      <c r="P401" t="str">
        <f>INDEX(Define!H:H,MATCH(O401,Define!G:G))</f>
        <v>装備パッシブ</v>
      </c>
      <c r="Q401">
        <v>4</v>
      </c>
      <c r="R401" t="str">
        <f>INDEX(Define!K:K,MATCH(Q401,Define!J:J))</f>
        <v>自身</v>
      </c>
      <c r="S401">
        <v>4</v>
      </c>
      <c r="T401" t="str">
        <f>INDEX(Define!N:N,MATCH(S401,Define!M:M))</f>
        <v>自身</v>
      </c>
      <c r="U401">
        <v>1</v>
      </c>
      <c r="V401">
        <v>1</v>
      </c>
      <c r="W401">
        <v>1</v>
      </c>
      <c r="X401">
        <v>0</v>
      </c>
    </row>
    <row r="402" ht="12" customHeight="1" spans="1:24">
      <c r="A402">
        <v>506010</v>
      </c>
      <c r="B402">
        <v>506010</v>
      </c>
      <c r="C402" t="str">
        <f>INDEX(TextData!B:B,MATCH(B402,TextData!A:A))</f>
        <v>最大HP+3</v>
      </c>
      <c r="D402">
        <v>6</v>
      </c>
      <c r="E402" t="str">
        <f>INDEX(Define!X:X,MATCH(D402,Define!W:W))</f>
        <v>自己強化</v>
      </c>
      <c r="H402">
        <v>1</v>
      </c>
      <c r="I402" t="str">
        <f>INDEX(Define!B:B,MATCH(H402,Define!A:A))</f>
        <v>単体</v>
      </c>
      <c r="J402">
        <v>0</v>
      </c>
      <c r="K402">
        <v>0</v>
      </c>
      <c r="L402">
        <v>10</v>
      </c>
      <c r="M402">
        <v>6</v>
      </c>
      <c r="N402" t="str">
        <f>INDEX(Define!E:E,MATCH(M402,Define!D:D))</f>
        <v>無</v>
      </c>
      <c r="O402">
        <v>9</v>
      </c>
      <c r="P402" t="str">
        <f>INDEX(Define!H:H,MATCH(O402,Define!G:G))</f>
        <v>装備パッシブ</v>
      </c>
      <c r="Q402">
        <v>4</v>
      </c>
      <c r="R402" t="str">
        <f>INDEX(Define!K:K,MATCH(Q402,Define!J:J))</f>
        <v>自身</v>
      </c>
      <c r="S402">
        <v>4</v>
      </c>
      <c r="T402" t="str">
        <f>INDEX(Define!N:N,MATCH(S402,Define!M:M))</f>
        <v>自身</v>
      </c>
      <c r="U402">
        <v>1</v>
      </c>
      <c r="V402">
        <v>1</v>
      </c>
      <c r="W402">
        <v>1</v>
      </c>
      <c r="X402">
        <v>0</v>
      </c>
    </row>
    <row r="403" ht="12" customHeight="1" spans="1:24">
      <c r="A403">
        <v>506011</v>
      </c>
      <c r="B403">
        <v>506011</v>
      </c>
      <c r="C403" t="str">
        <f>INDEX(TextData!B:B,MATCH(B403,TextData!A:A))</f>
        <v>DEF+1</v>
      </c>
      <c r="D403">
        <v>6</v>
      </c>
      <c r="E403" t="str">
        <f>INDEX(Define!X:X,MATCH(D403,Define!W:W))</f>
        <v>自己強化</v>
      </c>
      <c r="H403">
        <v>1</v>
      </c>
      <c r="I403" t="str">
        <f>INDEX(Define!B:B,MATCH(H403,Define!A:A))</f>
        <v>単体</v>
      </c>
      <c r="J403">
        <v>0</v>
      </c>
      <c r="K403">
        <v>0</v>
      </c>
      <c r="L403">
        <v>10</v>
      </c>
      <c r="M403">
        <v>6</v>
      </c>
      <c r="N403" t="str">
        <f>INDEX(Define!E:E,MATCH(M403,Define!D:D))</f>
        <v>無</v>
      </c>
      <c r="O403">
        <v>9</v>
      </c>
      <c r="P403" t="str">
        <f>INDEX(Define!H:H,MATCH(O403,Define!G:G))</f>
        <v>装備パッシブ</v>
      </c>
      <c r="Q403">
        <v>4</v>
      </c>
      <c r="R403" t="str">
        <f>INDEX(Define!K:K,MATCH(Q403,Define!J:J))</f>
        <v>自身</v>
      </c>
      <c r="S403">
        <v>4</v>
      </c>
      <c r="T403" t="str">
        <f>INDEX(Define!N:N,MATCH(S403,Define!M:M))</f>
        <v>自身</v>
      </c>
      <c r="U403">
        <v>1</v>
      </c>
      <c r="V403">
        <v>1</v>
      </c>
      <c r="W403">
        <v>1</v>
      </c>
      <c r="X403">
        <v>0</v>
      </c>
    </row>
    <row r="404" ht="12" customHeight="1" spans="1:24">
      <c r="A404">
        <v>506012</v>
      </c>
      <c r="B404">
        <v>506012</v>
      </c>
      <c r="C404" t="str">
        <f>INDEX(TextData!B:B,MATCH(B404,TextData!A:A))</f>
        <v>SPD+1</v>
      </c>
      <c r="D404">
        <v>6</v>
      </c>
      <c r="E404" t="str">
        <f>INDEX(Define!X:X,MATCH(D404,Define!W:W))</f>
        <v>自己強化</v>
      </c>
      <c r="H404">
        <v>1</v>
      </c>
      <c r="I404" t="str">
        <f>INDEX(Define!B:B,MATCH(H404,Define!A:A))</f>
        <v>単体</v>
      </c>
      <c r="J404">
        <v>0</v>
      </c>
      <c r="K404">
        <v>0</v>
      </c>
      <c r="L404">
        <v>10</v>
      </c>
      <c r="M404">
        <v>6</v>
      </c>
      <c r="N404" t="str">
        <f>INDEX(Define!E:E,MATCH(M404,Define!D:D))</f>
        <v>無</v>
      </c>
      <c r="O404">
        <v>9</v>
      </c>
      <c r="P404" t="str">
        <f>INDEX(Define!H:H,MATCH(O404,Define!G:G))</f>
        <v>装備パッシブ</v>
      </c>
      <c r="Q404">
        <v>4</v>
      </c>
      <c r="R404" t="str">
        <f>INDEX(Define!K:K,MATCH(Q404,Define!J:J))</f>
        <v>自身</v>
      </c>
      <c r="S404">
        <v>4</v>
      </c>
      <c r="T404" t="str">
        <f>INDEX(Define!N:N,MATCH(S404,Define!M:M))</f>
        <v>自身</v>
      </c>
      <c r="U404">
        <v>1</v>
      </c>
      <c r="V404">
        <v>1</v>
      </c>
      <c r="W404">
        <v>1</v>
      </c>
      <c r="X404">
        <v>0</v>
      </c>
    </row>
    <row r="405" ht="12" customHeight="1" spans="1:24">
      <c r="A405">
        <v>506013</v>
      </c>
      <c r="B405">
        <v>506013</v>
      </c>
      <c r="C405" t="str">
        <f>INDEX(TextData!B:B,MATCH(B405,TextData!A:A))</f>
        <v>EXP+20%</v>
      </c>
      <c r="D405">
        <v>6</v>
      </c>
      <c r="E405" t="str">
        <f>INDEX(Define!X:X,MATCH(D405,Define!W:W))</f>
        <v>自己強化</v>
      </c>
      <c r="H405">
        <v>1</v>
      </c>
      <c r="I405" t="str">
        <f>INDEX(Define!B:B,MATCH(H405,Define!A:A))</f>
        <v>単体</v>
      </c>
      <c r="J405">
        <v>0</v>
      </c>
      <c r="K405">
        <v>0</v>
      </c>
      <c r="L405">
        <v>10</v>
      </c>
      <c r="M405">
        <v>6</v>
      </c>
      <c r="N405" t="str">
        <f>INDEX(Define!E:E,MATCH(M405,Define!D:D))</f>
        <v>無</v>
      </c>
      <c r="O405">
        <v>9</v>
      </c>
      <c r="P405" t="str">
        <f>INDEX(Define!H:H,MATCH(O405,Define!G:G))</f>
        <v>装備パッシブ</v>
      </c>
      <c r="Q405">
        <v>4</v>
      </c>
      <c r="R405" t="str">
        <f>INDEX(Define!K:K,MATCH(Q405,Define!J:J))</f>
        <v>自身</v>
      </c>
      <c r="S405">
        <v>4</v>
      </c>
      <c r="T405" t="str">
        <f>INDEX(Define!N:N,MATCH(S405,Define!M:M))</f>
        <v>自身</v>
      </c>
      <c r="U405">
        <v>1</v>
      </c>
      <c r="V405">
        <v>1</v>
      </c>
      <c r="W405">
        <v>1</v>
      </c>
      <c r="X405">
        <v>0</v>
      </c>
    </row>
    <row r="406" ht="12" customHeight="1" spans="1:24">
      <c r="A406">
        <v>506020</v>
      </c>
      <c r="B406">
        <v>506020</v>
      </c>
      <c r="C406" t="str">
        <f>INDEX(TextData!B:B,MATCH(B406,TextData!A:A))</f>
        <v>炎属性耐性+20%</v>
      </c>
      <c r="D406">
        <v>6</v>
      </c>
      <c r="E406" t="str">
        <f>INDEX(Define!X:X,MATCH(D406,Define!W:W))</f>
        <v>自己強化</v>
      </c>
      <c r="H406">
        <v>1</v>
      </c>
      <c r="I406" t="str">
        <f>INDEX(Define!B:B,MATCH(H406,Define!A:A))</f>
        <v>単体</v>
      </c>
      <c r="J406">
        <v>0</v>
      </c>
      <c r="K406">
        <v>0</v>
      </c>
      <c r="L406">
        <v>10</v>
      </c>
      <c r="M406">
        <v>6</v>
      </c>
      <c r="N406" t="str">
        <f>INDEX(Define!E:E,MATCH(M406,Define!D:D))</f>
        <v>無</v>
      </c>
      <c r="O406">
        <v>9</v>
      </c>
      <c r="P406" t="str">
        <f>INDEX(Define!H:H,MATCH(O406,Define!G:G))</f>
        <v>装備パッシブ</v>
      </c>
      <c r="Q406">
        <v>4</v>
      </c>
      <c r="R406" t="str">
        <f>INDEX(Define!K:K,MATCH(Q406,Define!J:J))</f>
        <v>自身</v>
      </c>
      <c r="S406">
        <v>4</v>
      </c>
      <c r="T406" t="str">
        <f>INDEX(Define!N:N,MATCH(S406,Define!M:M))</f>
        <v>自身</v>
      </c>
      <c r="U406">
        <v>1</v>
      </c>
      <c r="V406">
        <v>1</v>
      </c>
      <c r="W406">
        <v>1</v>
      </c>
      <c r="X406">
        <v>0</v>
      </c>
    </row>
    <row r="407" ht="12" customHeight="1" spans="1:24">
      <c r="A407">
        <v>506030</v>
      </c>
      <c r="B407">
        <v>506030</v>
      </c>
      <c r="C407" t="str">
        <f>INDEX(TextData!B:B,MATCH(B407,TextData!A:A))</f>
        <v>雷属性耐性+20%</v>
      </c>
      <c r="D407">
        <v>6</v>
      </c>
      <c r="E407" t="str">
        <f>INDEX(Define!X:X,MATCH(D407,Define!W:W))</f>
        <v>自己強化</v>
      </c>
      <c r="H407">
        <v>1</v>
      </c>
      <c r="I407" t="str">
        <f>INDEX(Define!B:B,MATCH(H407,Define!A:A))</f>
        <v>単体</v>
      </c>
      <c r="J407">
        <v>0</v>
      </c>
      <c r="K407">
        <v>0</v>
      </c>
      <c r="L407">
        <v>10</v>
      </c>
      <c r="M407">
        <v>6</v>
      </c>
      <c r="N407" t="str">
        <f>INDEX(Define!E:E,MATCH(M407,Define!D:D))</f>
        <v>無</v>
      </c>
      <c r="O407">
        <v>9</v>
      </c>
      <c r="P407" t="str">
        <f>INDEX(Define!H:H,MATCH(O407,Define!G:G))</f>
        <v>装備パッシブ</v>
      </c>
      <c r="Q407">
        <v>4</v>
      </c>
      <c r="R407" t="str">
        <f>INDEX(Define!K:K,MATCH(Q407,Define!J:J))</f>
        <v>自身</v>
      </c>
      <c r="S407">
        <v>4</v>
      </c>
      <c r="T407" t="str">
        <f>INDEX(Define!N:N,MATCH(S407,Define!M:M))</f>
        <v>自身</v>
      </c>
      <c r="U407">
        <v>1</v>
      </c>
      <c r="V407">
        <v>1</v>
      </c>
      <c r="W407">
        <v>1</v>
      </c>
      <c r="X407">
        <v>0</v>
      </c>
    </row>
    <row r="408" ht="12" customHeight="1" spans="1:24">
      <c r="A408">
        <v>506040</v>
      </c>
      <c r="B408">
        <v>506040</v>
      </c>
      <c r="C408" t="str">
        <f>INDEX(TextData!B:B,MATCH(B408,TextData!A:A))</f>
        <v>氷属性耐性+20%</v>
      </c>
      <c r="D408">
        <v>6</v>
      </c>
      <c r="E408" t="str">
        <f>INDEX(Define!X:X,MATCH(D408,Define!W:W))</f>
        <v>自己強化</v>
      </c>
      <c r="H408">
        <v>1</v>
      </c>
      <c r="I408" t="str">
        <f>INDEX(Define!B:B,MATCH(H408,Define!A:A))</f>
        <v>単体</v>
      </c>
      <c r="J408">
        <v>0</v>
      </c>
      <c r="K408">
        <v>0</v>
      </c>
      <c r="L408">
        <v>10</v>
      </c>
      <c r="M408">
        <v>6</v>
      </c>
      <c r="N408" t="str">
        <f>INDEX(Define!E:E,MATCH(M408,Define!D:D))</f>
        <v>無</v>
      </c>
      <c r="O408">
        <v>9</v>
      </c>
      <c r="P408" t="str">
        <f>INDEX(Define!H:H,MATCH(O408,Define!G:G))</f>
        <v>装備パッシブ</v>
      </c>
      <c r="Q408">
        <v>4</v>
      </c>
      <c r="R408" t="str">
        <f>INDEX(Define!K:K,MATCH(Q408,Define!J:J))</f>
        <v>自身</v>
      </c>
      <c r="S408">
        <v>4</v>
      </c>
      <c r="T408" t="str">
        <f>INDEX(Define!N:N,MATCH(S408,Define!M:M))</f>
        <v>自身</v>
      </c>
      <c r="U408">
        <v>1</v>
      </c>
      <c r="V408">
        <v>1</v>
      </c>
      <c r="W408">
        <v>1</v>
      </c>
      <c r="X408">
        <v>0</v>
      </c>
    </row>
    <row r="409" ht="12" customHeight="1" spans="1:24">
      <c r="A409">
        <v>506050</v>
      </c>
      <c r="B409">
        <v>506050</v>
      </c>
      <c r="C409" t="str">
        <f>INDEX(TextData!B:B,MATCH(B409,TextData!A:A))</f>
        <v>光属性耐性+20%</v>
      </c>
      <c r="D409">
        <v>6</v>
      </c>
      <c r="E409" t="str">
        <f>INDEX(Define!X:X,MATCH(D409,Define!W:W))</f>
        <v>自己強化</v>
      </c>
      <c r="H409">
        <v>1</v>
      </c>
      <c r="I409" t="str">
        <f>INDEX(Define!B:B,MATCH(H409,Define!A:A))</f>
        <v>単体</v>
      </c>
      <c r="J409">
        <v>0</v>
      </c>
      <c r="K409">
        <v>0</v>
      </c>
      <c r="L409">
        <v>10</v>
      </c>
      <c r="M409">
        <v>6</v>
      </c>
      <c r="N409" t="str">
        <f>INDEX(Define!E:E,MATCH(M409,Define!D:D))</f>
        <v>無</v>
      </c>
      <c r="O409">
        <v>9</v>
      </c>
      <c r="P409" t="str">
        <f>INDEX(Define!H:H,MATCH(O409,Define!G:G))</f>
        <v>装備パッシブ</v>
      </c>
      <c r="Q409">
        <v>4</v>
      </c>
      <c r="R409" t="str">
        <f>INDEX(Define!K:K,MATCH(Q409,Define!J:J))</f>
        <v>自身</v>
      </c>
      <c r="S409">
        <v>4</v>
      </c>
      <c r="T409" t="str">
        <f>INDEX(Define!N:N,MATCH(S409,Define!M:M))</f>
        <v>自身</v>
      </c>
      <c r="U409">
        <v>1</v>
      </c>
      <c r="V409">
        <v>1</v>
      </c>
      <c r="W409">
        <v>1</v>
      </c>
      <c r="X409">
        <v>0</v>
      </c>
    </row>
    <row r="410" ht="12" customHeight="1" spans="1:24">
      <c r="A410">
        <v>506060</v>
      </c>
      <c r="B410">
        <v>506060</v>
      </c>
      <c r="C410" t="str">
        <f>INDEX(TextData!B:B,MATCH(B410,TextData!A:A))</f>
        <v>闇属性耐性+20%</v>
      </c>
      <c r="D410">
        <v>6</v>
      </c>
      <c r="E410" t="str">
        <f>INDEX(Define!X:X,MATCH(D410,Define!W:W))</f>
        <v>自己強化</v>
      </c>
      <c r="H410">
        <v>1</v>
      </c>
      <c r="I410" t="str">
        <f>INDEX(Define!B:B,MATCH(H410,Define!A:A))</f>
        <v>単体</v>
      </c>
      <c r="J410">
        <v>0</v>
      </c>
      <c r="K410">
        <v>0</v>
      </c>
      <c r="L410">
        <v>10</v>
      </c>
      <c r="M410">
        <v>6</v>
      </c>
      <c r="N410" t="str">
        <f>INDEX(Define!E:E,MATCH(M410,Define!D:D))</f>
        <v>無</v>
      </c>
      <c r="O410">
        <v>9</v>
      </c>
      <c r="P410" t="str">
        <f>INDEX(Define!H:H,MATCH(O410,Define!G:G))</f>
        <v>装備パッシブ</v>
      </c>
      <c r="Q410">
        <v>4</v>
      </c>
      <c r="R410" t="str">
        <f>INDEX(Define!K:K,MATCH(Q410,Define!J:J))</f>
        <v>自身</v>
      </c>
      <c r="S410">
        <v>4</v>
      </c>
      <c r="T410" t="str">
        <f>INDEX(Define!N:N,MATCH(S410,Define!M:M))</f>
        <v>自身</v>
      </c>
      <c r="U410">
        <v>1</v>
      </c>
      <c r="V410">
        <v>1</v>
      </c>
      <c r="W410">
        <v>1</v>
      </c>
      <c r="X410">
        <v>0</v>
      </c>
    </row>
    <row r="411" ht="12" customHeight="1" spans="1:24">
      <c r="A411">
        <v>507010</v>
      </c>
      <c r="B411">
        <v>507010</v>
      </c>
      <c r="C411" t="str">
        <f>INDEX(TextData!B:B,MATCH(B411,TextData!A:A))</f>
        <v>獲得Exp+30%</v>
      </c>
      <c r="D411">
        <v>6</v>
      </c>
      <c r="E411" t="str">
        <f>INDEX(Define!X:X,MATCH(D411,Define!W:W))</f>
        <v>自己強化</v>
      </c>
      <c r="H411">
        <v>1</v>
      </c>
      <c r="I411" t="str">
        <f>INDEX(Define!B:B,MATCH(H411,Define!A:A))</f>
        <v>単体</v>
      </c>
      <c r="J411">
        <v>0</v>
      </c>
      <c r="K411">
        <v>0</v>
      </c>
      <c r="L411">
        <v>10</v>
      </c>
      <c r="M411">
        <v>6</v>
      </c>
      <c r="N411" t="str">
        <f>INDEX(Define!E:E,MATCH(M411,Define!D:D))</f>
        <v>無</v>
      </c>
      <c r="O411">
        <v>9</v>
      </c>
      <c r="P411" t="str">
        <f>INDEX(Define!H:H,MATCH(O411,Define!G:G))</f>
        <v>装備パッシブ</v>
      </c>
      <c r="Q411">
        <v>4</v>
      </c>
      <c r="R411" t="str">
        <f>INDEX(Define!K:K,MATCH(Q411,Define!J:J))</f>
        <v>自身</v>
      </c>
      <c r="S411">
        <v>4</v>
      </c>
      <c r="T411" t="str">
        <f>INDEX(Define!N:N,MATCH(S411,Define!M:M))</f>
        <v>自身</v>
      </c>
      <c r="U411">
        <v>1</v>
      </c>
      <c r="V411">
        <v>1</v>
      </c>
      <c r="W411">
        <v>1</v>
      </c>
      <c r="X411">
        <v>0</v>
      </c>
    </row>
    <row r="412" ht="12" customHeight="1" spans="1:24">
      <c r="A412">
        <v>507020</v>
      </c>
      <c r="B412">
        <v>507020</v>
      </c>
      <c r="C412" t="str">
        <f>INDEX(TextData!B:B,MATCH(B412,TextData!A:A))</f>
        <v>ATK⇔DEF交換</v>
      </c>
      <c r="D412">
        <v>6</v>
      </c>
      <c r="E412" t="str">
        <f>INDEX(Define!X:X,MATCH(D412,Define!W:W))</f>
        <v>自己強化</v>
      </c>
      <c r="H412">
        <v>1</v>
      </c>
      <c r="I412" t="str">
        <f>INDEX(Define!B:B,MATCH(H412,Define!A:A))</f>
        <v>単体</v>
      </c>
      <c r="J412">
        <v>0</v>
      </c>
      <c r="K412">
        <v>0</v>
      </c>
      <c r="L412">
        <v>10</v>
      </c>
      <c r="M412">
        <v>6</v>
      </c>
      <c r="N412" t="str">
        <f>INDEX(Define!E:E,MATCH(M412,Define!D:D))</f>
        <v>無</v>
      </c>
      <c r="O412">
        <v>9</v>
      </c>
      <c r="P412" t="str">
        <f>INDEX(Define!H:H,MATCH(O412,Define!G:G))</f>
        <v>装備パッシブ</v>
      </c>
      <c r="Q412">
        <v>4</v>
      </c>
      <c r="R412" t="str">
        <f>INDEX(Define!K:K,MATCH(Q412,Define!J:J))</f>
        <v>自身</v>
      </c>
      <c r="S412">
        <v>4</v>
      </c>
      <c r="T412" t="str">
        <f>INDEX(Define!N:N,MATCH(S412,Define!M:M))</f>
        <v>自身</v>
      </c>
      <c r="U412">
        <v>1</v>
      </c>
      <c r="V412">
        <v>1</v>
      </c>
      <c r="W412">
        <v>1</v>
      </c>
      <c r="X412">
        <v>0</v>
      </c>
    </row>
  </sheetData>
  <autoFilter ref="F1:F318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1"/>
  <sheetViews>
    <sheetView zoomScale="110" zoomScaleNormal="110" topLeftCell="A340" workbookViewId="0">
      <selection activeCell="A357" sqref="A357"/>
    </sheetView>
  </sheetViews>
  <sheetFormatPr defaultColWidth="8.72727272727273" defaultRowHeight="13"/>
  <cols>
    <col min="2" max="2" width="20" customWidth="1"/>
    <col min="3" max="3" width="12.3636363636364" customWidth="1"/>
    <col min="4" max="4" width="37.9272727272727" customWidth="1"/>
  </cols>
  <sheetData>
    <row r="1" spans="1:8">
      <c r="A1" t="s">
        <v>19</v>
      </c>
      <c r="B1" t="s">
        <v>4</v>
      </c>
      <c r="C1" t="s">
        <v>20</v>
      </c>
      <c r="D1" t="s">
        <v>4</v>
      </c>
      <c r="E1" t="s">
        <v>21</v>
      </c>
      <c r="F1" t="s">
        <v>22</v>
      </c>
      <c r="G1" t="s">
        <v>23</v>
      </c>
      <c r="H1" t="s">
        <v>24</v>
      </c>
    </row>
    <row r="2" spans="1:8">
      <c r="A2">
        <v>2</v>
      </c>
      <c r="B2" t="str">
        <f>INDEX(TextData!B:B,MATCH(A2,TextData!A:A))</f>
        <v>はずす</v>
      </c>
      <c r="C2">
        <v>1010</v>
      </c>
      <c r="D2" t="str">
        <f>INDEX(Define!Q:Q,MATCH(C2,Define!P:P))</f>
        <v>Hpダメージ</v>
      </c>
      <c r="E2">
        <v>50</v>
      </c>
      <c r="F2">
        <v>0</v>
      </c>
      <c r="G2">
        <v>0</v>
      </c>
      <c r="H2">
        <v>100</v>
      </c>
    </row>
    <row r="3" spans="1:9">
      <c r="A3">
        <v>11</v>
      </c>
      <c r="B3" t="str">
        <f>INDEX(TextData!B:B,MATCH(A3,TextData!A:A))</f>
        <v>覚醒</v>
      </c>
      <c r="C3">
        <v>3010</v>
      </c>
      <c r="D3" t="str">
        <f>INDEX(Define!Q:Q,MATCH(C3,Define!P:P))</f>
        <v>ステート付与</v>
      </c>
      <c r="E3">
        <v>1010</v>
      </c>
      <c r="F3">
        <v>0</v>
      </c>
      <c r="G3">
        <v>10</v>
      </c>
      <c r="H3">
        <v>100</v>
      </c>
      <c r="I3" t="str">
        <f>INDEX([2]TextData!B:B,MATCH(E3,[2]TextData!A:A))</f>
        <v>覚醒</v>
      </c>
    </row>
    <row r="4" spans="1:9">
      <c r="A4">
        <v>21</v>
      </c>
      <c r="B4" t="str">
        <f>INDEX(TextData!B:B,MATCH(A4,TextData!A:A))</f>
        <v>覚醒解除</v>
      </c>
      <c r="C4">
        <v>0</v>
      </c>
      <c r="D4" t="str">
        <f>INDEX(Define!Q:Q,MATCH(C4,Define!P:P))</f>
        <v>ない</v>
      </c>
      <c r="E4">
        <v>0</v>
      </c>
      <c r="F4">
        <v>0</v>
      </c>
      <c r="G4">
        <v>0</v>
      </c>
      <c r="H4">
        <v>100</v>
      </c>
      <c r="I4" t="e">
        <f>INDEX([2]TextData!B:B,MATCH(E4,[2]TextData!A:A))</f>
        <v>#N/A</v>
      </c>
    </row>
    <row r="5" spans="1:8">
      <c r="A5">
        <v>31</v>
      </c>
      <c r="B5" t="str">
        <f>INDEX(TextData!B:B,MATCH(A5,TextData!A:A))</f>
        <v>拘束制御</v>
      </c>
      <c r="C5">
        <v>1050</v>
      </c>
      <c r="D5" t="str">
        <f>INDEX(Define!Q:Q,MATCH(C5,Define!P:P))</f>
        <v>効果無視Hpダメージ</v>
      </c>
      <c r="E5">
        <v>100</v>
      </c>
      <c r="F5">
        <v>0</v>
      </c>
      <c r="G5">
        <v>0</v>
      </c>
      <c r="H5">
        <v>100</v>
      </c>
    </row>
    <row r="6" spans="1:9">
      <c r="A6">
        <v>31</v>
      </c>
      <c r="B6" t="str">
        <f>INDEX(TextData!B:B,MATCH(A6,TextData!A:A))</f>
        <v>拘束制御</v>
      </c>
      <c r="C6">
        <v>3020</v>
      </c>
      <c r="D6" t="str">
        <f>INDEX(Define!Q:Q,MATCH(C6,Define!P:P))</f>
        <v>ステート解除</v>
      </c>
      <c r="E6">
        <v>2020</v>
      </c>
      <c r="F6">
        <v>0</v>
      </c>
      <c r="G6">
        <v>0</v>
      </c>
      <c r="H6">
        <v>100</v>
      </c>
      <c r="I6" t="str">
        <f>INDEX([2]TextData!B:B,MATCH(E6,[2]TextData!A:A))</f>
        <v>暗闇</v>
      </c>
    </row>
    <row r="7" spans="1:9">
      <c r="A7">
        <v>32</v>
      </c>
      <c r="B7" t="str">
        <f>INDEX(TextData!B:B,MATCH(A7,TextData!A:A))</f>
        <v>拘束ダメージ解除</v>
      </c>
      <c r="C7">
        <v>3020</v>
      </c>
      <c r="D7" t="str">
        <f>INDEX(Define!Q:Q,MATCH(C7,Define!P:P))</f>
        <v>ステート解除</v>
      </c>
      <c r="E7">
        <v>2021</v>
      </c>
      <c r="F7">
        <v>0</v>
      </c>
      <c r="G7">
        <v>0</v>
      </c>
      <c r="H7">
        <v>100</v>
      </c>
      <c r="I7" t="str">
        <f>INDEX([2]TextData!B:B,MATCH(E7,[2]TextData!A:A))</f>
        <v>暗闇</v>
      </c>
    </row>
    <row r="8" spans="1:8">
      <c r="A8">
        <v>33</v>
      </c>
      <c r="B8" t="str">
        <f>INDEX(TextData!B:B,MATCH(A8,TextData!A:A))</f>
        <v>居合</v>
      </c>
      <c r="C8">
        <v>1010</v>
      </c>
      <c r="D8" t="str">
        <f>INDEX(Define!Q:Q,MATCH(C8,Define!P:P))</f>
        <v>Hpダメージ</v>
      </c>
      <c r="E8">
        <v>150</v>
      </c>
      <c r="F8">
        <v>0</v>
      </c>
      <c r="G8">
        <v>0</v>
      </c>
      <c r="H8">
        <v>100</v>
      </c>
    </row>
    <row r="9" spans="1:8">
      <c r="A9">
        <v>33</v>
      </c>
      <c r="B9" t="str">
        <f>INDEX(TextData!B:B,MATCH(A9,TextData!A:A))</f>
        <v>居合</v>
      </c>
      <c r="C9">
        <v>5030</v>
      </c>
      <c r="D9" t="str">
        <f>INDEX(Define!Q:Q,MATCH(C9,Define!P:P))</f>
        <v>再行動する</v>
      </c>
      <c r="E9">
        <v>0</v>
      </c>
      <c r="F9">
        <v>0</v>
      </c>
      <c r="G9">
        <v>0</v>
      </c>
      <c r="H9">
        <v>100</v>
      </c>
    </row>
    <row r="10" spans="1:8">
      <c r="A10">
        <v>41</v>
      </c>
      <c r="B10" t="str">
        <f>INDEX(TextData!B:B,MATCH(A10,TextData!A:A))</f>
        <v>居合</v>
      </c>
      <c r="C10">
        <v>40090</v>
      </c>
      <c r="D10" t="str">
        <f>INDEX(Define!Q:Q,MATCH(C10,Define!P:P))</f>
        <v>装備スロット増加</v>
      </c>
      <c r="E10">
        <v>0</v>
      </c>
      <c r="F10">
        <v>0</v>
      </c>
      <c r="G10">
        <v>0</v>
      </c>
      <c r="H10">
        <v>100</v>
      </c>
    </row>
    <row r="11" spans="1:8">
      <c r="A11">
        <v>1010</v>
      </c>
      <c r="B11" t="str">
        <f>INDEX(TextData!B:B,MATCH(A11,TextData!A:A))</f>
        <v>ファイアボール</v>
      </c>
      <c r="C11">
        <v>1010</v>
      </c>
      <c r="D11" t="str">
        <f>INDEX(Define!Q:Q,MATCH(C11,Define!P:P))</f>
        <v>Hpダメージ</v>
      </c>
      <c r="E11">
        <v>100</v>
      </c>
      <c r="F11">
        <v>0</v>
      </c>
      <c r="G11">
        <v>0</v>
      </c>
      <c r="H11">
        <v>100</v>
      </c>
    </row>
    <row r="12" spans="1:8">
      <c r="A12">
        <v>1020</v>
      </c>
      <c r="B12" t="str">
        <f>INDEX(TextData!B:B,MATCH(A12,TextData!A:A))</f>
        <v>フレイムクラッシュ</v>
      </c>
      <c r="C12">
        <v>1010</v>
      </c>
      <c r="D12" t="str">
        <f>INDEX(Define!Q:Q,MATCH(C12,Define!P:P))</f>
        <v>Hpダメージ</v>
      </c>
      <c r="E12">
        <v>100</v>
      </c>
      <c r="F12">
        <v>0</v>
      </c>
      <c r="G12">
        <v>0</v>
      </c>
      <c r="H12">
        <v>100</v>
      </c>
    </row>
    <row r="13" spans="1:8">
      <c r="A13">
        <v>1020</v>
      </c>
      <c r="B13" t="str">
        <f>INDEX(TextData!B:B,MATCH(A13,TextData!A:A))</f>
        <v>フレイムクラッシュ</v>
      </c>
      <c r="C13">
        <v>3010</v>
      </c>
      <c r="D13" t="str">
        <f>INDEX(Define!Q:Q,MATCH(C13,Define!P:P))</f>
        <v>ステート付与</v>
      </c>
      <c r="E13">
        <v>1053</v>
      </c>
      <c r="F13">
        <v>2</v>
      </c>
      <c r="G13">
        <v>20</v>
      </c>
      <c r="H13">
        <v>100</v>
      </c>
    </row>
    <row r="14" spans="1:8">
      <c r="A14">
        <v>1030</v>
      </c>
      <c r="B14" t="str">
        <f>INDEX(TextData!B:B,MATCH(A14,TextData!A:A))</f>
        <v>ブレイクウォール</v>
      </c>
      <c r="C14">
        <v>1100</v>
      </c>
      <c r="D14" t="str">
        <f>INDEX(Define!Q:Q,MATCH(C14,Define!P:P))</f>
        <v>Hp貫通ダメージ、Param2でKind指定可</v>
      </c>
      <c r="E14">
        <v>100</v>
      </c>
      <c r="F14">
        <v>2</v>
      </c>
      <c r="G14">
        <v>100</v>
      </c>
      <c r="H14">
        <v>100</v>
      </c>
    </row>
    <row r="15" spans="1:8">
      <c r="A15">
        <v>1040</v>
      </c>
      <c r="B15" t="str">
        <f>INDEX(TextData!B:B,MATCH(A15,TextData!A:A))</f>
        <v>フィニッシュスタブ</v>
      </c>
      <c r="C15">
        <v>1010</v>
      </c>
      <c r="D15" t="str">
        <f>INDEX(Define!Q:Q,MATCH(C15,Define!P:P))</f>
        <v>Hpダメージ</v>
      </c>
      <c r="E15">
        <v>100</v>
      </c>
      <c r="F15">
        <v>0</v>
      </c>
      <c r="G15">
        <v>0</v>
      </c>
      <c r="H15">
        <v>100</v>
      </c>
    </row>
    <row r="16" spans="1:8">
      <c r="A16">
        <v>1040</v>
      </c>
      <c r="B16" t="str">
        <f>INDEX(TextData!B:B,MATCH(A16,TextData!A:A))</f>
        <v>フィニッシュスタブ</v>
      </c>
      <c r="C16">
        <v>7020</v>
      </c>
      <c r="D16" t="str">
        <f>INDEX(Define!Q:Q,MATCH(C16,Define!P:P))</f>
        <v>行動後条件付きスキル</v>
      </c>
      <c r="E16">
        <v>2061</v>
      </c>
      <c r="F16">
        <v>0</v>
      </c>
      <c r="G16">
        <v>0</v>
      </c>
      <c r="H16">
        <v>100</v>
      </c>
    </row>
    <row r="17" spans="1:8">
      <c r="A17">
        <v>1040</v>
      </c>
      <c r="B17" t="str">
        <f>INDEX(TextData!B:B,MATCH(A17,TextData!A:A))</f>
        <v>フィニッシュスタブ</v>
      </c>
      <c r="C17">
        <v>3010</v>
      </c>
      <c r="D17" t="str">
        <f>INDEX(Define!Q:Q,MATCH(C17,Define!P:P))</f>
        <v>ステート付与</v>
      </c>
      <c r="E17">
        <v>1042</v>
      </c>
      <c r="F17">
        <v>1</v>
      </c>
      <c r="G17">
        <v>30</v>
      </c>
      <c r="H17">
        <v>100</v>
      </c>
    </row>
    <row r="18" spans="1:8">
      <c r="A18">
        <v>1050</v>
      </c>
      <c r="B18" t="str">
        <f>INDEX(TextData!B:B,MATCH(A18,TextData!A:A))</f>
        <v>フレイムレイン</v>
      </c>
      <c r="C18">
        <v>1010</v>
      </c>
      <c r="D18" t="str">
        <f>INDEX(Define!Q:Q,MATCH(C18,Define!P:P))</f>
        <v>Hpダメージ</v>
      </c>
      <c r="E18">
        <v>40</v>
      </c>
      <c r="F18">
        <v>0</v>
      </c>
      <c r="G18">
        <v>0</v>
      </c>
      <c r="H18">
        <v>100</v>
      </c>
    </row>
    <row r="19" spans="1:8">
      <c r="A19">
        <v>1070</v>
      </c>
      <c r="B19" t="str">
        <f>INDEX(TextData!B:B,MATCH(A19,TextData!A:A))</f>
        <v>バーニングソウル</v>
      </c>
      <c r="C19">
        <v>3060</v>
      </c>
      <c r="D19" t="str">
        <f>INDEX(Define!Q:Q,MATCH(C19,Define!P:P))</f>
        <v>デバフステート解除</v>
      </c>
      <c r="E19">
        <v>0</v>
      </c>
      <c r="F19">
        <v>0</v>
      </c>
      <c r="G19">
        <v>0</v>
      </c>
      <c r="H19">
        <v>100</v>
      </c>
    </row>
    <row r="20" spans="1:9">
      <c r="A20">
        <v>1080</v>
      </c>
      <c r="B20" t="str">
        <f>INDEX(TextData!B:B,MATCH(A20,TextData!A:A))</f>
        <v>レイジングバウンサー</v>
      </c>
      <c r="C20">
        <v>3040</v>
      </c>
      <c r="D20" t="str">
        <f>INDEX(Define!Q:Q,MATCH(C20,Define!P:P))</f>
        <v>次の行動まで有効なステート付与</v>
      </c>
      <c r="E20">
        <v>1070</v>
      </c>
      <c r="F20">
        <v>2</v>
      </c>
      <c r="G20">
        <v>30</v>
      </c>
      <c r="H20">
        <v>100</v>
      </c>
      <c r="I20" t="s">
        <v>25</v>
      </c>
    </row>
    <row r="21" spans="1:8">
      <c r="A21">
        <v>1080</v>
      </c>
      <c r="B21" t="str">
        <f>INDEX(TextData!B:B,MATCH(A21,TextData!A:A))</f>
        <v>レイジングバウンサー</v>
      </c>
      <c r="C21">
        <v>5030</v>
      </c>
      <c r="D21" t="str">
        <f>INDEX(Define!Q:Q,MATCH(C21,Define!P:P))</f>
        <v>再行動する</v>
      </c>
      <c r="E21">
        <v>0</v>
      </c>
      <c r="F21">
        <v>0</v>
      </c>
      <c r="G21">
        <v>0</v>
      </c>
      <c r="H21">
        <v>100</v>
      </c>
    </row>
    <row r="22" spans="1:8">
      <c r="A22">
        <v>1110</v>
      </c>
      <c r="B22" t="str">
        <f>INDEX(TextData!B:B,MATCH(A22,TextData!A:A))</f>
        <v>バーンストーム</v>
      </c>
      <c r="C22">
        <v>1010</v>
      </c>
      <c r="D22" t="str">
        <f>INDEX(Define!Q:Q,MATCH(C22,Define!P:P))</f>
        <v>Hpダメージ</v>
      </c>
      <c r="E22">
        <v>80</v>
      </c>
      <c r="F22">
        <v>0</v>
      </c>
      <c r="G22">
        <v>0</v>
      </c>
      <c r="H22">
        <v>100</v>
      </c>
    </row>
    <row r="23" spans="1:8">
      <c r="A23">
        <v>1110</v>
      </c>
      <c r="B23" t="str">
        <f>INDEX(TextData!B:B,MATCH(A23,TextData!A:A))</f>
        <v>バーンストーム</v>
      </c>
      <c r="C23">
        <v>3010</v>
      </c>
      <c r="D23" t="str">
        <f>INDEX(Define!Q:Q,MATCH(C23,Define!P:P))</f>
        <v>ステート付与</v>
      </c>
      <c r="E23">
        <v>1053</v>
      </c>
      <c r="F23">
        <v>2</v>
      </c>
      <c r="G23">
        <v>15</v>
      </c>
      <c r="H23">
        <v>100</v>
      </c>
    </row>
    <row r="24" spans="1:8">
      <c r="A24">
        <v>1120</v>
      </c>
      <c r="B24" t="str">
        <f>INDEX(TextData!B:B,MATCH(A24,TextData!A:A))</f>
        <v>イクスティンクション</v>
      </c>
      <c r="C24">
        <v>1010</v>
      </c>
      <c r="D24" t="str">
        <f>INDEX(Define!Q:Q,MATCH(C24,Define!P:P))</f>
        <v>Hpダメージ</v>
      </c>
      <c r="E24">
        <v>200</v>
      </c>
      <c r="F24">
        <v>0</v>
      </c>
      <c r="G24">
        <v>0</v>
      </c>
      <c r="H24">
        <v>100</v>
      </c>
    </row>
    <row r="25" spans="1:8">
      <c r="A25">
        <v>1930</v>
      </c>
      <c r="B25" t="str">
        <f>INDEX(TextData!B:B,MATCH(A25,TextData!A:A))</f>
        <v>ヒートスタンプ</v>
      </c>
      <c r="C25">
        <v>4020</v>
      </c>
      <c r="D25" t="str">
        <f>INDEX(Define!Q:Q,MATCH(C25,Define!P:P))</f>
        <v>Ct回復</v>
      </c>
      <c r="E25">
        <v>1</v>
      </c>
      <c r="F25">
        <v>0</v>
      </c>
      <c r="G25">
        <v>0</v>
      </c>
      <c r="H25">
        <v>100</v>
      </c>
    </row>
    <row r="26" spans="1:9">
      <c r="A26">
        <v>1940</v>
      </c>
      <c r="B26" t="str">
        <f>INDEX(TextData!B:B,MATCH(A26,TextData!A:A))</f>
        <v>ソードアダプト</v>
      </c>
      <c r="C26">
        <v>3010</v>
      </c>
      <c r="D26" t="str">
        <f>INDEX(Define!Q:Q,MATCH(C26,Define!P:P))</f>
        <v>ステート付与</v>
      </c>
      <c r="E26">
        <v>2290</v>
      </c>
      <c r="F26">
        <v>999</v>
      </c>
      <c r="G26">
        <v>10</v>
      </c>
      <c r="H26">
        <v>100</v>
      </c>
      <c r="I26" t="s">
        <v>26</v>
      </c>
    </row>
    <row r="27" spans="1:8">
      <c r="A27">
        <v>2010</v>
      </c>
      <c r="B27" t="str">
        <f>INDEX(TextData!B:B,MATCH(A27,TextData!A:A))</f>
        <v>ディスチャージ</v>
      </c>
      <c r="C27">
        <v>1010</v>
      </c>
      <c r="D27" t="str">
        <f>INDEX(Define!Q:Q,MATCH(C27,Define!P:P))</f>
        <v>Hpダメージ</v>
      </c>
      <c r="E27">
        <v>100</v>
      </c>
      <c r="F27">
        <v>0</v>
      </c>
      <c r="G27">
        <v>0</v>
      </c>
      <c r="H27">
        <v>100</v>
      </c>
    </row>
    <row r="28" spans="1:8">
      <c r="A28">
        <v>2020</v>
      </c>
      <c r="B28" t="str">
        <f>INDEX(TextData!B:B,MATCH(A28,TextData!A:A))</f>
        <v>シャープエッジ</v>
      </c>
      <c r="C28">
        <v>1120</v>
      </c>
      <c r="D28" t="str">
        <f>INDEX(Define!Q:Q,MATCH(C28,Define!P:P))</f>
        <v>会心率ありHpダメージ</v>
      </c>
      <c r="E28">
        <v>100</v>
      </c>
      <c r="F28">
        <v>50</v>
      </c>
      <c r="G28">
        <v>0</v>
      </c>
      <c r="H28">
        <v>100</v>
      </c>
    </row>
    <row r="29" spans="1:8">
      <c r="A29">
        <v>2030</v>
      </c>
      <c r="B29" t="str">
        <f>INDEX(TextData!B:B,MATCH(A29,TextData!A:A))</f>
        <v>ロングスラスト</v>
      </c>
      <c r="C29">
        <v>1010</v>
      </c>
      <c r="D29" t="str">
        <f>INDEX(Define!Q:Q,MATCH(C29,Define!P:P))</f>
        <v>Hpダメージ</v>
      </c>
      <c r="E29">
        <v>100</v>
      </c>
      <c r="F29">
        <v>0</v>
      </c>
      <c r="G29">
        <v>0</v>
      </c>
      <c r="H29">
        <v>100</v>
      </c>
    </row>
    <row r="30" spans="1:8">
      <c r="A30">
        <v>2040</v>
      </c>
      <c r="B30" t="str">
        <f>INDEX(TextData!B:B,MATCH(A30,TextData!A:A))</f>
        <v>スパイラルソード</v>
      </c>
      <c r="C30">
        <v>1010</v>
      </c>
      <c r="D30" t="str">
        <f>INDEX(Define!Q:Q,MATCH(C30,Define!P:P))</f>
        <v>Hpダメージ</v>
      </c>
      <c r="E30">
        <v>100</v>
      </c>
      <c r="F30">
        <v>0</v>
      </c>
      <c r="G30">
        <v>0</v>
      </c>
      <c r="H30">
        <v>100</v>
      </c>
    </row>
    <row r="31" spans="1:8">
      <c r="A31">
        <v>2040</v>
      </c>
      <c r="B31" t="str">
        <f>INDEX(TextData!B:B,MATCH(A31,TextData!A:A))</f>
        <v>スパイラルソード</v>
      </c>
      <c r="C31">
        <v>3010</v>
      </c>
      <c r="D31" t="str">
        <f>INDEX(Define!Q:Q,MATCH(C31,Define!P:P))</f>
        <v>ステート付与</v>
      </c>
      <c r="E31">
        <v>1090</v>
      </c>
      <c r="F31">
        <v>2</v>
      </c>
      <c r="G31">
        <v>-20</v>
      </c>
      <c r="H31">
        <v>100</v>
      </c>
    </row>
    <row r="32" spans="1:8">
      <c r="A32">
        <v>2040</v>
      </c>
      <c r="B32" t="str">
        <f>INDEX(TextData!B:B,MATCH(A32,TextData!A:A))</f>
        <v>スパイラルソード</v>
      </c>
      <c r="C32">
        <v>7010</v>
      </c>
      <c r="D32" t="str">
        <f>INDEX(Define!Q:Q,MATCH(C32,Define!P:P))</f>
        <v>行動後スキル</v>
      </c>
      <c r="E32">
        <v>2041</v>
      </c>
      <c r="F32">
        <v>0</v>
      </c>
      <c r="G32">
        <v>0</v>
      </c>
      <c r="H32">
        <v>100</v>
      </c>
    </row>
    <row r="33" spans="1:8">
      <c r="A33">
        <v>2041</v>
      </c>
      <c r="B33" t="str">
        <f>INDEX(TextData!B:B,MATCH(A33,TextData!A:A))</f>
        <v>スパイラルソード</v>
      </c>
      <c r="C33">
        <v>3010</v>
      </c>
      <c r="D33" t="str">
        <f>INDEX(Define!Q:Q,MATCH(C33,Define!P:P))</f>
        <v>ステート付与</v>
      </c>
      <c r="E33">
        <v>1090</v>
      </c>
      <c r="F33">
        <v>2</v>
      </c>
      <c r="G33">
        <v>20</v>
      </c>
      <c r="H33">
        <v>100</v>
      </c>
    </row>
    <row r="34" spans="1:8">
      <c r="A34">
        <v>2050</v>
      </c>
      <c r="B34" t="str">
        <f>INDEX(TextData!B:B,MATCH(A34,TextData!A:A))</f>
        <v>スペルバニシング</v>
      </c>
      <c r="C34">
        <v>1010</v>
      </c>
      <c r="D34" t="str">
        <f>INDEX(Define!Q:Q,MATCH(C34,Define!P:P))</f>
        <v>Hpダメージ</v>
      </c>
      <c r="E34">
        <v>100</v>
      </c>
      <c r="F34">
        <v>0</v>
      </c>
      <c r="G34">
        <v>0</v>
      </c>
      <c r="H34">
        <v>100</v>
      </c>
    </row>
    <row r="35" ht="12" customHeight="1" spans="1:9">
      <c r="A35">
        <v>2050</v>
      </c>
      <c r="B35" t="str">
        <f>INDEX(TextData!B:B,MATCH(A35,TextData!A:A))</f>
        <v>スペルバニシング</v>
      </c>
      <c r="C35">
        <v>3010</v>
      </c>
      <c r="D35" t="str">
        <f>INDEX(Define!Q:Q,MATCH(C35,Define!P:P))</f>
        <v>ステート付与</v>
      </c>
      <c r="E35">
        <v>2320</v>
      </c>
      <c r="F35">
        <v>0</v>
      </c>
      <c r="G35">
        <v>0</v>
      </c>
      <c r="H35">
        <v>100</v>
      </c>
      <c r="I35" t="s">
        <v>27</v>
      </c>
    </row>
    <row r="36" spans="1:8">
      <c r="A36">
        <v>2060</v>
      </c>
      <c r="B36" t="str">
        <f>INDEX(TextData!B:B,MATCH(A36,TextData!A:A))</f>
        <v>アーテニーストライク</v>
      </c>
      <c r="C36">
        <v>1010</v>
      </c>
      <c r="D36" t="str">
        <f>INDEX(Define!Q:Q,MATCH(C36,Define!P:P))</f>
        <v>Hpダメージ</v>
      </c>
      <c r="E36">
        <v>100</v>
      </c>
      <c r="F36">
        <v>0</v>
      </c>
      <c r="G36">
        <v>0</v>
      </c>
      <c r="H36">
        <v>100</v>
      </c>
    </row>
    <row r="37" spans="1:8">
      <c r="A37">
        <v>2060</v>
      </c>
      <c r="B37" t="str">
        <f>INDEX(TextData!B:B,MATCH(A37,TextData!A:A))</f>
        <v>アーテニーストライク</v>
      </c>
      <c r="C37">
        <v>11010</v>
      </c>
      <c r="D37" t="str">
        <f>INDEX(Define!Q:Q,MATCH(C37,Define!P:P))</f>
        <v>命中判定しない</v>
      </c>
      <c r="E37">
        <v>0</v>
      </c>
      <c r="F37">
        <v>0</v>
      </c>
      <c r="G37">
        <v>0</v>
      </c>
      <c r="H37">
        <v>100</v>
      </c>
    </row>
    <row r="38" spans="1:8">
      <c r="A38">
        <v>2060</v>
      </c>
      <c r="B38" t="str">
        <f>INDEX(TextData!B:B,MATCH(A38,TextData!A:A))</f>
        <v>アーテニーストライク</v>
      </c>
      <c r="C38">
        <v>7020</v>
      </c>
      <c r="D38" t="str">
        <f>INDEX(Define!Q:Q,MATCH(C38,Define!P:P))</f>
        <v>行動後条件付きスキル</v>
      </c>
      <c r="E38">
        <v>2061</v>
      </c>
      <c r="F38">
        <v>0</v>
      </c>
      <c r="G38">
        <v>0</v>
      </c>
      <c r="H38">
        <v>100</v>
      </c>
    </row>
    <row r="39" spans="1:8">
      <c r="A39">
        <v>2060</v>
      </c>
      <c r="B39" t="str">
        <f>INDEX(TextData!B:B,MATCH(A39,TextData!A:A))</f>
        <v>アーテニーストライク</v>
      </c>
      <c r="C39">
        <v>5011</v>
      </c>
      <c r="D39" t="str">
        <f>INDEX(Define!Q:Q,MATCH(C39,Define!P:P))</f>
        <v>行動後ApがParam1割</v>
      </c>
      <c r="E39">
        <v>50</v>
      </c>
      <c r="F39">
        <v>0</v>
      </c>
      <c r="G39">
        <v>0</v>
      </c>
      <c r="H39">
        <v>100</v>
      </c>
    </row>
    <row r="40" spans="1:8">
      <c r="A40">
        <v>2061</v>
      </c>
      <c r="B40" t="str">
        <f>INDEX(TextData!B:B,MATCH(A40,TextData!A:A))</f>
        <v>アーテニーストライク</v>
      </c>
      <c r="C40">
        <v>4020</v>
      </c>
      <c r="D40" t="str">
        <f>INDEX(Define!Q:Q,MATCH(C40,Define!P:P))</f>
        <v>Ct回復</v>
      </c>
      <c r="E40">
        <v>2</v>
      </c>
      <c r="F40">
        <v>0</v>
      </c>
      <c r="G40">
        <v>0</v>
      </c>
      <c r="H40">
        <v>100</v>
      </c>
    </row>
    <row r="41" spans="1:9">
      <c r="A41">
        <v>2070</v>
      </c>
      <c r="B41" t="str">
        <f>INDEX(TextData!B:B,MATCH(A41,TextData!A:A))</f>
        <v>コンセントレイト</v>
      </c>
      <c r="C41">
        <v>3040</v>
      </c>
      <c r="D41" t="str">
        <f>INDEX(Define!Q:Q,MATCH(C41,Define!P:P))</f>
        <v>次の行動まで有効なステート付与</v>
      </c>
      <c r="E41">
        <v>1080</v>
      </c>
      <c r="F41">
        <v>1</v>
      </c>
      <c r="G41">
        <v>25</v>
      </c>
      <c r="H41">
        <v>100</v>
      </c>
      <c r="I41" t="s">
        <v>28</v>
      </c>
    </row>
    <row r="42" spans="1:9">
      <c r="A42">
        <v>2070</v>
      </c>
      <c r="B42" t="str">
        <f>INDEX(TextData!B:B,MATCH(A42,TextData!A:A))</f>
        <v>コンセントレイト</v>
      </c>
      <c r="C42">
        <v>3040</v>
      </c>
      <c r="D42" t="str">
        <f>INDEX(Define!Q:Q,MATCH(C42,Define!P:P))</f>
        <v>次の行動まで有効なステート付与</v>
      </c>
      <c r="E42">
        <v>1090</v>
      </c>
      <c r="F42">
        <v>1</v>
      </c>
      <c r="G42">
        <v>25</v>
      </c>
      <c r="H42">
        <v>100</v>
      </c>
      <c r="I42" t="s">
        <v>29</v>
      </c>
    </row>
    <row r="43" spans="1:8">
      <c r="A43">
        <v>2070</v>
      </c>
      <c r="B43" t="str">
        <f>INDEX(TextData!B:B,MATCH(A43,TextData!A:A))</f>
        <v>コンセントレイト</v>
      </c>
      <c r="C43">
        <v>5030</v>
      </c>
      <c r="D43" t="str">
        <f>INDEX(Define!Q:Q,MATCH(C43,Define!P:P))</f>
        <v>再行動する</v>
      </c>
      <c r="E43">
        <v>0</v>
      </c>
      <c r="F43">
        <v>0</v>
      </c>
      <c r="G43">
        <v>0</v>
      </c>
      <c r="H43">
        <v>100</v>
      </c>
    </row>
    <row r="44" spans="1:8">
      <c r="A44">
        <v>2080</v>
      </c>
      <c r="B44" t="str">
        <f>INDEX(TextData!B:B,MATCH(A44,TextData!A:A))</f>
        <v>ディレイマジック</v>
      </c>
      <c r="C44">
        <v>1010</v>
      </c>
      <c r="D44" t="str">
        <f>INDEX(Define!Q:Q,MATCH(C44,Define!P:P))</f>
        <v>Hpダメージ</v>
      </c>
      <c r="E44">
        <v>100</v>
      </c>
      <c r="F44">
        <v>0</v>
      </c>
      <c r="G44">
        <v>0</v>
      </c>
      <c r="H44">
        <v>100</v>
      </c>
    </row>
    <row r="45" spans="1:8">
      <c r="A45">
        <v>2080</v>
      </c>
      <c r="B45" t="str">
        <f>INDEX(TextData!B:B,MATCH(A45,TextData!A:A))</f>
        <v>ディレイマジック</v>
      </c>
      <c r="C45">
        <v>4010</v>
      </c>
      <c r="D45" t="str">
        <f>INDEX(Define!Q:Q,MATCH(C45,Define!P:P))</f>
        <v>Ctダメージ</v>
      </c>
      <c r="E45">
        <v>1</v>
      </c>
      <c r="F45">
        <v>0</v>
      </c>
      <c r="G45">
        <v>0</v>
      </c>
      <c r="H45">
        <v>100</v>
      </c>
    </row>
    <row r="46" spans="1:8">
      <c r="A46">
        <v>2110</v>
      </c>
      <c r="B46" t="str">
        <f>INDEX(TextData!B:B,MATCH(A46,TextData!A:A))</f>
        <v>ショックインパルス</v>
      </c>
      <c r="C46">
        <v>1010</v>
      </c>
      <c r="D46" t="str">
        <f>INDEX(Define!Q:Q,MATCH(C46,Define!P:P))</f>
        <v>Hpダメージ</v>
      </c>
      <c r="E46">
        <v>100</v>
      </c>
      <c r="F46">
        <v>0</v>
      </c>
      <c r="G46">
        <v>0</v>
      </c>
      <c r="H46">
        <v>100</v>
      </c>
    </row>
    <row r="47" spans="1:9">
      <c r="A47">
        <v>2110</v>
      </c>
      <c r="B47" t="str">
        <f>INDEX(TextData!B:B,MATCH(A47,TextData!A:A))</f>
        <v>ショックインパルス</v>
      </c>
      <c r="C47">
        <v>3010</v>
      </c>
      <c r="D47" t="str">
        <f>INDEX(Define!Q:Q,MATCH(C47,Define!P:P))</f>
        <v>ステート付与</v>
      </c>
      <c r="E47">
        <v>2150</v>
      </c>
      <c r="F47">
        <v>100</v>
      </c>
      <c r="G47">
        <v>0</v>
      </c>
      <c r="H47">
        <v>100</v>
      </c>
      <c r="I47" t="s">
        <v>30</v>
      </c>
    </row>
    <row r="48" spans="1:8">
      <c r="A48">
        <v>2120</v>
      </c>
      <c r="B48" t="str">
        <f>INDEX(TextData!B:B,MATCH(A48,TextData!A:A))</f>
        <v>インペイル</v>
      </c>
      <c r="C48">
        <v>1010</v>
      </c>
      <c r="D48" t="str">
        <f>INDEX(Define!Q:Q,MATCH(C48,Define!P:P))</f>
        <v>Hpダメージ</v>
      </c>
      <c r="E48">
        <v>100</v>
      </c>
      <c r="F48">
        <v>0</v>
      </c>
      <c r="G48">
        <v>0</v>
      </c>
      <c r="H48">
        <v>100</v>
      </c>
    </row>
    <row r="49" spans="1:8">
      <c r="A49">
        <v>2120</v>
      </c>
      <c r="B49" t="str">
        <f>INDEX(TextData!B:B,MATCH(A49,TextData!A:A))</f>
        <v>インペイル</v>
      </c>
      <c r="C49">
        <v>7020</v>
      </c>
      <c r="D49" t="str">
        <f>INDEX(Define!Q:Q,MATCH(C49,Define!P:P))</f>
        <v>行動後条件付きスキル</v>
      </c>
      <c r="E49">
        <v>2061</v>
      </c>
      <c r="F49">
        <v>0</v>
      </c>
      <c r="G49">
        <v>0</v>
      </c>
      <c r="H49">
        <v>100</v>
      </c>
    </row>
    <row r="50" spans="1:8">
      <c r="A50">
        <v>2120</v>
      </c>
      <c r="B50" t="str">
        <f>INDEX(TextData!B:B,MATCH(A50,TextData!A:A))</f>
        <v>インペイル</v>
      </c>
      <c r="C50">
        <v>5011</v>
      </c>
      <c r="D50" t="str">
        <f>INDEX(Define!Q:Q,MATCH(C50,Define!P:P))</f>
        <v>行動後ApがParam1割</v>
      </c>
      <c r="E50">
        <v>50</v>
      </c>
      <c r="F50">
        <v>0</v>
      </c>
      <c r="G50">
        <v>0</v>
      </c>
      <c r="H50">
        <v>100</v>
      </c>
    </row>
    <row r="51" spans="1:9">
      <c r="A51">
        <v>2920</v>
      </c>
      <c r="B51" t="str">
        <f>INDEX(TextData!B:B,MATCH(A51,TextData!A:A))</f>
        <v>イベイドコード</v>
      </c>
      <c r="C51">
        <v>3010</v>
      </c>
      <c r="D51" t="str">
        <f>INDEX(Define!Q:Q,MATCH(C51,Define!P:P))</f>
        <v>ステート付与</v>
      </c>
      <c r="E51">
        <v>1090</v>
      </c>
      <c r="F51">
        <v>999</v>
      </c>
      <c r="G51">
        <v>15</v>
      </c>
      <c r="H51">
        <v>100</v>
      </c>
      <c r="I51" t="s">
        <v>29</v>
      </c>
    </row>
    <row r="52" spans="1:8">
      <c r="A52">
        <v>2940</v>
      </c>
      <c r="B52" t="str">
        <f>INDEX(TextData!B:B,MATCH(A52,TextData!A:A))</f>
        <v>トラストチェイン</v>
      </c>
      <c r="C52">
        <v>5020</v>
      </c>
      <c r="D52" t="str">
        <f>INDEX(Define!Q:Q,MATCH(C52,Define!P:P))</f>
        <v>Ap回復</v>
      </c>
      <c r="E52">
        <v>400</v>
      </c>
      <c r="F52">
        <v>0</v>
      </c>
      <c r="G52">
        <v>0</v>
      </c>
      <c r="H52">
        <v>100</v>
      </c>
    </row>
    <row r="53" spans="1:8">
      <c r="A53">
        <v>3010</v>
      </c>
      <c r="B53" t="str">
        <f>INDEX(TextData!B:B,MATCH(A53,TextData!A:A))</f>
        <v>アイスブレイド</v>
      </c>
      <c r="C53">
        <v>1010</v>
      </c>
      <c r="D53" t="str">
        <f>INDEX(Define!Q:Q,MATCH(C53,Define!P:P))</f>
        <v>Hpダメージ</v>
      </c>
      <c r="E53">
        <v>100</v>
      </c>
      <c r="F53">
        <v>0</v>
      </c>
      <c r="G53">
        <v>0</v>
      </c>
      <c r="H53">
        <v>100</v>
      </c>
    </row>
    <row r="54" spans="1:8">
      <c r="A54">
        <v>3020</v>
      </c>
      <c r="B54" t="str">
        <f>INDEX(TextData!B:B,MATCH(A54,TextData!A:A))</f>
        <v>シールドバッシュ</v>
      </c>
      <c r="C54">
        <v>1010</v>
      </c>
      <c r="D54" t="str">
        <f>INDEX(Define!Q:Q,MATCH(C54,Define!P:P))</f>
        <v>Hpダメージ</v>
      </c>
      <c r="E54">
        <v>100</v>
      </c>
      <c r="F54">
        <v>0</v>
      </c>
      <c r="G54">
        <v>0</v>
      </c>
      <c r="H54">
        <v>100</v>
      </c>
    </row>
    <row r="55" spans="1:8">
      <c r="A55">
        <v>3020</v>
      </c>
      <c r="B55" t="str">
        <f>INDEX(TextData!B:B,MATCH(A55,TextData!A:A))</f>
        <v>シールドバッシュ</v>
      </c>
      <c r="C55">
        <v>3010</v>
      </c>
      <c r="D55" t="str">
        <f>INDEX(Define!Q:Q,MATCH(C55,Define!P:P))</f>
        <v>ステート付与</v>
      </c>
      <c r="E55">
        <v>1052</v>
      </c>
      <c r="F55">
        <v>2</v>
      </c>
      <c r="G55">
        <v>20</v>
      </c>
      <c r="H55">
        <v>100</v>
      </c>
    </row>
    <row r="56" spans="1:8">
      <c r="A56">
        <v>3030</v>
      </c>
      <c r="B56" t="str">
        <f>INDEX(TextData!B:B,MATCH(A56,TextData!A:A))</f>
        <v>フレンジー</v>
      </c>
      <c r="C56">
        <v>1130</v>
      </c>
      <c r="D56" t="str">
        <f>INDEX(Define!Q:Q,MATCH(C56,Define!P:P))</f>
        <v>Hpダメージ。残りHpParam2以下%でダメージ+Param3</v>
      </c>
      <c r="E56">
        <v>100</v>
      </c>
      <c r="F56">
        <v>50</v>
      </c>
      <c r="G56">
        <v>50</v>
      </c>
      <c r="H56">
        <v>100</v>
      </c>
    </row>
    <row r="57" spans="1:8">
      <c r="A57">
        <v>3040</v>
      </c>
      <c r="B57" t="str">
        <f>INDEX(TextData!B:B,MATCH(A57,TextData!A:A))</f>
        <v>スカルブレイカー</v>
      </c>
      <c r="C57">
        <v>1010</v>
      </c>
      <c r="D57" t="str">
        <f>INDEX(Define!Q:Q,MATCH(C57,Define!P:P))</f>
        <v>Hpダメージ</v>
      </c>
      <c r="E57">
        <v>100</v>
      </c>
      <c r="F57">
        <v>0</v>
      </c>
      <c r="G57">
        <v>0</v>
      </c>
      <c r="H57">
        <v>100</v>
      </c>
    </row>
    <row r="58" spans="1:8">
      <c r="A58">
        <v>3040</v>
      </c>
      <c r="B58" t="str">
        <f>INDEX(TextData!B:B,MATCH(A58,TextData!A:A))</f>
        <v>スカルブレイカー</v>
      </c>
      <c r="C58">
        <v>8030</v>
      </c>
      <c r="D58" t="str">
        <f>INDEX(Define!Q:Q,MATCH(C58,Define!P:P))</f>
        <v>かばう判定無効</v>
      </c>
      <c r="E58">
        <v>0</v>
      </c>
      <c r="F58">
        <v>0</v>
      </c>
      <c r="G58">
        <v>0</v>
      </c>
      <c r="H58">
        <v>100</v>
      </c>
    </row>
    <row r="59" spans="1:9">
      <c r="A59">
        <v>3050</v>
      </c>
      <c r="B59" t="str">
        <f>INDEX(TextData!B:B,MATCH(A59,TextData!A:A))</f>
        <v>ディープフリーズ</v>
      </c>
      <c r="C59">
        <v>3010</v>
      </c>
      <c r="D59" t="str">
        <f>INDEX(Define!Q:Q,MATCH(C59,Define!P:P))</f>
        <v>ステート付与</v>
      </c>
      <c r="E59">
        <v>2140</v>
      </c>
      <c r="F59">
        <v>1</v>
      </c>
      <c r="G59">
        <v>25</v>
      </c>
      <c r="H59">
        <v>100</v>
      </c>
      <c r="I59" t="s">
        <v>31</v>
      </c>
    </row>
    <row r="60" spans="1:8">
      <c r="A60">
        <v>3060</v>
      </c>
      <c r="B60" t="str">
        <f>INDEX(TextData!B:B,MATCH(A60,TextData!A:A))</f>
        <v>バブルブロウ</v>
      </c>
      <c r="C60">
        <v>1010</v>
      </c>
      <c r="D60" t="str">
        <f>INDEX(Define!Q:Q,MATCH(C60,Define!P:P))</f>
        <v>Hpダメージ</v>
      </c>
      <c r="E60">
        <v>100</v>
      </c>
      <c r="F60">
        <v>0</v>
      </c>
      <c r="G60">
        <v>0</v>
      </c>
      <c r="H60">
        <v>100</v>
      </c>
    </row>
    <row r="61" spans="1:9">
      <c r="A61">
        <v>3060</v>
      </c>
      <c r="B61" t="str">
        <f>INDEX(TextData!B:B,MATCH(A61,TextData!A:A))</f>
        <v>バブルブロウ</v>
      </c>
      <c r="C61">
        <v>3010</v>
      </c>
      <c r="D61" t="str">
        <f>INDEX(Define!Q:Q,MATCH(C61,Define!P:P))</f>
        <v>ステート付与</v>
      </c>
      <c r="E61">
        <v>1051</v>
      </c>
      <c r="F61">
        <v>2</v>
      </c>
      <c r="G61">
        <v>8</v>
      </c>
      <c r="H61">
        <v>100</v>
      </c>
      <c r="I61" t="s">
        <v>32</v>
      </c>
    </row>
    <row r="62" spans="1:9">
      <c r="A62">
        <v>3070</v>
      </c>
      <c r="B62" t="str">
        <f>INDEX(TextData!B:B,MATCH(A62,TextData!A:A))</f>
        <v>アクアミラージュ</v>
      </c>
      <c r="C62">
        <v>3010</v>
      </c>
      <c r="D62" t="str">
        <f>INDEX(Define!Q:Q,MATCH(C62,Define!P:P))</f>
        <v>ステート付与</v>
      </c>
      <c r="E62">
        <v>2050</v>
      </c>
      <c r="F62">
        <v>1</v>
      </c>
      <c r="G62">
        <v>0</v>
      </c>
      <c r="H62">
        <v>100</v>
      </c>
      <c r="I62" t="s">
        <v>33</v>
      </c>
    </row>
    <row r="63" spans="1:9">
      <c r="A63">
        <v>3080</v>
      </c>
      <c r="B63" t="str">
        <f>INDEX(TextData!B:B,MATCH(A63,TextData!A:A))</f>
        <v>フロストシールド</v>
      </c>
      <c r="C63">
        <v>3010</v>
      </c>
      <c r="D63" t="str">
        <f>INDEX(Define!Q:Q,MATCH(C63,Define!P:P))</f>
        <v>ステート付与</v>
      </c>
      <c r="E63">
        <v>2410</v>
      </c>
      <c r="F63">
        <v>2</v>
      </c>
      <c r="G63">
        <v>20</v>
      </c>
      <c r="H63">
        <v>100</v>
      </c>
      <c r="I63" t="s">
        <v>34</v>
      </c>
    </row>
    <row r="64" spans="1:8">
      <c r="A64">
        <v>3110</v>
      </c>
      <c r="B64" t="str">
        <f>INDEX(TextData!B:B,MATCH(A64,TextData!A:A))</f>
        <v>ポイズン</v>
      </c>
      <c r="C64">
        <v>1010</v>
      </c>
      <c r="D64" t="str">
        <f>INDEX(Define!Q:Q,MATCH(C64,Define!P:P))</f>
        <v>Hpダメージ</v>
      </c>
      <c r="E64">
        <v>100</v>
      </c>
      <c r="F64">
        <v>0</v>
      </c>
      <c r="G64">
        <v>0</v>
      </c>
      <c r="H64">
        <v>100</v>
      </c>
    </row>
    <row r="65" spans="1:9">
      <c r="A65">
        <v>3110</v>
      </c>
      <c r="B65" t="str">
        <f>INDEX(TextData!B:B,MATCH(A65,TextData!A:A))</f>
        <v>ポイズン</v>
      </c>
      <c r="C65">
        <v>3010</v>
      </c>
      <c r="D65" t="str">
        <f>INDEX(Define!Q:Q,MATCH(C65,Define!P:P))</f>
        <v>ステート付与</v>
      </c>
      <c r="E65">
        <v>2010</v>
      </c>
      <c r="F65">
        <v>2</v>
      </c>
      <c r="G65">
        <v>10</v>
      </c>
      <c r="H65">
        <v>100</v>
      </c>
      <c r="I65" t="s">
        <v>35</v>
      </c>
    </row>
    <row r="66" spans="1:9">
      <c r="A66">
        <v>3120</v>
      </c>
      <c r="B66" t="str">
        <f>INDEX(TextData!B:B,MATCH(A66,TextData!A:A))</f>
        <v>カウンターオーラ</v>
      </c>
      <c r="C66">
        <v>3010</v>
      </c>
      <c r="D66" t="str">
        <f>INDEX(Define!Q:Q,MATCH(C66,Define!P:P))</f>
        <v>ステート付与</v>
      </c>
      <c r="E66">
        <v>2030</v>
      </c>
      <c r="F66">
        <v>2</v>
      </c>
      <c r="G66">
        <v>25</v>
      </c>
      <c r="H66">
        <v>100</v>
      </c>
      <c r="I66" t="s">
        <v>36</v>
      </c>
    </row>
    <row r="67" spans="1:9">
      <c r="A67">
        <v>3130</v>
      </c>
      <c r="B67" t="str">
        <f>INDEX(TextData!B:B,MATCH(A67,TextData!A:A))</f>
        <v>アクアウォール</v>
      </c>
      <c r="C67">
        <v>3010</v>
      </c>
      <c r="D67" t="str">
        <f>INDEX(Define!Q:Q,MATCH(C67,Define!P:P))</f>
        <v>ステート付与</v>
      </c>
      <c r="E67">
        <v>2050</v>
      </c>
      <c r="F67">
        <v>1</v>
      </c>
      <c r="G67">
        <v>0</v>
      </c>
      <c r="H67">
        <v>100</v>
      </c>
      <c r="I67" t="s">
        <v>33</v>
      </c>
    </row>
    <row r="68" spans="1:9">
      <c r="A68">
        <v>3930</v>
      </c>
      <c r="B68" t="str">
        <f>INDEX(TextData!B:B,MATCH(A68,TextData!A:A))</f>
        <v>ラインプロテクト</v>
      </c>
      <c r="C68">
        <v>3010</v>
      </c>
      <c r="D68" t="str">
        <f>INDEX(Define!Q:Q,MATCH(C68,Define!P:P))</f>
        <v>ステート付与</v>
      </c>
      <c r="E68">
        <v>1050</v>
      </c>
      <c r="F68">
        <v>4</v>
      </c>
      <c r="G68">
        <v>10</v>
      </c>
      <c r="H68">
        <v>100</v>
      </c>
      <c r="I68" t="s">
        <v>37</v>
      </c>
    </row>
    <row r="69" spans="1:9">
      <c r="A69">
        <v>3940</v>
      </c>
      <c r="B69" t="str">
        <f>INDEX(TextData!B:B,MATCH(A69,TextData!A:A))</f>
        <v>エスコートソール</v>
      </c>
      <c r="C69">
        <v>3010</v>
      </c>
      <c r="D69" t="str">
        <f>INDEX(Define!Q:Q,MATCH(C69,Define!P:P))</f>
        <v>ステート付与</v>
      </c>
      <c r="E69">
        <v>2130</v>
      </c>
      <c r="F69">
        <v>1</v>
      </c>
      <c r="G69">
        <v>25</v>
      </c>
      <c r="H69">
        <v>100</v>
      </c>
      <c r="I69" t="s">
        <v>38</v>
      </c>
    </row>
    <row r="70" spans="1:8">
      <c r="A70">
        <v>4010</v>
      </c>
      <c r="B70" t="str">
        <f>INDEX(TextData!B:B,MATCH(A70,TextData!A:A))</f>
        <v>セイントレーザー</v>
      </c>
      <c r="C70">
        <v>1010</v>
      </c>
      <c r="D70" t="str">
        <f>INDEX(Define!Q:Q,MATCH(C70,Define!P:P))</f>
        <v>Hpダメージ</v>
      </c>
      <c r="E70">
        <v>100</v>
      </c>
      <c r="F70">
        <v>0</v>
      </c>
      <c r="G70">
        <v>0</v>
      </c>
      <c r="H70">
        <v>100</v>
      </c>
    </row>
    <row r="71" spans="1:8">
      <c r="A71">
        <v>4020</v>
      </c>
      <c r="B71" t="str">
        <f>INDEX(TextData!B:B,MATCH(A71,TextData!A:A))</f>
        <v>ペネトレイト</v>
      </c>
      <c r="C71">
        <v>1010</v>
      </c>
      <c r="D71" t="str">
        <f>INDEX(Define!Q:Q,MATCH(C71,Define!P:P))</f>
        <v>Hpダメージ</v>
      </c>
      <c r="E71">
        <v>100</v>
      </c>
      <c r="F71">
        <v>0</v>
      </c>
      <c r="G71">
        <v>0</v>
      </c>
      <c r="H71">
        <v>100</v>
      </c>
    </row>
    <row r="72" spans="1:8">
      <c r="A72">
        <v>4030</v>
      </c>
      <c r="B72" t="str">
        <f>INDEX(TextData!B:B,MATCH(A72,TextData!A:A))</f>
        <v>ヒーリング</v>
      </c>
      <c r="C72">
        <v>2010</v>
      </c>
      <c r="D72" t="str">
        <f>INDEX(Define!Q:Q,MATCH(C72,Define!P:P))</f>
        <v>Hp回復</v>
      </c>
      <c r="E72">
        <v>15</v>
      </c>
      <c r="F72">
        <v>0</v>
      </c>
      <c r="G72">
        <v>0</v>
      </c>
      <c r="H72">
        <v>100</v>
      </c>
    </row>
    <row r="73" spans="1:8">
      <c r="A73">
        <v>4030</v>
      </c>
      <c r="B73" t="str">
        <f>INDEX(TextData!B:B,MATCH(A73,TextData!A:A))</f>
        <v>ヒーリング</v>
      </c>
      <c r="C73">
        <v>8010</v>
      </c>
      <c r="D73" t="str">
        <f>INDEX(Define!Q:Q,MATCH(C73,Define!P:P))</f>
        <v>回復特性</v>
      </c>
      <c r="E73">
        <v>1</v>
      </c>
      <c r="F73">
        <v>0</v>
      </c>
      <c r="G73">
        <v>200</v>
      </c>
      <c r="H73">
        <v>100</v>
      </c>
    </row>
    <row r="74" spans="1:8">
      <c r="A74">
        <v>4040</v>
      </c>
      <c r="B74" t="str">
        <f>INDEX(TextData!B:B,MATCH(A74,TextData!A:A))</f>
        <v>ピアシングランス</v>
      </c>
      <c r="C74">
        <v>1010</v>
      </c>
      <c r="D74" t="str">
        <f>INDEX(Define!Q:Q,MATCH(C74,Define!P:P))</f>
        <v>Hpダメージ</v>
      </c>
      <c r="E74">
        <v>100</v>
      </c>
      <c r="F74">
        <v>0</v>
      </c>
      <c r="G74">
        <v>0</v>
      </c>
      <c r="H74">
        <v>100</v>
      </c>
    </row>
    <row r="75" spans="1:8">
      <c r="A75">
        <v>4040</v>
      </c>
      <c r="B75" t="str">
        <f>INDEX(TextData!B:B,MATCH(A75,TextData!A:A))</f>
        <v>ピアシングランス</v>
      </c>
      <c r="C75">
        <v>3010</v>
      </c>
      <c r="D75" t="str">
        <f>INDEX(Define!Q:Q,MATCH(C75,Define!P:P))</f>
        <v>ステート付与</v>
      </c>
      <c r="E75">
        <v>2500</v>
      </c>
      <c r="F75">
        <v>2</v>
      </c>
      <c r="G75">
        <v>0</v>
      </c>
      <c r="H75">
        <v>100</v>
      </c>
    </row>
    <row r="76" spans="1:8">
      <c r="A76">
        <v>4050</v>
      </c>
      <c r="B76" t="str">
        <f>INDEX(TextData!B:B,MATCH(A76,TextData!A:A))</f>
        <v>べネディクション</v>
      </c>
      <c r="C76">
        <v>2010</v>
      </c>
      <c r="D76" t="str">
        <f>INDEX(Define!Q:Q,MATCH(C76,Define!P:P))</f>
        <v>Hp回復</v>
      </c>
      <c r="E76">
        <v>10</v>
      </c>
      <c r="F76">
        <v>0</v>
      </c>
      <c r="G76">
        <v>0</v>
      </c>
      <c r="H76">
        <v>100</v>
      </c>
    </row>
    <row r="77" spans="1:9">
      <c r="A77">
        <v>4060</v>
      </c>
      <c r="B77" t="str">
        <f>INDEX(TextData!B:B,MATCH(A77,TextData!A:A))</f>
        <v>ホーリーグレイス</v>
      </c>
      <c r="C77">
        <v>3020</v>
      </c>
      <c r="D77" t="str">
        <f>INDEX(Define!Q:Q,MATCH(C77,Define!P:P))</f>
        <v>ステート解除</v>
      </c>
      <c r="E77">
        <v>1</v>
      </c>
      <c r="F77">
        <v>0</v>
      </c>
      <c r="G77">
        <v>0</v>
      </c>
      <c r="H77">
        <v>100</v>
      </c>
      <c r="I77" t="s">
        <v>39</v>
      </c>
    </row>
    <row r="78" spans="1:8">
      <c r="A78">
        <v>4060</v>
      </c>
      <c r="B78" t="str">
        <f>INDEX(TextData!B:B,MATCH(A78,TextData!A:A))</f>
        <v>ホーリーグレイス</v>
      </c>
      <c r="C78">
        <v>2010</v>
      </c>
      <c r="D78" t="str">
        <f>INDEX(Define!Q:Q,MATCH(C78,Define!P:P))</f>
        <v>Hp回復</v>
      </c>
      <c r="E78">
        <v>25</v>
      </c>
      <c r="F78">
        <v>0</v>
      </c>
      <c r="G78">
        <v>0</v>
      </c>
      <c r="H78">
        <v>100</v>
      </c>
    </row>
    <row r="79" spans="1:8">
      <c r="A79">
        <v>4070</v>
      </c>
      <c r="B79" t="str">
        <f>INDEX(TextData!B:B,MATCH(A79,TextData!A:A))</f>
        <v>キュアエール</v>
      </c>
      <c r="C79">
        <v>2010</v>
      </c>
      <c r="D79" t="str">
        <f>INDEX(Define!Q:Q,MATCH(C79,Define!P:P))</f>
        <v>Hp回復</v>
      </c>
      <c r="E79">
        <v>15</v>
      </c>
      <c r="F79">
        <v>0</v>
      </c>
      <c r="G79">
        <v>0</v>
      </c>
      <c r="H79">
        <v>100</v>
      </c>
    </row>
    <row r="80" spans="1:8">
      <c r="A80">
        <v>4070</v>
      </c>
      <c r="B80" t="str">
        <f>INDEX(TextData!B:B,MATCH(A80,TextData!A:A))</f>
        <v>キュアエール</v>
      </c>
      <c r="C80">
        <v>3030</v>
      </c>
      <c r="D80" t="str">
        <f>INDEX(Define!Q:Q,MATCH(C80,Define!P:P))</f>
        <v>Abnormalステート解除</v>
      </c>
      <c r="E80">
        <v>0</v>
      </c>
      <c r="F80">
        <v>0</v>
      </c>
      <c r="G80">
        <v>0</v>
      </c>
      <c r="H80">
        <v>100</v>
      </c>
    </row>
    <row r="81" spans="1:9">
      <c r="A81">
        <v>4080</v>
      </c>
      <c r="B81" t="str">
        <f>INDEX(TextData!B:B,MATCH(A81,TextData!A:A))</f>
        <v>ラインバリア</v>
      </c>
      <c r="C81">
        <v>3010</v>
      </c>
      <c r="D81" t="str">
        <f>INDEX(Define!Q:Q,MATCH(C81,Define!P:P))</f>
        <v>ステート付与</v>
      </c>
      <c r="E81">
        <v>1100</v>
      </c>
      <c r="F81">
        <v>1</v>
      </c>
      <c r="G81">
        <v>50</v>
      </c>
      <c r="H81">
        <v>100</v>
      </c>
      <c r="I81" t="s">
        <v>40</v>
      </c>
    </row>
    <row r="82" spans="1:8">
      <c r="A82">
        <v>4110</v>
      </c>
      <c r="B82" t="str">
        <f>INDEX(TextData!B:B,MATCH(A82,TextData!A:A))</f>
        <v>ダブルレーザー</v>
      </c>
      <c r="C82">
        <v>1010</v>
      </c>
      <c r="D82" t="str">
        <f>INDEX(Define!Q:Q,MATCH(C82,Define!P:P))</f>
        <v>Hpダメージ</v>
      </c>
      <c r="E82">
        <v>100</v>
      </c>
      <c r="F82">
        <v>0</v>
      </c>
      <c r="G82">
        <v>0</v>
      </c>
      <c r="H82">
        <v>100</v>
      </c>
    </row>
    <row r="83" spans="1:8">
      <c r="A83">
        <v>4110</v>
      </c>
      <c r="B83" t="str">
        <f>INDEX(TextData!B:B,MATCH(A83,TextData!A:A))</f>
        <v>ダブルレーザー</v>
      </c>
      <c r="C83">
        <v>8020</v>
      </c>
      <c r="D83" t="str">
        <f>INDEX(Define!Q:Q,MATCH(C83,Define!P:P))</f>
        <v>アンデッド特攻</v>
      </c>
      <c r="E83">
        <v>1</v>
      </c>
      <c r="F83">
        <v>0</v>
      </c>
      <c r="G83">
        <v>200</v>
      </c>
      <c r="H83">
        <v>100</v>
      </c>
    </row>
    <row r="84" spans="1:8">
      <c r="A84">
        <v>4120</v>
      </c>
      <c r="B84" t="str">
        <f>INDEX(TextData!B:B,MATCH(A84,TextData!A:A))</f>
        <v>リザイアフォトン</v>
      </c>
      <c r="C84">
        <v>1010</v>
      </c>
      <c r="D84" t="str">
        <f>INDEX(Define!Q:Q,MATCH(C84,Define!P:P))</f>
        <v>Hpダメージ</v>
      </c>
      <c r="E84">
        <v>100</v>
      </c>
      <c r="F84">
        <v>0</v>
      </c>
      <c r="G84">
        <v>0</v>
      </c>
      <c r="H84">
        <v>100</v>
      </c>
    </row>
    <row r="85" spans="1:8">
      <c r="A85">
        <v>4120</v>
      </c>
      <c r="B85" t="str">
        <f>INDEX(TextData!B:B,MATCH(A85,TextData!A:A))</f>
        <v>リザイアフォトン</v>
      </c>
      <c r="C85">
        <v>2130</v>
      </c>
      <c r="D85" t="str">
        <f>INDEX(Define!Q:Q,MATCH(C85,Define!P:P))</f>
        <v>攻撃成功で味方全体に回復</v>
      </c>
      <c r="E85">
        <v>0</v>
      </c>
      <c r="F85">
        <v>0</v>
      </c>
      <c r="G85">
        <v>5</v>
      </c>
      <c r="H85">
        <v>100</v>
      </c>
    </row>
    <row r="86" spans="1:8">
      <c r="A86">
        <v>4130</v>
      </c>
      <c r="B86" t="str">
        <f>INDEX(TextData!B:B,MATCH(A86,TextData!A:A))</f>
        <v>チャクラ</v>
      </c>
      <c r="C86">
        <v>2010</v>
      </c>
      <c r="D86" t="str">
        <f>INDEX(Define!Q:Q,MATCH(C86,Define!P:P))</f>
        <v>Hp回復</v>
      </c>
      <c r="E86">
        <v>25</v>
      </c>
      <c r="F86">
        <v>0</v>
      </c>
      <c r="G86">
        <v>0</v>
      </c>
      <c r="H86">
        <v>100</v>
      </c>
    </row>
    <row r="87" spans="1:8">
      <c r="A87">
        <v>5010</v>
      </c>
      <c r="B87" t="str">
        <f>INDEX(TextData!B:B,MATCH(A87,TextData!A:A))</f>
        <v>ダークプリズン</v>
      </c>
      <c r="C87">
        <v>1010</v>
      </c>
      <c r="D87" t="str">
        <f>INDEX(Define!Q:Q,MATCH(C87,Define!P:P))</f>
        <v>Hpダメージ</v>
      </c>
      <c r="E87">
        <v>100</v>
      </c>
      <c r="F87">
        <v>0</v>
      </c>
      <c r="G87">
        <v>0</v>
      </c>
      <c r="H87">
        <v>100</v>
      </c>
    </row>
    <row r="88" spans="1:8">
      <c r="A88">
        <v>5020</v>
      </c>
      <c r="B88" t="str">
        <f>INDEX(TextData!B:B,MATCH(A88,TextData!A:A))</f>
        <v>カウントジャグラー</v>
      </c>
      <c r="C88">
        <v>1010</v>
      </c>
      <c r="D88" t="str">
        <f>INDEX(Define!Q:Q,MATCH(C88,Define!P:P))</f>
        <v>Hpダメージ</v>
      </c>
      <c r="E88">
        <v>100</v>
      </c>
      <c r="F88">
        <v>0</v>
      </c>
      <c r="G88">
        <v>0</v>
      </c>
      <c r="H88">
        <v>100</v>
      </c>
    </row>
    <row r="89" spans="1:8">
      <c r="A89">
        <v>5020</v>
      </c>
      <c r="B89" t="str">
        <f>INDEX(TextData!B:B,MATCH(A89,TextData!A:A))</f>
        <v>カウントジャグラー</v>
      </c>
      <c r="C89">
        <v>4010</v>
      </c>
      <c r="D89" t="str">
        <f>INDEX(Define!Q:Q,MATCH(C89,Define!P:P))</f>
        <v>Ctダメージ</v>
      </c>
      <c r="E89">
        <v>1</v>
      </c>
      <c r="F89">
        <v>0</v>
      </c>
      <c r="G89">
        <v>0</v>
      </c>
      <c r="H89">
        <v>100</v>
      </c>
    </row>
    <row r="90" spans="1:8">
      <c r="A90">
        <v>5020</v>
      </c>
      <c r="B90" t="str">
        <f>INDEX(TextData!B:B,MATCH(A90,TextData!A:A))</f>
        <v>カウントジャグラー</v>
      </c>
      <c r="C90">
        <v>7010</v>
      </c>
      <c r="D90" t="str">
        <f>INDEX(Define!Q:Q,MATCH(C90,Define!P:P))</f>
        <v>行動後スキル</v>
      </c>
      <c r="E90">
        <v>5021</v>
      </c>
      <c r="F90">
        <v>0</v>
      </c>
      <c r="G90">
        <v>0</v>
      </c>
      <c r="H90">
        <v>100</v>
      </c>
    </row>
    <row r="91" spans="1:8">
      <c r="A91">
        <v>5021</v>
      </c>
      <c r="B91" t="str">
        <f>INDEX(TextData!B:B,MATCH(A91,TextData!A:A))</f>
        <v>カウントジャグラー</v>
      </c>
      <c r="C91">
        <v>4020</v>
      </c>
      <c r="D91" t="str">
        <f>INDEX(Define!Q:Q,MATCH(C91,Define!P:P))</f>
        <v>Ct回復</v>
      </c>
      <c r="E91">
        <v>1</v>
      </c>
      <c r="F91">
        <v>0</v>
      </c>
      <c r="G91">
        <v>0</v>
      </c>
      <c r="H91">
        <v>100</v>
      </c>
    </row>
    <row r="92" spans="1:8">
      <c r="A92">
        <v>5030</v>
      </c>
      <c r="B92" t="str">
        <f>INDEX(TextData!B:B,MATCH(A92,TextData!A:A))</f>
        <v>パッシブカース</v>
      </c>
      <c r="C92">
        <v>4010</v>
      </c>
      <c r="D92" t="str">
        <f>INDEX(Define!Q:Q,MATCH(C92,Define!P:P))</f>
        <v>Ctダメージ</v>
      </c>
      <c r="E92">
        <v>1</v>
      </c>
      <c r="F92">
        <v>0</v>
      </c>
      <c r="G92">
        <v>0</v>
      </c>
      <c r="H92">
        <v>100</v>
      </c>
    </row>
    <row r="93" spans="1:8">
      <c r="A93">
        <v>5030</v>
      </c>
      <c r="B93" t="str">
        <f>INDEX(TextData!B:B,MATCH(A93,TextData!A:A))</f>
        <v>パッシブカース</v>
      </c>
      <c r="C93">
        <v>5050</v>
      </c>
      <c r="D93" t="str">
        <f>INDEX(Define!Q:Q,MATCH(C93,Define!P:P))</f>
        <v>APダメージ</v>
      </c>
      <c r="E93">
        <v>100</v>
      </c>
      <c r="F93">
        <v>0</v>
      </c>
      <c r="G93">
        <v>0</v>
      </c>
      <c r="H93">
        <v>100</v>
      </c>
    </row>
    <row r="94" spans="1:8">
      <c r="A94">
        <v>5040</v>
      </c>
      <c r="B94" t="str">
        <f>INDEX(TextData!B:B,MATCH(A94,TextData!A:A))</f>
        <v>ディレイショット</v>
      </c>
      <c r="C94">
        <v>1010</v>
      </c>
      <c r="D94" t="str">
        <f>INDEX(Define!Q:Q,MATCH(C94,Define!P:P))</f>
        <v>Hpダメージ</v>
      </c>
      <c r="E94">
        <v>100</v>
      </c>
      <c r="F94">
        <v>0</v>
      </c>
      <c r="G94">
        <v>0</v>
      </c>
      <c r="H94">
        <v>100</v>
      </c>
    </row>
    <row r="95" spans="1:9">
      <c r="A95">
        <v>5040</v>
      </c>
      <c r="B95" t="str">
        <f>INDEX(TextData!B:B,MATCH(A95,TextData!A:A))</f>
        <v>ディレイショット</v>
      </c>
      <c r="C95">
        <v>3010</v>
      </c>
      <c r="D95" t="str">
        <f>INDEX(Define!Q:Q,MATCH(C95,Define!P:P))</f>
        <v>ステート付与</v>
      </c>
      <c r="E95">
        <v>1061</v>
      </c>
      <c r="F95">
        <v>2</v>
      </c>
      <c r="G95">
        <v>20</v>
      </c>
      <c r="H95">
        <v>100</v>
      </c>
      <c r="I95" t="s">
        <v>41</v>
      </c>
    </row>
    <row r="96" spans="1:8">
      <c r="A96">
        <v>5050</v>
      </c>
      <c r="B96" t="str">
        <f>INDEX(TextData!B:B,MATCH(A96,TextData!A:A))</f>
        <v>ディプラヴィティ</v>
      </c>
      <c r="C96">
        <v>1010</v>
      </c>
      <c r="D96" t="str">
        <f>INDEX(Define!Q:Q,MATCH(C96,Define!P:P))</f>
        <v>Hpダメージ</v>
      </c>
      <c r="E96">
        <v>100</v>
      </c>
      <c r="F96">
        <v>0</v>
      </c>
      <c r="G96">
        <v>0</v>
      </c>
      <c r="H96">
        <v>100</v>
      </c>
    </row>
    <row r="97" spans="1:8">
      <c r="A97">
        <v>5050</v>
      </c>
      <c r="B97" t="str">
        <f>INDEX(TextData!B:B,MATCH(A97,TextData!A:A))</f>
        <v>ディプラヴィティ</v>
      </c>
      <c r="C97">
        <v>4010</v>
      </c>
      <c r="D97" t="str">
        <f>INDEX(Define!Q:Q,MATCH(C97,Define!P:P))</f>
        <v>Ctダメージ</v>
      </c>
      <c r="E97">
        <v>2</v>
      </c>
      <c r="F97">
        <v>0</v>
      </c>
      <c r="G97">
        <v>0</v>
      </c>
      <c r="H97">
        <v>100</v>
      </c>
    </row>
    <row r="98" spans="1:9">
      <c r="A98">
        <v>5060</v>
      </c>
      <c r="B98" t="str">
        <f>INDEX(TextData!B:B,MATCH(A98,TextData!A:A))</f>
        <v>ダークネス</v>
      </c>
      <c r="C98">
        <v>3010</v>
      </c>
      <c r="D98" t="str">
        <f>INDEX(Define!Q:Q,MATCH(C98,Define!P:P))</f>
        <v>ステート付与</v>
      </c>
      <c r="E98">
        <v>1082</v>
      </c>
      <c r="F98">
        <v>5</v>
      </c>
      <c r="G98">
        <v>25</v>
      </c>
      <c r="H98">
        <v>100</v>
      </c>
      <c r="I98" t="s">
        <v>42</v>
      </c>
    </row>
    <row r="99" spans="1:8">
      <c r="A99">
        <v>5080</v>
      </c>
      <c r="B99" t="str">
        <f>INDEX(TextData!B:B,MATCH(A99,TextData!A:A))</f>
        <v>ポイズンブロウ</v>
      </c>
      <c r="C99">
        <v>1010</v>
      </c>
      <c r="D99" t="str">
        <f>INDEX(Define!Q:Q,MATCH(C99,Define!P:P))</f>
        <v>Hpダメージ</v>
      </c>
      <c r="E99">
        <v>100</v>
      </c>
      <c r="F99">
        <v>0</v>
      </c>
      <c r="G99">
        <v>0</v>
      </c>
      <c r="H99">
        <v>100</v>
      </c>
    </row>
    <row r="100" spans="1:9">
      <c r="A100">
        <v>5080</v>
      </c>
      <c r="B100" t="str">
        <f>INDEX(TextData!B:B,MATCH(A100,TextData!A:A))</f>
        <v>ポイズンブロウ</v>
      </c>
      <c r="C100">
        <v>3010</v>
      </c>
      <c r="D100" t="str">
        <f>INDEX(Define!Q:Q,MATCH(C100,Define!P:P))</f>
        <v>ステート付与</v>
      </c>
      <c r="E100">
        <v>2010</v>
      </c>
      <c r="F100">
        <v>2</v>
      </c>
      <c r="G100">
        <v>10</v>
      </c>
      <c r="H100">
        <v>100</v>
      </c>
      <c r="I100" t="s">
        <v>35</v>
      </c>
    </row>
    <row r="101" spans="1:8">
      <c r="A101">
        <v>5110</v>
      </c>
      <c r="B101" t="str">
        <f>INDEX(TextData!B:B,MATCH(A101,TextData!A:A))</f>
        <v>ドレインヒール</v>
      </c>
      <c r="C101">
        <v>1020</v>
      </c>
      <c r="D101" t="str">
        <f>INDEX(Define!Q:Q,MATCH(C101,Define!P:P))</f>
        <v>Hp吸収ダメージ</v>
      </c>
      <c r="E101">
        <v>100</v>
      </c>
      <c r="F101">
        <v>0</v>
      </c>
      <c r="G101">
        <v>50</v>
      </c>
      <c r="H101">
        <v>100</v>
      </c>
    </row>
    <row r="102" spans="1:8">
      <c r="A102">
        <v>5120</v>
      </c>
      <c r="B102" t="str">
        <f>INDEX(TextData!B:B,MATCH(A102,TextData!A:A))</f>
        <v>ユーサネイジア</v>
      </c>
      <c r="C102">
        <v>1010</v>
      </c>
      <c r="D102" t="str">
        <f>INDEX(Define!Q:Q,MATCH(C102,Define!P:P))</f>
        <v>Hpダメージ</v>
      </c>
      <c r="E102">
        <v>75</v>
      </c>
      <c r="F102">
        <v>0</v>
      </c>
      <c r="G102">
        <v>0</v>
      </c>
      <c r="H102">
        <v>100</v>
      </c>
    </row>
    <row r="103" spans="1:9">
      <c r="A103">
        <v>5130</v>
      </c>
      <c r="B103" t="str">
        <f>INDEX(TextData!B:B,MATCH(A103,TextData!A:A))</f>
        <v>シェイディークラウド</v>
      </c>
      <c r="C103">
        <v>3010</v>
      </c>
      <c r="D103" t="str">
        <f>INDEX(Define!Q:Q,MATCH(C103,Define!P:P))</f>
        <v>ステート付与</v>
      </c>
      <c r="E103">
        <v>1043</v>
      </c>
      <c r="F103">
        <v>2</v>
      </c>
      <c r="G103">
        <v>50</v>
      </c>
      <c r="H103">
        <v>100</v>
      </c>
      <c r="I103" t="s">
        <v>43</v>
      </c>
    </row>
    <row r="104" spans="1:8">
      <c r="A104">
        <v>5940</v>
      </c>
      <c r="B104" t="str">
        <f>INDEX(TextData!B:B,MATCH(A104,TextData!A:A))</f>
        <v>アビサルデスペア</v>
      </c>
      <c r="C104">
        <v>1010</v>
      </c>
      <c r="D104" t="str">
        <f>INDEX(Define!Q:Q,MATCH(C104,Define!P:P))</f>
        <v>Hpダメージ</v>
      </c>
      <c r="E104">
        <v>100</v>
      </c>
      <c r="F104">
        <v>0</v>
      </c>
      <c r="G104">
        <v>0</v>
      </c>
      <c r="H104">
        <v>100</v>
      </c>
    </row>
    <row r="105" spans="1:9">
      <c r="A105">
        <v>5940</v>
      </c>
      <c r="B105" t="str">
        <f>INDEX(TextData!B:B,MATCH(A105,TextData!A:A))</f>
        <v>アビサルデスペア</v>
      </c>
      <c r="C105">
        <v>3010</v>
      </c>
      <c r="D105" t="str">
        <f>INDEX(Define!Q:Q,MATCH(C105,Define!P:P))</f>
        <v>ステート付与</v>
      </c>
      <c r="E105">
        <v>2400</v>
      </c>
      <c r="F105">
        <v>3</v>
      </c>
      <c r="G105">
        <v>0</v>
      </c>
      <c r="H105">
        <v>100</v>
      </c>
      <c r="I105" t="s">
        <v>44</v>
      </c>
    </row>
    <row r="106" spans="1:8">
      <c r="A106">
        <v>6010</v>
      </c>
      <c r="B106" t="str">
        <f>INDEX(TextData!B:B,MATCH(A106,TextData!A:A))</f>
        <v>待機</v>
      </c>
      <c r="C106">
        <v>0</v>
      </c>
      <c r="D106" t="str">
        <f>INDEX(Define!Q:Q,MATCH(C106,Define!P:P))</f>
        <v>ない</v>
      </c>
      <c r="E106">
        <v>0</v>
      </c>
      <c r="F106">
        <v>0</v>
      </c>
      <c r="G106">
        <v>0</v>
      </c>
      <c r="H106">
        <v>100</v>
      </c>
    </row>
    <row r="107" spans="1:8">
      <c r="A107">
        <v>6020</v>
      </c>
      <c r="B107" t="str">
        <f>INDEX(TextData!B:B,MATCH(A107,TextData!A:A))</f>
        <v>交代</v>
      </c>
      <c r="C107">
        <v>10020</v>
      </c>
      <c r="D107" t="str">
        <f>INDEX(Define!Q:Q,MATCH(C107,Define!P:P))</f>
        <v>行動後に交代</v>
      </c>
      <c r="E107">
        <v>0</v>
      </c>
      <c r="F107">
        <v>0</v>
      </c>
      <c r="G107">
        <v>0</v>
      </c>
      <c r="H107">
        <v>100</v>
      </c>
    </row>
    <row r="108" spans="1:9">
      <c r="A108">
        <v>10010</v>
      </c>
      <c r="B108" t="str">
        <f>INDEX(TextData!B:B,MATCH(A108,TextData!A:A))</f>
        <v>アンデッド</v>
      </c>
      <c r="C108">
        <v>3010</v>
      </c>
      <c r="D108" t="str">
        <f>INDEX(Define!Q:Q,MATCH(C108,Define!P:P))</f>
        <v>ステート付与</v>
      </c>
      <c r="E108">
        <v>2270</v>
      </c>
      <c r="F108">
        <v>0</v>
      </c>
      <c r="G108">
        <v>10</v>
      </c>
      <c r="H108">
        <v>100</v>
      </c>
      <c r="I108" t="s">
        <v>45</v>
      </c>
    </row>
    <row r="109" spans="1:9">
      <c r="A109">
        <v>10020</v>
      </c>
      <c r="B109" t="str">
        <f>INDEX(TextData!B:B,MATCH(A109,TextData!A:A))</f>
        <v>エアリアル</v>
      </c>
      <c r="C109">
        <v>3010</v>
      </c>
      <c r="D109" t="str">
        <f>INDEX(Define!Q:Q,MATCH(C109,Define!P:P))</f>
        <v>ステート付与</v>
      </c>
      <c r="E109">
        <v>2190</v>
      </c>
      <c r="F109">
        <v>999</v>
      </c>
      <c r="G109">
        <v>0</v>
      </c>
      <c r="H109">
        <v>100</v>
      </c>
      <c r="I109" t="s">
        <v>46</v>
      </c>
    </row>
    <row r="110" spans="1:9">
      <c r="A110">
        <v>10030</v>
      </c>
      <c r="B110" t="str">
        <f>INDEX(TextData!B:B,MATCH(A110,TextData!A:A))</f>
        <v>悪魔</v>
      </c>
      <c r="C110">
        <v>3010</v>
      </c>
      <c r="D110" t="str">
        <f>INDEX(Define!Q:Q,MATCH(C110,Define!P:P))</f>
        <v>ステート付与</v>
      </c>
      <c r="E110">
        <v>1030</v>
      </c>
      <c r="F110">
        <v>999</v>
      </c>
      <c r="G110">
        <v>3</v>
      </c>
      <c r="H110">
        <v>100</v>
      </c>
      <c r="I110" t="s">
        <v>47</v>
      </c>
    </row>
    <row r="111" spans="1:9">
      <c r="A111">
        <v>10040</v>
      </c>
      <c r="B111" t="str">
        <f>INDEX(TextData!B:B,MATCH(A111,TextData!A:A))</f>
        <v>クリーチャー</v>
      </c>
      <c r="C111">
        <v>3010</v>
      </c>
      <c r="D111" t="str">
        <f>INDEX(Define!Q:Q,MATCH(C111,Define!P:P))</f>
        <v>ステート付与</v>
      </c>
      <c r="E111">
        <v>1020</v>
      </c>
      <c r="F111">
        <v>999</v>
      </c>
      <c r="G111">
        <v>20</v>
      </c>
      <c r="H111">
        <v>100</v>
      </c>
      <c r="I111" t="s">
        <v>48</v>
      </c>
    </row>
    <row r="112" spans="1:9">
      <c r="A112">
        <v>10050</v>
      </c>
      <c r="B112" t="str">
        <f>INDEX(TextData!B:B,MATCH(A112,TextData!A:A))</f>
        <v>野生の記憶</v>
      </c>
      <c r="C112">
        <v>3010</v>
      </c>
      <c r="D112" t="str">
        <f>INDEX(Define!Q:Q,MATCH(C112,Define!P:P))</f>
        <v>ステート付与</v>
      </c>
      <c r="E112">
        <v>1040</v>
      </c>
      <c r="F112">
        <v>999</v>
      </c>
      <c r="G112">
        <v>4</v>
      </c>
      <c r="H112">
        <v>100</v>
      </c>
      <c r="I112" t="s">
        <v>49</v>
      </c>
    </row>
    <row r="113" spans="1:9">
      <c r="A113">
        <v>10060</v>
      </c>
      <c r="B113" t="str">
        <f>INDEX(TextData!B:B,MATCH(A113,TextData!A:A))</f>
        <v>変異生物</v>
      </c>
      <c r="C113">
        <v>3010</v>
      </c>
      <c r="D113" t="str">
        <f>INDEX(Define!Q:Q,MATCH(C113,Define!P:P))</f>
        <v>ステート付与</v>
      </c>
      <c r="E113">
        <v>1050</v>
      </c>
      <c r="F113">
        <v>999</v>
      </c>
      <c r="G113">
        <v>3</v>
      </c>
      <c r="H113">
        <v>100</v>
      </c>
      <c r="I113" t="s">
        <v>37</v>
      </c>
    </row>
    <row r="114" spans="1:9">
      <c r="A114">
        <v>11010</v>
      </c>
      <c r="B114" t="str">
        <f>INDEX(TextData!B:B,MATCH(A114,TextData!A:A))</f>
        <v>フレイムセイバー</v>
      </c>
      <c r="C114">
        <v>3010</v>
      </c>
      <c r="D114" t="str">
        <f>INDEX(Define!Q:Q,MATCH(C114,Define!P:P))</f>
        <v>ステート付与</v>
      </c>
      <c r="E114">
        <v>2012</v>
      </c>
      <c r="F114">
        <v>2</v>
      </c>
      <c r="G114">
        <v>5</v>
      </c>
      <c r="H114">
        <v>100</v>
      </c>
      <c r="I114" t="s">
        <v>35</v>
      </c>
    </row>
    <row r="115" spans="1:9">
      <c r="A115">
        <v>11020</v>
      </c>
      <c r="B115" t="str">
        <f>INDEX(TextData!B:B,MATCH(A115,TextData!A:A))</f>
        <v>イーグルアイ</v>
      </c>
      <c r="C115">
        <v>3010</v>
      </c>
      <c r="D115" t="str">
        <f>INDEX(Define!Q:Q,MATCH(C115,Define!P:P))</f>
        <v>ステート付与</v>
      </c>
      <c r="E115">
        <v>1080</v>
      </c>
      <c r="F115">
        <v>1</v>
      </c>
      <c r="G115">
        <v>25</v>
      </c>
      <c r="H115">
        <v>100</v>
      </c>
      <c r="I115" t="s">
        <v>28</v>
      </c>
    </row>
    <row r="116" spans="1:9">
      <c r="A116">
        <v>11030</v>
      </c>
      <c r="B116" t="str">
        <f>INDEX(TextData!B:B,MATCH(A116,TextData!A:A))</f>
        <v>ウォークライ</v>
      </c>
      <c r="C116">
        <v>3010</v>
      </c>
      <c r="D116" t="str">
        <f>INDEX(Define!Q:Q,MATCH(C116,Define!P:P))</f>
        <v>ステート付与</v>
      </c>
      <c r="E116">
        <v>1042</v>
      </c>
      <c r="F116">
        <v>2</v>
      </c>
      <c r="G116">
        <v>20</v>
      </c>
      <c r="H116">
        <v>100</v>
      </c>
      <c r="I116" t="s">
        <v>49</v>
      </c>
    </row>
    <row r="117" spans="1:9">
      <c r="A117">
        <v>11040</v>
      </c>
      <c r="B117" t="str">
        <f>INDEX(TextData!B:B,MATCH(A117,TextData!A:A))</f>
        <v>ウルフソウル</v>
      </c>
      <c r="C117">
        <v>3010</v>
      </c>
      <c r="D117" t="str">
        <f>INDEX(Define!Q:Q,MATCH(C117,Define!P:P))</f>
        <v>ステート付与</v>
      </c>
      <c r="E117">
        <v>1040</v>
      </c>
      <c r="F117">
        <v>999</v>
      </c>
      <c r="G117">
        <v>2</v>
      </c>
      <c r="H117">
        <v>100</v>
      </c>
      <c r="I117" t="s">
        <v>49</v>
      </c>
    </row>
    <row r="118" spans="1:8">
      <c r="A118">
        <v>11050</v>
      </c>
      <c r="B118" t="str">
        <f>INDEX(TextData!B:B,MATCH(A118,TextData!A:A))</f>
        <v>キュアファイア</v>
      </c>
      <c r="C118">
        <v>3020</v>
      </c>
      <c r="D118" t="str">
        <f>INDEX(Define!Q:Q,MATCH(C118,Define!P:P))</f>
        <v>ステート解除</v>
      </c>
      <c r="E118">
        <v>2012</v>
      </c>
      <c r="F118">
        <v>0</v>
      </c>
      <c r="G118">
        <v>0</v>
      </c>
      <c r="H118">
        <v>100</v>
      </c>
    </row>
    <row r="119" spans="1:8">
      <c r="A119">
        <v>11050</v>
      </c>
      <c r="B119" t="str">
        <f>INDEX(TextData!B:B,MATCH(A119,TextData!A:A))</f>
        <v>キュアファイア</v>
      </c>
      <c r="C119">
        <v>2010</v>
      </c>
      <c r="D119" t="str">
        <f>INDEX(Define!Q:Q,MATCH(C119,Define!P:P))</f>
        <v>Hp回復</v>
      </c>
      <c r="E119">
        <v>10</v>
      </c>
      <c r="F119">
        <v>0</v>
      </c>
      <c r="G119">
        <v>1</v>
      </c>
      <c r="H119">
        <v>100</v>
      </c>
    </row>
    <row r="120" spans="1:9">
      <c r="A120">
        <v>11070</v>
      </c>
      <c r="B120" t="str">
        <f>INDEX(TextData!B:B,MATCH(A120,TextData!A:A))</f>
        <v>ルージュバック</v>
      </c>
      <c r="C120">
        <v>3010</v>
      </c>
      <c r="D120" t="str">
        <f>INDEX(Define!Q:Q,MATCH(C120,Define!P:P))</f>
        <v>ステート付与</v>
      </c>
      <c r="E120">
        <v>1044</v>
      </c>
      <c r="F120">
        <v>999</v>
      </c>
      <c r="G120">
        <v>2</v>
      </c>
      <c r="H120">
        <v>100</v>
      </c>
      <c r="I120" t="s">
        <v>49</v>
      </c>
    </row>
    <row r="121" spans="1:9">
      <c r="A121">
        <v>11090</v>
      </c>
      <c r="B121" t="str">
        <f>INDEX(TextData!B:B,MATCH(A121,TextData!A:A))</f>
        <v>スレイプニル</v>
      </c>
      <c r="C121">
        <v>3010</v>
      </c>
      <c r="D121" t="str">
        <f>INDEX(Define!Q:Q,MATCH(C121,Define!P:P))</f>
        <v>ステート付与</v>
      </c>
      <c r="E121">
        <v>2330</v>
      </c>
      <c r="F121">
        <v>1</v>
      </c>
      <c r="G121">
        <v>15</v>
      </c>
      <c r="H121">
        <v>100</v>
      </c>
      <c r="I121" t="s">
        <v>50</v>
      </c>
    </row>
    <row r="122" spans="1:8">
      <c r="A122">
        <v>11100</v>
      </c>
      <c r="B122" t="str">
        <f>INDEX(TextData!B:B,MATCH(A122,TextData!A:A))</f>
        <v>レストア</v>
      </c>
      <c r="C122">
        <v>4020</v>
      </c>
      <c r="D122" t="str">
        <f>INDEX(Define!Q:Q,MATCH(C122,Define!P:P))</f>
        <v>Ct回復</v>
      </c>
      <c r="E122">
        <v>1</v>
      </c>
      <c r="F122">
        <v>0</v>
      </c>
      <c r="G122">
        <v>0</v>
      </c>
      <c r="H122">
        <v>100</v>
      </c>
    </row>
    <row r="123" spans="1:8">
      <c r="A123">
        <v>11110</v>
      </c>
      <c r="B123" t="str">
        <f>INDEX(TextData!B:B,MATCH(A123,TextData!A:A))</f>
        <v>レイジカウンター</v>
      </c>
      <c r="C123">
        <v>1010</v>
      </c>
      <c r="D123" t="str">
        <f>INDEX(Define!Q:Q,MATCH(C123,Define!P:P))</f>
        <v>Hpダメージ</v>
      </c>
      <c r="E123">
        <v>100</v>
      </c>
      <c r="F123">
        <v>0</v>
      </c>
      <c r="G123">
        <v>0</v>
      </c>
      <c r="H123">
        <v>100</v>
      </c>
    </row>
    <row r="124" spans="1:9">
      <c r="A124">
        <v>11120</v>
      </c>
      <c r="B124" t="str">
        <f>INDEX(TextData!B:B,MATCH(A124,TextData!A:A))</f>
        <v>パワーエール</v>
      </c>
      <c r="C124">
        <v>3010</v>
      </c>
      <c r="D124" t="str">
        <f>INDEX(Define!Q:Q,MATCH(C124,Define!P:P))</f>
        <v>ステート付与</v>
      </c>
      <c r="E124">
        <v>1042</v>
      </c>
      <c r="F124">
        <v>1</v>
      </c>
      <c r="G124">
        <v>30</v>
      </c>
      <c r="H124">
        <v>100</v>
      </c>
      <c r="I124" t="s">
        <v>49</v>
      </c>
    </row>
    <row r="125" spans="1:8">
      <c r="A125">
        <v>11130</v>
      </c>
      <c r="B125" t="str">
        <f>INDEX(TextData!B:B,MATCH(A125,TextData!A:A))</f>
        <v>ワイドカウンター</v>
      </c>
      <c r="C125">
        <v>1010</v>
      </c>
      <c r="D125" t="str">
        <f>INDEX(Define!Q:Q,MATCH(C125,Define!P:P))</f>
        <v>Hpダメージ</v>
      </c>
      <c r="E125">
        <v>100</v>
      </c>
      <c r="F125">
        <v>0</v>
      </c>
      <c r="G125">
        <v>0</v>
      </c>
      <c r="H125">
        <v>100</v>
      </c>
    </row>
    <row r="126" spans="1:8">
      <c r="A126">
        <v>11140</v>
      </c>
      <c r="B126" t="str">
        <f>INDEX(TextData!B:B,MATCH(A126,TextData!A:A))</f>
        <v>ライジングファイア</v>
      </c>
      <c r="C126">
        <v>4020</v>
      </c>
      <c r="D126" t="str">
        <f>INDEX(Define!Q:Q,MATCH(C126,Define!P:P))</f>
        <v>Ct回復</v>
      </c>
      <c r="E126">
        <v>1</v>
      </c>
      <c r="F126">
        <v>0</v>
      </c>
      <c r="G126">
        <v>0</v>
      </c>
      <c r="H126">
        <v>100</v>
      </c>
    </row>
    <row r="127" spans="1:9">
      <c r="A127">
        <v>11920</v>
      </c>
      <c r="B127" t="str">
        <f>INDEX(TextData!B:B,MATCH(A127,TextData!A:A))</f>
        <v>プリディカメント</v>
      </c>
      <c r="C127">
        <v>3010</v>
      </c>
      <c r="D127" t="str">
        <f>INDEX(Define!Q:Q,MATCH(C127,Define!P:P))</f>
        <v>ステート付与</v>
      </c>
      <c r="E127">
        <v>1040</v>
      </c>
      <c r="F127">
        <v>999</v>
      </c>
      <c r="G127">
        <v>8</v>
      </c>
      <c r="H127">
        <v>100</v>
      </c>
      <c r="I127" t="s">
        <v>49</v>
      </c>
    </row>
    <row r="128" spans="1:9">
      <c r="A128">
        <v>11930</v>
      </c>
      <c r="B128" t="str">
        <f>INDEX(TextData!B:B,MATCH(A128,TextData!A:A))</f>
        <v>アサルトシフト</v>
      </c>
      <c r="C128">
        <v>3010</v>
      </c>
      <c r="D128" t="str">
        <f>INDEX(Define!Q:Q,MATCH(C128,Define!P:P))</f>
        <v>ステート付与</v>
      </c>
      <c r="E128">
        <v>1040</v>
      </c>
      <c r="F128">
        <v>999</v>
      </c>
      <c r="G128">
        <v>4</v>
      </c>
      <c r="H128">
        <v>100</v>
      </c>
      <c r="I128" t="s">
        <v>49</v>
      </c>
    </row>
    <row r="129" spans="1:8">
      <c r="A129">
        <v>11940</v>
      </c>
      <c r="B129" t="str">
        <f>INDEX(TextData!B:B,MATCH(A129,TextData!A:A))</f>
        <v>アクティブギフト</v>
      </c>
      <c r="C129">
        <v>4020</v>
      </c>
      <c r="D129" t="str">
        <f>INDEX(Define!Q:Q,MATCH(C129,Define!P:P))</f>
        <v>Ct回復</v>
      </c>
      <c r="E129">
        <v>1</v>
      </c>
      <c r="F129">
        <v>0</v>
      </c>
      <c r="G129">
        <v>0</v>
      </c>
      <c r="H129">
        <v>100</v>
      </c>
    </row>
    <row r="130" spans="1:8">
      <c r="A130">
        <v>11950</v>
      </c>
      <c r="B130" t="str">
        <f>INDEX(TextData!B:B,MATCH(A130,TextData!A:A))</f>
        <v>イグナイテッド</v>
      </c>
      <c r="C130">
        <v>4020</v>
      </c>
      <c r="D130" t="str">
        <f>INDEX(Define!Q:Q,MATCH(C130,Define!P:P))</f>
        <v>Ct回復</v>
      </c>
      <c r="E130">
        <v>3</v>
      </c>
      <c r="F130">
        <v>1</v>
      </c>
      <c r="G130">
        <v>0</v>
      </c>
      <c r="H130">
        <v>100</v>
      </c>
    </row>
    <row r="131" spans="1:9">
      <c r="A131">
        <v>12010</v>
      </c>
      <c r="B131" t="str">
        <f>INDEX(TextData!B:B,MATCH(A131,TextData!A:A))</f>
        <v>クロースエッジ</v>
      </c>
      <c r="C131">
        <v>3010</v>
      </c>
      <c r="D131" t="str">
        <f>INDEX(Define!Q:Q,MATCH(C131,Define!P:P))</f>
        <v>ステート付与</v>
      </c>
      <c r="E131">
        <v>2430</v>
      </c>
      <c r="F131">
        <v>1</v>
      </c>
      <c r="G131">
        <v>0</v>
      </c>
      <c r="H131">
        <v>100</v>
      </c>
      <c r="I131" t="s">
        <v>51</v>
      </c>
    </row>
    <row r="132" spans="1:8">
      <c r="A132">
        <v>12010</v>
      </c>
      <c r="B132" t="str">
        <f>INDEX(TextData!B:B,MATCH(A132,TextData!A:A))</f>
        <v>クロースエッジ</v>
      </c>
      <c r="C132">
        <v>7010</v>
      </c>
      <c r="D132" t="str">
        <f>INDEX(Define!Q:Q,MATCH(C132,Define!P:P))</f>
        <v>行動後スキル</v>
      </c>
      <c r="E132">
        <v>12011</v>
      </c>
      <c r="F132">
        <v>0</v>
      </c>
      <c r="G132">
        <v>1</v>
      </c>
      <c r="H132">
        <v>100</v>
      </c>
    </row>
    <row r="133" spans="1:9">
      <c r="A133">
        <v>12011</v>
      </c>
      <c r="B133" t="str">
        <f>INDEX(TextData!B:B,MATCH(A133,TextData!A:A))</f>
        <v>クロースエッジ</v>
      </c>
      <c r="C133">
        <v>3010</v>
      </c>
      <c r="D133" t="str">
        <f>INDEX(Define!Q:Q,MATCH(C133,Define!P:P))</f>
        <v>ステート付与</v>
      </c>
      <c r="E133">
        <v>1100</v>
      </c>
      <c r="F133">
        <v>1</v>
      </c>
      <c r="G133">
        <v>100</v>
      </c>
      <c r="H133">
        <v>100</v>
      </c>
      <c r="I133" t="s">
        <v>40</v>
      </c>
    </row>
    <row r="134" spans="1:8">
      <c r="A134">
        <v>12020</v>
      </c>
      <c r="B134" t="str">
        <f>INDEX(TextData!B:B,MATCH(A134,TextData!A:A))</f>
        <v>ファストファクション</v>
      </c>
      <c r="C134">
        <v>5020</v>
      </c>
      <c r="D134" t="str">
        <f>INDEX(Define!Q:Q,MATCH(C134,Define!P:P))</f>
        <v>Ap回復</v>
      </c>
      <c r="E134">
        <v>100</v>
      </c>
      <c r="F134">
        <v>0</v>
      </c>
      <c r="G134">
        <v>0</v>
      </c>
      <c r="H134">
        <v>100</v>
      </c>
    </row>
    <row r="135" spans="1:8">
      <c r="A135">
        <v>12030</v>
      </c>
      <c r="B135" t="str">
        <f>INDEX(TextData!B:B,MATCH(A135,TextData!A:A))</f>
        <v>クイックムーブ</v>
      </c>
      <c r="C135">
        <v>5020</v>
      </c>
      <c r="D135" t="str">
        <f>INDEX(Define!Q:Q,MATCH(C135,Define!P:P))</f>
        <v>Ap回復</v>
      </c>
      <c r="E135">
        <v>200</v>
      </c>
      <c r="F135">
        <v>0</v>
      </c>
      <c r="G135">
        <v>0</v>
      </c>
      <c r="H135">
        <v>100</v>
      </c>
    </row>
    <row r="136" spans="1:9">
      <c r="A136">
        <v>12040</v>
      </c>
      <c r="B136" t="str">
        <f>INDEX(TextData!B:B,MATCH(A136,TextData!A:A))</f>
        <v>ヘブンリーラック</v>
      </c>
      <c r="C136">
        <v>3010</v>
      </c>
      <c r="D136" t="str">
        <f>INDEX(Define!Q:Q,MATCH(C136,Define!P:P))</f>
        <v>ステート付与</v>
      </c>
      <c r="E136">
        <v>1090</v>
      </c>
      <c r="F136">
        <v>999</v>
      </c>
      <c r="G136">
        <v>15</v>
      </c>
      <c r="H136">
        <v>100</v>
      </c>
      <c r="I136" t="s">
        <v>29</v>
      </c>
    </row>
    <row r="137" spans="1:8">
      <c r="A137">
        <v>12050</v>
      </c>
      <c r="B137" t="str">
        <f>INDEX(TextData!B:B,MATCH(A137,TextData!A:A))</f>
        <v>キュアスタン</v>
      </c>
      <c r="C137">
        <v>3020</v>
      </c>
      <c r="D137" t="str">
        <f>INDEX(Define!Q:Q,MATCH(C137,Define!P:P))</f>
        <v>ステート解除</v>
      </c>
      <c r="E137">
        <v>2150</v>
      </c>
      <c r="F137">
        <v>0</v>
      </c>
      <c r="G137">
        <v>0</v>
      </c>
      <c r="H137">
        <v>100</v>
      </c>
    </row>
    <row r="138" spans="1:8">
      <c r="A138">
        <v>12050</v>
      </c>
      <c r="B138" t="str">
        <f>INDEX(TextData!B:B,MATCH(A138,TextData!A:A))</f>
        <v>キュアスタン</v>
      </c>
      <c r="C138">
        <v>2010</v>
      </c>
      <c r="D138" t="str">
        <f>INDEX(Define!Q:Q,MATCH(C138,Define!P:P))</f>
        <v>Hp回復</v>
      </c>
      <c r="E138">
        <v>10</v>
      </c>
      <c r="F138">
        <v>0</v>
      </c>
      <c r="G138">
        <v>1</v>
      </c>
      <c r="H138">
        <v>100</v>
      </c>
    </row>
    <row r="139" spans="1:8">
      <c r="A139">
        <v>12090</v>
      </c>
      <c r="B139" t="str">
        <f>INDEX(TextData!B:B,MATCH(A139,TextData!A:A))</f>
        <v>アウトオブオーダー</v>
      </c>
      <c r="C139">
        <v>5020</v>
      </c>
      <c r="D139" t="str">
        <f>INDEX(Define!Q:Q,MATCH(C139,Define!P:P))</f>
        <v>Ap回復</v>
      </c>
      <c r="E139">
        <v>200</v>
      </c>
      <c r="F139">
        <v>0</v>
      </c>
      <c r="G139">
        <v>0</v>
      </c>
      <c r="H139">
        <v>100</v>
      </c>
    </row>
    <row r="140" spans="1:9">
      <c r="A140">
        <v>12100</v>
      </c>
      <c r="B140" t="str">
        <f>INDEX(TextData!B:B,MATCH(A140,TextData!A:A))</f>
        <v>ワンスパニッシュ</v>
      </c>
      <c r="C140">
        <v>3010</v>
      </c>
      <c r="D140" t="str">
        <f>INDEX(Define!Q:Q,MATCH(C140,Define!P:P))</f>
        <v>ステート付与</v>
      </c>
      <c r="E140">
        <v>2050</v>
      </c>
      <c r="F140">
        <v>1</v>
      </c>
      <c r="G140">
        <v>0</v>
      </c>
      <c r="H140">
        <v>100</v>
      </c>
      <c r="I140" t="s">
        <v>33</v>
      </c>
    </row>
    <row r="141" spans="1:9">
      <c r="A141">
        <v>12110</v>
      </c>
      <c r="B141" t="str">
        <f>INDEX(TextData!B:B,MATCH(A141,TextData!A:A))</f>
        <v>コンセントレイト</v>
      </c>
      <c r="C141">
        <v>3040</v>
      </c>
      <c r="D141" t="str">
        <f>INDEX(Define!Q:Q,MATCH(C141,Define!P:P))</f>
        <v>次の行動まで有効なステート付与</v>
      </c>
      <c r="E141">
        <v>1080</v>
      </c>
      <c r="F141">
        <v>1</v>
      </c>
      <c r="G141">
        <v>20</v>
      </c>
      <c r="H141">
        <v>100</v>
      </c>
      <c r="I141" t="s">
        <v>28</v>
      </c>
    </row>
    <row r="142" spans="1:9">
      <c r="A142">
        <v>12110</v>
      </c>
      <c r="B142" t="str">
        <f>INDEX(TextData!B:B,MATCH(A142,TextData!A:A))</f>
        <v>コンセントレイト</v>
      </c>
      <c r="C142">
        <v>3040</v>
      </c>
      <c r="D142" t="str">
        <f>INDEX(Define!Q:Q,MATCH(C142,Define!P:P))</f>
        <v>次の行動まで有効なステート付与</v>
      </c>
      <c r="E142">
        <v>1090</v>
      </c>
      <c r="F142">
        <v>1</v>
      </c>
      <c r="G142">
        <v>20</v>
      </c>
      <c r="H142">
        <v>100</v>
      </c>
      <c r="I142" t="s">
        <v>29</v>
      </c>
    </row>
    <row r="143" spans="1:9">
      <c r="A143">
        <v>12120</v>
      </c>
      <c r="B143" t="str">
        <f>INDEX(TextData!B:B,MATCH(A143,TextData!A:A))</f>
        <v>パリィ</v>
      </c>
      <c r="C143">
        <v>3010</v>
      </c>
      <c r="D143" t="str">
        <f>INDEX(Define!Q:Q,MATCH(C143,Define!P:P))</f>
        <v>ステート付与</v>
      </c>
      <c r="E143">
        <v>2050</v>
      </c>
      <c r="F143">
        <v>1</v>
      </c>
      <c r="G143">
        <v>0</v>
      </c>
      <c r="H143">
        <v>100</v>
      </c>
      <c r="I143" t="s">
        <v>33</v>
      </c>
    </row>
    <row r="144" spans="1:8">
      <c r="A144">
        <v>12130</v>
      </c>
      <c r="B144" t="str">
        <f>INDEX(TextData!B:B,MATCH(A144,TextData!A:A))</f>
        <v>チェイスマジック</v>
      </c>
      <c r="C144">
        <v>1010</v>
      </c>
      <c r="D144" t="str">
        <f>INDEX(Define!Q:Q,MATCH(C144,Define!P:P))</f>
        <v>Hpダメージ</v>
      </c>
      <c r="E144">
        <v>100</v>
      </c>
      <c r="F144">
        <v>0</v>
      </c>
      <c r="G144">
        <v>0</v>
      </c>
      <c r="H144">
        <v>100</v>
      </c>
    </row>
    <row r="145" spans="1:8">
      <c r="A145">
        <v>12140</v>
      </c>
      <c r="B145" t="str">
        <f>INDEX(TextData!B:B,MATCH(A145,TextData!A:A))</f>
        <v>ウィンドライズ</v>
      </c>
      <c r="C145">
        <v>1010</v>
      </c>
      <c r="D145" t="str">
        <f>INDEX(Define!Q:Q,MATCH(C145,Define!P:P))</f>
        <v>Hpダメージ</v>
      </c>
      <c r="E145">
        <v>100</v>
      </c>
      <c r="F145">
        <v>0</v>
      </c>
      <c r="G145">
        <v>0</v>
      </c>
      <c r="H145">
        <v>100</v>
      </c>
    </row>
    <row r="146" spans="1:8">
      <c r="A146">
        <v>12510</v>
      </c>
      <c r="B146" t="str">
        <f>INDEX(TextData!B:B,MATCH(A146,TextData!A:A))</f>
        <v>アクトスタンス</v>
      </c>
      <c r="C146">
        <v>5020</v>
      </c>
      <c r="D146" t="str">
        <f>INDEX(Define!Q:Q,MATCH(C146,Define!P:P))</f>
        <v>Ap回復</v>
      </c>
      <c r="E146">
        <v>200</v>
      </c>
      <c r="F146">
        <v>0</v>
      </c>
      <c r="G146">
        <v>0</v>
      </c>
      <c r="H146">
        <v>100</v>
      </c>
    </row>
    <row r="147" spans="1:9">
      <c r="A147">
        <v>12510</v>
      </c>
      <c r="B147" t="str">
        <f>INDEX(TextData!B:B,MATCH(A147,TextData!A:A))</f>
        <v>アクトスタンス</v>
      </c>
      <c r="C147">
        <v>3010</v>
      </c>
      <c r="D147" t="str">
        <f>INDEX(Define!Q:Q,MATCH(C147,Define!P:P))</f>
        <v>ステート付与</v>
      </c>
      <c r="E147">
        <v>1041</v>
      </c>
      <c r="F147">
        <v>1</v>
      </c>
      <c r="G147">
        <v>8</v>
      </c>
      <c r="H147">
        <v>100</v>
      </c>
      <c r="I147" t="s">
        <v>43</v>
      </c>
    </row>
    <row r="148" spans="1:9">
      <c r="A148">
        <v>12910</v>
      </c>
      <c r="B148" t="str">
        <f>INDEX(TextData!B:B,MATCH(A148,TextData!A:A))</f>
        <v>コンセントレイト</v>
      </c>
      <c r="C148">
        <v>3010</v>
      </c>
      <c r="D148" t="str">
        <f>INDEX(Define!Q:Q,MATCH(C148,Define!P:P))</f>
        <v>ステート付与</v>
      </c>
      <c r="E148">
        <v>1080</v>
      </c>
      <c r="F148">
        <v>999</v>
      </c>
      <c r="G148">
        <v>10</v>
      </c>
      <c r="H148">
        <v>100</v>
      </c>
      <c r="I148" t="s">
        <v>28</v>
      </c>
    </row>
    <row r="149" spans="1:9">
      <c r="A149">
        <v>12910</v>
      </c>
      <c r="B149" t="str">
        <f>INDEX(TextData!B:B,MATCH(A149,TextData!A:A))</f>
        <v>コンセントレイト</v>
      </c>
      <c r="C149">
        <v>3010</v>
      </c>
      <c r="D149" t="str">
        <f>INDEX(Define!Q:Q,MATCH(C149,Define!P:P))</f>
        <v>ステート付与</v>
      </c>
      <c r="E149">
        <v>1090</v>
      </c>
      <c r="F149">
        <v>999</v>
      </c>
      <c r="G149">
        <v>10</v>
      </c>
      <c r="H149">
        <v>100</v>
      </c>
      <c r="I149" t="s">
        <v>29</v>
      </c>
    </row>
    <row r="150" spans="1:9">
      <c r="A150">
        <v>12930</v>
      </c>
      <c r="B150" t="str">
        <f>INDEX(TextData!B:B,MATCH(A150,TextData!A:A))</f>
        <v>スウィフトカレント</v>
      </c>
      <c r="C150">
        <v>3010</v>
      </c>
      <c r="D150" t="str">
        <f>INDEX(Define!Q:Q,MATCH(C150,Define!P:P))</f>
        <v>ステート付与</v>
      </c>
      <c r="E150">
        <v>1060</v>
      </c>
      <c r="F150">
        <v>999</v>
      </c>
      <c r="G150">
        <v>5</v>
      </c>
      <c r="H150">
        <v>100</v>
      </c>
      <c r="I150" t="s">
        <v>52</v>
      </c>
    </row>
    <row r="151" spans="1:9">
      <c r="A151">
        <v>12940</v>
      </c>
      <c r="B151" t="str">
        <f>INDEX(TextData!B:B,MATCH(A151,TextData!A:A))</f>
        <v>イヴェイドオール</v>
      </c>
      <c r="C151">
        <v>3010</v>
      </c>
      <c r="D151" t="str">
        <f>INDEX(Define!Q:Q,MATCH(C151,Define!P:P))</f>
        <v>ステート付与</v>
      </c>
      <c r="E151">
        <v>1092</v>
      </c>
      <c r="F151">
        <v>999</v>
      </c>
      <c r="G151">
        <v>5</v>
      </c>
      <c r="H151">
        <v>100</v>
      </c>
      <c r="I151" t="s">
        <v>29</v>
      </c>
    </row>
    <row r="152" spans="1:9">
      <c r="A152">
        <v>13010</v>
      </c>
      <c r="B152" t="str">
        <f>INDEX(TextData!B:B,MATCH(A152,TextData!A:A))</f>
        <v>ヘビィカバー</v>
      </c>
      <c r="C152">
        <v>3010</v>
      </c>
      <c r="D152" t="str">
        <f>INDEX(Define!Q:Q,MATCH(C152,Define!P:P))</f>
        <v>ステート付与</v>
      </c>
      <c r="E152">
        <v>2430</v>
      </c>
      <c r="F152">
        <v>1</v>
      </c>
      <c r="G152">
        <v>0</v>
      </c>
      <c r="H152">
        <v>100</v>
      </c>
      <c r="I152" t="s">
        <v>51</v>
      </c>
    </row>
    <row r="153" spans="1:8">
      <c r="A153">
        <v>13010</v>
      </c>
      <c r="B153" t="str">
        <f>INDEX(TextData!B:B,MATCH(A153,TextData!A:A))</f>
        <v>ヘビィカバー</v>
      </c>
      <c r="C153">
        <v>7010</v>
      </c>
      <c r="D153" t="str">
        <f>INDEX(Define!Q:Q,MATCH(C153,Define!P:P))</f>
        <v>行動後スキル</v>
      </c>
      <c r="E153">
        <v>13011</v>
      </c>
      <c r="F153">
        <v>0</v>
      </c>
      <c r="G153">
        <v>1</v>
      </c>
      <c r="H153">
        <v>100</v>
      </c>
    </row>
    <row r="154" spans="1:9">
      <c r="A154">
        <v>13011</v>
      </c>
      <c r="B154" t="str">
        <f>INDEX(TextData!B:B,MATCH(A154,TextData!A:A))</f>
        <v>ヘビィカバー</v>
      </c>
      <c r="C154">
        <v>3010</v>
      </c>
      <c r="D154" t="str">
        <f>INDEX(Define!Q:Q,MATCH(C154,Define!P:P))</f>
        <v>ステート付与</v>
      </c>
      <c r="E154">
        <v>1100</v>
      </c>
      <c r="F154">
        <v>1</v>
      </c>
      <c r="G154">
        <v>75</v>
      </c>
      <c r="H154">
        <v>100</v>
      </c>
      <c r="I154" t="s">
        <v>40</v>
      </c>
    </row>
    <row r="155" spans="1:9">
      <c r="A155">
        <v>13020</v>
      </c>
      <c r="B155" t="str">
        <f>INDEX(TextData!B:B,MATCH(A155,TextData!A:A))</f>
        <v>アイシクルエッジ</v>
      </c>
      <c r="C155">
        <v>3010</v>
      </c>
      <c r="D155" t="str">
        <f>INDEX(Define!Q:Q,MATCH(C155,Define!P:P))</f>
        <v>ステート付与</v>
      </c>
      <c r="E155">
        <v>2140</v>
      </c>
      <c r="F155">
        <v>1</v>
      </c>
      <c r="G155">
        <v>25</v>
      </c>
      <c r="H155">
        <v>100</v>
      </c>
      <c r="I155" t="s">
        <v>31</v>
      </c>
    </row>
    <row r="156" spans="1:8">
      <c r="A156">
        <v>13030</v>
      </c>
      <c r="B156" t="str">
        <f>INDEX(TextData!B:B,MATCH(A156,TextData!A:A))</f>
        <v>カウンターマジック</v>
      </c>
      <c r="C156">
        <v>1010</v>
      </c>
      <c r="D156" t="str">
        <f>INDEX(Define!Q:Q,MATCH(C156,Define!P:P))</f>
        <v>Hpダメージ</v>
      </c>
      <c r="E156">
        <v>100</v>
      </c>
      <c r="F156">
        <v>0</v>
      </c>
      <c r="G156">
        <v>0</v>
      </c>
      <c r="H156">
        <v>100</v>
      </c>
    </row>
    <row r="157" spans="1:9">
      <c r="A157">
        <v>13040</v>
      </c>
      <c r="B157" t="str">
        <f>INDEX(TextData!B:B,MATCH(A157,TextData!A:A))</f>
        <v>アーマーコード</v>
      </c>
      <c r="C157">
        <v>3010</v>
      </c>
      <c r="D157" t="str">
        <f>INDEX(Define!Q:Q,MATCH(C157,Define!P:P))</f>
        <v>ステート付与</v>
      </c>
      <c r="E157">
        <v>1050</v>
      </c>
      <c r="F157">
        <v>999</v>
      </c>
      <c r="G157">
        <v>2</v>
      </c>
      <c r="H157">
        <v>100</v>
      </c>
      <c r="I157" t="s">
        <v>37</v>
      </c>
    </row>
    <row r="158" spans="1:8">
      <c r="A158">
        <v>13050</v>
      </c>
      <c r="B158" t="str">
        <f>INDEX(TextData!B:B,MATCH(A158,TextData!A:A))</f>
        <v>キュアフリーズ</v>
      </c>
      <c r="C158">
        <v>3020</v>
      </c>
      <c r="D158" t="str">
        <f>INDEX(Define!Q:Q,MATCH(C158,Define!P:P))</f>
        <v>ステート解除</v>
      </c>
      <c r="E158">
        <v>2140</v>
      </c>
      <c r="F158">
        <v>0</v>
      </c>
      <c r="G158">
        <v>0</v>
      </c>
      <c r="H158">
        <v>100</v>
      </c>
    </row>
    <row r="159" spans="1:8">
      <c r="A159">
        <v>13050</v>
      </c>
      <c r="B159" t="str">
        <f>INDEX(TextData!B:B,MATCH(A159,TextData!A:A))</f>
        <v>キュアフリーズ</v>
      </c>
      <c r="C159">
        <v>2010</v>
      </c>
      <c r="D159" t="str">
        <f>INDEX(Define!Q:Q,MATCH(C159,Define!P:P))</f>
        <v>Hp回復</v>
      </c>
      <c r="E159">
        <v>10</v>
      </c>
      <c r="F159">
        <v>0</v>
      </c>
      <c r="G159">
        <v>1</v>
      </c>
      <c r="H159">
        <v>100</v>
      </c>
    </row>
    <row r="160" spans="1:8">
      <c r="A160">
        <v>13070</v>
      </c>
      <c r="B160" t="str">
        <f>INDEX(TextData!B:B,MATCH(A160,TextData!A:A))</f>
        <v>アシッドラッシュ</v>
      </c>
      <c r="C160">
        <v>5050</v>
      </c>
      <c r="D160" t="str">
        <f>INDEX(Define!Q:Q,MATCH(C160,Define!P:P))</f>
        <v>APダメージ</v>
      </c>
      <c r="E160">
        <v>100</v>
      </c>
      <c r="F160">
        <v>0</v>
      </c>
      <c r="G160">
        <v>0</v>
      </c>
      <c r="H160">
        <v>100</v>
      </c>
    </row>
    <row r="161" spans="1:9">
      <c r="A161">
        <v>13090</v>
      </c>
      <c r="B161" t="str">
        <f>INDEX(TextData!B:B,MATCH(A161,TextData!A:A))</f>
        <v>アイスセイバー</v>
      </c>
      <c r="C161">
        <v>3010</v>
      </c>
      <c r="D161" t="str">
        <f>INDEX(Define!Q:Q,MATCH(C161,Define!P:P))</f>
        <v>ステート付与</v>
      </c>
      <c r="E161">
        <v>2140</v>
      </c>
      <c r="F161">
        <v>1</v>
      </c>
      <c r="G161">
        <v>25</v>
      </c>
      <c r="H161">
        <v>100</v>
      </c>
      <c r="I161" t="s">
        <v>31</v>
      </c>
    </row>
    <row r="162" spans="1:9">
      <c r="A162">
        <v>13110</v>
      </c>
      <c r="B162" t="str">
        <f>INDEX(TextData!B:B,MATCH(A162,TextData!A:A))</f>
        <v>ガーディアン</v>
      </c>
      <c r="C162">
        <v>3010</v>
      </c>
      <c r="D162" t="str">
        <f>INDEX(Define!Q:Q,MATCH(C162,Define!P:P))</f>
        <v>ステート付与</v>
      </c>
      <c r="E162">
        <v>1052</v>
      </c>
      <c r="F162">
        <v>2</v>
      </c>
      <c r="G162">
        <v>20</v>
      </c>
      <c r="H162">
        <v>100</v>
      </c>
      <c r="I162" t="s">
        <v>37</v>
      </c>
    </row>
    <row r="163" spans="1:9">
      <c r="A163">
        <v>13120</v>
      </c>
      <c r="B163" t="str">
        <f>INDEX(TextData!B:B,MATCH(A163,TextData!A:A))</f>
        <v>ライフセーブ</v>
      </c>
      <c r="C163">
        <v>3010</v>
      </c>
      <c r="D163" t="str">
        <f>INDEX(Define!Q:Q,MATCH(C163,Define!P:P))</f>
        <v>ステート付与</v>
      </c>
      <c r="E163">
        <v>2450</v>
      </c>
      <c r="F163">
        <v>1</v>
      </c>
      <c r="G163">
        <v>0</v>
      </c>
      <c r="H163">
        <v>100</v>
      </c>
      <c r="I163" t="s">
        <v>53</v>
      </c>
    </row>
    <row r="164" spans="1:9">
      <c r="A164">
        <v>13130</v>
      </c>
      <c r="B164" t="str">
        <f>INDEX(TextData!B:B,MATCH(A164,TextData!A:A))</f>
        <v>ライフスティール</v>
      </c>
      <c r="C164">
        <v>3010</v>
      </c>
      <c r="D164" t="str">
        <f>INDEX(Define!Q:Q,MATCH(C164,Define!P:P))</f>
        <v>ステート付与</v>
      </c>
      <c r="E164">
        <v>2060</v>
      </c>
      <c r="F164">
        <v>1</v>
      </c>
      <c r="G164">
        <v>25</v>
      </c>
      <c r="H164">
        <v>100</v>
      </c>
      <c r="I164" t="s">
        <v>54</v>
      </c>
    </row>
    <row r="165" spans="1:9">
      <c r="A165">
        <v>13140</v>
      </c>
      <c r="B165" t="str">
        <f>INDEX(TextData!B:B,MATCH(A165,TextData!A:A))</f>
        <v>クイックバリア</v>
      </c>
      <c r="C165">
        <v>3010</v>
      </c>
      <c r="D165" t="str">
        <f>INDEX(Define!Q:Q,MATCH(C165,Define!P:P))</f>
        <v>ステート付与</v>
      </c>
      <c r="E165">
        <v>1100</v>
      </c>
      <c r="F165">
        <v>1</v>
      </c>
      <c r="G165">
        <v>25</v>
      </c>
      <c r="H165">
        <v>100</v>
      </c>
      <c r="I165" t="s">
        <v>40</v>
      </c>
    </row>
    <row r="166" spans="1:9">
      <c r="A166">
        <v>13210</v>
      </c>
      <c r="B166" t="str">
        <f>INDEX(TextData!B:B,MATCH(A166,TextData!A:A))</f>
        <v>ルミナスカバー</v>
      </c>
      <c r="C166">
        <v>3010</v>
      </c>
      <c r="D166" t="str">
        <f>INDEX(Define!Q:Q,MATCH(C166,Define!P:P))</f>
        <v>ステート付与</v>
      </c>
      <c r="E166">
        <v>2430</v>
      </c>
      <c r="F166">
        <v>1</v>
      </c>
      <c r="G166">
        <v>0</v>
      </c>
      <c r="H166">
        <v>100</v>
      </c>
      <c r="I166" t="s">
        <v>51</v>
      </c>
    </row>
    <row r="167" spans="1:8">
      <c r="A167">
        <v>13210</v>
      </c>
      <c r="B167" t="str">
        <f>INDEX(TextData!B:B,MATCH(A167,TextData!A:A))</f>
        <v>ルミナスカバー</v>
      </c>
      <c r="C167">
        <v>7010</v>
      </c>
      <c r="D167" t="str">
        <f>INDEX(Define!Q:Q,MATCH(C167,Define!P:P))</f>
        <v>行動後スキル</v>
      </c>
      <c r="E167">
        <v>13211</v>
      </c>
      <c r="F167">
        <v>0</v>
      </c>
      <c r="G167">
        <v>1</v>
      </c>
      <c r="H167">
        <v>100</v>
      </c>
    </row>
    <row r="168" spans="1:9">
      <c r="A168">
        <v>13211</v>
      </c>
      <c r="B168" t="str">
        <f>INDEX(TextData!B:B,MATCH(A168,TextData!A:A))</f>
        <v>ルミナスカバー</v>
      </c>
      <c r="C168">
        <v>3010</v>
      </c>
      <c r="D168" t="str">
        <f>INDEX(Define!Q:Q,MATCH(C168,Define!P:P))</f>
        <v>ステート付与</v>
      </c>
      <c r="E168">
        <v>1100</v>
      </c>
      <c r="F168">
        <v>1</v>
      </c>
      <c r="G168">
        <v>15</v>
      </c>
      <c r="H168">
        <v>100</v>
      </c>
      <c r="I168" t="s">
        <v>40</v>
      </c>
    </row>
    <row r="169" spans="1:9">
      <c r="A169">
        <v>13510</v>
      </c>
      <c r="B169" t="str">
        <f>INDEX(TextData!B:B,MATCH(A169,TextData!A:A))</f>
        <v>デコイプラス</v>
      </c>
      <c r="C169">
        <v>3010</v>
      </c>
      <c r="D169" t="str">
        <f>INDEX(Define!Q:Q,MATCH(C169,Define!P:P))</f>
        <v>ステート付与</v>
      </c>
      <c r="E169">
        <v>2130</v>
      </c>
      <c r="F169">
        <v>1</v>
      </c>
      <c r="G169">
        <v>25</v>
      </c>
      <c r="H169">
        <v>100</v>
      </c>
      <c r="I169" t="s">
        <v>38</v>
      </c>
    </row>
    <row r="170" spans="1:8">
      <c r="A170">
        <v>13510</v>
      </c>
      <c r="B170" t="str">
        <f>INDEX(TextData!B:B,MATCH(A170,TextData!A:A))</f>
        <v>デコイプラス</v>
      </c>
      <c r="C170">
        <v>7010</v>
      </c>
      <c r="D170" t="str">
        <f>INDEX(Define!Q:Q,MATCH(C170,Define!P:P))</f>
        <v>行動後スキル</v>
      </c>
      <c r="E170">
        <v>13111</v>
      </c>
      <c r="F170">
        <v>0</v>
      </c>
      <c r="G170">
        <v>0</v>
      </c>
      <c r="H170">
        <v>100</v>
      </c>
    </row>
    <row r="171" spans="1:9">
      <c r="A171">
        <v>13511</v>
      </c>
      <c r="B171" t="str">
        <f>INDEX(TextData!B:B,MATCH(A171,TextData!A:A))</f>
        <v>デコイプラス</v>
      </c>
      <c r="C171">
        <v>3010</v>
      </c>
      <c r="D171" t="str">
        <f>INDEX(Define!Q:Q,MATCH(C171,Define!P:P))</f>
        <v>ステート付与</v>
      </c>
      <c r="E171">
        <v>1050</v>
      </c>
      <c r="F171">
        <v>1</v>
      </c>
      <c r="G171">
        <v>2</v>
      </c>
      <c r="H171">
        <v>100</v>
      </c>
      <c r="I171" t="s">
        <v>37</v>
      </c>
    </row>
    <row r="172" spans="1:9">
      <c r="A172">
        <v>13520</v>
      </c>
      <c r="B172" t="str">
        <f>INDEX(TextData!B:B,MATCH(A172,TextData!A:A))</f>
        <v>アフターシールド</v>
      </c>
      <c r="C172">
        <v>3010</v>
      </c>
      <c r="D172" t="str">
        <f>INDEX(Define!Q:Q,MATCH(C172,Define!P:P))</f>
        <v>ステート付与</v>
      </c>
      <c r="E172">
        <v>1052</v>
      </c>
      <c r="F172">
        <v>1</v>
      </c>
      <c r="G172">
        <v>20</v>
      </c>
      <c r="H172">
        <v>100</v>
      </c>
      <c r="I172" t="s">
        <v>37</v>
      </c>
    </row>
    <row r="173" spans="1:9">
      <c r="A173">
        <v>13530</v>
      </c>
      <c r="B173" t="str">
        <f>INDEX(TextData!B:B,MATCH(A173,TextData!A:A))</f>
        <v>カバープラス</v>
      </c>
      <c r="C173">
        <v>3010</v>
      </c>
      <c r="D173" t="str">
        <f>INDEX(Define!Q:Q,MATCH(C173,Define!P:P))</f>
        <v>ステート付与</v>
      </c>
      <c r="E173">
        <v>1100</v>
      </c>
      <c r="F173">
        <v>1</v>
      </c>
      <c r="G173">
        <v>15</v>
      </c>
      <c r="H173">
        <v>100</v>
      </c>
      <c r="I173" t="s">
        <v>40</v>
      </c>
    </row>
    <row r="174" spans="1:8">
      <c r="A174">
        <v>13930</v>
      </c>
      <c r="B174" t="str">
        <f>INDEX(TextData!B:B,MATCH(A174,TextData!A:A))</f>
        <v>クイックキュア</v>
      </c>
      <c r="C174">
        <v>3030</v>
      </c>
      <c r="D174" t="str">
        <f>INDEX(Define!Q:Q,MATCH(C174,Define!P:P))</f>
        <v>Abnormalステート解除</v>
      </c>
      <c r="E174">
        <v>0</v>
      </c>
      <c r="F174">
        <v>0</v>
      </c>
      <c r="G174">
        <v>0</v>
      </c>
      <c r="H174">
        <v>100</v>
      </c>
    </row>
    <row r="175" spans="1:9">
      <c r="A175">
        <v>13940</v>
      </c>
      <c r="B175" t="str">
        <f>INDEX(TextData!B:B,MATCH(A175,TextData!A:A))</f>
        <v>セルフシールド</v>
      </c>
      <c r="C175">
        <v>3010</v>
      </c>
      <c r="D175" t="str">
        <f>INDEX(Define!Q:Q,MATCH(C175,Define!P:P))</f>
        <v>ステート付与</v>
      </c>
      <c r="E175">
        <v>1100</v>
      </c>
      <c r="F175">
        <v>1</v>
      </c>
      <c r="G175">
        <v>15</v>
      </c>
      <c r="H175">
        <v>100</v>
      </c>
      <c r="I175" t="s">
        <v>40</v>
      </c>
    </row>
    <row r="176" spans="1:9">
      <c r="A176">
        <v>13950</v>
      </c>
      <c r="B176" t="str">
        <f>INDEX(TextData!B:B,MATCH(A176,TextData!A:A))</f>
        <v>パッシブジャミング</v>
      </c>
      <c r="C176">
        <v>3010</v>
      </c>
      <c r="D176" t="str">
        <f>INDEX(Define!Q:Q,MATCH(C176,Define!P:P))</f>
        <v>ステート付与</v>
      </c>
      <c r="E176">
        <v>2090</v>
      </c>
      <c r="F176">
        <v>3</v>
      </c>
      <c r="G176">
        <v>0</v>
      </c>
      <c r="H176">
        <v>100</v>
      </c>
      <c r="I176" t="s">
        <v>55</v>
      </c>
    </row>
    <row r="177" spans="1:8">
      <c r="A177">
        <v>14010</v>
      </c>
      <c r="B177" t="str">
        <f>INDEX(TextData!B:B,MATCH(A177,TextData!A:A))</f>
        <v>ファーストエイド</v>
      </c>
      <c r="C177">
        <v>2010</v>
      </c>
      <c r="D177" t="str">
        <f>INDEX(Define!Q:Q,MATCH(C177,Define!P:P))</f>
        <v>Hp回復</v>
      </c>
      <c r="E177">
        <v>5</v>
      </c>
      <c r="F177">
        <v>0</v>
      </c>
      <c r="G177">
        <v>0</v>
      </c>
      <c r="H177">
        <v>100</v>
      </c>
    </row>
    <row r="178" spans="1:8">
      <c r="A178">
        <v>14020</v>
      </c>
      <c r="B178" t="str">
        <f>INDEX(TextData!B:B,MATCH(A178,TextData!A:A))</f>
        <v>クイックヒール</v>
      </c>
      <c r="C178">
        <v>2010</v>
      </c>
      <c r="D178" t="str">
        <f>INDEX(Define!Q:Q,MATCH(C178,Define!P:P))</f>
        <v>Hp回復</v>
      </c>
      <c r="E178">
        <v>5</v>
      </c>
      <c r="F178">
        <v>0</v>
      </c>
      <c r="G178">
        <v>0</v>
      </c>
      <c r="H178">
        <v>100</v>
      </c>
    </row>
    <row r="179" spans="1:9">
      <c r="A179">
        <v>14030</v>
      </c>
      <c r="B179" t="str">
        <f>INDEX(TextData!B:B,MATCH(A179,TextData!A:A))</f>
        <v>ガードバインド</v>
      </c>
      <c r="C179">
        <v>3010</v>
      </c>
      <c r="D179" t="str">
        <f>INDEX(Define!Q:Q,MATCH(C179,Define!P:P))</f>
        <v>ステート付与</v>
      </c>
      <c r="E179">
        <v>2500</v>
      </c>
      <c r="F179">
        <v>1</v>
      </c>
      <c r="G179">
        <v>100</v>
      </c>
      <c r="H179">
        <v>100</v>
      </c>
      <c r="I179" t="s">
        <v>56</v>
      </c>
    </row>
    <row r="180" spans="1:9">
      <c r="A180">
        <v>14040</v>
      </c>
      <c r="B180" t="str">
        <f>INDEX(TextData!B:B,MATCH(A180,TextData!A:A))</f>
        <v>ホープフルアイリス</v>
      </c>
      <c r="C180">
        <v>3010</v>
      </c>
      <c r="D180" t="str">
        <f>INDEX(Define!Q:Q,MATCH(C180,Define!P:P))</f>
        <v>ステート付与</v>
      </c>
      <c r="E180">
        <v>1020</v>
      </c>
      <c r="F180">
        <v>999</v>
      </c>
      <c r="G180">
        <v>5</v>
      </c>
      <c r="H180">
        <v>100</v>
      </c>
      <c r="I180" t="s">
        <v>48</v>
      </c>
    </row>
    <row r="181" spans="1:8">
      <c r="A181">
        <v>14050</v>
      </c>
      <c r="B181" t="str">
        <f>INDEX(TextData!B:B,MATCH(A181,TextData!A:A))</f>
        <v>キュアパッシブ</v>
      </c>
      <c r="C181">
        <v>3020</v>
      </c>
      <c r="D181" t="str">
        <f>INDEX(Define!Q:Q,MATCH(C181,Define!P:P))</f>
        <v>ステート解除</v>
      </c>
      <c r="E181">
        <v>2090</v>
      </c>
      <c r="F181">
        <v>0</v>
      </c>
      <c r="G181">
        <v>0</v>
      </c>
      <c r="H181">
        <v>100</v>
      </c>
    </row>
    <row r="182" spans="1:8">
      <c r="A182">
        <v>14050</v>
      </c>
      <c r="B182" t="str">
        <f>INDEX(TextData!B:B,MATCH(A182,TextData!A:A))</f>
        <v>キュアパッシブ</v>
      </c>
      <c r="C182">
        <v>2010</v>
      </c>
      <c r="D182" t="str">
        <f>INDEX(Define!Q:Q,MATCH(C182,Define!P:P))</f>
        <v>Hp回復</v>
      </c>
      <c r="E182">
        <v>10</v>
      </c>
      <c r="F182">
        <v>0</v>
      </c>
      <c r="G182">
        <v>1</v>
      </c>
      <c r="H182">
        <v>100</v>
      </c>
    </row>
    <row r="183" spans="1:8">
      <c r="A183">
        <v>14060</v>
      </c>
      <c r="B183" t="str">
        <f>INDEX(TextData!B:B,MATCH(A183,TextData!A:A))</f>
        <v>パッシブサプライ</v>
      </c>
      <c r="C183">
        <v>4020</v>
      </c>
      <c r="D183" t="str">
        <f>INDEX(Define!Q:Q,MATCH(C183,Define!P:P))</f>
        <v>Ct回復</v>
      </c>
      <c r="E183">
        <v>1</v>
      </c>
      <c r="F183">
        <v>0</v>
      </c>
      <c r="G183">
        <v>0</v>
      </c>
      <c r="H183">
        <v>100</v>
      </c>
    </row>
    <row r="184" spans="1:9">
      <c r="A184">
        <v>14070</v>
      </c>
      <c r="B184" t="str">
        <f>INDEX(TextData!B:B,MATCH(A184,TextData!A:A))</f>
        <v>ホーミングクルセイド</v>
      </c>
      <c r="C184">
        <v>3010</v>
      </c>
      <c r="D184" t="str">
        <f>INDEX(Define!Q:Q,MATCH(C184,Define!P:P))</f>
        <v>ステート付与</v>
      </c>
      <c r="E184">
        <v>2240</v>
      </c>
      <c r="F184">
        <v>3</v>
      </c>
      <c r="G184">
        <v>0</v>
      </c>
      <c r="H184">
        <v>100</v>
      </c>
      <c r="I184" t="s">
        <v>57</v>
      </c>
    </row>
    <row r="185" spans="1:9">
      <c r="A185">
        <v>14090</v>
      </c>
      <c r="B185" t="str">
        <f>INDEX(TextData!B:B,MATCH(A185,TextData!A:A))</f>
        <v>リレイズ</v>
      </c>
      <c r="C185">
        <v>3010</v>
      </c>
      <c r="D185" t="str">
        <f>INDEX(Define!Q:Q,MATCH(C185,Define!P:P))</f>
        <v>ステート付与</v>
      </c>
      <c r="E185">
        <v>2450</v>
      </c>
      <c r="F185">
        <v>1</v>
      </c>
      <c r="G185">
        <v>1</v>
      </c>
      <c r="H185">
        <v>100</v>
      </c>
      <c r="I185" t="s">
        <v>53</v>
      </c>
    </row>
    <row r="186" spans="1:8">
      <c r="A186">
        <v>14100</v>
      </c>
      <c r="B186" t="str">
        <f>INDEX(TextData!B:B,MATCH(A186,TextData!A:A))</f>
        <v>ファストヒール</v>
      </c>
      <c r="C186">
        <v>2010</v>
      </c>
      <c r="D186" t="str">
        <f>INDEX(Define!Q:Q,MATCH(C186,Define!P:P))</f>
        <v>Hp回復</v>
      </c>
      <c r="E186">
        <v>3</v>
      </c>
      <c r="F186">
        <v>0</v>
      </c>
      <c r="G186">
        <v>0</v>
      </c>
      <c r="H186">
        <v>100</v>
      </c>
    </row>
    <row r="187" spans="1:8">
      <c r="A187">
        <v>14110</v>
      </c>
      <c r="B187" t="str">
        <f>INDEX(TextData!B:B,MATCH(A187,TextData!A:A))</f>
        <v>リフレッシュ</v>
      </c>
      <c r="C187">
        <v>3060</v>
      </c>
      <c r="D187" t="str">
        <f>INDEX(Define!Q:Q,MATCH(C187,Define!P:P))</f>
        <v>デバフステート解除</v>
      </c>
      <c r="E187">
        <v>0</v>
      </c>
      <c r="F187">
        <v>0</v>
      </c>
      <c r="G187">
        <v>0</v>
      </c>
      <c r="H187">
        <v>100</v>
      </c>
    </row>
    <row r="188" spans="1:9">
      <c r="A188">
        <v>14120</v>
      </c>
      <c r="B188" t="str">
        <f>INDEX(TextData!B:B,MATCH(A188,TextData!A:A))</f>
        <v>ファストメディック</v>
      </c>
      <c r="C188">
        <v>3010</v>
      </c>
      <c r="D188" t="str">
        <f>INDEX(Define!Q:Q,MATCH(C188,Define!P:P))</f>
        <v>ステート付与</v>
      </c>
      <c r="E188">
        <v>2040</v>
      </c>
      <c r="F188">
        <v>3</v>
      </c>
      <c r="G188">
        <v>10</v>
      </c>
      <c r="H188">
        <v>100</v>
      </c>
      <c r="I188" t="s">
        <v>58</v>
      </c>
    </row>
    <row r="189" spans="1:9">
      <c r="A189">
        <v>14130</v>
      </c>
      <c r="B189" t="str">
        <f>INDEX(TextData!B:B,MATCH(A189,TextData!A:A))</f>
        <v>ディバインシールド</v>
      </c>
      <c r="C189">
        <v>3010</v>
      </c>
      <c r="D189" t="str">
        <f>INDEX(Define!Q:Q,MATCH(C189,Define!P:P))</f>
        <v>ステート付与</v>
      </c>
      <c r="E189">
        <v>2180</v>
      </c>
      <c r="F189">
        <v>1</v>
      </c>
      <c r="G189">
        <v>0</v>
      </c>
      <c r="H189">
        <v>100</v>
      </c>
      <c r="I189" t="s">
        <v>59</v>
      </c>
    </row>
    <row r="190" spans="1:8">
      <c r="A190">
        <v>14140</v>
      </c>
      <c r="B190" t="str">
        <f>INDEX(TextData!B:B,MATCH(A190,TextData!A:A))</f>
        <v>ライフディバイド</v>
      </c>
      <c r="C190">
        <v>2040</v>
      </c>
      <c r="D190" t="str">
        <f>INDEX(Define!Q:Q,MATCH(C190,Define!P:P))</f>
        <v>Hpを分け与える</v>
      </c>
      <c r="E190">
        <v>25</v>
      </c>
      <c r="F190">
        <v>0</v>
      </c>
      <c r="G190">
        <v>1</v>
      </c>
      <c r="H190">
        <v>100</v>
      </c>
    </row>
    <row r="191" spans="1:9">
      <c r="A191">
        <v>14930</v>
      </c>
      <c r="B191" t="str">
        <f>INDEX(TextData!B:B,MATCH(A191,TextData!A:A))</f>
        <v>エイミングスコープ</v>
      </c>
      <c r="C191">
        <v>3010</v>
      </c>
      <c r="D191" t="str">
        <f>INDEX(Define!Q:Q,MATCH(C191,Define!P:P))</f>
        <v>ステート付与</v>
      </c>
      <c r="E191">
        <v>1081</v>
      </c>
      <c r="F191">
        <v>999</v>
      </c>
      <c r="G191">
        <v>5</v>
      </c>
      <c r="H191">
        <v>100</v>
      </c>
      <c r="I191" t="s">
        <v>28</v>
      </c>
    </row>
    <row r="192" spans="1:9">
      <c r="A192">
        <v>14940</v>
      </c>
      <c r="B192" t="str">
        <f>INDEX(TextData!B:B,MATCH(A192,TextData!A:A))</f>
        <v>リジェネレーション</v>
      </c>
      <c r="C192">
        <v>3010</v>
      </c>
      <c r="D192" t="str">
        <f>INDEX(Define!Q:Q,MATCH(C192,Define!P:P))</f>
        <v>ステート付与</v>
      </c>
      <c r="E192">
        <v>2040</v>
      </c>
      <c r="F192">
        <v>999</v>
      </c>
      <c r="G192">
        <v>2</v>
      </c>
      <c r="H192">
        <v>100</v>
      </c>
      <c r="I192" t="s">
        <v>58</v>
      </c>
    </row>
    <row r="193" spans="1:9">
      <c r="A193">
        <v>15010</v>
      </c>
      <c r="B193" t="str">
        <f>INDEX(TextData!B:B,MATCH(A193,TextData!A:A))</f>
        <v>ワンスパニッシュ</v>
      </c>
      <c r="C193">
        <v>3010</v>
      </c>
      <c r="D193" t="str">
        <f>INDEX(Define!Q:Q,MATCH(C193,Define!P:P))</f>
        <v>ステート付与</v>
      </c>
      <c r="E193">
        <v>2050</v>
      </c>
      <c r="F193">
        <v>1</v>
      </c>
      <c r="G193">
        <v>0</v>
      </c>
      <c r="H193">
        <v>100</v>
      </c>
      <c r="I193" t="s">
        <v>33</v>
      </c>
    </row>
    <row r="194" spans="1:9">
      <c r="A194">
        <v>15020</v>
      </c>
      <c r="B194" t="str">
        <f>INDEX(TextData!B:B,MATCH(A194,TextData!A:A))</f>
        <v>クイックカース</v>
      </c>
      <c r="C194">
        <v>3010</v>
      </c>
      <c r="D194" t="str">
        <f>INDEX(Define!Q:Q,MATCH(C194,Define!P:P))</f>
        <v>ステート付与</v>
      </c>
      <c r="E194">
        <v>1043</v>
      </c>
      <c r="F194">
        <v>1</v>
      </c>
      <c r="G194">
        <v>20</v>
      </c>
      <c r="H194">
        <v>100</v>
      </c>
      <c r="I194" t="s">
        <v>60</v>
      </c>
    </row>
    <row r="195" spans="1:8">
      <c r="A195">
        <v>15030</v>
      </c>
      <c r="B195" t="str">
        <f>INDEX(TextData!B:B,MATCH(A195,TextData!A:A))</f>
        <v>バイタリティ</v>
      </c>
      <c r="C195">
        <v>3010</v>
      </c>
      <c r="D195" t="str">
        <f>INDEX(Define!Q:Q,MATCH(C195,Define!P:P))</f>
        <v>ステート付与</v>
      </c>
      <c r="E195">
        <v>2290</v>
      </c>
      <c r="F195">
        <v>1</v>
      </c>
      <c r="G195">
        <v>50</v>
      </c>
      <c r="H195">
        <v>100</v>
      </c>
    </row>
    <row r="196" spans="1:9">
      <c r="A196">
        <v>15040</v>
      </c>
      <c r="B196" t="str">
        <f>INDEX(TextData!B:B,MATCH(A196,TextData!A:A))</f>
        <v>ネガティブドレイン</v>
      </c>
      <c r="C196">
        <v>3010</v>
      </c>
      <c r="D196" t="str">
        <f>INDEX(Define!Q:Q,MATCH(C196,Define!P:P))</f>
        <v>ステート付与</v>
      </c>
      <c r="E196">
        <v>2060</v>
      </c>
      <c r="F196">
        <v>0</v>
      </c>
      <c r="G196">
        <v>15</v>
      </c>
      <c r="H196">
        <v>100</v>
      </c>
      <c r="I196" t="s">
        <v>54</v>
      </c>
    </row>
    <row r="197" spans="1:8">
      <c r="A197">
        <v>15050</v>
      </c>
      <c r="B197" t="str">
        <f>INDEX(TextData!B:B,MATCH(A197,TextData!A:A))</f>
        <v>キュアシェイド</v>
      </c>
      <c r="C197">
        <v>3020</v>
      </c>
      <c r="D197" t="str">
        <f>INDEX(Define!Q:Q,MATCH(C197,Define!P:P))</f>
        <v>ステート解除</v>
      </c>
      <c r="E197">
        <v>2020</v>
      </c>
      <c r="F197">
        <v>0</v>
      </c>
      <c r="G197">
        <v>0</v>
      </c>
      <c r="H197">
        <v>100</v>
      </c>
    </row>
    <row r="198" spans="1:8">
      <c r="A198">
        <v>15050</v>
      </c>
      <c r="B198" t="str">
        <f>INDEX(TextData!B:B,MATCH(A198,TextData!A:A))</f>
        <v>キュアシェイド</v>
      </c>
      <c r="C198">
        <v>2010</v>
      </c>
      <c r="D198" t="str">
        <f>INDEX(Define!Q:Q,MATCH(C198,Define!P:P))</f>
        <v>Hp回復</v>
      </c>
      <c r="E198">
        <v>10</v>
      </c>
      <c r="F198">
        <v>0</v>
      </c>
      <c r="G198">
        <v>1</v>
      </c>
      <c r="H198">
        <v>100</v>
      </c>
    </row>
    <row r="199" spans="1:9">
      <c r="A199">
        <v>15060</v>
      </c>
      <c r="B199" t="str">
        <f>INDEX(TextData!B:B,MATCH(A199,TextData!A:A))</f>
        <v>アンデッドペイン</v>
      </c>
      <c r="C199">
        <v>3010</v>
      </c>
      <c r="D199" t="str">
        <f>INDEX(Define!Q:Q,MATCH(C199,Define!P:P))</f>
        <v>ステート付与</v>
      </c>
      <c r="E199">
        <v>2270</v>
      </c>
      <c r="F199">
        <v>0</v>
      </c>
      <c r="G199">
        <v>7</v>
      </c>
      <c r="H199">
        <v>100</v>
      </c>
      <c r="I199" t="s">
        <v>45</v>
      </c>
    </row>
    <row r="200" spans="1:9">
      <c r="A200">
        <v>15070</v>
      </c>
      <c r="B200" t="str">
        <f>INDEX(TextData!B:B,MATCH(A200,TextData!A:A))</f>
        <v>ジャックポッド</v>
      </c>
      <c r="C200">
        <v>3010</v>
      </c>
      <c r="D200" t="str">
        <f>INDEX(Define!Q:Q,MATCH(C200,Define!P:P))</f>
        <v>ステート付与</v>
      </c>
      <c r="E200">
        <v>1070</v>
      </c>
      <c r="F200">
        <v>1</v>
      </c>
      <c r="G200">
        <v>50</v>
      </c>
      <c r="H200">
        <v>100</v>
      </c>
      <c r="I200" t="s">
        <v>25</v>
      </c>
    </row>
    <row r="201" spans="1:9">
      <c r="A201">
        <v>15070</v>
      </c>
      <c r="B201" t="str">
        <f>INDEX(TextData!B:B,MATCH(A201,TextData!A:A))</f>
        <v>ジャックポッド</v>
      </c>
      <c r="C201">
        <v>3010</v>
      </c>
      <c r="D201" t="str">
        <f>INDEX(Define!Q:Q,MATCH(C201,Define!P:P))</f>
        <v>ステート付与</v>
      </c>
      <c r="E201">
        <v>1082</v>
      </c>
      <c r="F201">
        <v>1</v>
      </c>
      <c r="G201">
        <v>50</v>
      </c>
      <c r="H201">
        <v>100</v>
      </c>
      <c r="I201" t="s">
        <v>42</v>
      </c>
    </row>
    <row r="202" spans="1:8">
      <c r="A202">
        <v>15080</v>
      </c>
      <c r="B202" t="str">
        <f>INDEX(TextData!B:B,MATCH(A202,TextData!A:A))</f>
        <v>ヒールハント</v>
      </c>
      <c r="C202">
        <v>1100</v>
      </c>
      <c r="D202" t="str">
        <f>INDEX(Define!Q:Q,MATCH(C202,Define!P:P))</f>
        <v>Hp貫通ダメージ、Param2でKind指定可</v>
      </c>
      <c r="E202">
        <v>100</v>
      </c>
      <c r="F202">
        <v>0</v>
      </c>
      <c r="G202">
        <v>30</v>
      </c>
      <c r="H202">
        <v>100</v>
      </c>
    </row>
    <row r="203" spans="1:9">
      <c r="A203">
        <v>15110</v>
      </c>
      <c r="B203" t="str">
        <f>INDEX(TextData!B:B,MATCH(A203,TextData!A:A))</f>
        <v>フォーカサイト</v>
      </c>
      <c r="C203">
        <v>3010</v>
      </c>
      <c r="D203" t="str">
        <f>INDEX(Define!Q:Q,MATCH(C203,Define!P:P))</f>
        <v>ステート付与</v>
      </c>
      <c r="E203">
        <v>2240</v>
      </c>
      <c r="F203">
        <v>1</v>
      </c>
      <c r="G203">
        <v>0</v>
      </c>
      <c r="H203">
        <v>100</v>
      </c>
      <c r="I203" t="s">
        <v>49</v>
      </c>
    </row>
    <row r="204" spans="1:8">
      <c r="A204">
        <v>15120</v>
      </c>
      <c r="B204" t="str">
        <f>INDEX(TextData!B:B,MATCH(A204,TextData!A:A))</f>
        <v>ガードハント</v>
      </c>
      <c r="C204">
        <v>1100</v>
      </c>
      <c r="D204" t="str">
        <f>INDEX(Define!Q:Q,MATCH(C204,Define!P:P))</f>
        <v>Hp貫通ダメージ、Param2でKind指定可</v>
      </c>
      <c r="E204">
        <v>100</v>
      </c>
      <c r="F204">
        <v>0</v>
      </c>
      <c r="G204">
        <v>30</v>
      </c>
      <c r="H204">
        <v>100</v>
      </c>
    </row>
    <row r="205" spans="1:9">
      <c r="A205">
        <v>15130</v>
      </c>
      <c r="B205" t="str">
        <f>INDEX(TextData!B:B,MATCH(A205,TextData!A:A))</f>
        <v>リヴェンジャー</v>
      </c>
      <c r="C205">
        <v>3010</v>
      </c>
      <c r="D205" t="str">
        <f>INDEX(Define!Q:Q,MATCH(C205,Define!P:P))</f>
        <v>ステート付与</v>
      </c>
      <c r="E205">
        <v>1040</v>
      </c>
      <c r="F205">
        <v>2</v>
      </c>
      <c r="G205">
        <v>4</v>
      </c>
      <c r="H205">
        <v>100</v>
      </c>
      <c r="I205" t="s">
        <v>49</v>
      </c>
    </row>
    <row r="206" spans="1:9">
      <c r="A206">
        <v>15130</v>
      </c>
      <c r="B206" t="str">
        <f>INDEX(TextData!B:B,MATCH(A206,TextData!A:A))</f>
        <v>リヴェンジャー</v>
      </c>
      <c r="C206">
        <v>3010</v>
      </c>
      <c r="D206" t="str">
        <f>INDEX(Define!Q:Q,MATCH(C206,Define!P:P))</f>
        <v>ステート付与</v>
      </c>
      <c r="E206">
        <v>1050</v>
      </c>
      <c r="F206">
        <v>2</v>
      </c>
      <c r="G206">
        <v>4</v>
      </c>
      <c r="H206">
        <v>100</v>
      </c>
      <c r="I206" t="s">
        <v>37</v>
      </c>
    </row>
    <row r="207" spans="1:9">
      <c r="A207">
        <v>15140</v>
      </c>
      <c r="B207" t="str">
        <f>INDEX(TextData!B:B,MATCH(A207,TextData!A:A))</f>
        <v>ソーサリーコネクト</v>
      </c>
      <c r="C207">
        <v>3010</v>
      </c>
      <c r="D207" t="str">
        <f>INDEX(Define!Q:Q,MATCH(C207,Define!P:P))</f>
        <v>ステート付与</v>
      </c>
      <c r="E207">
        <v>1040</v>
      </c>
      <c r="F207">
        <v>1</v>
      </c>
      <c r="G207">
        <v>8</v>
      </c>
      <c r="H207">
        <v>100</v>
      </c>
      <c r="I207" t="s">
        <v>49</v>
      </c>
    </row>
    <row r="208" spans="1:8">
      <c r="A208">
        <v>15140</v>
      </c>
      <c r="B208" t="str">
        <f>INDEX(TextData!B:B,MATCH(A208,TextData!A:A))</f>
        <v>ソーサリーコネクト</v>
      </c>
      <c r="C208">
        <v>7010</v>
      </c>
      <c r="D208" t="str">
        <f>INDEX(Define!Q:Q,MATCH(C208,Define!P:P))</f>
        <v>行動後スキル</v>
      </c>
      <c r="E208">
        <v>12071</v>
      </c>
      <c r="F208">
        <v>0</v>
      </c>
      <c r="G208">
        <v>0</v>
      </c>
      <c r="H208">
        <v>100</v>
      </c>
    </row>
    <row r="209" spans="1:9">
      <c r="A209">
        <v>15141</v>
      </c>
      <c r="B209" t="str">
        <f>INDEX(TextData!B:B,MATCH(A209,TextData!A:A))</f>
        <v>ソーサリーコネクト</v>
      </c>
      <c r="C209">
        <v>3010</v>
      </c>
      <c r="D209" t="str">
        <f>INDEX(Define!Q:Q,MATCH(C209,Define!P:P))</f>
        <v>ステート付与</v>
      </c>
      <c r="E209">
        <v>1041</v>
      </c>
      <c r="F209">
        <v>1</v>
      </c>
      <c r="G209">
        <v>8</v>
      </c>
      <c r="H209">
        <v>100</v>
      </c>
      <c r="I209" t="s">
        <v>43</v>
      </c>
    </row>
    <row r="210" spans="1:8">
      <c r="A210">
        <v>15510</v>
      </c>
      <c r="B210" t="str">
        <f>INDEX(TextData!B:B,MATCH(A210,TextData!A:A))</f>
        <v>リープリアクト</v>
      </c>
      <c r="C210">
        <v>5030</v>
      </c>
      <c r="D210" t="str">
        <f>INDEX(Define!Q:Q,MATCH(C210,Define!P:P))</f>
        <v>再行動する</v>
      </c>
      <c r="E210">
        <v>0</v>
      </c>
      <c r="F210">
        <v>0</v>
      </c>
      <c r="G210">
        <v>0</v>
      </c>
      <c r="H210">
        <v>100</v>
      </c>
    </row>
    <row r="211" spans="1:9">
      <c r="A211">
        <v>15510</v>
      </c>
      <c r="B211" t="str">
        <f>INDEX(TextData!B:B,MATCH(A211,TextData!A:A))</f>
        <v>リープリアクト</v>
      </c>
      <c r="C211">
        <v>3010</v>
      </c>
      <c r="D211" t="str">
        <f>INDEX(Define!Q:Q,MATCH(C211,Define!P:P))</f>
        <v>ステート付与</v>
      </c>
      <c r="E211">
        <v>1071</v>
      </c>
      <c r="F211">
        <v>2</v>
      </c>
      <c r="G211">
        <v>30</v>
      </c>
      <c r="H211">
        <v>100</v>
      </c>
      <c r="I211" t="s">
        <v>25</v>
      </c>
    </row>
    <row r="212" spans="1:8">
      <c r="A212">
        <v>15510</v>
      </c>
      <c r="B212" t="str">
        <f>INDEX(TextData!B:B,MATCH(A212,TextData!A:A))</f>
        <v>リープリアクト</v>
      </c>
      <c r="C212">
        <v>6310</v>
      </c>
      <c r="D212" t="str">
        <f>INDEX(Define!Q:Q,MATCH(C212,Define!P:P))</f>
        <v>指定魔法に行動後スキルを追加する</v>
      </c>
      <c r="E212">
        <v>15110</v>
      </c>
      <c r="F212">
        <v>0</v>
      </c>
      <c r="G212">
        <v>15112</v>
      </c>
      <c r="H212">
        <v>100</v>
      </c>
    </row>
    <row r="213" spans="1:8">
      <c r="A213">
        <v>15512</v>
      </c>
      <c r="B213" t="str">
        <f>INDEX(TextData!B:B,MATCH(A213,TextData!A:A))</f>
        <v>リープリアクト</v>
      </c>
      <c r="C213">
        <v>3010</v>
      </c>
      <c r="D213" t="str">
        <f>INDEX(Define!Q:Q,MATCH(C213,Define!P:P))</f>
        <v>ステート付与</v>
      </c>
      <c r="E213">
        <v>1070</v>
      </c>
      <c r="F213">
        <v>2</v>
      </c>
      <c r="G213">
        <v>5</v>
      </c>
      <c r="H213">
        <v>100</v>
      </c>
    </row>
    <row r="214" spans="1:8">
      <c r="A214">
        <v>15520</v>
      </c>
      <c r="B214" t="str">
        <f>INDEX(TextData!B:B,MATCH(A214,TextData!A:A))</f>
        <v>ディレイドパッシブ</v>
      </c>
      <c r="C214">
        <v>4011</v>
      </c>
      <c r="D214" t="str">
        <f>INDEX(Define!Q:Q,MATCH(C214,Define!P:P))</f>
        <v>CTダメージPassiveのみ</v>
      </c>
      <c r="E214">
        <v>1</v>
      </c>
      <c r="F214">
        <v>0</v>
      </c>
      <c r="G214">
        <v>0</v>
      </c>
      <c r="H214">
        <v>100</v>
      </c>
    </row>
    <row r="215" spans="1:9">
      <c r="A215">
        <v>15530</v>
      </c>
      <c r="B215" t="str">
        <f>INDEX(TextData!B:B,MATCH(A215,TextData!A:A))</f>
        <v>シャドウケイプ</v>
      </c>
      <c r="C215">
        <v>3010</v>
      </c>
      <c r="D215" t="str">
        <f>INDEX(Define!Q:Q,MATCH(C215,Define!P:P))</f>
        <v>ステート付与</v>
      </c>
      <c r="E215">
        <v>2050</v>
      </c>
      <c r="F215">
        <v>1</v>
      </c>
      <c r="G215">
        <v>0</v>
      </c>
      <c r="H215">
        <v>100</v>
      </c>
      <c r="I215" t="s">
        <v>33</v>
      </c>
    </row>
    <row r="216" spans="1:9">
      <c r="A216">
        <v>15910</v>
      </c>
      <c r="B216" t="str">
        <f>INDEX(TextData!B:B,MATCH(A216,TextData!A:A))</f>
        <v>イーグルアイ</v>
      </c>
      <c r="C216">
        <v>3010</v>
      </c>
      <c r="D216" t="str">
        <f>INDEX(Define!Q:Q,MATCH(C216,Define!P:P))</f>
        <v>ステート付与</v>
      </c>
      <c r="E216">
        <v>1070</v>
      </c>
      <c r="F216">
        <v>999</v>
      </c>
      <c r="G216">
        <v>15</v>
      </c>
      <c r="H216">
        <v>100</v>
      </c>
      <c r="I216" t="s">
        <v>25</v>
      </c>
    </row>
    <row r="217" spans="1:9">
      <c r="A217">
        <v>15910</v>
      </c>
      <c r="B217" t="str">
        <f>INDEX(TextData!B:B,MATCH(A217,TextData!A:A))</f>
        <v>イーグルアイ</v>
      </c>
      <c r="C217">
        <v>6030</v>
      </c>
      <c r="D217" t="str">
        <f>INDEX(Define!Q:Q,MATCH(C217,Define!P:P))</f>
        <v>FeatureのParam3を指定値に上書き</v>
      </c>
      <c r="E217">
        <v>15010</v>
      </c>
      <c r="F217">
        <v>0</v>
      </c>
      <c r="G217">
        <v>30</v>
      </c>
      <c r="H217">
        <v>100</v>
      </c>
      <c r="I217" t="s">
        <v>25</v>
      </c>
    </row>
    <row r="218" spans="1:9">
      <c r="A218">
        <v>15920</v>
      </c>
      <c r="B218" t="str">
        <f>INDEX(TextData!B:B,MATCH(A218,TextData!A:A))</f>
        <v>ネヴァーエンド</v>
      </c>
      <c r="C218">
        <v>3010</v>
      </c>
      <c r="D218" t="str">
        <f>INDEX(Define!Q:Q,MATCH(C218,Define!P:P))</f>
        <v>ステート付与</v>
      </c>
      <c r="E218">
        <v>1070</v>
      </c>
      <c r="F218">
        <v>999</v>
      </c>
      <c r="G218">
        <v>25</v>
      </c>
      <c r="H218">
        <v>100</v>
      </c>
      <c r="I218" t="s">
        <v>25</v>
      </c>
    </row>
    <row r="219" spans="1:9">
      <c r="A219">
        <v>15920</v>
      </c>
      <c r="B219" t="str">
        <f>INDEX(TextData!B:B,MATCH(A219,TextData!A:A))</f>
        <v>ネヴァーエンド</v>
      </c>
      <c r="C219">
        <v>6030</v>
      </c>
      <c r="D219" t="str">
        <f>INDEX(Define!Q:Q,MATCH(C219,Define!P:P))</f>
        <v>FeatureのParam3を指定値に上書き</v>
      </c>
      <c r="E219">
        <v>15020</v>
      </c>
      <c r="F219">
        <v>0</v>
      </c>
      <c r="G219">
        <v>50</v>
      </c>
      <c r="H219">
        <v>100</v>
      </c>
      <c r="I219" t="s">
        <v>25</v>
      </c>
    </row>
    <row r="220" spans="1:8">
      <c r="A220">
        <v>15930</v>
      </c>
      <c r="B220" t="str">
        <f>INDEX(TextData!B:B,MATCH(A220,TextData!A:A))</f>
        <v>グレイブアクト</v>
      </c>
      <c r="C220">
        <v>4020</v>
      </c>
      <c r="D220" t="str">
        <f>INDEX(Define!Q:Q,MATCH(C220,Define!P:P))</f>
        <v>Ct回復</v>
      </c>
      <c r="E220">
        <v>2</v>
      </c>
      <c r="F220">
        <v>0</v>
      </c>
      <c r="G220">
        <v>0</v>
      </c>
      <c r="H220">
        <v>100</v>
      </c>
    </row>
    <row r="221" spans="1:9">
      <c r="A221">
        <v>15940</v>
      </c>
      <c r="B221" t="str">
        <f>INDEX(TextData!B:B,MATCH(A221,TextData!A:A))</f>
        <v>スカルグラッジ</v>
      </c>
      <c r="C221">
        <v>3010</v>
      </c>
      <c r="D221" t="str">
        <f>INDEX(Define!Q:Q,MATCH(C221,Define!P:P))</f>
        <v>ステート付与</v>
      </c>
      <c r="E221">
        <v>2220</v>
      </c>
      <c r="F221">
        <v>999</v>
      </c>
      <c r="G221">
        <v>5</v>
      </c>
      <c r="H221">
        <v>100</v>
      </c>
      <c r="I221" t="s">
        <v>61</v>
      </c>
    </row>
    <row r="222" spans="1:8">
      <c r="A222">
        <v>30010</v>
      </c>
      <c r="B222" t="str">
        <f>INDEX(TextData!B:B,MATCH(A222,TextData!A:A))</f>
        <v>ラーニングピアス</v>
      </c>
      <c r="C222">
        <v>40020</v>
      </c>
      <c r="D222" t="str">
        <f>INDEX(Define!Q:Q,MATCH(C222,Define!P:P))</f>
        <v>獲得Eｘｐ％アップ</v>
      </c>
      <c r="E222">
        <v>30</v>
      </c>
      <c r="F222">
        <v>0</v>
      </c>
      <c r="G222">
        <v>0</v>
      </c>
      <c r="H222">
        <v>100</v>
      </c>
    </row>
    <row r="223" spans="1:8">
      <c r="A223">
        <v>30020</v>
      </c>
      <c r="B223" t="str">
        <f>INDEX(TextData!B:B,MATCH(A223,TextData!A:A))</f>
        <v>スティールヒール</v>
      </c>
      <c r="C223">
        <v>2011</v>
      </c>
      <c r="D223" t="str">
        <f>INDEX(Define!Q:Q,MATCH(C223,Define!P:P))</f>
        <v>攻撃対象の最大Hpに比例して回復</v>
      </c>
      <c r="E223">
        <v>5</v>
      </c>
      <c r="F223">
        <v>0</v>
      </c>
      <c r="G223">
        <v>1</v>
      </c>
      <c r="H223">
        <v>100</v>
      </c>
    </row>
    <row r="224" spans="1:9">
      <c r="A224">
        <v>30030</v>
      </c>
      <c r="B224" t="str">
        <f>INDEX(TextData!B:B,MATCH(A224,TextData!A:A))</f>
        <v>ガッツ</v>
      </c>
      <c r="C224">
        <v>3010</v>
      </c>
      <c r="D224" t="str">
        <f>INDEX(Define!Q:Q,MATCH(C224,Define!P:P))</f>
        <v>ステート付与</v>
      </c>
      <c r="E224">
        <v>2450</v>
      </c>
      <c r="F224">
        <v>1</v>
      </c>
      <c r="G224">
        <v>1</v>
      </c>
      <c r="H224">
        <v>100</v>
      </c>
      <c r="I224" t="s">
        <v>53</v>
      </c>
    </row>
    <row r="225" spans="1:9">
      <c r="A225">
        <v>100110</v>
      </c>
      <c r="B225" t="str">
        <f>INDEX(TextData!B:B,MATCH(A225,TextData!A:A))</f>
        <v>ソーイングアームド</v>
      </c>
      <c r="C225">
        <v>3010</v>
      </c>
      <c r="D225" t="str">
        <f>INDEX(Define!Q:Q,MATCH(C225,Define!P:P))</f>
        <v>ステート付与</v>
      </c>
      <c r="E225">
        <v>1042</v>
      </c>
      <c r="F225">
        <v>999</v>
      </c>
      <c r="G225">
        <v>25</v>
      </c>
      <c r="H225">
        <v>100</v>
      </c>
      <c r="I225" t="s">
        <v>49</v>
      </c>
    </row>
    <row r="226" spans="1:8">
      <c r="A226">
        <v>100110</v>
      </c>
      <c r="B226" t="str">
        <f>INDEX(TextData!B:B,MATCH(A226,TextData!A:A))</f>
        <v>ソーイングアームド</v>
      </c>
      <c r="C226">
        <v>7010</v>
      </c>
      <c r="D226" t="str">
        <f>INDEX(Define!Q:Q,MATCH(C226,Define!P:P))</f>
        <v>行動後スキル</v>
      </c>
      <c r="E226">
        <v>11</v>
      </c>
      <c r="F226">
        <v>0</v>
      </c>
      <c r="G226">
        <v>0</v>
      </c>
      <c r="H226">
        <v>100</v>
      </c>
    </row>
    <row r="227" spans="1:8">
      <c r="A227">
        <v>100120</v>
      </c>
      <c r="B227" t="str">
        <f>INDEX(TextData!B:B,MATCH(A227,TextData!A:A))</f>
        <v>エターナルロンド</v>
      </c>
      <c r="C227">
        <v>1010</v>
      </c>
      <c r="D227" t="str">
        <f>INDEX(Define!Q:Q,MATCH(C227,Define!P:P))</f>
        <v>Hpダメージ</v>
      </c>
      <c r="E227">
        <v>350</v>
      </c>
      <c r="F227">
        <v>0</v>
      </c>
      <c r="G227">
        <v>0</v>
      </c>
      <c r="H227">
        <v>100</v>
      </c>
    </row>
    <row r="228" spans="1:8">
      <c r="A228">
        <v>100120</v>
      </c>
      <c r="B228" t="str">
        <f>INDEX(TextData!B:B,MATCH(A228,TextData!A:A))</f>
        <v>エターナルロンド</v>
      </c>
      <c r="C228">
        <v>7010</v>
      </c>
      <c r="D228" t="str">
        <f>INDEX(Define!Q:Q,MATCH(C228,Define!P:P))</f>
        <v>行動後スキル</v>
      </c>
      <c r="E228">
        <v>21</v>
      </c>
      <c r="F228">
        <v>0</v>
      </c>
      <c r="G228">
        <v>0</v>
      </c>
      <c r="H228">
        <v>100</v>
      </c>
    </row>
    <row r="229" spans="1:9">
      <c r="A229">
        <v>100210</v>
      </c>
      <c r="B229" t="str">
        <f>INDEX(TextData!B:B,MATCH(A229,TextData!A:A))</f>
        <v>ピースメーカー</v>
      </c>
      <c r="C229">
        <v>3010</v>
      </c>
      <c r="D229" t="str">
        <f>INDEX(Define!Q:Q,MATCH(C229,Define!P:P))</f>
        <v>ステート付与</v>
      </c>
      <c r="E229">
        <v>1070</v>
      </c>
      <c r="F229">
        <v>3</v>
      </c>
      <c r="G229">
        <v>50</v>
      </c>
      <c r="H229">
        <v>100</v>
      </c>
      <c r="I229" t="s">
        <v>25</v>
      </c>
    </row>
    <row r="230" spans="1:8">
      <c r="A230">
        <v>100210</v>
      </c>
      <c r="B230" t="str">
        <f>INDEX(TextData!B:B,MATCH(A230,TextData!A:A))</f>
        <v>ピースメーカー</v>
      </c>
      <c r="C230">
        <v>7010</v>
      </c>
      <c r="D230" t="str">
        <f>INDEX(Define!Q:Q,MATCH(C230,Define!P:P))</f>
        <v>行動後スキル</v>
      </c>
      <c r="E230">
        <v>11</v>
      </c>
      <c r="F230">
        <v>0</v>
      </c>
      <c r="G230">
        <v>0</v>
      </c>
      <c r="H230">
        <v>100</v>
      </c>
    </row>
    <row r="231" spans="1:8">
      <c r="A231">
        <v>100220</v>
      </c>
      <c r="B231" t="str">
        <f>INDEX(TextData!B:B,MATCH(A231,TextData!A:A))</f>
        <v>レヴェリー</v>
      </c>
      <c r="C231">
        <v>1010</v>
      </c>
      <c r="D231" t="str">
        <f>INDEX(Define!Q:Q,MATCH(C231,Define!P:P))</f>
        <v>Hpダメージ</v>
      </c>
      <c r="E231">
        <v>50</v>
      </c>
      <c r="F231">
        <v>0</v>
      </c>
      <c r="G231">
        <v>0</v>
      </c>
      <c r="H231">
        <v>100</v>
      </c>
    </row>
    <row r="232" spans="1:8">
      <c r="A232">
        <v>100220</v>
      </c>
      <c r="B232" t="str">
        <f>INDEX(TextData!B:B,MATCH(A232,TextData!A:A))</f>
        <v>レヴェリー</v>
      </c>
      <c r="C232">
        <v>7010</v>
      </c>
      <c r="D232" t="str">
        <f>INDEX(Define!Q:Q,MATCH(C232,Define!P:P))</f>
        <v>行動後スキル</v>
      </c>
      <c r="E232">
        <v>21</v>
      </c>
      <c r="F232">
        <v>0</v>
      </c>
      <c r="G232">
        <v>0</v>
      </c>
      <c r="H232">
        <v>100</v>
      </c>
    </row>
    <row r="233" spans="1:9">
      <c r="A233">
        <v>100310</v>
      </c>
      <c r="B233" t="str">
        <f>INDEX(TextData!B:B,MATCH(A233,TextData!A:A))</f>
        <v>セイクリッドバリア</v>
      </c>
      <c r="C233">
        <v>3010</v>
      </c>
      <c r="D233" t="str">
        <f>INDEX(Define!Q:Q,MATCH(C233,Define!P:P))</f>
        <v>ステート付与</v>
      </c>
      <c r="E233">
        <v>2050</v>
      </c>
      <c r="F233">
        <v>1</v>
      </c>
      <c r="G233">
        <v>0</v>
      </c>
      <c r="H233">
        <v>100</v>
      </c>
      <c r="I233" t="s">
        <v>33</v>
      </c>
    </row>
    <row r="234" spans="1:8">
      <c r="A234">
        <v>100310</v>
      </c>
      <c r="B234" t="str">
        <f>INDEX(TextData!B:B,MATCH(A234,TextData!A:A))</f>
        <v>セイクリッドバリア</v>
      </c>
      <c r="C234">
        <v>7010</v>
      </c>
      <c r="D234" t="str">
        <f>INDEX(Define!Q:Q,MATCH(C234,Define!P:P))</f>
        <v>行動後スキル</v>
      </c>
      <c r="E234">
        <v>11</v>
      </c>
      <c r="F234">
        <v>0</v>
      </c>
      <c r="G234">
        <v>0</v>
      </c>
      <c r="H234">
        <v>100</v>
      </c>
    </row>
    <row r="235" spans="1:8">
      <c r="A235">
        <v>100320</v>
      </c>
      <c r="B235" t="str">
        <f>INDEX(TextData!B:B,MATCH(A235,TextData!A:A))</f>
        <v>リベンジニードル</v>
      </c>
      <c r="C235">
        <v>1090</v>
      </c>
      <c r="D235" t="str">
        <f>INDEX(Define!Q:Q,MATCH(C235,Define!P:P))</f>
        <v>受けたダメージ総計ダメージ</v>
      </c>
      <c r="E235">
        <v>100</v>
      </c>
      <c r="F235">
        <v>0</v>
      </c>
      <c r="G235">
        <v>0</v>
      </c>
      <c r="H235">
        <v>100</v>
      </c>
    </row>
    <row r="236" spans="1:8">
      <c r="A236">
        <v>100320</v>
      </c>
      <c r="B236" t="str">
        <f>INDEX(TextData!B:B,MATCH(A236,TextData!A:A))</f>
        <v>リベンジニードル</v>
      </c>
      <c r="C236">
        <v>7010</v>
      </c>
      <c r="D236" t="str">
        <f>INDEX(Define!Q:Q,MATCH(C236,Define!P:P))</f>
        <v>行動後スキル</v>
      </c>
      <c r="E236">
        <v>21</v>
      </c>
      <c r="F236">
        <v>0</v>
      </c>
      <c r="G236">
        <v>0</v>
      </c>
      <c r="H236">
        <v>100</v>
      </c>
    </row>
    <row r="237" spans="1:9">
      <c r="A237">
        <v>100410</v>
      </c>
      <c r="B237" t="str">
        <f>INDEX(TextData!B:B,MATCH(A237,TextData!A:A))</f>
        <v>アバンデンス</v>
      </c>
      <c r="C237">
        <v>3020</v>
      </c>
      <c r="D237" t="str">
        <f>INDEX(Define!Q:Q,MATCH(C237,Define!P:P))</f>
        <v>ステート解除</v>
      </c>
      <c r="E237">
        <v>1</v>
      </c>
      <c r="F237">
        <v>0</v>
      </c>
      <c r="G237">
        <v>0</v>
      </c>
      <c r="H237">
        <v>100</v>
      </c>
      <c r="I237" t="s">
        <v>39</v>
      </c>
    </row>
    <row r="238" spans="1:8">
      <c r="A238">
        <v>100410</v>
      </c>
      <c r="B238" t="str">
        <f>INDEX(TextData!B:B,MATCH(A238,TextData!A:A))</f>
        <v>アバンデンス</v>
      </c>
      <c r="C238">
        <v>2010</v>
      </c>
      <c r="D238" t="str">
        <f>INDEX(Define!Q:Q,MATCH(C238,Define!P:P))</f>
        <v>Hp回復</v>
      </c>
      <c r="E238">
        <v>10</v>
      </c>
      <c r="F238">
        <v>0</v>
      </c>
      <c r="G238">
        <v>0</v>
      </c>
      <c r="H238">
        <v>100</v>
      </c>
    </row>
    <row r="239" spans="1:8">
      <c r="A239">
        <v>100410</v>
      </c>
      <c r="B239" t="str">
        <f>INDEX(TextData!B:B,MATCH(A239,TextData!A:A))</f>
        <v>アバンデンス</v>
      </c>
      <c r="C239">
        <v>7010</v>
      </c>
      <c r="D239" t="str">
        <f>INDEX(Define!Q:Q,MATCH(C239,Define!P:P))</f>
        <v>行動後スキル</v>
      </c>
      <c r="E239">
        <v>11</v>
      </c>
      <c r="F239">
        <v>0</v>
      </c>
      <c r="G239">
        <v>0</v>
      </c>
      <c r="H239">
        <v>100</v>
      </c>
    </row>
    <row r="240" spans="1:9">
      <c r="A240">
        <v>100420</v>
      </c>
      <c r="B240" t="str">
        <f>INDEX(TextData!B:B,MATCH(A240,TextData!A:A))</f>
        <v>ハーヴェスト</v>
      </c>
      <c r="C240">
        <v>3010</v>
      </c>
      <c r="D240" t="str">
        <f>INDEX(Define!Q:Q,MATCH(C240,Define!P:P))</f>
        <v>ステート付与</v>
      </c>
      <c r="E240">
        <v>2040</v>
      </c>
      <c r="F240">
        <v>999</v>
      </c>
      <c r="G240">
        <v>10</v>
      </c>
      <c r="H240">
        <v>100</v>
      </c>
      <c r="I240" t="s">
        <v>58</v>
      </c>
    </row>
    <row r="241" spans="1:8">
      <c r="A241">
        <v>100420</v>
      </c>
      <c r="B241" t="str">
        <f>INDEX(TextData!B:B,MATCH(A241,TextData!A:A))</f>
        <v>ハーヴェスト</v>
      </c>
      <c r="C241">
        <v>7010</v>
      </c>
      <c r="D241" t="str">
        <f>INDEX(Define!Q:Q,MATCH(C241,Define!P:P))</f>
        <v>行動後スキル</v>
      </c>
      <c r="E241">
        <v>21</v>
      </c>
      <c r="F241">
        <v>0</v>
      </c>
      <c r="G241">
        <v>0</v>
      </c>
      <c r="H241">
        <v>100</v>
      </c>
    </row>
    <row r="242" spans="1:9">
      <c r="A242">
        <v>100510</v>
      </c>
      <c r="B242" t="str">
        <f>INDEX(TextData!B:B,MATCH(A242,TextData!A:A))</f>
        <v>カースドブレイク</v>
      </c>
      <c r="C242">
        <v>3010</v>
      </c>
      <c r="D242" t="str">
        <f>INDEX(Define!Q:Q,MATCH(C242,Define!P:P))</f>
        <v>ステート付与</v>
      </c>
      <c r="E242">
        <v>2470</v>
      </c>
      <c r="F242">
        <v>1</v>
      </c>
      <c r="G242">
        <v>100</v>
      </c>
      <c r="H242">
        <v>100</v>
      </c>
      <c r="I242" t="s">
        <v>62</v>
      </c>
    </row>
    <row r="243" spans="1:8">
      <c r="A243">
        <v>100510</v>
      </c>
      <c r="B243" t="str">
        <f>INDEX(TextData!B:B,MATCH(A243,TextData!A:A))</f>
        <v>カースドブレイク</v>
      </c>
      <c r="C243">
        <v>7010</v>
      </c>
      <c r="D243" t="str">
        <f>INDEX(Define!Q:Q,MATCH(C243,Define!P:P))</f>
        <v>行動後スキル</v>
      </c>
      <c r="E243">
        <v>11</v>
      </c>
      <c r="F243">
        <v>0</v>
      </c>
      <c r="G243">
        <v>0</v>
      </c>
      <c r="H243">
        <v>100</v>
      </c>
    </row>
    <row r="244" spans="1:9">
      <c r="A244">
        <v>100520</v>
      </c>
      <c r="B244" t="str">
        <f>INDEX(TextData!B:B,MATCH(A244,TextData!A:A))</f>
        <v>ムーンライトレイ</v>
      </c>
      <c r="C244">
        <v>3010</v>
      </c>
      <c r="D244" t="str">
        <f>INDEX(Define!Q:Q,MATCH(C244,Define!P:P))</f>
        <v>ステート付与</v>
      </c>
      <c r="E244">
        <v>2010</v>
      </c>
      <c r="F244">
        <v>2</v>
      </c>
      <c r="G244">
        <v>25</v>
      </c>
      <c r="H244">
        <v>100</v>
      </c>
      <c r="I244" t="s">
        <v>35</v>
      </c>
    </row>
    <row r="245" spans="1:8">
      <c r="A245">
        <v>100520</v>
      </c>
      <c r="B245" t="str">
        <f>INDEX(TextData!B:B,MATCH(A245,TextData!A:A))</f>
        <v>ムーンライトレイ</v>
      </c>
      <c r="C245">
        <v>7010</v>
      </c>
      <c r="D245" t="str">
        <f>INDEX(Define!Q:Q,MATCH(C245,Define!P:P))</f>
        <v>行動後スキル</v>
      </c>
      <c r="E245">
        <v>21</v>
      </c>
      <c r="F245">
        <v>0</v>
      </c>
      <c r="G245">
        <v>0</v>
      </c>
      <c r="H245">
        <v>100</v>
      </c>
    </row>
    <row r="246" spans="1:8">
      <c r="A246">
        <v>100610</v>
      </c>
      <c r="B246" t="str">
        <f>INDEX(TextData!B:B,MATCH(A246,TextData!A:A))</f>
        <v>サンフレイム</v>
      </c>
      <c r="C246">
        <v>4020</v>
      </c>
      <c r="D246" t="str">
        <f>INDEX(Define!Q:Q,MATCH(C246,Define!P:P))</f>
        <v>Ct回復</v>
      </c>
      <c r="E246">
        <v>5</v>
      </c>
      <c r="F246">
        <v>0</v>
      </c>
      <c r="G246">
        <v>0</v>
      </c>
      <c r="H246">
        <v>100</v>
      </c>
    </row>
    <row r="247" spans="1:8">
      <c r="A247">
        <v>100610</v>
      </c>
      <c r="B247" t="str">
        <f>INDEX(TextData!B:B,MATCH(A247,TextData!A:A))</f>
        <v>サンフレイム</v>
      </c>
      <c r="C247">
        <v>7010</v>
      </c>
      <c r="D247" t="str">
        <f>INDEX(Define!Q:Q,MATCH(C247,Define!P:P))</f>
        <v>行動後スキル</v>
      </c>
      <c r="E247">
        <v>11</v>
      </c>
      <c r="F247">
        <v>0</v>
      </c>
      <c r="G247">
        <v>0</v>
      </c>
      <c r="H247">
        <v>100</v>
      </c>
    </row>
    <row r="248" spans="1:8">
      <c r="A248">
        <v>100620</v>
      </c>
      <c r="B248" t="str">
        <f>INDEX(TextData!B:B,MATCH(A248,TextData!A:A))</f>
        <v>フレイムタン</v>
      </c>
      <c r="C248">
        <v>1010</v>
      </c>
      <c r="D248" t="str">
        <f>INDEX(Define!Q:Q,MATCH(C248,Define!P:P))</f>
        <v>Hpダメージ</v>
      </c>
      <c r="E248">
        <v>200</v>
      </c>
      <c r="F248">
        <v>0</v>
      </c>
      <c r="G248">
        <v>0</v>
      </c>
      <c r="H248">
        <v>100</v>
      </c>
    </row>
    <row r="249" spans="1:8">
      <c r="A249">
        <v>100620</v>
      </c>
      <c r="B249" t="str">
        <f>INDEX(TextData!B:B,MATCH(A249,TextData!A:A))</f>
        <v>フレイムタン</v>
      </c>
      <c r="C249">
        <v>4010</v>
      </c>
      <c r="D249" t="str">
        <f>INDEX(Define!Q:Q,MATCH(C249,Define!P:P))</f>
        <v>Ctダメージ</v>
      </c>
      <c r="E249">
        <v>2</v>
      </c>
      <c r="F249">
        <v>0</v>
      </c>
      <c r="G249">
        <v>0</v>
      </c>
      <c r="H249">
        <v>100</v>
      </c>
    </row>
    <row r="250" spans="1:8">
      <c r="A250">
        <v>100620</v>
      </c>
      <c r="B250" t="str">
        <f>INDEX(TextData!B:B,MATCH(A250,TextData!A:A))</f>
        <v>フレイムタン</v>
      </c>
      <c r="C250">
        <v>7010</v>
      </c>
      <c r="D250" t="str">
        <f>INDEX(Define!Q:Q,MATCH(C250,Define!P:P))</f>
        <v>行動後スキル</v>
      </c>
      <c r="E250">
        <v>21</v>
      </c>
      <c r="F250">
        <v>0</v>
      </c>
      <c r="G250">
        <v>0</v>
      </c>
      <c r="H250">
        <v>100</v>
      </c>
    </row>
    <row r="251" spans="1:9">
      <c r="A251">
        <v>100710</v>
      </c>
      <c r="B251" t="str">
        <f>INDEX(TextData!B:B,MATCH(A251,TextData!A:A))</f>
        <v>ライズザフラッグ</v>
      </c>
      <c r="C251">
        <v>3010</v>
      </c>
      <c r="D251" t="str">
        <f>INDEX(Define!Q:Q,MATCH(C251,Define!P:P))</f>
        <v>ステート付与</v>
      </c>
      <c r="E251">
        <v>2420</v>
      </c>
      <c r="F251">
        <v>3</v>
      </c>
      <c r="G251">
        <v>0</v>
      </c>
      <c r="H251">
        <v>100</v>
      </c>
      <c r="I251" t="s">
        <v>63</v>
      </c>
    </row>
    <row r="252" spans="1:8">
      <c r="A252">
        <v>100710</v>
      </c>
      <c r="B252" t="str">
        <f>INDEX(TextData!B:B,MATCH(A252,TextData!A:A))</f>
        <v>ライズザフラッグ</v>
      </c>
      <c r="C252">
        <v>7010</v>
      </c>
      <c r="D252" t="str">
        <f>INDEX(Define!Q:Q,MATCH(C252,Define!P:P))</f>
        <v>行動後スキル</v>
      </c>
      <c r="E252">
        <v>11</v>
      </c>
      <c r="F252">
        <v>0</v>
      </c>
      <c r="G252">
        <v>0</v>
      </c>
      <c r="H252">
        <v>100</v>
      </c>
    </row>
    <row r="253" spans="1:9">
      <c r="A253">
        <v>100720</v>
      </c>
      <c r="B253" t="str">
        <f>INDEX(TextData!B:B,MATCH(A253,TextData!A:A))</f>
        <v>オーバーリミット</v>
      </c>
      <c r="C253">
        <v>3010</v>
      </c>
      <c r="D253" t="str">
        <f>INDEX(Define!Q:Q,MATCH(C253,Define!P:P))</f>
        <v>ステート付与</v>
      </c>
      <c r="E253">
        <v>1040</v>
      </c>
      <c r="F253">
        <v>999</v>
      </c>
      <c r="G253">
        <v>8</v>
      </c>
      <c r="H253">
        <v>100</v>
      </c>
      <c r="I253" t="s">
        <v>49</v>
      </c>
    </row>
    <row r="254" spans="1:9">
      <c r="A254">
        <v>100720</v>
      </c>
      <c r="B254" t="str">
        <f>INDEX(TextData!B:B,MATCH(A254,TextData!A:A))</f>
        <v>オーバーリミット</v>
      </c>
      <c r="C254">
        <v>3010</v>
      </c>
      <c r="D254" t="str">
        <f>INDEX(Define!Q:Q,MATCH(C254,Define!P:P))</f>
        <v>ステート付与</v>
      </c>
      <c r="E254">
        <v>1050</v>
      </c>
      <c r="F254">
        <v>999</v>
      </c>
      <c r="G254">
        <v>8</v>
      </c>
      <c r="H254">
        <v>100</v>
      </c>
      <c r="I254" t="s">
        <v>37</v>
      </c>
    </row>
    <row r="255" spans="1:8">
      <c r="A255">
        <v>100720</v>
      </c>
      <c r="B255" t="str">
        <f>INDEX(TextData!B:B,MATCH(A255,TextData!A:A))</f>
        <v>オーバーリミット</v>
      </c>
      <c r="C255">
        <v>7010</v>
      </c>
      <c r="D255" t="str">
        <f>INDEX(Define!Q:Q,MATCH(C255,Define!P:P))</f>
        <v>行動後スキル</v>
      </c>
      <c r="E255">
        <v>21</v>
      </c>
      <c r="F255">
        <v>0</v>
      </c>
      <c r="G255">
        <v>0</v>
      </c>
      <c r="H255">
        <v>100</v>
      </c>
    </row>
    <row r="256" spans="1:9">
      <c r="A256">
        <v>100810</v>
      </c>
      <c r="B256" t="str">
        <f>INDEX(TextData!B:B,MATCH(A256,TextData!A:A))</f>
        <v>テンパランス</v>
      </c>
      <c r="C256">
        <v>3010</v>
      </c>
      <c r="D256" t="str">
        <f>INDEX(Define!Q:Q,MATCH(C256,Define!P:P))</f>
        <v>ステート付与</v>
      </c>
      <c r="E256">
        <v>1040</v>
      </c>
      <c r="F256">
        <v>999</v>
      </c>
      <c r="G256">
        <v>8</v>
      </c>
      <c r="H256">
        <v>100</v>
      </c>
      <c r="I256" t="s">
        <v>49</v>
      </c>
    </row>
    <row r="257" spans="1:9">
      <c r="A257">
        <v>100810</v>
      </c>
      <c r="B257" t="str">
        <f>INDEX(TextData!B:B,MATCH(A257,TextData!A:A))</f>
        <v>テンパランス</v>
      </c>
      <c r="C257">
        <v>3010</v>
      </c>
      <c r="D257" t="str">
        <f>INDEX(Define!Q:Q,MATCH(C257,Define!P:P))</f>
        <v>ステート付与</v>
      </c>
      <c r="E257">
        <v>1050</v>
      </c>
      <c r="F257">
        <v>999</v>
      </c>
      <c r="G257">
        <v>8</v>
      </c>
      <c r="H257">
        <v>100</v>
      </c>
      <c r="I257" t="s">
        <v>37</v>
      </c>
    </row>
    <row r="258" spans="1:8">
      <c r="A258">
        <v>100810</v>
      </c>
      <c r="B258" t="str">
        <f>INDEX(TextData!B:B,MATCH(A258,TextData!A:A))</f>
        <v>テンパランス</v>
      </c>
      <c r="C258">
        <v>7010</v>
      </c>
      <c r="D258" t="str">
        <f>INDEX(Define!Q:Q,MATCH(C258,Define!P:P))</f>
        <v>行動後スキル</v>
      </c>
      <c r="E258">
        <v>11</v>
      </c>
      <c r="F258">
        <v>0</v>
      </c>
      <c r="G258">
        <v>0</v>
      </c>
      <c r="H258">
        <v>100</v>
      </c>
    </row>
    <row r="259" spans="1:8">
      <c r="A259">
        <v>100820</v>
      </c>
      <c r="B259" t="str">
        <f>INDEX(TextData!B:B,MATCH(A259,TextData!A:A))</f>
        <v>シエルクルセイダー</v>
      </c>
      <c r="C259">
        <v>1010</v>
      </c>
      <c r="D259" t="str">
        <f>INDEX(Define!Q:Q,MATCH(C259,Define!P:P))</f>
        <v>Hpダメージ</v>
      </c>
      <c r="E259">
        <v>300</v>
      </c>
      <c r="F259">
        <v>0</v>
      </c>
      <c r="G259">
        <v>0</v>
      </c>
      <c r="H259">
        <v>100</v>
      </c>
    </row>
    <row r="260" spans="1:8">
      <c r="A260">
        <v>100820</v>
      </c>
      <c r="B260" t="str">
        <f>INDEX(TextData!B:B,MATCH(A260,TextData!A:A))</f>
        <v>シエルクルセイダー</v>
      </c>
      <c r="C260">
        <v>7010</v>
      </c>
      <c r="D260" t="str">
        <f>INDEX(Define!Q:Q,MATCH(C260,Define!P:P))</f>
        <v>行動後スキル</v>
      </c>
      <c r="E260">
        <v>21</v>
      </c>
      <c r="F260">
        <v>0</v>
      </c>
      <c r="G260">
        <v>0</v>
      </c>
      <c r="H260">
        <v>100</v>
      </c>
    </row>
    <row r="261" spans="1:8">
      <c r="A261">
        <v>100910</v>
      </c>
      <c r="B261" t="str">
        <f>INDEX(TextData!B:B,MATCH(A261,TextData!A:A))</f>
        <v>バーニングカウンター</v>
      </c>
      <c r="C261">
        <v>1010</v>
      </c>
      <c r="D261" t="str">
        <f>INDEX(Define!Q:Q,MATCH(C261,Define!P:P))</f>
        <v>Hpダメージ</v>
      </c>
      <c r="E261">
        <v>350</v>
      </c>
      <c r="F261">
        <v>0</v>
      </c>
      <c r="G261">
        <v>0</v>
      </c>
      <c r="H261">
        <v>100</v>
      </c>
    </row>
    <row r="262" spans="1:8">
      <c r="A262">
        <v>100910</v>
      </c>
      <c r="B262" t="str">
        <f>INDEX(TextData!B:B,MATCH(A262,TextData!A:A))</f>
        <v>バーニングカウンター</v>
      </c>
      <c r="C262">
        <v>7010</v>
      </c>
      <c r="D262" t="str">
        <f>INDEX(Define!Q:Q,MATCH(C262,Define!P:P))</f>
        <v>行動後スキル</v>
      </c>
      <c r="E262">
        <v>100911</v>
      </c>
      <c r="F262">
        <v>0</v>
      </c>
      <c r="G262">
        <v>0</v>
      </c>
      <c r="H262">
        <v>100</v>
      </c>
    </row>
    <row r="263" spans="1:8">
      <c r="A263">
        <v>100911</v>
      </c>
      <c r="B263" t="str">
        <f>INDEX(TextData!B:B,MATCH(A263,TextData!A:A))</f>
        <v>バーニングカウンター</v>
      </c>
      <c r="C263">
        <v>7010</v>
      </c>
      <c r="D263" t="str">
        <f>INDEX(Define!Q:Q,MATCH(C263,Define!P:P))</f>
        <v>行動後スキル</v>
      </c>
      <c r="E263">
        <v>11</v>
      </c>
      <c r="F263">
        <v>0</v>
      </c>
      <c r="G263">
        <v>0</v>
      </c>
      <c r="H263">
        <v>100</v>
      </c>
    </row>
    <row r="264" spans="1:8">
      <c r="A264">
        <v>100920</v>
      </c>
      <c r="B264" t="str">
        <f>INDEX(TextData!B:B,MATCH(A264,TextData!A:A))</f>
        <v>プロミネンス</v>
      </c>
      <c r="C264">
        <v>1010</v>
      </c>
      <c r="D264" t="str">
        <f>INDEX(Define!Q:Q,MATCH(C264,Define!P:P))</f>
        <v>Hpダメージ</v>
      </c>
      <c r="E264">
        <v>400</v>
      </c>
      <c r="F264">
        <v>0</v>
      </c>
      <c r="G264">
        <v>0</v>
      </c>
      <c r="H264">
        <v>100</v>
      </c>
    </row>
    <row r="265" spans="1:8">
      <c r="A265">
        <v>100920</v>
      </c>
      <c r="B265" t="str">
        <f>INDEX(TextData!B:B,MATCH(A265,TextData!A:A))</f>
        <v>プロミネンス</v>
      </c>
      <c r="C265">
        <v>7010</v>
      </c>
      <c r="D265" t="str">
        <f>INDEX(Define!Q:Q,MATCH(C265,Define!P:P))</f>
        <v>行動後スキル</v>
      </c>
      <c r="E265">
        <v>100921</v>
      </c>
      <c r="F265">
        <v>0</v>
      </c>
      <c r="G265">
        <v>0</v>
      </c>
      <c r="H265">
        <v>100</v>
      </c>
    </row>
    <row r="266" spans="1:9">
      <c r="A266">
        <v>100921</v>
      </c>
      <c r="B266" t="str">
        <f>INDEX(TextData!B:B,MATCH(A266,TextData!A:A))</f>
        <v>プロミネンス</v>
      </c>
      <c r="C266">
        <v>3010</v>
      </c>
      <c r="D266" t="str">
        <f>INDEX(Define!Q:Q,MATCH(C266,Define!P:P))</f>
        <v>ステート付与</v>
      </c>
      <c r="E266">
        <v>1070</v>
      </c>
      <c r="F266">
        <v>999</v>
      </c>
      <c r="G266">
        <v>30</v>
      </c>
      <c r="H266">
        <v>100</v>
      </c>
      <c r="I266" t="s">
        <v>25</v>
      </c>
    </row>
    <row r="267" spans="1:8">
      <c r="A267">
        <v>100921</v>
      </c>
      <c r="B267" t="str">
        <f>INDEX(TextData!B:B,MATCH(A267,TextData!A:A))</f>
        <v>プロミネンス</v>
      </c>
      <c r="C267">
        <v>7010</v>
      </c>
      <c r="D267" t="str">
        <f>INDEX(Define!Q:Q,MATCH(C267,Define!P:P))</f>
        <v>行動後スキル</v>
      </c>
      <c r="E267">
        <v>21</v>
      </c>
      <c r="F267">
        <v>0</v>
      </c>
      <c r="G267">
        <v>0</v>
      </c>
      <c r="H267">
        <v>100</v>
      </c>
    </row>
    <row r="268" spans="1:8">
      <c r="A268">
        <v>101010</v>
      </c>
      <c r="B268" t="str">
        <f>INDEX(TextData!B:B,MATCH(A268,TextData!A:A))</f>
        <v>エウロス</v>
      </c>
      <c r="C268">
        <v>12010</v>
      </c>
      <c r="D268" t="str">
        <f>INDEX(Define!Q:Q,MATCH(C268,Define!P:P))</f>
        <v>最後に受けたAbnormalを相手に移す</v>
      </c>
      <c r="E268">
        <v>0</v>
      </c>
      <c r="F268">
        <v>0</v>
      </c>
      <c r="G268">
        <v>0</v>
      </c>
      <c r="H268">
        <v>100</v>
      </c>
    </row>
    <row r="269" spans="1:8">
      <c r="A269">
        <v>101010</v>
      </c>
      <c r="B269" t="str">
        <f>INDEX(TextData!B:B,MATCH(A269,TextData!A:A))</f>
        <v>エウロス</v>
      </c>
      <c r="C269">
        <v>13010</v>
      </c>
      <c r="D269" t="str">
        <f>INDEX(Define!Q:Q,MATCH(C269,Define!P:P))</f>
        <v>対象のバフを奪い取る</v>
      </c>
      <c r="E269">
        <v>0</v>
      </c>
      <c r="F269">
        <v>0</v>
      </c>
      <c r="G269">
        <v>0</v>
      </c>
      <c r="H269">
        <v>100</v>
      </c>
    </row>
    <row r="270" spans="1:8">
      <c r="A270">
        <v>101010</v>
      </c>
      <c r="B270" t="str">
        <f>INDEX(TextData!B:B,MATCH(A270,TextData!A:A))</f>
        <v>エウロス</v>
      </c>
      <c r="C270">
        <v>7010</v>
      </c>
      <c r="D270" t="str">
        <f>INDEX(Define!Q:Q,MATCH(C270,Define!P:P))</f>
        <v>行動後スキル</v>
      </c>
      <c r="E270">
        <v>11</v>
      </c>
      <c r="F270">
        <v>0</v>
      </c>
      <c r="G270">
        <v>0</v>
      </c>
      <c r="H270">
        <v>100</v>
      </c>
    </row>
    <row r="271" spans="1:8">
      <c r="A271">
        <v>101020</v>
      </c>
      <c r="B271" t="str">
        <f>INDEX(TextData!B:B,MATCH(A271,TextData!A:A))</f>
        <v>ボレアス</v>
      </c>
      <c r="C271">
        <v>1010</v>
      </c>
      <c r="D271" t="str">
        <f>INDEX(Define!Q:Q,MATCH(C271,Define!P:P))</f>
        <v>Hpダメージ</v>
      </c>
      <c r="E271">
        <v>300</v>
      </c>
      <c r="F271">
        <v>0</v>
      </c>
      <c r="G271">
        <v>0</v>
      </c>
      <c r="H271">
        <v>100</v>
      </c>
    </row>
    <row r="272" spans="1:8">
      <c r="A272">
        <v>101020</v>
      </c>
      <c r="B272" t="str">
        <f>INDEX(TextData!B:B,MATCH(A272,TextData!A:A))</f>
        <v>ボレアス</v>
      </c>
      <c r="C272">
        <v>7010</v>
      </c>
      <c r="D272" t="str">
        <f>INDEX(Define!Q:Q,MATCH(C272,Define!P:P))</f>
        <v>行動後スキル</v>
      </c>
      <c r="E272">
        <v>21</v>
      </c>
      <c r="F272">
        <v>0</v>
      </c>
      <c r="G272">
        <v>0</v>
      </c>
      <c r="H272">
        <v>100</v>
      </c>
    </row>
    <row r="273" spans="1:9">
      <c r="A273">
        <v>101110</v>
      </c>
      <c r="B273" t="str">
        <f>INDEX(TextData!B:B,MATCH(A273,TextData!A:A))</f>
        <v>アバランシュ</v>
      </c>
      <c r="C273">
        <v>3070</v>
      </c>
      <c r="D273" t="str">
        <f>INDEX(Define!Q:Q,MATCH(C273,Define!P:P))</f>
        <v>ステートの効果を変更</v>
      </c>
      <c r="E273">
        <v>2140</v>
      </c>
      <c r="F273">
        <v>1</v>
      </c>
      <c r="G273">
        <v>200</v>
      </c>
      <c r="H273">
        <v>100</v>
      </c>
      <c r="I273" t="s">
        <v>31</v>
      </c>
    </row>
    <row r="274" spans="1:8">
      <c r="A274">
        <v>101110</v>
      </c>
      <c r="B274" t="str">
        <f>INDEX(TextData!B:B,MATCH(A274,TextData!A:A))</f>
        <v>アバランシュ</v>
      </c>
      <c r="C274">
        <v>7010</v>
      </c>
      <c r="D274" t="str">
        <f>INDEX(Define!Q:Q,MATCH(C274,Define!P:P))</f>
        <v>行動後スキル</v>
      </c>
      <c r="E274">
        <v>11</v>
      </c>
      <c r="F274">
        <v>0</v>
      </c>
      <c r="G274">
        <v>0</v>
      </c>
      <c r="H274">
        <v>100</v>
      </c>
    </row>
    <row r="275" spans="1:8">
      <c r="A275">
        <v>101120</v>
      </c>
      <c r="B275" t="str">
        <f>INDEX(TextData!B:B,MATCH(A275,TextData!A:A))</f>
        <v>ブリザードコフィン</v>
      </c>
      <c r="C275">
        <v>1040</v>
      </c>
      <c r="D275" t="str">
        <f>INDEX(Define!Q:Q,MATCH(C275,Define!P:P))</f>
        <v>特定ステートダメージ</v>
      </c>
      <c r="E275">
        <v>400</v>
      </c>
      <c r="F275">
        <v>200</v>
      </c>
      <c r="G275">
        <v>2140</v>
      </c>
      <c r="H275">
        <v>100</v>
      </c>
    </row>
    <row r="276" spans="1:8">
      <c r="A276">
        <v>101120</v>
      </c>
      <c r="B276" t="str">
        <f>INDEX(TextData!B:B,MATCH(A276,TextData!A:A))</f>
        <v>ブリザードコフィン</v>
      </c>
      <c r="C276">
        <v>7010</v>
      </c>
      <c r="D276" t="str">
        <f>INDEX(Define!Q:Q,MATCH(C276,Define!P:P))</f>
        <v>行動後スキル</v>
      </c>
      <c r="E276">
        <v>21</v>
      </c>
      <c r="F276">
        <v>0</v>
      </c>
      <c r="G276">
        <v>0</v>
      </c>
      <c r="H276">
        <v>100</v>
      </c>
    </row>
    <row r="277" spans="1:9">
      <c r="A277">
        <v>110110</v>
      </c>
      <c r="B277" t="str">
        <f>INDEX(TextData!B:B,MATCH(A277,TextData!A:A))</f>
        <v>ウィビングヒストリー</v>
      </c>
      <c r="C277">
        <v>3010</v>
      </c>
      <c r="D277" t="str">
        <f>INDEX(Define!Q:Q,MATCH(C277,Define!P:P))</f>
        <v>ステート付与</v>
      </c>
      <c r="E277">
        <v>2450</v>
      </c>
      <c r="F277">
        <v>1</v>
      </c>
      <c r="G277">
        <v>0</v>
      </c>
      <c r="H277">
        <v>100</v>
      </c>
      <c r="I277" t="s">
        <v>53</v>
      </c>
    </row>
    <row r="278" spans="1:8">
      <c r="A278">
        <v>110110</v>
      </c>
      <c r="B278" t="str">
        <f>INDEX(TextData!B:B,MATCH(A278,TextData!A:A))</f>
        <v>ウィビングヒストリー</v>
      </c>
      <c r="C278">
        <v>7010</v>
      </c>
      <c r="D278" t="str">
        <f>INDEX(Define!Q:Q,MATCH(C278,Define!P:P))</f>
        <v>行動後スキル</v>
      </c>
      <c r="E278">
        <v>11</v>
      </c>
      <c r="F278">
        <v>0</v>
      </c>
      <c r="G278">
        <v>0</v>
      </c>
      <c r="H278">
        <v>100</v>
      </c>
    </row>
    <row r="279" spans="1:8">
      <c r="A279">
        <v>110120</v>
      </c>
      <c r="B279" t="str">
        <f>INDEX(TextData!B:B,MATCH(A279,TextData!A:A))</f>
        <v>アンライバルド</v>
      </c>
      <c r="C279">
        <v>1110</v>
      </c>
      <c r="D279" t="str">
        <f>INDEX(Define!Q:Q,MATCH(C279,Define!P:P))</f>
        <v>残りHp比例ダメージ</v>
      </c>
      <c r="E279">
        <v>100</v>
      </c>
      <c r="F279">
        <v>0</v>
      </c>
      <c r="G279">
        <v>50</v>
      </c>
      <c r="H279">
        <v>100</v>
      </c>
    </row>
    <row r="280" spans="1:8">
      <c r="A280">
        <v>110120</v>
      </c>
      <c r="B280" t="str">
        <f>INDEX(TextData!B:B,MATCH(A280,TextData!A:A))</f>
        <v>アンライバルド</v>
      </c>
      <c r="C280">
        <v>7010</v>
      </c>
      <c r="D280" t="str">
        <f>INDEX(Define!Q:Q,MATCH(C280,Define!P:P))</f>
        <v>行動後スキル</v>
      </c>
      <c r="E280">
        <v>21</v>
      </c>
      <c r="F280">
        <v>0</v>
      </c>
      <c r="G280">
        <v>0</v>
      </c>
      <c r="H280">
        <v>100</v>
      </c>
    </row>
    <row r="281" spans="1:8">
      <c r="A281">
        <v>110210</v>
      </c>
      <c r="B281" t="str">
        <f>INDEX(TextData!B:B,MATCH(A281,TextData!A:A))</f>
        <v>リベリオンスピリッツ</v>
      </c>
      <c r="C281">
        <v>1010</v>
      </c>
      <c r="D281" t="str">
        <f>INDEX(Define!Q:Q,MATCH(C281,Define!P:P))</f>
        <v>Hpダメージ</v>
      </c>
      <c r="E281">
        <v>400</v>
      </c>
      <c r="F281">
        <v>0</v>
      </c>
      <c r="G281">
        <v>0</v>
      </c>
      <c r="H281">
        <v>100</v>
      </c>
    </row>
    <row r="282" spans="1:8">
      <c r="A282">
        <v>110210</v>
      </c>
      <c r="B282" t="str">
        <f>INDEX(TextData!B:B,MATCH(A282,TextData!A:A))</f>
        <v>リベリオンスピリッツ</v>
      </c>
      <c r="C282">
        <v>7010</v>
      </c>
      <c r="D282" t="str">
        <f>INDEX(Define!Q:Q,MATCH(C282,Define!P:P))</f>
        <v>行動後スキル</v>
      </c>
      <c r="E282">
        <v>11</v>
      </c>
      <c r="F282">
        <v>0</v>
      </c>
      <c r="G282">
        <v>0</v>
      </c>
      <c r="H282">
        <v>100</v>
      </c>
    </row>
    <row r="283" spans="1:8">
      <c r="A283">
        <v>110220</v>
      </c>
      <c r="B283" t="str">
        <f>INDEX(TextData!B:B,MATCH(A283,TextData!A:A))</f>
        <v>ファイナリティアビス</v>
      </c>
      <c r="C283">
        <v>1010</v>
      </c>
      <c r="D283" t="str">
        <f>INDEX(Define!Q:Q,MATCH(C283,Define!P:P))</f>
        <v>Hpダメージ</v>
      </c>
      <c r="E283">
        <v>400</v>
      </c>
      <c r="F283">
        <v>0</v>
      </c>
      <c r="G283">
        <v>0</v>
      </c>
      <c r="H283">
        <v>100</v>
      </c>
    </row>
    <row r="284" spans="1:8">
      <c r="A284">
        <v>110220</v>
      </c>
      <c r="B284" t="str">
        <f>INDEX(TextData!B:B,MATCH(A284,TextData!A:A))</f>
        <v>ファイナリティアビス</v>
      </c>
      <c r="C284">
        <v>7010</v>
      </c>
      <c r="D284" t="str">
        <f>INDEX(Define!Q:Q,MATCH(C284,Define!P:P))</f>
        <v>行動後スキル</v>
      </c>
      <c r="E284">
        <v>21</v>
      </c>
      <c r="F284">
        <v>0</v>
      </c>
      <c r="G284">
        <v>0</v>
      </c>
      <c r="H284">
        <v>100</v>
      </c>
    </row>
    <row r="285" ht="11" customHeight="1" spans="1:9">
      <c r="A285">
        <v>200110</v>
      </c>
      <c r="B285" t="str">
        <f>INDEX(TextData!B:B,MATCH(A285,TextData!A:A))</f>
        <v>ティアーズスクリプト</v>
      </c>
      <c r="C285">
        <v>3010</v>
      </c>
      <c r="D285" t="str">
        <f>INDEX(Define!Q:Q,MATCH(C285,Define!P:P))</f>
        <v>ステート付与</v>
      </c>
      <c r="E285">
        <v>1060</v>
      </c>
      <c r="F285">
        <v>999</v>
      </c>
      <c r="G285">
        <v>10</v>
      </c>
      <c r="H285">
        <v>100</v>
      </c>
      <c r="I285" t="s">
        <v>52</v>
      </c>
    </row>
    <row r="286" spans="1:8">
      <c r="A286">
        <v>200110</v>
      </c>
      <c r="B286" t="str">
        <f>INDEX(TextData!B:B,MATCH(A286,TextData!A:A))</f>
        <v>ティアーズスクリプト</v>
      </c>
      <c r="C286">
        <v>7010</v>
      </c>
      <c r="D286" t="str">
        <f>INDEX(Define!Q:Q,MATCH(C286,Define!P:P))</f>
        <v>行動後スキル</v>
      </c>
      <c r="E286">
        <v>11</v>
      </c>
      <c r="F286">
        <v>0</v>
      </c>
      <c r="G286">
        <v>0</v>
      </c>
      <c r="H286">
        <v>100</v>
      </c>
    </row>
    <row r="287" spans="1:8">
      <c r="A287">
        <v>200120</v>
      </c>
      <c r="B287" t="str">
        <f>INDEX(TextData!B:B,MATCH(A287,TextData!A:A))</f>
        <v>アングリークライ</v>
      </c>
      <c r="C287">
        <v>1010</v>
      </c>
      <c r="D287" t="str">
        <f>INDEX(Define!Q:Q,MATCH(C287,Define!P:P))</f>
        <v>Hpダメージ</v>
      </c>
      <c r="E287">
        <v>250</v>
      </c>
      <c r="F287">
        <v>0</v>
      </c>
      <c r="G287">
        <v>0</v>
      </c>
      <c r="H287">
        <v>100</v>
      </c>
    </row>
    <row r="288" spans="1:9">
      <c r="A288">
        <v>200120</v>
      </c>
      <c r="B288" t="str">
        <f>INDEX(TextData!B:B,MATCH(A288,TextData!A:A))</f>
        <v>アングリークライ</v>
      </c>
      <c r="C288">
        <v>3010</v>
      </c>
      <c r="D288" t="str">
        <f>INDEX(Define!Q:Q,MATCH(C288,Define!P:P))</f>
        <v>ステート付与</v>
      </c>
      <c r="E288">
        <v>2150</v>
      </c>
      <c r="F288">
        <v>100</v>
      </c>
      <c r="G288">
        <v>0</v>
      </c>
      <c r="H288">
        <v>100</v>
      </c>
      <c r="I288" t="s">
        <v>30</v>
      </c>
    </row>
    <row r="289" spans="1:8">
      <c r="A289">
        <v>200120</v>
      </c>
      <c r="B289" t="str">
        <f>INDEX(TextData!B:B,MATCH(A289,TextData!A:A))</f>
        <v>アングリークライ</v>
      </c>
      <c r="C289">
        <v>7010</v>
      </c>
      <c r="D289" t="str">
        <f>INDEX(Define!Q:Q,MATCH(C289,Define!P:P))</f>
        <v>行動後スキル</v>
      </c>
      <c r="E289">
        <v>21</v>
      </c>
      <c r="F289">
        <v>0</v>
      </c>
      <c r="G289">
        <v>0</v>
      </c>
      <c r="H289">
        <v>100</v>
      </c>
    </row>
    <row r="290" ht="11" customHeight="1" spans="1:9">
      <c r="A290">
        <v>200210</v>
      </c>
      <c r="B290" t="str">
        <f>INDEX(TextData!B:B,MATCH(A290,TextData!A:A))</f>
        <v>インフェルノ</v>
      </c>
      <c r="C290">
        <v>3010</v>
      </c>
      <c r="D290" t="str">
        <f>INDEX(Define!Q:Q,MATCH(C290,Define!P:P))</f>
        <v>ステート付与</v>
      </c>
      <c r="E290">
        <v>2012</v>
      </c>
      <c r="F290">
        <v>999</v>
      </c>
      <c r="G290">
        <v>5</v>
      </c>
      <c r="H290">
        <v>100</v>
      </c>
      <c r="I290" t="s">
        <v>64</v>
      </c>
    </row>
    <row r="291" spans="1:8">
      <c r="A291">
        <v>200210</v>
      </c>
      <c r="B291" t="str">
        <f>INDEX(TextData!B:B,MATCH(A291,TextData!A:A))</f>
        <v>インフェルノ</v>
      </c>
      <c r="C291">
        <v>7010</v>
      </c>
      <c r="D291" t="str">
        <f>INDEX(Define!Q:Q,MATCH(C291,Define!P:P))</f>
        <v>行動後スキル</v>
      </c>
      <c r="E291">
        <v>11</v>
      </c>
      <c r="F291">
        <v>0</v>
      </c>
      <c r="G291">
        <v>0</v>
      </c>
      <c r="H291">
        <v>100</v>
      </c>
    </row>
    <row r="292" spans="1:8">
      <c r="A292">
        <v>200220</v>
      </c>
      <c r="B292" t="str">
        <f>INDEX(TextData!B:B,MATCH(A292,TextData!A:A))</f>
        <v>ハートアブレイズ</v>
      </c>
      <c r="C292">
        <v>2010</v>
      </c>
      <c r="D292" t="str">
        <f>INDEX(Define!Q:Q,MATCH(C292,Define!P:P))</f>
        <v>Hp回復</v>
      </c>
      <c r="E292">
        <v>50</v>
      </c>
      <c r="F292">
        <v>0</v>
      </c>
      <c r="G292">
        <v>1</v>
      </c>
      <c r="H292">
        <v>100</v>
      </c>
    </row>
    <row r="293" spans="1:8">
      <c r="A293">
        <v>200220</v>
      </c>
      <c r="B293" t="str">
        <f>INDEX(TextData!B:B,MATCH(A293,TextData!A:A))</f>
        <v>ハートアブレイズ</v>
      </c>
      <c r="C293">
        <v>7010</v>
      </c>
      <c r="D293" t="str">
        <f>INDEX(Define!Q:Q,MATCH(C293,Define!P:P))</f>
        <v>行動後スキル</v>
      </c>
      <c r="E293">
        <v>21</v>
      </c>
      <c r="F293">
        <v>0</v>
      </c>
      <c r="G293">
        <v>0</v>
      </c>
      <c r="H293">
        <v>100</v>
      </c>
    </row>
    <row r="294" spans="1:9">
      <c r="A294">
        <v>200230</v>
      </c>
      <c r="B294" t="str">
        <f>INDEX(TextData!B:B,MATCH(A294,TextData!A:A))</f>
        <v>悪魔(ベリト)</v>
      </c>
      <c r="C294">
        <v>3010</v>
      </c>
      <c r="D294" t="str">
        <f>INDEX(Define!Q:Q,MATCH(C294,Define!P:P))</f>
        <v>ステート付与</v>
      </c>
      <c r="E294">
        <v>1040</v>
      </c>
      <c r="F294">
        <v>999</v>
      </c>
      <c r="G294">
        <v>20</v>
      </c>
      <c r="H294">
        <v>100</v>
      </c>
      <c r="I294" t="s">
        <v>49</v>
      </c>
    </row>
    <row r="295" spans="1:9">
      <c r="A295">
        <v>200310</v>
      </c>
      <c r="B295" t="str">
        <f>INDEX(TextData!B:B,MATCH(A295,TextData!A:A))</f>
        <v>ハードウォール</v>
      </c>
      <c r="C295">
        <v>3010</v>
      </c>
      <c r="D295" t="str">
        <f>INDEX(Define!Q:Q,MATCH(C295,Define!P:P))</f>
        <v>ステート付与</v>
      </c>
      <c r="E295">
        <v>1050</v>
      </c>
      <c r="F295">
        <v>999</v>
      </c>
      <c r="G295">
        <v>15</v>
      </c>
      <c r="H295">
        <v>100</v>
      </c>
      <c r="I295" t="s">
        <v>37</v>
      </c>
    </row>
    <row r="296" spans="1:8">
      <c r="A296">
        <v>200320</v>
      </c>
      <c r="B296" t="str">
        <f>INDEX(TextData!B:B,MATCH(A296,TextData!A:A))</f>
        <v>リファクター</v>
      </c>
      <c r="C296">
        <v>2010</v>
      </c>
      <c r="D296" t="str">
        <f>INDEX(Define!Q:Q,MATCH(C296,Define!P:P))</f>
        <v>Hp回復</v>
      </c>
      <c r="E296">
        <v>30</v>
      </c>
      <c r="F296">
        <v>0</v>
      </c>
      <c r="G296">
        <v>1</v>
      </c>
      <c r="H296">
        <v>100</v>
      </c>
    </row>
    <row r="297" spans="1:9">
      <c r="A297">
        <v>200320</v>
      </c>
      <c r="B297" t="str">
        <f>INDEX(TextData!B:B,MATCH(A297,TextData!A:A))</f>
        <v>リファクター</v>
      </c>
      <c r="C297">
        <v>3010</v>
      </c>
      <c r="D297" t="str">
        <f>INDEX(Define!Q:Q,MATCH(C297,Define!P:P))</f>
        <v>ステート付与</v>
      </c>
      <c r="E297">
        <v>1040</v>
      </c>
      <c r="F297">
        <v>999</v>
      </c>
      <c r="G297">
        <v>15</v>
      </c>
      <c r="H297">
        <v>100</v>
      </c>
      <c r="I297" t="s">
        <v>49</v>
      </c>
    </row>
    <row r="298" spans="1:9">
      <c r="A298">
        <v>200330</v>
      </c>
      <c r="B298" t="str">
        <f>INDEX(TextData!B:B,MATCH(A298,TextData!A:A))</f>
        <v>悪魔(アモン)</v>
      </c>
      <c r="C298">
        <v>3010</v>
      </c>
      <c r="D298" t="str">
        <f>INDEX(Define!Q:Q,MATCH(C298,Define!P:P))</f>
        <v>ステート付与</v>
      </c>
      <c r="E298">
        <v>1050</v>
      </c>
      <c r="F298">
        <v>999</v>
      </c>
      <c r="G298">
        <v>15</v>
      </c>
      <c r="H298">
        <v>100</v>
      </c>
      <c r="I298" t="s">
        <v>37</v>
      </c>
    </row>
    <row r="299" spans="1:8">
      <c r="A299">
        <v>200410</v>
      </c>
      <c r="B299" t="str">
        <f>INDEX(TextData!B:B,MATCH(A299,TextData!A:A))</f>
        <v>コウソクテンショウ</v>
      </c>
      <c r="C299">
        <v>1010</v>
      </c>
      <c r="D299" t="str">
        <f>INDEX(Define!Q:Q,MATCH(C299,Define!P:P))</f>
        <v>Hpダメージ</v>
      </c>
      <c r="E299">
        <v>300</v>
      </c>
      <c r="F299">
        <v>0</v>
      </c>
      <c r="G299">
        <v>0</v>
      </c>
      <c r="H299">
        <v>100</v>
      </c>
    </row>
    <row r="300" spans="1:8">
      <c r="A300">
        <v>200410</v>
      </c>
      <c r="B300" t="str">
        <f>INDEX(TextData!B:B,MATCH(A300,TextData!A:A))</f>
        <v>コウソクテンショウ</v>
      </c>
      <c r="C300">
        <v>7010</v>
      </c>
      <c r="D300" t="str">
        <f>INDEX(Define!Q:Q,MATCH(C300,Define!P:P))</f>
        <v>行動後スキル</v>
      </c>
      <c r="E300">
        <v>200411</v>
      </c>
      <c r="F300">
        <v>0</v>
      </c>
      <c r="G300">
        <v>0</v>
      </c>
      <c r="H300">
        <v>100</v>
      </c>
    </row>
    <row r="301" spans="1:9">
      <c r="A301">
        <v>200411</v>
      </c>
      <c r="B301" t="str">
        <f>INDEX(TextData!B:B,MATCH(A301,TextData!A:A))</f>
        <v>コウソクテンショウ</v>
      </c>
      <c r="C301">
        <v>3010</v>
      </c>
      <c r="D301" t="str">
        <f>INDEX(Define!Q:Q,MATCH(C301,Define!P:P))</f>
        <v>ステート付与</v>
      </c>
      <c r="E301">
        <v>2060</v>
      </c>
      <c r="F301">
        <v>999</v>
      </c>
      <c r="G301">
        <v>25</v>
      </c>
      <c r="H301">
        <v>100</v>
      </c>
      <c r="I301" t="s">
        <v>54</v>
      </c>
    </row>
    <row r="302" spans="1:8">
      <c r="A302">
        <v>200411</v>
      </c>
      <c r="B302" t="str">
        <f>INDEX(TextData!B:B,MATCH(A302,TextData!A:A))</f>
        <v>コウソクテンショウ</v>
      </c>
      <c r="C302">
        <v>7010</v>
      </c>
      <c r="D302" t="str">
        <f>INDEX(Define!Q:Q,MATCH(C302,Define!P:P))</f>
        <v>行動後スキル</v>
      </c>
      <c r="E302">
        <v>11</v>
      </c>
      <c r="F302">
        <v>0</v>
      </c>
      <c r="G302">
        <v>0</v>
      </c>
      <c r="H302">
        <v>100</v>
      </c>
    </row>
    <row r="303" spans="1:8">
      <c r="A303">
        <v>200420</v>
      </c>
      <c r="B303" t="str">
        <f>INDEX(TextData!B:B,MATCH(A303,TextData!A:A))</f>
        <v>アンチバフ</v>
      </c>
      <c r="C303">
        <v>3050</v>
      </c>
      <c r="D303" t="str">
        <f>INDEX(Define!Q:Q,MATCH(C303,Define!P:P))</f>
        <v>バフステート解除</v>
      </c>
      <c r="E303">
        <v>0</v>
      </c>
      <c r="F303">
        <v>0</v>
      </c>
      <c r="G303">
        <v>0</v>
      </c>
      <c r="H303">
        <v>100</v>
      </c>
    </row>
    <row r="304" spans="1:8">
      <c r="A304">
        <v>200420</v>
      </c>
      <c r="B304" t="str">
        <f>INDEX(TextData!B:B,MATCH(A304,TextData!A:A))</f>
        <v>アンチバフ</v>
      </c>
      <c r="C304">
        <v>7010</v>
      </c>
      <c r="D304" t="str">
        <f>INDEX(Define!Q:Q,MATCH(C304,Define!P:P))</f>
        <v>行動後スキル</v>
      </c>
      <c r="E304">
        <v>21</v>
      </c>
      <c r="F304">
        <v>0</v>
      </c>
      <c r="G304">
        <v>0</v>
      </c>
      <c r="H304">
        <v>100</v>
      </c>
    </row>
    <row r="305" spans="1:8">
      <c r="A305">
        <v>200430</v>
      </c>
      <c r="B305" t="str">
        <f>INDEX(TextData!B:B,MATCH(A305,TextData!A:A))</f>
        <v>悪魔(アンドラス)</v>
      </c>
      <c r="C305">
        <v>6100</v>
      </c>
      <c r="D305" t="str">
        <f>INDEX(Define!Q:Q,MATCH(C305,Define!P:P))</f>
        <v>指定魔法の攻撃回数を増やす(強化限定)</v>
      </c>
      <c r="E305">
        <v>2010</v>
      </c>
      <c r="F305">
        <v>0</v>
      </c>
      <c r="G305">
        <v>3</v>
      </c>
      <c r="H305">
        <v>100</v>
      </c>
    </row>
    <row r="306" spans="1:9">
      <c r="A306">
        <v>200510</v>
      </c>
      <c r="B306" t="str">
        <f>INDEX(TextData!B:B,MATCH(A306,TextData!A:A))</f>
        <v>カウントダウン</v>
      </c>
      <c r="C306">
        <v>3010</v>
      </c>
      <c r="D306" t="str">
        <f>INDEX(Define!Q:Q,MATCH(C306,Define!P:P))</f>
        <v>ステート付与</v>
      </c>
      <c r="E306">
        <v>2050</v>
      </c>
      <c r="F306">
        <v>10</v>
      </c>
      <c r="G306">
        <v>0</v>
      </c>
      <c r="H306">
        <v>100</v>
      </c>
      <c r="I306" t="s">
        <v>33</v>
      </c>
    </row>
    <row r="307" spans="1:8">
      <c r="A307">
        <v>200510</v>
      </c>
      <c r="B307" t="str">
        <f>INDEX(TextData!B:B,MATCH(A307,TextData!A:A))</f>
        <v>カウントダウン</v>
      </c>
      <c r="C307">
        <v>7010</v>
      </c>
      <c r="D307" t="str">
        <f>INDEX(Define!Q:Q,MATCH(C307,Define!P:P))</f>
        <v>行動後スキル</v>
      </c>
      <c r="E307">
        <v>11</v>
      </c>
      <c r="F307">
        <v>0</v>
      </c>
      <c r="G307">
        <v>0</v>
      </c>
      <c r="H307">
        <v>100</v>
      </c>
    </row>
    <row r="308" spans="1:9">
      <c r="A308">
        <v>200520</v>
      </c>
      <c r="B308" t="str">
        <f>INDEX(TextData!B:B,MATCH(A308,TextData!A:A))</f>
        <v>グラウンドゼロ</v>
      </c>
      <c r="C308">
        <v>3010</v>
      </c>
      <c r="D308" t="str">
        <f>INDEX(Define!Q:Q,MATCH(C308,Define!P:P))</f>
        <v>ステート付与</v>
      </c>
      <c r="E308">
        <v>1</v>
      </c>
      <c r="F308">
        <v>0</v>
      </c>
      <c r="G308">
        <v>0</v>
      </c>
      <c r="H308">
        <v>100</v>
      </c>
      <c r="I308" t="s">
        <v>39</v>
      </c>
    </row>
    <row r="309" spans="1:8">
      <c r="A309">
        <v>200520</v>
      </c>
      <c r="B309" t="str">
        <f>INDEX(TextData!B:B,MATCH(A309,TextData!A:A))</f>
        <v>グラウンドゼロ</v>
      </c>
      <c r="C309">
        <v>11010</v>
      </c>
      <c r="D309" t="str">
        <f>INDEX(Define!Q:Q,MATCH(C309,Define!P:P))</f>
        <v>命中判定しない</v>
      </c>
      <c r="E309">
        <v>0</v>
      </c>
      <c r="F309">
        <v>0</v>
      </c>
      <c r="G309">
        <v>0</v>
      </c>
      <c r="H309">
        <v>100</v>
      </c>
    </row>
    <row r="310" spans="1:8">
      <c r="A310">
        <v>200520</v>
      </c>
      <c r="B310" t="str">
        <f>INDEX(TextData!B:B,MATCH(A310,TextData!A:A))</f>
        <v>グラウンドゼロ</v>
      </c>
      <c r="C310">
        <v>7010</v>
      </c>
      <c r="D310" t="str">
        <f>INDEX(Define!Q:Q,MATCH(C310,Define!P:P))</f>
        <v>行動後スキル</v>
      </c>
      <c r="E310">
        <v>21</v>
      </c>
      <c r="F310">
        <v>0</v>
      </c>
      <c r="G310">
        <v>0</v>
      </c>
      <c r="H310">
        <v>100</v>
      </c>
    </row>
    <row r="311" spans="1:9">
      <c r="A311">
        <v>200530</v>
      </c>
      <c r="B311" t="str">
        <f>INDEX(TextData!B:B,MATCH(A311,TextData!A:A))</f>
        <v>悪魔(ビフロンス)</v>
      </c>
      <c r="C311">
        <v>3010</v>
      </c>
      <c r="D311" t="str">
        <f>INDEX(Define!Q:Q,MATCH(C311,Define!P:P))</f>
        <v>ステート付与</v>
      </c>
      <c r="E311">
        <v>2410</v>
      </c>
      <c r="F311">
        <v>999</v>
      </c>
      <c r="G311">
        <v>25</v>
      </c>
      <c r="H311">
        <v>100</v>
      </c>
      <c r="I311" t="s">
        <v>34</v>
      </c>
    </row>
    <row r="312" spans="1:9">
      <c r="A312">
        <v>201010</v>
      </c>
      <c r="B312" t="str">
        <f>INDEX(TextData!B:B,MATCH(A312,TextData!A:A))</f>
        <v>カオスペイン</v>
      </c>
      <c r="C312">
        <v>3010</v>
      </c>
      <c r="D312" t="str">
        <f>INDEX(Define!Q:Q,MATCH(C312,Define!P:P))</f>
        <v>ステート付与</v>
      </c>
      <c r="E312">
        <v>2010</v>
      </c>
      <c r="F312">
        <v>2</v>
      </c>
      <c r="G312">
        <v>25</v>
      </c>
      <c r="H312">
        <v>100</v>
      </c>
      <c r="I312" t="s">
        <v>35</v>
      </c>
    </row>
    <row r="313" spans="1:8">
      <c r="A313">
        <v>201010</v>
      </c>
      <c r="B313" t="str">
        <f>INDEX(TextData!B:B,MATCH(A313,TextData!A:A))</f>
        <v>カオスペイン</v>
      </c>
      <c r="C313">
        <v>7010</v>
      </c>
      <c r="D313" t="str">
        <f>INDEX(Define!Q:Q,MATCH(C313,Define!P:P))</f>
        <v>行動後スキル</v>
      </c>
      <c r="E313">
        <v>11</v>
      </c>
      <c r="F313">
        <v>0</v>
      </c>
      <c r="G313">
        <v>0</v>
      </c>
      <c r="H313">
        <v>100</v>
      </c>
    </row>
    <row r="314" spans="1:8">
      <c r="A314">
        <v>201020</v>
      </c>
      <c r="B314" t="str">
        <f>INDEX(TextData!B:B,MATCH(A314,TextData!A:A))</f>
        <v>フォールンワン</v>
      </c>
      <c r="C314">
        <v>2030</v>
      </c>
      <c r="D314" t="str">
        <f>INDEX(Define!Q:Q,MATCH(C314,Define!P:P))</f>
        <v>対象のHpを1にする</v>
      </c>
      <c r="E314">
        <v>0</v>
      </c>
      <c r="F314">
        <v>0</v>
      </c>
      <c r="G314">
        <v>0</v>
      </c>
      <c r="H314">
        <v>100</v>
      </c>
    </row>
    <row r="315" spans="1:8">
      <c r="A315">
        <v>201020</v>
      </c>
      <c r="B315" t="str">
        <f>INDEX(TextData!B:B,MATCH(A315,TextData!A:A))</f>
        <v>フォールンワン</v>
      </c>
      <c r="C315">
        <v>11010</v>
      </c>
      <c r="D315" t="str">
        <f>INDEX(Define!Q:Q,MATCH(C315,Define!P:P))</f>
        <v>命中判定しない</v>
      </c>
      <c r="E315">
        <v>0</v>
      </c>
      <c r="F315">
        <v>0</v>
      </c>
      <c r="G315">
        <v>0</v>
      </c>
      <c r="H315">
        <v>100</v>
      </c>
    </row>
    <row r="316" spans="1:8">
      <c r="A316">
        <v>201020</v>
      </c>
      <c r="B316" t="str">
        <f>INDEX(TextData!B:B,MATCH(A316,TextData!A:A))</f>
        <v>フォールンワン</v>
      </c>
      <c r="C316">
        <v>7010</v>
      </c>
      <c r="D316" t="str">
        <f>INDEX(Define!Q:Q,MATCH(C316,Define!P:P))</f>
        <v>行動後スキル</v>
      </c>
      <c r="E316">
        <v>21</v>
      </c>
      <c r="F316">
        <v>0</v>
      </c>
      <c r="G316">
        <v>0</v>
      </c>
      <c r="H316">
        <v>100</v>
      </c>
    </row>
    <row r="317" spans="1:9">
      <c r="A317">
        <v>201030</v>
      </c>
      <c r="B317" t="str">
        <f>INDEX(TextData!B:B,MATCH(A317,TextData!A:A))</f>
        <v>アンリマユ</v>
      </c>
      <c r="C317">
        <v>3010</v>
      </c>
      <c r="D317" t="str">
        <f>INDEX(Define!Q:Q,MATCH(C317,Define!P:P))</f>
        <v>ステート付与</v>
      </c>
      <c r="E317">
        <v>2050</v>
      </c>
      <c r="F317">
        <v>2</v>
      </c>
      <c r="G317">
        <v>0</v>
      </c>
      <c r="H317">
        <v>100</v>
      </c>
      <c r="I317" t="s">
        <v>33</v>
      </c>
    </row>
    <row r="318" spans="1:9">
      <c r="A318">
        <v>209310</v>
      </c>
      <c r="B318" t="str">
        <f>INDEX(TextData!B:B,MATCH(A318,TextData!A:A))</f>
        <v>プルガシオン</v>
      </c>
      <c r="C318">
        <v>3010</v>
      </c>
      <c r="D318" t="str">
        <f>INDEX(Define!Q:Q,MATCH(C318,Define!P:P))</f>
        <v>ステート付与</v>
      </c>
      <c r="E318">
        <v>2040</v>
      </c>
      <c r="F318">
        <v>3</v>
      </c>
      <c r="G318">
        <v>15</v>
      </c>
      <c r="H318">
        <v>100</v>
      </c>
      <c r="I318" t="s">
        <v>58</v>
      </c>
    </row>
    <row r="319" spans="1:8">
      <c r="A319">
        <v>209310</v>
      </c>
      <c r="B319" t="str">
        <f>INDEX(TextData!B:B,MATCH(A319,TextData!A:A))</f>
        <v>プルガシオン</v>
      </c>
      <c r="C319">
        <v>7010</v>
      </c>
      <c r="D319" t="str">
        <f>INDEX(Define!Q:Q,MATCH(C319,Define!P:P))</f>
        <v>行動後スキル</v>
      </c>
      <c r="E319">
        <v>11</v>
      </c>
      <c r="F319">
        <v>0</v>
      </c>
      <c r="G319">
        <v>0</v>
      </c>
      <c r="H319">
        <v>100</v>
      </c>
    </row>
    <row r="320" spans="1:9">
      <c r="A320">
        <v>209320</v>
      </c>
      <c r="B320" t="str">
        <f>INDEX(TextData!B:B,MATCH(A320,TextData!A:A))</f>
        <v>プリエステス</v>
      </c>
      <c r="C320">
        <v>3010</v>
      </c>
      <c r="D320" t="str">
        <f>INDEX(Define!Q:Q,MATCH(C320,Define!P:P))</f>
        <v>ステート付与</v>
      </c>
      <c r="E320">
        <v>2030</v>
      </c>
      <c r="F320">
        <v>999</v>
      </c>
      <c r="G320">
        <v>50</v>
      </c>
      <c r="H320">
        <v>100</v>
      </c>
      <c r="I320" t="s">
        <v>36</v>
      </c>
    </row>
    <row r="321" spans="1:8">
      <c r="A321">
        <v>209320</v>
      </c>
      <c r="B321" t="str">
        <f>INDEX(TextData!B:B,MATCH(A321,TextData!A:A))</f>
        <v>プリエステス</v>
      </c>
      <c r="C321">
        <v>7010</v>
      </c>
      <c r="D321" t="str">
        <f>INDEX(Define!Q:Q,MATCH(C321,Define!P:P))</f>
        <v>行動後スキル</v>
      </c>
      <c r="E321">
        <v>21</v>
      </c>
      <c r="F321">
        <v>0</v>
      </c>
      <c r="G321">
        <v>0</v>
      </c>
      <c r="H321">
        <v>100</v>
      </c>
    </row>
    <row r="322" spans="1:9">
      <c r="A322">
        <v>209330</v>
      </c>
      <c r="B322" t="str">
        <f>INDEX(TextData!B:B,MATCH(A322,TextData!A:A))</f>
        <v>悪魔(パイモン)</v>
      </c>
      <c r="C322">
        <v>3010</v>
      </c>
      <c r="D322" t="str">
        <f>INDEX(Define!Q:Q,MATCH(C322,Define!P:P))</f>
        <v>ステート付与</v>
      </c>
      <c r="E322">
        <v>2340</v>
      </c>
      <c r="F322">
        <v>999</v>
      </c>
      <c r="G322">
        <v>0</v>
      </c>
      <c r="H322">
        <v>100</v>
      </c>
      <c r="I322" t="s">
        <v>65</v>
      </c>
    </row>
    <row r="323" spans="1:9">
      <c r="A323">
        <v>209330</v>
      </c>
      <c r="B323" t="str">
        <f>INDEX(TextData!B:B,MATCH(A323,TextData!A:A))</f>
        <v>悪魔(パイモン)</v>
      </c>
      <c r="C323">
        <v>3010</v>
      </c>
      <c r="D323" t="str">
        <f>INDEX(Define!Q:Q,MATCH(C323,Define!P:P))</f>
        <v>ステート付与</v>
      </c>
      <c r="E323">
        <v>2190</v>
      </c>
      <c r="F323">
        <v>999</v>
      </c>
      <c r="G323">
        <v>0</v>
      </c>
      <c r="H323">
        <v>100</v>
      </c>
      <c r="I323" t="s">
        <v>46</v>
      </c>
    </row>
    <row r="324" spans="1:9">
      <c r="A324">
        <v>300010</v>
      </c>
      <c r="B324" t="str">
        <f>INDEX(TextData!B:B,MATCH(A324,TextData!A:A))</f>
        <v>ライフブースト</v>
      </c>
      <c r="C324">
        <v>3010</v>
      </c>
      <c r="D324" t="str">
        <f>INDEX(Define!Q:Q,MATCH(C324,Define!P:P))</f>
        <v>ステート付与</v>
      </c>
      <c r="E324">
        <v>1020</v>
      </c>
      <c r="F324">
        <v>999</v>
      </c>
      <c r="G324">
        <v>5</v>
      </c>
      <c r="H324">
        <v>100</v>
      </c>
      <c r="I324" t="s">
        <v>48</v>
      </c>
    </row>
    <row r="325" spans="1:8">
      <c r="A325">
        <v>300020</v>
      </c>
      <c r="B325" t="str">
        <f>INDEX(TextData!B:B,MATCH(A325,TextData!A:A))</f>
        <v>スピリットチャージ</v>
      </c>
      <c r="C325">
        <v>4040</v>
      </c>
      <c r="D325" t="str">
        <f>INDEX(Define!Q:Q,MATCH(C325,Define!P:P))</f>
        <v>指定魔法のCｔ回復</v>
      </c>
      <c r="E325">
        <v>1</v>
      </c>
      <c r="F325">
        <v>0</v>
      </c>
      <c r="G325">
        <v>0</v>
      </c>
      <c r="H325">
        <v>100</v>
      </c>
    </row>
    <row r="326" spans="1:9">
      <c r="A326">
        <v>300030</v>
      </c>
      <c r="B326" t="str">
        <f>INDEX(TextData!B:B,MATCH(A326,TextData!A:A))</f>
        <v>フォースライズ</v>
      </c>
      <c r="C326">
        <v>3010</v>
      </c>
      <c r="D326" t="str">
        <f>INDEX(Define!Q:Q,MATCH(C326,Define!P:P))</f>
        <v>ステート付与</v>
      </c>
      <c r="E326">
        <v>1040</v>
      </c>
      <c r="F326">
        <v>999</v>
      </c>
      <c r="G326">
        <v>4</v>
      </c>
      <c r="H326">
        <v>100</v>
      </c>
      <c r="I326" t="s">
        <v>49</v>
      </c>
    </row>
    <row r="327" spans="1:9">
      <c r="A327">
        <v>300040</v>
      </c>
      <c r="B327" t="str">
        <f>INDEX(TextData!B:B,MATCH(A327,TextData!A:A))</f>
        <v>ディフェンスオーラ</v>
      </c>
      <c r="C327">
        <v>3010</v>
      </c>
      <c r="D327" t="str">
        <f>INDEX(Define!Q:Q,MATCH(C327,Define!P:P))</f>
        <v>ステート付与</v>
      </c>
      <c r="E327">
        <v>1050</v>
      </c>
      <c r="F327">
        <v>999</v>
      </c>
      <c r="G327">
        <v>4</v>
      </c>
      <c r="H327">
        <v>100</v>
      </c>
      <c r="I327" t="s">
        <v>37</v>
      </c>
    </row>
    <row r="328" spans="1:9">
      <c r="A328">
        <v>300050</v>
      </c>
      <c r="B328" t="str">
        <f>INDEX(TextData!B:B,MATCH(A328,TextData!A:A))</f>
        <v>ラピッドムーブ</v>
      </c>
      <c r="C328">
        <v>3010</v>
      </c>
      <c r="D328" t="str">
        <f>INDEX(Define!Q:Q,MATCH(C328,Define!P:P))</f>
        <v>ステート付与</v>
      </c>
      <c r="E328">
        <v>1060</v>
      </c>
      <c r="F328">
        <v>999</v>
      </c>
      <c r="G328">
        <v>3</v>
      </c>
      <c r="H328">
        <v>100</v>
      </c>
      <c r="I328" t="s">
        <v>52</v>
      </c>
    </row>
    <row r="329" spans="1:9">
      <c r="A329">
        <v>300130</v>
      </c>
      <c r="B329" t="str">
        <f>INDEX(TextData!B:B,MATCH(A329,TextData!A:A))</f>
        <v>アタックブレイク</v>
      </c>
      <c r="C329">
        <v>3010</v>
      </c>
      <c r="D329" t="str">
        <f>INDEX(Define!Q:Q,MATCH(C329,Define!P:P))</f>
        <v>ステート付与</v>
      </c>
      <c r="E329">
        <v>1041</v>
      </c>
      <c r="F329">
        <v>999</v>
      </c>
      <c r="G329">
        <v>4</v>
      </c>
      <c r="H329">
        <v>100</v>
      </c>
      <c r="I329" t="s">
        <v>43</v>
      </c>
    </row>
    <row r="330" spans="1:9">
      <c r="A330">
        <v>300140</v>
      </c>
      <c r="B330" t="str">
        <f>INDEX(TextData!B:B,MATCH(A330,TextData!A:A))</f>
        <v>シールドバニッシュ</v>
      </c>
      <c r="C330">
        <v>3010</v>
      </c>
      <c r="D330" t="str">
        <f>INDEX(Define!Q:Q,MATCH(C330,Define!P:P))</f>
        <v>ステート付与</v>
      </c>
      <c r="E330">
        <v>1051</v>
      </c>
      <c r="F330">
        <v>999</v>
      </c>
      <c r="G330">
        <v>4</v>
      </c>
      <c r="H330">
        <v>100</v>
      </c>
      <c r="I330" t="s">
        <v>32</v>
      </c>
    </row>
    <row r="331" spans="1:8">
      <c r="A331">
        <v>300210</v>
      </c>
      <c r="B331" t="str">
        <f>INDEX(TextData!B:B,MATCH(A331,TextData!A:A))</f>
        <v>エーテルリチャージ</v>
      </c>
      <c r="C331">
        <v>4020</v>
      </c>
      <c r="D331" t="str">
        <f>INDEX(Define!Q:Q,MATCH(C331,Define!P:P))</f>
        <v>Ct回復</v>
      </c>
      <c r="E331">
        <v>1</v>
      </c>
      <c r="F331">
        <v>0</v>
      </c>
      <c r="G331">
        <v>0</v>
      </c>
      <c r="H331">
        <v>100</v>
      </c>
    </row>
    <row r="332" spans="1:9">
      <c r="A332">
        <v>300220</v>
      </c>
      <c r="B332" t="str">
        <f>INDEX(TextData!B:B,MATCH(A332,TextData!A:A))</f>
        <v>リカバリーエンハンス</v>
      </c>
      <c r="C332">
        <v>3010</v>
      </c>
      <c r="D332" t="str">
        <f>INDEX(Define!Q:Q,MATCH(C332,Define!P:P))</f>
        <v>ステート付与</v>
      </c>
      <c r="E332">
        <v>2460</v>
      </c>
      <c r="F332">
        <v>999</v>
      </c>
      <c r="G332">
        <v>5</v>
      </c>
      <c r="H332">
        <v>100</v>
      </c>
      <c r="I332" t="s">
        <v>66</v>
      </c>
    </row>
    <row r="333" spans="1:9">
      <c r="A333">
        <v>300230</v>
      </c>
      <c r="B333" t="str">
        <f>INDEX(TextData!B:B,MATCH(A333,TextData!A:A))</f>
        <v>ヴェンジェンス</v>
      </c>
      <c r="C333">
        <v>3010</v>
      </c>
      <c r="D333" t="str">
        <f>INDEX(Define!Q:Q,MATCH(C333,Define!P:P))</f>
        <v>ステート付与</v>
      </c>
      <c r="E333">
        <v>2030</v>
      </c>
      <c r="F333">
        <v>999</v>
      </c>
      <c r="G333">
        <v>30</v>
      </c>
      <c r="H333">
        <v>100</v>
      </c>
      <c r="I333" t="s">
        <v>36</v>
      </c>
    </row>
    <row r="334" spans="1:8">
      <c r="A334">
        <v>301010</v>
      </c>
      <c r="B334" t="str">
        <f>INDEX(TextData!B:B,MATCH(A334,TextData!A:A))</f>
        <v>ディケイドリセット</v>
      </c>
      <c r="C334">
        <v>5012</v>
      </c>
      <c r="D334" t="str">
        <f>INDEX(Define!Q:Q,MATCH(C334,Define!P:P))</f>
        <v>ActionResult扱いでAP指定</v>
      </c>
      <c r="E334">
        <v>0</v>
      </c>
      <c r="F334">
        <v>0</v>
      </c>
      <c r="G334">
        <v>0</v>
      </c>
      <c r="H334">
        <v>100</v>
      </c>
    </row>
    <row r="335" spans="1:9">
      <c r="A335">
        <v>301020</v>
      </c>
      <c r="B335" t="str">
        <f>INDEX(TextData!B:B,MATCH(A335,TextData!A:A))</f>
        <v>ウォーリアーブラッド</v>
      </c>
      <c r="C335">
        <v>3010</v>
      </c>
      <c r="D335" t="str">
        <f>INDEX(Define!Q:Q,MATCH(C335,Define!P:P))</f>
        <v>ステート付与</v>
      </c>
      <c r="E335">
        <v>1040</v>
      </c>
      <c r="F335">
        <v>999</v>
      </c>
      <c r="G335">
        <v>8</v>
      </c>
      <c r="H335">
        <v>100</v>
      </c>
      <c r="I335" t="s">
        <v>49</v>
      </c>
    </row>
    <row r="336" spans="1:9">
      <c r="A336">
        <v>301030</v>
      </c>
      <c r="B336" t="str">
        <f>INDEX(TextData!B:B,MATCH(A336,TextData!A:A))</f>
        <v>トライアングルガード</v>
      </c>
      <c r="C336">
        <v>3010</v>
      </c>
      <c r="D336" t="str">
        <f>INDEX(Define!Q:Q,MATCH(C336,Define!P:P))</f>
        <v>ステート付与</v>
      </c>
      <c r="E336">
        <v>1100</v>
      </c>
      <c r="F336">
        <v>1</v>
      </c>
      <c r="G336">
        <v>30</v>
      </c>
      <c r="H336">
        <v>100</v>
      </c>
      <c r="I336" t="s">
        <v>40</v>
      </c>
    </row>
    <row r="337" spans="1:9">
      <c r="A337">
        <v>301040</v>
      </c>
      <c r="B337" t="str">
        <f>INDEX(TextData!B:B,MATCH(A337,TextData!A:A))</f>
        <v>セーフティバリア</v>
      </c>
      <c r="C337">
        <v>3010</v>
      </c>
      <c r="D337" t="str">
        <f>INDEX(Define!Q:Q,MATCH(C337,Define!P:P))</f>
        <v>ステート付与</v>
      </c>
      <c r="E337">
        <v>2050</v>
      </c>
      <c r="F337">
        <v>1</v>
      </c>
      <c r="G337">
        <v>0</v>
      </c>
      <c r="H337">
        <v>100</v>
      </c>
      <c r="I337" t="s">
        <v>33</v>
      </c>
    </row>
    <row r="338" spans="1:9">
      <c r="A338">
        <v>301050</v>
      </c>
      <c r="B338" t="str">
        <f>INDEX(TextData!B:B,MATCH(A338,TextData!A:A))</f>
        <v>ヒロインズハイ</v>
      </c>
      <c r="C338">
        <v>3010</v>
      </c>
      <c r="D338" t="str">
        <f>INDEX(Define!Q:Q,MATCH(C338,Define!P:P))</f>
        <v>ステート付与</v>
      </c>
      <c r="E338">
        <v>1020</v>
      </c>
      <c r="F338">
        <v>999</v>
      </c>
      <c r="G338">
        <v>15</v>
      </c>
      <c r="H338">
        <v>100</v>
      </c>
      <c r="I338" t="s">
        <v>48</v>
      </c>
    </row>
    <row r="339" spans="1:9">
      <c r="A339">
        <v>301060</v>
      </c>
      <c r="B339" t="str">
        <f>INDEX(TextData!B:B,MATCH(A339,TextData!A:A))</f>
        <v>セカンドステージ</v>
      </c>
      <c r="C339">
        <v>3020</v>
      </c>
      <c r="D339" t="str">
        <f>INDEX(Define!Q:Q,MATCH(C339,Define!P:P))</f>
        <v>ステート解除</v>
      </c>
      <c r="E339">
        <v>1</v>
      </c>
      <c r="F339">
        <v>0</v>
      </c>
      <c r="G339">
        <v>0</v>
      </c>
      <c r="H339">
        <v>100</v>
      </c>
      <c r="I339" t="s">
        <v>39</v>
      </c>
    </row>
    <row r="340" spans="1:8">
      <c r="A340">
        <v>301060</v>
      </c>
      <c r="B340" t="str">
        <f>INDEX(TextData!B:B,MATCH(A340,TextData!A:A))</f>
        <v>セカンドステージ</v>
      </c>
      <c r="C340">
        <v>2030</v>
      </c>
      <c r="D340" t="str">
        <f>INDEX(Define!Q:Q,MATCH(C340,Define!P:P))</f>
        <v>対象のHpを1にする</v>
      </c>
      <c r="E340">
        <v>0</v>
      </c>
      <c r="F340">
        <v>0</v>
      </c>
      <c r="G340">
        <v>0</v>
      </c>
      <c r="H340">
        <v>100</v>
      </c>
    </row>
    <row r="341" spans="1:8">
      <c r="A341">
        <v>301060</v>
      </c>
      <c r="B341" t="str">
        <f>INDEX(TextData!B:B,MATCH(A341,TextData!A:A))</f>
        <v>セカンドステージ</v>
      </c>
      <c r="C341">
        <v>2010</v>
      </c>
      <c r="D341" t="str">
        <f>INDEX(Define!Q:Q,MATCH(C341,Define!P:P))</f>
        <v>Hp回復</v>
      </c>
      <c r="E341">
        <v>20</v>
      </c>
      <c r="F341">
        <v>0</v>
      </c>
      <c r="G341">
        <v>0</v>
      </c>
      <c r="H341">
        <v>100</v>
      </c>
    </row>
    <row r="342" spans="1:9">
      <c r="A342">
        <v>301070</v>
      </c>
      <c r="B342" t="str">
        <f>INDEX(TextData!B:B,MATCH(A342,TextData!A:A))</f>
        <v>ハイヒットポイント</v>
      </c>
      <c r="C342">
        <v>3010</v>
      </c>
      <c r="D342" t="str">
        <f>INDEX(Define!Q:Q,MATCH(C342,Define!P:P))</f>
        <v>ステート付与</v>
      </c>
      <c r="E342">
        <v>1020</v>
      </c>
      <c r="F342">
        <v>999</v>
      </c>
      <c r="G342">
        <v>10</v>
      </c>
      <c r="H342">
        <v>100</v>
      </c>
      <c r="I342" t="s">
        <v>48</v>
      </c>
    </row>
    <row r="343" spans="1:8">
      <c r="A343">
        <v>301080</v>
      </c>
      <c r="B343" t="str">
        <f>INDEX(TextData!B:B,MATCH(A343,TextData!A:A))</f>
        <v>セプタブラスト</v>
      </c>
      <c r="C343">
        <v>1030</v>
      </c>
      <c r="D343" t="str">
        <f>INDEX(Define!Q:Q,MATCH(C343,Define!P:P))</f>
        <v>Hp固定ダメージ</v>
      </c>
      <c r="E343">
        <v>50</v>
      </c>
      <c r="F343">
        <v>0</v>
      </c>
      <c r="G343">
        <v>0</v>
      </c>
      <c r="H343">
        <v>100</v>
      </c>
    </row>
    <row r="344" spans="1:9">
      <c r="A344">
        <v>301090</v>
      </c>
      <c r="B344" t="str">
        <f>INDEX(TextData!B:B,MATCH(A344,TextData!A:A))</f>
        <v>イニシャルブロッカー</v>
      </c>
      <c r="C344">
        <v>3010</v>
      </c>
      <c r="D344" t="str">
        <f>INDEX(Define!Q:Q,MATCH(C344,Define!P:P))</f>
        <v>ステート付与</v>
      </c>
      <c r="E344">
        <v>2410</v>
      </c>
      <c r="F344">
        <v>3</v>
      </c>
      <c r="G344">
        <v>25</v>
      </c>
      <c r="H344">
        <v>100</v>
      </c>
      <c r="I344" t="s">
        <v>34</v>
      </c>
    </row>
    <row r="345" spans="1:8">
      <c r="A345">
        <v>301100</v>
      </c>
      <c r="B345" t="str">
        <f>INDEX(TextData!B:B,MATCH(A345,TextData!A:A))</f>
        <v>ファーストテイク</v>
      </c>
      <c r="C345">
        <v>5020</v>
      </c>
      <c r="D345" t="str">
        <f>INDEX(Define!Q:Q,MATCH(C345,Define!P:P))</f>
        <v>Ap回復</v>
      </c>
      <c r="E345">
        <v>200</v>
      </c>
      <c r="F345">
        <v>0</v>
      </c>
      <c r="G345">
        <v>0</v>
      </c>
      <c r="H345">
        <v>100</v>
      </c>
    </row>
    <row r="346" spans="1:8">
      <c r="A346">
        <v>310010</v>
      </c>
      <c r="B346" t="str">
        <f>INDEX(TextData!B:B,MATCH(A346,TextData!A:A))</f>
        <v>妖精の祈り</v>
      </c>
      <c r="C346">
        <v>2010</v>
      </c>
      <c r="D346" t="str">
        <f>INDEX(Define!Q:Q,MATCH(C346,Define!P:P))</f>
        <v>Hp回復</v>
      </c>
      <c r="E346">
        <v>3</v>
      </c>
      <c r="F346">
        <v>0</v>
      </c>
      <c r="G346">
        <v>0</v>
      </c>
      <c r="H346">
        <v>100</v>
      </c>
    </row>
    <row r="347" spans="1:8">
      <c r="A347">
        <v>310020</v>
      </c>
      <c r="B347" t="str">
        <f>INDEX(TextData!B:B,MATCH(A347,TextData!A:A))</f>
        <v>月のかけら</v>
      </c>
      <c r="C347">
        <v>40010</v>
      </c>
      <c r="D347" t="str">
        <f>INDEX(Define!Q:Q,MATCH(C347,Define!P:P))</f>
        <v>アイテム入手</v>
      </c>
      <c r="E347">
        <v>11</v>
      </c>
      <c r="F347">
        <v>1</v>
      </c>
      <c r="G347">
        <v>0</v>
      </c>
      <c r="H347">
        <v>100</v>
      </c>
    </row>
    <row r="348" spans="1:8">
      <c r="A348">
        <v>310030</v>
      </c>
      <c r="B348" t="str">
        <f>INDEX(TextData!B:B,MATCH(A348,TextData!A:A))</f>
        <v>商売の才覚書</v>
      </c>
      <c r="C348">
        <v>40070</v>
      </c>
      <c r="D348" t="str">
        <f>INDEX(Define!Q:Q,MATCH(C348,Define!P:P))</f>
        <v>取引レートダウン</v>
      </c>
      <c r="E348">
        <v>20</v>
      </c>
      <c r="F348">
        <v>0</v>
      </c>
      <c r="G348">
        <v>0</v>
      </c>
      <c r="H348">
        <v>100</v>
      </c>
    </row>
    <row r="349" spans="1:8">
      <c r="A349">
        <v>310040</v>
      </c>
      <c r="B349" t="str">
        <f>INDEX(TextData!B:B,MATCH(A349,TextData!A:A))</f>
        <v>レイピッドブースト</v>
      </c>
      <c r="C349">
        <v>5020</v>
      </c>
      <c r="D349" t="str">
        <f>INDEX(Define!Q:Q,MATCH(C349,Define!P:P))</f>
        <v>Ap回復</v>
      </c>
      <c r="E349">
        <v>100</v>
      </c>
      <c r="F349">
        <v>0</v>
      </c>
      <c r="G349">
        <v>0</v>
      </c>
      <c r="H349">
        <v>100</v>
      </c>
    </row>
    <row r="350" spans="1:8">
      <c r="A350">
        <v>310050</v>
      </c>
      <c r="B350" t="str">
        <f>INDEX(TextData!B:B,MATCH(A350,TextData!A:A))</f>
        <v>黄金の守護精霊</v>
      </c>
      <c r="C350">
        <v>40010</v>
      </c>
      <c r="D350" t="str">
        <f>INDEX(Define!Q:Q,MATCH(C350,Define!P:P))</f>
        <v>アイテム入手</v>
      </c>
      <c r="E350">
        <v>30</v>
      </c>
      <c r="F350">
        <v>-1</v>
      </c>
      <c r="G350">
        <v>0</v>
      </c>
      <c r="H350">
        <v>100</v>
      </c>
    </row>
    <row r="351" spans="1:9">
      <c r="A351">
        <v>310060</v>
      </c>
      <c r="B351" t="str">
        <f>INDEX(TextData!B:B,MATCH(A351,TextData!A:A))</f>
        <v>ヒスイの勾玉</v>
      </c>
      <c r="C351">
        <v>3010</v>
      </c>
      <c r="D351" t="str">
        <f>INDEX(Define!Q:Q,MATCH(C351,Define!P:P))</f>
        <v>ステート付与</v>
      </c>
      <c r="E351">
        <v>1040</v>
      </c>
      <c r="F351">
        <v>999</v>
      </c>
      <c r="G351">
        <v>3</v>
      </c>
      <c r="H351">
        <v>100</v>
      </c>
      <c r="I351" t="s">
        <v>49</v>
      </c>
    </row>
    <row r="352" spans="1:9">
      <c r="A352">
        <v>310070</v>
      </c>
      <c r="B352" t="str">
        <f>INDEX(TextData!B:B,MATCH(A352,TextData!A:A))</f>
        <v>英傑の盾</v>
      </c>
      <c r="C352">
        <v>3010</v>
      </c>
      <c r="D352" t="str">
        <f>INDEX(Define!Q:Q,MATCH(C352,Define!P:P))</f>
        <v>ステート付与</v>
      </c>
      <c r="E352">
        <v>1050</v>
      </c>
      <c r="F352">
        <v>999</v>
      </c>
      <c r="G352">
        <v>3</v>
      </c>
      <c r="H352">
        <v>100</v>
      </c>
      <c r="I352" t="s">
        <v>37</v>
      </c>
    </row>
    <row r="353" spans="1:9">
      <c r="A353">
        <v>310080</v>
      </c>
      <c r="B353" t="str">
        <f>INDEX(TextData!B:B,MATCH(A353,TextData!A:A))</f>
        <v>鷹の目</v>
      </c>
      <c r="C353">
        <v>3010</v>
      </c>
      <c r="D353" t="str">
        <f>INDEX(Define!Q:Q,MATCH(C353,Define!P:P))</f>
        <v>ステート付与</v>
      </c>
      <c r="E353">
        <v>1060</v>
      </c>
      <c r="F353">
        <v>999</v>
      </c>
      <c r="G353">
        <v>2</v>
      </c>
      <c r="H353">
        <v>100</v>
      </c>
      <c r="I353" t="s">
        <v>52</v>
      </c>
    </row>
    <row r="354" spans="1:8">
      <c r="A354">
        <v>310090</v>
      </c>
      <c r="B354" t="str">
        <f>INDEX(TextData!B:B,MATCH(A354,TextData!A:A))</f>
        <v>ラーニングピアス</v>
      </c>
      <c r="C354">
        <v>40020</v>
      </c>
      <c r="D354" t="str">
        <f>INDEX(Define!Q:Q,MATCH(C354,Define!P:P))</f>
        <v>獲得Eｘｐ％アップ</v>
      </c>
      <c r="E354">
        <v>10</v>
      </c>
      <c r="F354">
        <v>0</v>
      </c>
      <c r="G354">
        <v>0</v>
      </c>
      <c r="H354">
        <v>100</v>
      </c>
    </row>
    <row r="355" spans="1:8">
      <c r="A355">
        <v>310100</v>
      </c>
      <c r="B355" t="str">
        <f>INDEX(TextData!B:B,MATCH(A355,TextData!A:A))</f>
        <v>セブンズストーン</v>
      </c>
      <c r="C355">
        <v>1030</v>
      </c>
      <c r="D355" t="str">
        <f>INDEX(Define!Q:Q,MATCH(C355,Define!P:P))</f>
        <v>Hp固定ダメージ</v>
      </c>
      <c r="E355">
        <v>50</v>
      </c>
      <c r="F355">
        <v>0</v>
      </c>
      <c r="G355">
        <v>0</v>
      </c>
      <c r="H355">
        <v>100</v>
      </c>
    </row>
    <row r="356" spans="1:9">
      <c r="A356">
        <v>310110</v>
      </c>
      <c r="B356" t="str">
        <f>INDEX(TextData!B:B,MATCH(A356,TextData!A:A))</f>
        <v>ファーストトリック</v>
      </c>
      <c r="C356">
        <v>3010</v>
      </c>
      <c r="D356" t="str">
        <f>INDEX(Define!Q:Q,MATCH(C356,Define!P:P))</f>
        <v>ステート付与</v>
      </c>
      <c r="E356">
        <v>2360</v>
      </c>
      <c r="F356">
        <v>1</v>
      </c>
      <c r="G356">
        <v>10</v>
      </c>
      <c r="H356">
        <v>100</v>
      </c>
      <c r="I356" t="s">
        <v>67</v>
      </c>
    </row>
    <row r="357" spans="1:9">
      <c r="A357">
        <v>310120</v>
      </c>
      <c r="B357" t="str">
        <f>INDEX(TextData!B:B,MATCH(A357,TextData!A:A))</f>
        <v>リカバリーエンハンス</v>
      </c>
      <c r="C357">
        <v>3010</v>
      </c>
      <c r="D357" t="str">
        <f>INDEX(Define!Q:Q,MATCH(C357,Define!P:P))</f>
        <v>ステート付与</v>
      </c>
      <c r="E357">
        <v>2460</v>
      </c>
      <c r="F357">
        <v>999</v>
      </c>
      <c r="G357">
        <v>5</v>
      </c>
      <c r="H357">
        <v>100</v>
      </c>
      <c r="I357" t="s">
        <v>66</v>
      </c>
    </row>
    <row r="358" spans="1:8">
      <c r="A358">
        <v>310130</v>
      </c>
      <c r="B358" t="str">
        <f>INDEX(TextData!B:B,MATCH(A358,TextData!A:A))</f>
        <v>ヒールユニット</v>
      </c>
      <c r="C358">
        <v>2010</v>
      </c>
      <c r="D358" t="str">
        <f>INDEX(Define!Q:Q,MATCH(C358,Define!P:P))</f>
        <v>Hp回復</v>
      </c>
      <c r="E358">
        <v>1</v>
      </c>
      <c r="F358">
        <v>0</v>
      </c>
      <c r="G358">
        <v>0</v>
      </c>
      <c r="H358">
        <v>100</v>
      </c>
    </row>
    <row r="359" spans="1:8">
      <c r="A359">
        <v>320010</v>
      </c>
      <c r="B359" t="str">
        <f>INDEX(TextData!B:B,MATCH(A359,TextData!A:A))</f>
        <v>訓練所Lv1</v>
      </c>
      <c r="C359">
        <v>40030</v>
      </c>
      <c r="D359" t="str">
        <f>INDEX(Define!Q:Q,MATCH(C359,Define!P:P))</f>
        <v>Eｘｐ入手</v>
      </c>
      <c r="E359">
        <v>25</v>
      </c>
      <c r="F359">
        <v>0</v>
      </c>
      <c r="G359">
        <v>0</v>
      </c>
      <c r="H359">
        <v>100</v>
      </c>
    </row>
    <row r="360" spans="1:8">
      <c r="A360">
        <v>320011</v>
      </c>
      <c r="B360" t="str">
        <f>INDEX(TextData!B:B,MATCH(A360,TextData!A:A))</f>
        <v>訓練所Lv2</v>
      </c>
      <c r="C360">
        <v>40030</v>
      </c>
      <c r="D360" t="str">
        <f>INDEX(Define!Q:Q,MATCH(C360,Define!P:P))</f>
        <v>Eｘｐ入手</v>
      </c>
      <c r="E360">
        <v>50</v>
      </c>
      <c r="F360">
        <v>0</v>
      </c>
      <c r="G360">
        <v>0</v>
      </c>
      <c r="H360">
        <v>100</v>
      </c>
    </row>
    <row r="361" spans="1:8">
      <c r="A361">
        <v>320012</v>
      </c>
      <c r="B361" t="str">
        <f>INDEX(TextData!B:B,MATCH(A361,TextData!A:A))</f>
        <v>訓練所Lv3</v>
      </c>
      <c r="C361">
        <v>40030</v>
      </c>
      <c r="D361" t="str">
        <f>INDEX(Define!Q:Q,MATCH(C361,Define!P:P))</f>
        <v>Eｘｐ入手</v>
      </c>
      <c r="E361">
        <v>75</v>
      </c>
      <c r="F361">
        <v>0</v>
      </c>
      <c r="G361">
        <v>0</v>
      </c>
      <c r="H361">
        <v>100</v>
      </c>
    </row>
    <row r="362" spans="1:8">
      <c r="A362">
        <v>320020</v>
      </c>
      <c r="B362" t="str">
        <f>INDEX(TextData!B:B,MATCH(A362,TextData!A:A))</f>
        <v>研究施設Lv1</v>
      </c>
      <c r="C362">
        <v>40040</v>
      </c>
      <c r="D362" t="str">
        <f>INDEX(Define!Q:Q,MATCH(C362,Define!P:P))</f>
        <v>Nu入手</v>
      </c>
      <c r="E362">
        <v>2</v>
      </c>
      <c r="F362">
        <v>0</v>
      </c>
      <c r="G362">
        <v>0</v>
      </c>
      <c r="H362">
        <v>100</v>
      </c>
    </row>
    <row r="363" spans="1:8">
      <c r="A363">
        <v>320021</v>
      </c>
      <c r="B363" t="str">
        <f>INDEX(TextData!B:B,MATCH(A363,TextData!A:A))</f>
        <v>研究施設Lv2</v>
      </c>
      <c r="C363">
        <v>40040</v>
      </c>
      <c r="D363" t="str">
        <f>INDEX(Define!Q:Q,MATCH(C363,Define!P:P))</f>
        <v>Nu入手</v>
      </c>
      <c r="E363">
        <v>4</v>
      </c>
      <c r="F363">
        <v>0</v>
      </c>
      <c r="G363">
        <v>0</v>
      </c>
      <c r="H363">
        <v>100</v>
      </c>
    </row>
    <row r="364" spans="1:8">
      <c r="A364">
        <v>320022</v>
      </c>
      <c r="B364" t="str">
        <f>INDEX(TextData!B:B,MATCH(A364,TextData!A:A))</f>
        <v>研究施設Lv3</v>
      </c>
      <c r="C364">
        <v>40040</v>
      </c>
      <c r="D364" t="str">
        <f>INDEX(Define!Q:Q,MATCH(C364,Define!P:P))</f>
        <v>Nu入手</v>
      </c>
      <c r="E364">
        <v>6</v>
      </c>
      <c r="F364">
        <v>0</v>
      </c>
      <c r="G364">
        <v>0</v>
      </c>
      <c r="H364">
        <v>100</v>
      </c>
    </row>
    <row r="365" spans="1:8">
      <c r="A365">
        <v>320030</v>
      </c>
      <c r="B365" t="str">
        <f>INDEX(TextData!B:B,MATCH(A365,TextData!A:A))</f>
        <v>資料館Lv1</v>
      </c>
      <c r="C365">
        <v>40020</v>
      </c>
      <c r="D365" t="str">
        <f>INDEX(Define!Q:Q,MATCH(C365,Define!P:P))</f>
        <v>獲得Eｘｐ％アップ</v>
      </c>
      <c r="E365">
        <v>0</v>
      </c>
      <c r="F365">
        <v>50</v>
      </c>
      <c r="G365">
        <v>0</v>
      </c>
      <c r="H365">
        <v>100</v>
      </c>
    </row>
    <row r="366" spans="1:8">
      <c r="A366">
        <v>320031</v>
      </c>
      <c r="B366" t="str">
        <f>INDEX(TextData!B:B,MATCH(A366,TextData!A:A))</f>
        <v>資料館Lv2</v>
      </c>
      <c r="C366">
        <v>40020</v>
      </c>
      <c r="D366" t="str">
        <f>INDEX(Define!Q:Q,MATCH(C366,Define!P:P))</f>
        <v>獲得Eｘｐ％アップ</v>
      </c>
      <c r="E366">
        <v>0</v>
      </c>
      <c r="F366">
        <v>50</v>
      </c>
      <c r="G366">
        <v>0</v>
      </c>
      <c r="H366">
        <v>100</v>
      </c>
    </row>
    <row r="367" spans="1:8">
      <c r="A367">
        <v>320032</v>
      </c>
      <c r="B367" t="str">
        <f>INDEX(TextData!B:B,MATCH(A367,TextData!A:A))</f>
        <v>資料館Lv3</v>
      </c>
      <c r="C367">
        <v>40020</v>
      </c>
      <c r="D367" t="str">
        <f>INDEX(Define!Q:Q,MATCH(C367,Define!P:P))</f>
        <v>獲得Eｘｐ％アップ</v>
      </c>
      <c r="E367">
        <v>0</v>
      </c>
      <c r="F367">
        <v>50</v>
      </c>
      <c r="G367">
        <v>0</v>
      </c>
      <c r="H367">
        <v>100</v>
      </c>
    </row>
    <row r="368" spans="1:8">
      <c r="A368">
        <v>320040</v>
      </c>
      <c r="B368" t="str">
        <f>INDEX(TextData!B:B,MATCH(A368,TextData!A:A))</f>
        <v>潜伏技術Lv1</v>
      </c>
      <c r="C368">
        <v>40060</v>
      </c>
      <c r="D368" t="str">
        <f>INDEX(Define!Q:Q,MATCH(C368,Define!P:P))</f>
        <v>ステージ探索猶予アップ</v>
      </c>
      <c r="E368">
        <v>10</v>
      </c>
      <c r="F368">
        <v>0</v>
      </c>
      <c r="G368">
        <v>0</v>
      </c>
      <c r="H368">
        <v>100</v>
      </c>
    </row>
    <row r="369" spans="1:8">
      <c r="A369">
        <v>321010</v>
      </c>
      <c r="B369" t="str">
        <f>INDEX(TextData!B:B,MATCH(A369,TextData!A:A))</f>
        <v>炎の祭壇</v>
      </c>
      <c r="C369">
        <v>40050</v>
      </c>
      <c r="D369" t="str">
        <f>INDEX(Define!Q:Q,MATCH(C369,Define!P:P))</f>
        <v>属性適正アップ</v>
      </c>
      <c r="E369">
        <v>1</v>
      </c>
      <c r="F369">
        <v>1</v>
      </c>
      <c r="G369">
        <v>0</v>
      </c>
      <c r="H369">
        <v>100</v>
      </c>
    </row>
    <row r="370" spans="1:8">
      <c r="A370">
        <v>321020</v>
      </c>
      <c r="B370" t="str">
        <f>INDEX(TextData!B:B,MATCH(A370,TextData!A:A))</f>
        <v>稲妻の祭壇</v>
      </c>
      <c r="C370">
        <v>40050</v>
      </c>
      <c r="D370" t="str">
        <f>INDEX(Define!Q:Q,MATCH(C370,Define!P:P))</f>
        <v>属性適正アップ</v>
      </c>
      <c r="E370">
        <v>2</v>
      </c>
      <c r="F370">
        <v>1</v>
      </c>
      <c r="G370">
        <v>0</v>
      </c>
      <c r="H370">
        <v>100</v>
      </c>
    </row>
    <row r="371" spans="1:8">
      <c r="A371">
        <v>321030</v>
      </c>
      <c r="B371" t="str">
        <f>INDEX(TextData!B:B,MATCH(A371,TextData!A:A))</f>
        <v>蒼の祭壇</v>
      </c>
      <c r="C371">
        <v>40050</v>
      </c>
      <c r="D371" t="str">
        <f>INDEX(Define!Q:Q,MATCH(C371,Define!P:P))</f>
        <v>属性適正アップ</v>
      </c>
      <c r="E371">
        <v>3</v>
      </c>
      <c r="F371">
        <v>1</v>
      </c>
      <c r="G371">
        <v>0</v>
      </c>
      <c r="H371">
        <v>100</v>
      </c>
    </row>
    <row r="372" spans="1:8">
      <c r="A372">
        <v>321040</v>
      </c>
      <c r="B372" t="str">
        <f>INDEX(TextData!B:B,MATCH(A372,TextData!A:A))</f>
        <v>光の祭壇</v>
      </c>
      <c r="C372">
        <v>40050</v>
      </c>
      <c r="D372" t="str">
        <f>INDEX(Define!Q:Q,MATCH(C372,Define!P:P))</f>
        <v>属性適正アップ</v>
      </c>
      <c r="E372">
        <v>4</v>
      </c>
      <c r="F372">
        <v>1</v>
      </c>
      <c r="G372">
        <v>0</v>
      </c>
      <c r="H372">
        <v>100</v>
      </c>
    </row>
    <row r="373" spans="1:8">
      <c r="A373">
        <v>321050</v>
      </c>
      <c r="B373" t="str">
        <f>INDEX(TextData!B:B,MATCH(A373,TextData!A:A))</f>
        <v>月の祭壇</v>
      </c>
      <c r="C373">
        <v>40050</v>
      </c>
      <c r="D373" t="str">
        <f>INDEX(Define!Q:Q,MATCH(C373,Define!P:P))</f>
        <v>属性適正アップ</v>
      </c>
      <c r="E373">
        <v>5</v>
      </c>
      <c r="F373">
        <v>1</v>
      </c>
      <c r="G373">
        <v>0</v>
      </c>
      <c r="H373">
        <v>100</v>
      </c>
    </row>
    <row r="374" spans="1:9">
      <c r="A374">
        <v>322010</v>
      </c>
      <c r="B374" t="str">
        <f>INDEX(TextData!B:B,MATCH(A374,TextData!A:A))</f>
        <v>食糧庫Lv1</v>
      </c>
      <c r="C374">
        <v>3010</v>
      </c>
      <c r="D374" t="str">
        <f>INDEX(Define!Q:Q,MATCH(C374,Define!P:P))</f>
        <v>ステート付与</v>
      </c>
      <c r="E374">
        <v>1020</v>
      </c>
      <c r="F374">
        <v>999</v>
      </c>
      <c r="G374">
        <v>5</v>
      </c>
      <c r="H374">
        <v>100</v>
      </c>
      <c r="I374" t="s">
        <v>48</v>
      </c>
    </row>
    <row r="375" spans="1:9">
      <c r="A375">
        <v>322020</v>
      </c>
      <c r="B375" t="str">
        <f>INDEX(TextData!B:B,MATCH(A375,TextData!A:A))</f>
        <v>攻撃技術Lv1</v>
      </c>
      <c r="C375">
        <v>3010</v>
      </c>
      <c r="D375" t="str">
        <f>INDEX(Define!Q:Q,MATCH(C375,Define!P:P))</f>
        <v>ステート付与</v>
      </c>
      <c r="E375">
        <v>1040</v>
      </c>
      <c r="F375">
        <v>999</v>
      </c>
      <c r="G375">
        <v>2</v>
      </c>
      <c r="H375">
        <v>100</v>
      </c>
      <c r="I375" t="s">
        <v>49</v>
      </c>
    </row>
    <row r="376" spans="1:9">
      <c r="A376">
        <v>322030</v>
      </c>
      <c r="B376" t="str">
        <f>INDEX(TextData!B:B,MATCH(A376,TextData!A:A))</f>
        <v>防御技術Lv1</v>
      </c>
      <c r="C376">
        <v>3010</v>
      </c>
      <c r="D376" t="str">
        <f>INDEX(Define!Q:Q,MATCH(C376,Define!P:P))</f>
        <v>ステート付与</v>
      </c>
      <c r="E376">
        <v>1050</v>
      </c>
      <c r="F376">
        <v>999</v>
      </c>
      <c r="G376">
        <v>2</v>
      </c>
      <c r="H376">
        <v>100</v>
      </c>
      <c r="I376" t="s">
        <v>37</v>
      </c>
    </row>
    <row r="377" spans="1:9">
      <c r="A377">
        <v>322040</v>
      </c>
      <c r="B377" t="str">
        <f>INDEX(TextData!B:B,MATCH(A377,TextData!A:A))</f>
        <v>詠唱技術Lv1</v>
      </c>
      <c r="C377">
        <v>3010</v>
      </c>
      <c r="D377" t="str">
        <f>INDEX(Define!Q:Q,MATCH(C377,Define!P:P))</f>
        <v>ステート付与</v>
      </c>
      <c r="E377">
        <v>1060</v>
      </c>
      <c r="F377">
        <v>999</v>
      </c>
      <c r="G377">
        <v>2</v>
      </c>
      <c r="H377">
        <v>100</v>
      </c>
      <c r="I377" t="s">
        <v>52</v>
      </c>
    </row>
    <row r="378" spans="1:8">
      <c r="A378">
        <v>401020</v>
      </c>
      <c r="B378" t="str">
        <f>INDEX(TextData!B:B,MATCH(A378,TextData!A:A))</f>
        <v>バーンストーム+</v>
      </c>
      <c r="C378">
        <v>6010</v>
      </c>
      <c r="D378" t="str">
        <f>INDEX(Define!Q:Q,MATCH(C378,Define!P:P))</f>
        <v>FeatureのParam1を指定値に上書き</v>
      </c>
      <c r="E378">
        <v>1020</v>
      </c>
      <c r="F378">
        <v>0</v>
      </c>
      <c r="G378">
        <v>250</v>
      </c>
      <c r="H378">
        <v>100</v>
      </c>
    </row>
    <row r="379" spans="1:8">
      <c r="A379">
        <v>401030</v>
      </c>
      <c r="B379" t="str">
        <f>INDEX(TextData!B:B,MATCH(A379,TextData!A:A))</f>
        <v>ヒートスタンプ+</v>
      </c>
      <c r="C379">
        <v>6010</v>
      </c>
      <c r="D379" t="str">
        <f>INDEX(Define!Q:Q,MATCH(C379,Define!P:P))</f>
        <v>FeatureのParam1を指定値に上書き</v>
      </c>
      <c r="E379">
        <v>1030</v>
      </c>
      <c r="F379">
        <v>0</v>
      </c>
      <c r="G379">
        <v>2</v>
      </c>
      <c r="H379">
        <v>100</v>
      </c>
    </row>
    <row r="380" spans="1:8">
      <c r="A380">
        <v>401040</v>
      </c>
      <c r="B380" t="str">
        <f>INDEX(TextData!B:B,MATCH(A380,TextData!A:A))</f>
        <v>ソードアダプト+</v>
      </c>
      <c r="C380">
        <v>6010</v>
      </c>
      <c r="D380" t="str">
        <f>INDEX(Define!Q:Q,MATCH(C380,Define!P:P))</f>
        <v>FeatureのParam1を指定値に上書き</v>
      </c>
      <c r="E380">
        <v>1040</v>
      </c>
      <c r="F380">
        <v>0</v>
      </c>
      <c r="G380">
        <v>15</v>
      </c>
      <c r="H380">
        <v>100</v>
      </c>
    </row>
    <row r="381" spans="1:8">
      <c r="A381">
        <v>401050</v>
      </c>
      <c r="B381" t="str">
        <f>INDEX(TextData!B:B,MATCH(A381,TextData!A:A))</f>
        <v>フレイムレイン+</v>
      </c>
      <c r="C381">
        <v>6010</v>
      </c>
      <c r="D381" t="str">
        <f>INDEX(Define!Q:Q,MATCH(C381,Define!P:P))</f>
        <v>FeatureのParam1を指定値に上書き</v>
      </c>
      <c r="E381">
        <v>1050</v>
      </c>
      <c r="F381">
        <v>0</v>
      </c>
      <c r="G381">
        <v>60</v>
      </c>
      <c r="H381">
        <v>100</v>
      </c>
    </row>
    <row r="382" spans="1:8">
      <c r="A382">
        <v>401060</v>
      </c>
      <c r="B382" t="str">
        <f>INDEX(TextData!B:B,MATCH(A382,TextData!A:A))</f>
        <v>イクスティンクション+</v>
      </c>
      <c r="C382">
        <v>6010</v>
      </c>
      <c r="D382" t="str">
        <f>INDEX(Define!Q:Q,MATCH(C382,Define!P:P))</f>
        <v>FeatureのParam1を指定値に上書き</v>
      </c>
      <c r="E382">
        <v>1060</v>
      </c>
      <c r="F382">
        <v>0</v>
      </c>
      <c r="G382">
        <v>400</v>
      </c>
      <c r="H382">
        <v>100</v>
      </c>
    </row>
    <row r="383" spans="1:8">
      <c r="A383">
        <v>401070</v>
      </c>
      <c r="B383" t="str">
        <f>INDEX(TextData!B:B,MATCH(A383,TextData!A:A))</f>
        <v>バーニングソウル+</v>
      </c>
      <c r="C383">
        <v>6080</v>
      </c>
      <c r="D383" t="str">
        <f>INDEX(Define!Q:Q,MATCH(C383,Define!P:P))</f>
        <v>指定魔法のCTリセット値を変更する</v>
      </c>
      <c r="E383">
        <v>1070</v>
      </c>
      <c r="F383">
        <v>0</v>
      </c>
      <c r="G383">
        <v>2</v>
      </c>
      <c r="H383">
        <v>100</v>
      </c>
    </row>
    <row r="384" spans="1:8">
      <c r="A384">
        <v>401080</v>
      </c>
      <c r="B384" t="str">
        <f>INDEX(TextData!B:B,MATCH(A384,TextData!A:A))</f>
        <v>レイジングバウンサー+</v>
      </c>
      <c r="C384">
        <v>6030</v>
      </c>
      <c r="D384" t="str">
        <f>INDEX(Define!Q:Q,MATCH(C384,Define!P:P))</f>
        <v>FeatureのParam3を指定値に上書き</v>
      </c>
      <c r="E384">
        <v>1080</v>
      </c>
      <c r="F384">
        <v>0</v>
      </c>
      <c r="G384">
        <v>45</v>
      </c>
      <c r="H384">
        <v>100</v>
      </c>
    </row>
    <row r="385" spans="1:8">
      <c r="A385">
        <v>402010</v>
      </c>
      <c r="B385" t="str">
        <f>INDEX(TextData!B:B,MATCH(A385,TextData!A:A))</f>
        <v>ディスチャージ+</v>
      </c>
      <c r="C385">
        <v>6010</v>
      </c>
      <c r="D385" t="str">
        <f>INDEX(Define!Q:Q,MATCH(C385,Define!P:P))</f>
        <v>FeatureのParam1を指定値に上書き</v>
      </c>
      <c r="E385">
        <v>2010</v>
      </c>
      <c r="F385">
        <v>0</v>
      </c>
      <c r="G385">
        <v>250</v>
      </c>
      <c r="H385">
        <v>100</v>
      </c>
    </row>
    <row r="386" spans="1:8">
      <c r="A386">
        <v>402020</v>
      </c>
      <c r="B386" t="str">
        <f>INDEX(TextData!B:B,MATCH(A386,TextData!A:A))</f>
        <v>イベイドコード+</v>
      </c>
      <c r="C386">
        <v>6030</v>
      </c>
      <c r="D386" t="str">
        <f>INDEX(Define!Q:Q,MATCH(C386,Define!P:P))</f>
        <v>FeatureのParam3を指定値に上書き</v>
      </c>
      <c r="E386">
        <v>2020</v>
      </c>
      <c r="F386">
        <v>0</v>
      </c>
      <c r="G386">
        <v>25</v>
      </c>
      <c r="H386">
        <v>100</v>
      </c>
    </row>
    <row r="387" spans="1:8">
      <c r="A387">
        <v>402030</v>
      </c>
      <c r="B387" t="str">
        <f>INDEX(TextData!B:B,MATCH(A387,TextData!A:A))</f>
        <v>ショックインパルス+</v>
      </c>
      <c r="C387">
        <v>6080</v>
      </c>
      <c r="D387" t="str">
        <f>INDEX(Define!Q:Q,MATCH(C387,Define!P:P))</f>
        <v>指定魔法のCTリセット値を変更する</v>
      </c>
      <c r="E387">
        <v>2030</v>
      </c>
      <c r="F387">
        <v>0</v>
      </c>
      <c r="G387">
        <v>2</v>
      </c>
      <c r="H387">
        <v>100</v>
      </c>
    </row>
    <row r="388" spans="1:8">
      <c r="A388">
        <v>402040</v>
      </c>
      <c r="B388" t="str">
        <f>INDEX(TextData!B:B,MATCH(A388,TextData!A:A))</f>
        <v>トラストチェイン+</v>
      </c>
      <c r="C388">
        <v>6010</v>
      </c>
      <c r="D388" t="str">
        <f>INDEX(Define!Q:Q,MATCH(C388,Define!P:P))</f>
        <v>FeatureのParam1を指定値に上書き</v>
      </c>
      <c r="E388">
        <v>2040</v>
      </c>
      <c r="F388">
        <v>0</v>
      </c>
      <c r="G388">
        <v>400</v>
      </c>
      <c r="H388">
        <v>100</v>
      </c>
    </row>
    <row r="389" spans="1:8">
      <c r="A389">
        <v>402050</v>
      </c>
      <c r="B389" t="str">
        <f>INDEX(TextData!B:B,MATCH(A389,TextData!A:A))</f>
        <v>スペルバニシング+</v>
      </c>
      <c r="C389">
        <v>6080</v>
      </c>
      <c r="D389" t="str">
        <f>INDEX(Define!Q:Q,MATCH(C389,Define!P:P))</f>
        <v>指定魔法のCTリセット値を変更する</v>
      </c>
      <c r="E389">
        <v>2050</v>
      </c>
      <c r="F389">
        <v>0</v>
      </c>
      <c r="G389">
        <v>1</v>
      </c>
      <c r="H389">
        <v>100</v>
      </c>
    </row>
    <row r="390" spans="1:8">
      <c r="A390">
        <v>402060</v>
      </c>
      <c r="B390" t="str">
        <f>INDEX(TextData!B:B,MATCH(A390,TextData!A:A))</f>
        <v>アーテニーストライク+</v>
      </c>
      <c r="C390">
        <v>6010</v>
      </c>
      <c r="D390" t="str">
        <f>INDEX(Define!Q:Q,MATCH(C390,Define!P:P))</f>
        <v>FeatureのParam1を指定値に上書き</v>
      </c>
      <c r="E390">
        <v>2060</v>
      </c>
      <c r="F390">
        <v>0</v>
      </c>
      <c r="G390">
        <v>250</v>
      </c>
      <c r="H390">
        <v>100</v>
      </c>
    </row>
    <row r="391" spans="1:8">
      <c r="A391">
        <v>402070</v>
      </c>
      <c r="B391" t="str">
        <f>INDEX(TextData!B:B,MATCH(A391,TextData!A:A))</f>
        <v>コンセントレイト+</v>
      </c>
      <c r="C391">
        <v>6030</v>
      </c>
      <c r="D391" t="str">
        <f>INDEX(Define!Q:Q,MATCH(C391,Define!P:P))</f>
        <v>FeatureのParam3を指定値に上書き</v>
      </c>
      <c r="E391">
        <v>2070</v>
      </c>
      <c r="F391">
        <v>0</v>
      </c>
      <c r="G391">
        <v>40</v>
      </c>
      <c r="H391">
        <v>100</v>
      </c>
    </row>
    <row r="392" spans="1:8">
      <c r="A392">
        <v>402080</v>
      </c>
      <c r="B392" t="str">
        <f>INDEX(TextData!B:B,MATCH(A392,TextData!A:A))</f>
        <v>ディレイマジック+</v>
      </c>
      <c r="C392">
        <v>6010</v>
      </c>
      <c r="D392" t="str">
        <f>INDEX(Define!Q:Q,MATCH(C392,Define!P:P))</f>
        <v>FeatureのParam1を指定値に上書き</v>
      </c>
      <c r="E392">
        <v>2080</v>
      </c>
      <c r="F392">
        <v>1</v>
      </c>
      <c r="G392">
        <v>2</v>
      </c>
      <c r="H392">
        <v>100</v>
      </c>
    </row>
    <row r="393" spans="1:8">
      <c r="A393">
        <v>403010</v>
      </c>
      <c r="B393" t="str">
        <f>INDEX(TextData!B:B,MATCH(A393,TextData!A:A))</f>
        <v>アイスブレイド+</v>
      </c>
      <c r="C393">
        <v>6010</v>
      </c>
      <c r="D393" t="str">
        <f>INDEX(Define!Q:Q,MATCH(C393,Define!P:P))</f>
        <v>FeatureのParam1を指定値に上書き</v>
      </c>
      <c r="E393">
        <v>3010</v>
      </c>
      <c r="F393">
        <v>0</v>
      </c>
      <c r="G393">
        <v>250</v>
      </c>
      <c r="H393">
        <v>100</v>
      </c>
    </row>
    <row r="394" spans="1:8">
      <c r="A394">
        <v>403020</v>
      </c>
      <c r="B394" t="str">
        <f>INDEX(TextData!B:B,MATCH(A394,TextData!A:A))</f>
        <v>カウンターオーラ+</v>
      </c>
      <c r="C394">
        <v>6030</v>
      </c>
      <c r="D394" t="str">
        <f>INDEX(Define!Q:Q,MATCH(C394,Define!P:P))</f>
        <v>FeatureのParam3を指定値に上書き</v>
      </c>
      <c r="E394">
        <v>3020</v>
      </c>
      <c r="F394">
        <v>0</v>
      </c>
      <c r="G394">
        <v>40</v>
      </c>
      <c r="H394">
        <v>100</v>
      </c>
    </row>
    <row r="395" spans="1:8">
      <c r="A395">
        <v>403030</v>
      </c>
      <c r="B395" t="str">
        <f>INDEX(TextData!B:B,MATCH(A395,TextData!A:A))</f>
        <v>ラインプロテクト+</v>
      </c>
      <c r="C395">
        <v>6030</v>
      </c>
      <c r="D395" t="str">
        <f>INDEX(Define!Q:Q,MATCH(C395,Define!P:P))</f>
        <v>FeatureのParam3を指定値に上書き</v>
      </c>
      <c r="E395">
        <v>3030</v>
      </c>
      <c r="F395">
        <v>0</v>
      </c>
      <c r="G395">
        <v>20</v>
      </c>
      <c r="H395">
        <v>100</v>
      </c>
    </row>
    <row r="396" spans="1:8">
      <c r="A396">
        <v>403040</v>
      </c>
      <c r="B396" t="str">
        <f>INDEX(TextData!B:B,MATCH(A396,TextData!A:A))</f>
        <v>エスコートソール+</v>
      </c>
      <c r="C396">
        <v>6030</v>
      </c>
      <c r="D396" t="str">
        <f>INDEX(Define!Q:Q,MATCH(C396,Define!P:P))</f>
        <v>FeatureのParam3を指定値に上書き</v>
      </c>
      <c r="E396">
        <v>3040</v>
      </c>
      <c r="F396">
        <v>0</v>
      </c>
      <c r="G396">
        <v>40</v>
      </c>
      <c r="H396">
        <v>100</v>
      </c>
    </row>
    <row r="397" spans="1:8">
      <c r="A397">
        <v>403050</v>
      </c>
      <c r="B397" t="str">
        <f>INDEX(TextData!B:B,MATCH(A397,TextData!A:A))</f>
        <v>ディープフリーズ+</v>
      </c>
      <c r="C397">
        <v>6030</v>
      </c>
      <c r="D397" t="str">
        <f>INDEX(Define!Q:Q,MATCH(C397,Define!P:P))</f>
        <v>FeatureのParam3を指定値に上書き</v>
      </c>
      <c r="E397">
        <v>3050</v>
      </c>
      <c r="F397">
        <v>0</v>
      </c>
      <c r="G397">
        <v>40</v>
      </c>
      <c r="H397">
        <v>100</v>
      </c>
    </row>
    <row r="398" spans="1:8">
      <c r="A398">
        <v>403060</v>
      </c>
      <c r="B398" t="str">
        <f>INDEX(TextData!B:B,MATCH(A398,TextData!A:A))</f>
        <v>バブルブロウ+</v>
      </c>
      <c r="C398">
        <v>6030</v>
      </c>
      <c r="D398" t="str">
        <f>INDEX(Define!Q:Q,MATCH(C398,Define!P:P))</f>
        <v>FeatureのParam3を指定値に上書き</v>
      </c>
      <c r="E398">
        <v>3060</v>
      </c>
      <c r="F398">
        <v>1</v>
      </c>
      <c r="G398">
        <v>12</v>
      </c>
      <c r="H398">
        <v>100</v>
      </c>
    </row>
    <row r="399" spans="1:8">
      <c r="A399">
        <v>403070</v>
      </c>
      <c r="B399" t="str">
        <f>INDEX(TextData!B:B,MATCH(A399,TextData!A:A))</f>
        <v>アクアミラージュ+</v>
      </c>
      <c r="C399">
        <v>6020</v>
      </c>
      <c r="D399" t="str">
        <f>INDEX(Define!Q:Q,MATCH(C399,Define!P:P))</f>
        <v>FeatureのParam2を指定値に上書き</v>
      </c>
      <c r="E399">
        <v>3070</v>
      </c>
      <c r="F399">
        <v>0</v>
      </c>
      <c r="G399">
        <v>2</v>
      </c>
      <c r="H399">
        <v>100</v>
      </c>
    </row>
    <row r="400" spans="1:8">
      <c r="A400">
        <v>403080</v>
      </c>
      <c r="B400" t="str">
        <f>INDEX(TextData!B:B,MATCH(A400,TextData!A:A))</f>
        <v>フロストシールド+</v>
      </c>
      <c r="C400">
        <v>6030</v>
      </c>
      <c r="D400" t="str">
        <f>INDEX(Define!Q:Q,MATCH(C400,Define!P:P))</f>
        <v>FeatureのParam3を指定値に上書き</v>
      </c>
      <c r="E400">
        <v>3080</v>
      </c>
      <c r="F400">
        <v>0</v>
      </c>
      <c r="G400">
        <v>30</v>
      </c>
      <c r="H400">
        <v>100</v>
      </c>
    </row>
    <row r="401" spans="1:8">
      <c r="A401">
        <v>404010</v>
      </c>
      <c r="B401" t="str">
        <f>INDEX(TextData!B:B,MATCH(A401,TextData!A:A))</f>
        <v>セイントレーザー+</v>
      </c>
      <c r="C401">
        <v>6010</v>
      </c>
      <c r="D401" t="str">
        <f>INDEX(Define!Q:Q,MATCH(C401,Define!P:P))</f>
        <v>FeatureのParam1を指定値に上書き</v>
      </c>
      <c r="E401">
        <v>4010</v>
      </c>
      <c r="F401">
        <v>0</v>
      </c>
      <c r="G401">
        <v>250</v>
      </c>
      <c r="H401">
        <v>100</v>
      </c>
    </row>
    <row r="402" spans="1:8">
      <c r="A402">
        <v>404020</v>
      </c>
      <c r="B402" t="str">
        <f>INDEX(TextData!B:B,MATCH(A402,TextData!A:A))</f>
        <v>ペネトレイト+</v>
      </c>
      <c r="C402">
        <v>6010</v>
      </c>
      <c r="D402" t="str">
        <f>INDEX(Define!Q:Q,MATCH(C402,Define!P:P))</f>
        <v>FeatureのParam1を指定値に上書き</v>
      </c>
      <c r="E402">
        <v>4020</v>
      </c>
      <c r="F402">
        <v>0</v>
      </c>
      <c r="G402">
        <v>250</v>
      </c>
      <c r="H402">
        <v>100</v>
      </c>
    </row>
    <row r="403" spans="1:8">
      <c r="A403">
        <v>404030</v>
      </c>
      <c r="B403" t="str">
        <f>INDEX(TextData!B:B,MATCH(A403,TextData!A:A))</f>
        <v>ヒーリング+</v>
      </c>
      <c r="C403">
        <v>6210</v>
      </c>
      <c r="D403" t="str">
        <f>INDEX(Define!Q:Q,MATCH(C403,Define!P:P))</f>
        <v>指定魔法の対象を変更（強化限定）</v>
      </c>
      <c r="E403">
        <v>4030</v>
      </c>
      <c r="F403">
        <v>0</v>
      </c>
      <c r="G403">
        <v>31</v>
      </c>
      <c r="H403">
        <v>100</v>
      </c>
    </row>
    <row r="404" spans="1:8">
      <c r="A404">
        <v>404040</v>
      </c>
      <c r="B404" t="str">
        <f>INDEX(TextData!B:B,MATCH(A404,TextData!A:A))</f>
        <v>リザイアフォトン+</v>
      </c>
      <c r="C404">
        <v>6030</v>
      </c>
      <c r="D404" t="str">
        <f>INDEX(Define!Q:Q,MATCH(C404,Define!P:P))</f>
        <v>FeatureのParam3を指定値に上書き</v>
      </c>
      <c r="E404">
        <v>4040</v>
      </c>
      <c r="F404">
        <v>1</v>
      </c>
      <c r="G404">
        <v>30</v>
      </c>
      <c r="H404">
        <v>100</v>
      </c>
    </row>
    <row r="405" spans="1:8">
      <c r="A405">
        <v>404050</v>
      </c>
      <c r="B405" t="str">
        <f>INDEX(TextData!B:B,MATCH(A405,TextData!A:A))</f>
        <v>べネディクション+</v>
      </c>
      <c r="C405">
        <v>6080</v>
      </c>
      <c r="D405" t="str">
        <f>INDEX(Define!Q:Q,MATCH(C405,Define!P:P))</f>
        <v>指定魔法のCTリセット値を変更する</v>
      </c>
      <c r="E405">
        <v>4050</v>
      </c>
      <c r="F405">
        <v>0</v>
      </c>
      <c r="G405">
        <v>2</v>
      </c>
      <c r="H405">
        <v>100</v>
      </c>
    </row>
    <row r="406" spans="1:8">
      <c r="A406">
        <v>404060</v>
      </c>
      <c r="B406" t="str">
        <f>INDEX(TextData!B:B,MATCH(A406,TextData!A:A))</f>
        <v>ホーリーグレイス+</v>
      </c>
      <c r="C406">
        <v>6080</v>
      </c>
      <c r="D406" t="str">
        <f>INDEX(Define!Q:Q,MATCH(C406,Define!P:P))</f>
        <v>指定魔法のCTリセット値を変更する</v>
      </c>
      <c r="E406">
        <v>4060</v>
      </c>
      <c r="F406">
        <v>0</v>
      </c>
      <c r="G406">
        <v>5</v>
      </c>
      <c r="H406">
        <v>100</v>
      </c>
    </row>
    <row r="407" spans="1:8">
      <c r="A407">
        <v>404070</v>
      </c>
      <c r="B407" t="str">
        <f>INDEX(TextData!B:B,MATCH(A407,TextData!A:A))</f>
        <v>キュアエール+</v>
      </c>
      <c r="C407">
        <v>6030</v>
      </c>
      <c r="D407" t="str">
        <f>INDEX(Define!Q:Q,MATCH(C407,Define!P:P))</f>
        <v>FeatureのParam3を指定値に上書き</v>
      </c>
      <c r="E407">
        <v>4070</v>
      </c>
      <c r="F407">
        <v>0</v>
      </c>
      <c r="G407">
        <v>25</v>
      </c>
      <c r="H407">
        <v>100</v>
      </c>
    </row>
    <row r="408" spans="1:8">
      <c r="A408">
        <v>404080</v>
      </c>
      <c r="B408" t="str">
        <f>INDEX(TextData!B:B,MATCH(A408,TextData!A:A))</f>
        <v>ラインバリア+</v>
      </c>
      <c r="C408">
        <v>6080</v>
      </c>
      <c r="D408" t="str">
        <f>INDEX(Define!Q:Q,MATCH(C408,Define!P:P))</f>
        <v>指定魔法のCTリセット値を変更する</v>
      </c>
      <c r="E408">
        <v>4080</v>
      </c>
      <c r="F408">
        <v>0</v>
      </c>
      <c r="G408">
        <v>3</v>
      </c>
      <c r="H408">
        <v>100</v>
      </c>
    </row>
    <row r="409" spans="1:8">
      <c r="A409">
        <v>405010</v>
      </c>
      <c r="B409" t="str">
        <f>INDEX(TextData!B:B,MATCH(A409,TextData!A:A))</f>
        <v>ダークプリズン+</v>
      </c>
      <c r="C409">
        <v>6010</v>
      </c>
      <c r="D409" t="str">
        <f>INDEX(Define!Q:Q,MATCH(C409,Define!P:P))</f>
        <v>FeatureのParam1を指定値に上書き</v>
      </c>
      <c r="E409">
        <v>5010</v>
      </c>
      <c r="F409">
        <v>0</v>
      </c>
      <c r="G409">
        <v>250</v>
      </c>
      <c r="H409">
        <v>100</v>
      </c>
    </row>
    <row r="410" spans="1:8">
      <c r="A410">
        <v>405020</v>
      </c>
      <c r="B410" t="str">
        <f>INDEX(TextData!B:B,MATCH(A410,TextData!A:A))</f>
        <v>ユーサネイジア+</v>
      </c>
      <c r="C410">
        <v>6010</v>
      </c>
      <c r="D410" t="str">
        <f>INDEX(Define!Q:Q,MATCH(C410,Define!P:P))</f>
        <v>FeatureのParam1を指定値に上書き</v>
      </c>
      <c r="E410">
        <v>5020</v>
      </c>
      <c r="F410">
        <v>0</v>
      </c>
      <c r="G410">
        <v>200</v>
      </c>
      <c r="H410">
        <v>100</v>
      </c>
    </row>
    <row r="411" spans="1:8">
      <c r="A411">
        <v>405030</v>
      </c>
      <c r="B411" t="str">
        <f>INDEX(TextData!B:B,MATCH(A411,TextData!A:A))</f>
        <v>ドレインヒール+</v>
      </c>
      <c r="C411">
        <v>6030</v>
      </c>
      <c r="D411" t="str">
        <f>INDEX(Define!Q:Q,MATCH(C411,Define!P:P))</f>
        <v>FeatureのParam3を指定値に上書き</v>
      </c>
      <c r="E411">
        <v>5030</v>
      </c>
      <c r="F411">
        <v>0</v>
      </c>
      <c r="G411">
        <v>100</v>
      </c>
      <c r="H411">
        <v>100</v>
      </c>
    </row>
    <row r="412" spans="1:8">
      <c r="A412">
        <v>405040</v>
      </c>
      <c r="B412" t="str">
        <f>INDEX(TextData!B:B,MATCH(A412,TextData!A:A))</f>
        <v>アビサルデスペア+</v>
      </c>
      <c r="C412">
        <v>6020</v>
      </c>
      <c r="D412" t="str">
        <f>INDEX(Define!Q:Q,MATCH(C412,Define!P:P))</f>
        <v>FeatureのParam2を指定値に上書き</v>
      </c>
      <c r="E412">
        <v>5040</v>
      </c>
      <c r="F412">
        <v>0</v>
      </c>
      <c r="G412">
        <v>5</v>
      </c>
      <c r="H412">
        <v>100</v>
      </c>
    </row>
    <row r="413" spans="1:8">
      <c r="A413">
        <v>405050</v>
      </c>
      <c r="B413" t="str">
        <f>INDEX(TextData!B:B,MATCH(A413,TextData!A:A))</f>
        <v>ディプラヴィティ+</v>
      </c>
      <c r="C413">
        <v>6030</v>
      </c>
      <c r="D413" t="str">
        <f>INDEX(Define!Q:Q,MATCH(C413,Define!P:P))</f>
        <v>FeatureのParam3を指定値に上書き</v>
      </c>
      <c r="E413">
        <v>5050</v>
      </c>
      <c r="F413">
        <v>0</v>
      </c>
      <c r="G413">
        <v>3</v>
      </c>
      <c r="H413">
        <v>100</v>
      </c>
    </row>
    <row r="414" spans="1:8">
      <c r="A414">
        <v>405060</v>
      </c>
      <c r="B414" t="str">
        <f>INDEX(TextData!B:B,MATCH(A414,TextData!A:A))</f>
        <v>ダークネス+</v>
      </c>
      <c r="C414">
        <v>6030</v>
      </c>
      <c r="D414" t="str">
        <f>INDEX(Define!Q:Q,MATCH(C414,Define!P:P))</f>
        <v>FeatureのParam3を指定値に上書き</v>
      </c>
      <c r="E414">
        <v>5060</v>
      </c>
      <c r="F414">
        <v>0</v>
      </c>
      <c r="G414">
        <v>50</v>
      </c>
      <c r="H414">
        <v>100</v>
      </c>
    </row>
    <row r="415" spans="1:8">
      <c r="A415">
        <v>405070</v>
      </c>
      <c r="B415" t="str">
        <f>INDEX(TextData!B:B,MATCH(A415,TextData!A:A))</f>
        <v>シェイディークラウド+</v>
      </c>
      <c r="C415">
        <v>6030</v>
      </c>
      <c r="D415" t="str">
        <f>INDEX(Define!Q:Q,MATCH(C415,Define!P:P))</f>
        <v>FeatureのParam3を指定値に上書き</v>
      </c>
      <c r="E415">
        <v>5070</v>
      </c>
      <c r="F415">
        <v>0</v>
      </c>
      <c r="G415">
        <v>12</v>
      </c>
      <c r="H415">
        <v>100</v>
      </c>
    </row>
    <row r="416" spans="1:8">
      <c r="A416">
        <v>405080</v>
      </c>
      <c r="B416" t="str">
        <f>INDEX(TextData!B:B,MATCH(A416,TextData!A:A))</f>
        <v>ポイズンブロウ+</v>
      </c>
      <c r="C416">
        <v>6030</v>
      </c>
      <c r="D416" t="str">
        <f>INDEX(Define!Q:Q,MATCH(C416,Define!P:P))</f>
        <v>FeatureのParam3を指定値に上書き</v>
      </c>
      <c r="E416">
        <v>5080</v>
      </c>
      <c r="F416">
        <v>0</v>
      </c>
      <c r="G416">
        <v>20</v>
      </c>
      <c r="H416">
        <v>100</v>
      </c>
    </row>
    <row r="417" spans="1:8">
      <c r="A417">
        <v>411010</v>
      </c>
      <c r="B417" t="str">
        <f>INDEX(TextData!B:B,MATCH(A417,TextData!A:A))</f>
        <v>ウルフソウル+</v>
      </c>
      <c r="C417">
        <v>6030</v>
      </c>
      <c r="D417" t="str">
        <f>INDEX(Define!Q:Q,MATCH(C417,Define!P:P))</f>
        <v>FeatureのParam3を指定値に上書き</v>
      </c>
      <c r="E417">
        <v>11010</v>
      </c>
      <c r="F417">
        <v>0</v>
      </c>
      <c r="G417">
        <v>8</v>
      </c>
      <c r="H417">
        <v>100</v>
      </c>
    </row>
    <row r="418" spans="1:8">
      <c r="A418">
        <v>411020</v>
      </c>
      <c r="B418" t="str">
        <f>INDEX(TextData!B:B,MATCH(A418,TextData!A:A))</f>
        <v>プリディカメント+</v>
      </c>
      <c r="C418">
        <v>6030</v>
      </c>
      <c r="D418" t="str">
        <f>INDEX(Define!Q:Q,MATCH(C418,Define!P:P))</f>
        <v>FeatureのParam3を指定値に上書き</v>
      </c>
      <c r="E418">
        <v>11020</v>
      </c>
      <c r="F418">
        <v>0</v>
      </c>
      <c r="G418">
        <v>16</v>
      </c>
      <c r="H418">
        <v>100</v>
      </c>
    </row>
    <row r="419" spans="1:8">
      <c r="A419">
        <v>411030</v>
      </c>
      <c r="B419" t="str">
        <f>INDEX(TextData!B:B,MATCH(A419,TextData!A:A))</f>
        <v>アサルトシフト+</v>
      </c>
      <c r="C419">
        <v>6030</v>
      </c>
      <c r="D419" t="str">
        <f>INDEX(Define!Q:Q,MATCH(C419,Define!P:P))</f>
        <v>FeatureのParam3を指定値に上書き</v>
      </c>
      <c r="E419">
        <v>11030</v>
      </c>
      <c r="F419">
        <v>0</v>
      </c>
      <c r="G419">
        <v>8</v>
      </c>
      <c r="H419">
        <v>100</v>
      </c>
    </row>
    <row r="420" spans="1:8">
      <c r="A420">
        <v>411030</v>
      </c>
      <c r="B420" t="str">
        <f>INDEX(TextData!B:B,MATCH(A420,TextData!A:A))</f>
        <v>アサルトシフト+</v>
      </c>
      <c r="C420">
        <v>6030</v>
      </c>
      <c r="D420" t="str">
        <f>INDEX(Define!Q:Q,MATCH(C420,Define!P:P))</f>
        <v>FeatureのParam3を指定値に上書き</v>
      </c>
      <c r="E420">
        <v>11030</v>
      </c>
      <c r="F420">
        <v>1</v>
      </c>
      <c r="G420">
        <v>8</v>
      </c>
      <c r="H420">
        <v>100</v>
      </c>
    </row>
    <row r="421" spans="1:8">
      <c r="A421">
        <v>411040</v>
      </c>
      <c r="B421" t="str">
        <f>INDEX(TextData!B:B,MATCH(A421,TextData!A:A))</f>
        <v>アクティブギフト+</v>
      </c>
      <c r="C421">
        <v>6080</v>
      </c>
      <c r="D421" t="str">
        <f>INDEX(Define!Q:Q,MATCH(C421,Define!P:P))</f>
        <v>指定魔法のCTリセット値を変更する</v>
      </c>
      <c r="E421">
        <v>11040</v>
      </c>
      <c r="F421">
        <v>0</v>
      </c>
      <c r="G421">
        <v>3</v>
      </c>
      <c r="H421">
        <v>100</v>
      </c>
    </row>
    <row r="422" spans="1:8">
      <c r="A422">
        <v>411050</v>
      </c>
      <c r="B422" t="str">
        <f>INDEX(TextData!B:B,MATCH(A422,TextData!A:A))</f>
        <v>イグナイテッド+</v>
      </c>
      <c r="C422">
        <v>6010</v>
      </c>
      <c r="D422" t="str">
        <f>INDEX(Define!Q:Q,MATCH(C422,Define!P:P))</f>
        <v>FeatureのParam1を指定値に上書き</v>
      </c>
      <c r="E422">
        <v>11050</v>
      </c>
      <c r="F422">
        <v>0</v>
      </c>
      <c r="G422">
        <v>6</v>
      </c>
      <c r="H422">
        <v>100</v>
      </c>
    </row>
    <row r="423" spans="1:8">
      <c r="A423">
        <v>411060</v>
      </c>
      <c r="B423" t="str">
        <f>INDEX(TextData!B:B,MATCH(A423,TextData!A:A))</f>
        <v>ライジングファイア+</v>
      </c>
      <c r="C423">
        <v>6010</v>
      </c>
      <c r="D423" t="str">
        <f>INDEX(Define!Q:Q,MATCH(C423,Define!P:P))</f>
        <v>FeatureのParam1を指定値に上書き</v>
      </c>
      <c r="E423">
        <v>11060</v>
      </c>
      <c r="F423">
        <v>0</v>
      </c>
      <c r="G423">
        <v>2</v>
      </c>
      <c r="H423">
        <v>100</v>
      </c>
    </row>
    <row r="424" spans="1:8">
      <c r="A424">
        <v>411070</v>
      </c>
      <c r="B424" t="str">
        <f>INDEX(TextData!B:B,MATCH(A424,TextData!A:A))</f>
        <v>ルージュバック+</v>
      </c>
      <c r="C424">
        <v>6030</v>
      </c>
      <c r="D424" t="str">
        <f>INDEX(Define!Q:Q,MATCH(C424,Define!P:P))</f>
        <v>FeatureのParam3を指定値に上書き</v>
      </c>
      <c r="E424">
        <v>11070</v>
      </c>
      <c r="F424">
        <v>0</v>
      </c>
      <c r="G424">
        <v>4</v>
      </c>
      <c r="H424">
        <v>100</v>
      </c>
    </row>
    <row r="425" spans="1:8">
      <c r="A425">
        <v>411080</v>
      </c>
      <c r="B425" t="str">
        <f>INDEX(TextData!B:B,MATCH(A425,TextData!A:A))</f>
        <v>パワーエール+</v>
      </c>
      <c r="C425">
        <v>6030</v>
      </c>
      <c r="D425" t="str">
        <f>INDEX(Define!Q:Q,MATCH(C425,Define!P:P))</f>
        <v>FeatureのParam3を指定値に上書き</v>
      </c>
      <c r="E425">
        <v>11080</v>
      </c>
      <c r="F425">
        <v>0</v>
      </c>
      <c r="G425">
        <v>8</v>
      </c>
      <c r="H425">
        <v>100</v>
      </c>
    </row>
    <row r="426" spans="1:8">
      <c r="A426">
        <v>411090</v>
      </c>
      <c r="B426" t="str">
        <f>INDEX(TextData!B:B,MATCH(A426,TextData!A:A))</f>
        <v>スレイプニル+</v>
      </c>
      <c r="C426">
        <v>6030</v>
      </c>
      <c r="D426" t="str">
        <f>INDEX(Define!Q:Q,MATCH(C426,Define!P:P))</f>
        <v>FeatureのParam3を指定値に上書き</v>
      </c>
      <c r="E426">
        <v>11090</v>
      </c>
      <c r="F426">
        <v>0</v>
      </c>
      <c r="G426">
        <v>25</v>
      </c>
      <c r="H426">
        <v>100</v>
      </c>
    </row>
    <row r="427" spans="1:8">
      <c r="A427">
        <v>412010</v>
      </c>
      <c r="B427" t="str">
        <f>INDEX(TextData!B:B,MATCH(A427,TextData!A:A))</f>
        <v>エクステンション+</v>
      </c>
      <c r="C427">
        <v>6210</v>
      </c>
      <c r="D427" t="str">
        <f>INDEX(Define!Q:Q,MATCH(C427,Define!P:P))</f>
        <v>指定魔法の対象を変更（強化限定）</v>
      </c>
      <c r="E427">
        <v>12010</v>
      </c>
      <c r="F427">
        <v>0</v>
      </c>
      <c r="G427">
        <v>31</v>
      </c>
      <c r="H427">
        <v>100</v>
      </c>
    </row>
    <row r="428" spans="1:8">
      <c r="A428">
        <v>412020</v>
      </c>
      <c r="B428" t="str">
        <f>INDEX(TextData!B:B,MATCH(A428,TextData!A:A))</f>
        <v>ヘブンリーラック+</v>
      </c>
      <c r="C428">
        <v>6030</v>
      </c>
      <c r="D428" t="str">
        <f>INDEX(Define!Q:Q,MATCH(C428,Define!P:P))</f>
        <v>FeatureのParam3を指定値に上書き</v>
      </c>
      <c r="E428">
        <v>12020</v>
      </c>
      <c r="F428">
        <v>0</v>
      </c>
      <c r="G428">
        <v>20</v>
      </c>
      <c r="H428">
        <v>100</v>
      </c>
    </row>
    <row r="429" spans="1:8">
      <c r="A429">
        <v>412030</v>
      </c>
      <c r="B429" t="str">
        <f>INDEX(TextData!B:B,MATCH(A429,TextData!A:A))</f>
        <v>スウィフトカレント+</v>
      </c>
      <c r="C429">
        <v>6030</v>
      </c>
      <c r="D429" t="str">
        <f>INDEX(Define!Q:Q,MATCH(C429,Define!P:P))</f>
        <v>FeatureのParam3を指定値に上書き</v>
      </c>
      <c r="E429">
        <v>12030</v>
      </c>
      <c r="F429">
        <v>0</v>
      </c>
      <c r="G429">
        <v>10</v>
      </c>
      <c r="H429">
        <v>100</v>
      </c>
    </row>
    <row r="430" spans="1:8">
      <c r="A430">
        <v>412040</v>
      </c>
      <c r="B430" t="str">
        <f>INDEX(TextData!B:B,MATCH(A430,TextData!A:A))</f>
        <v>イヴェイドオール+</v>
      </c>
      <c r="C430">
        <v>6030</v>
      </c>
      <c r="D430" t="str">
        <f>INDEX(Define!Q:Q,MATCH(C430,Define!P:P))</f>
        <v>FeatureのParam3を指定値に上書き</v>
      </c>
      <c r="E430">
        <v>12040</v>
      </c>
      <c r="F430">
        <v>0</v>
      </c>
      <c r="G430">
        <v>10</v>
      </c>
      <c r="H430">
        <v>100</v>
      </c>
    </row>
    <row r="431" spans="1:8">
      <c r="A431">
        <v>412050</v>
      </c>
      <c r="B431" t="str">
        <f>INDEX(TextData!B:B,MATCH(A431,TextData!A:A))</f>
        <v>クイックムーブ+</v>
      </c>
      <c r="C431">
        <v>6010</v>
      </c>
      <c r="D431" t="str">
        <f>INDEX(Define!Q:Q,MATCH(C431,Define!P:P))</f>
        <v>FeatureのParam1を指定値に上書き</v>
      </c>
      <c r="E431">
        <v>12050</v>
      </c>
      <c r="F431">
        <v>0</v>
      </c>
      <c r="G431">
        <v>400</v>
      </c>
      <c r="H431">
        <v>100</v>
      </c>
    </row>
    <row r="432" spans="1:8">
      <c r="A432">
        <v>412060</v>
      </c>
      <c r="B432" t="str">
        <f>INDEX(TextData!B:B,MATCH(A432,TextData!A:A))</f>
        <v>チェイスマジック+</v>
      </c>
      <c r="C432">
        <v>6010</v>
      </c>
      <c r="D432" t="str">
        <f>INDEX(Define!Q:Q,MATCH(C432,Define!P:P))</f>
        <v>FeatureのParam1を指定値に上書き</v>
      </c>
      <c r="E432">
        <v>12060</v>
      </c>
      <c r="F432">
        <v>0</v>
      </c>
      <c r="G432">
        <v>300</v>
      </c>
      <c r="H432">
        <v>100</v>
      </c>
    </row>
    <row r="433" spans="1:8">
      <c r="A433">
        <v>412070</v>
      </c>
      <c r="B433" t="str">
        <f>INDEX(TextData!B:B,MATCH(A433,TextData!A:A))</f>
        <v>ソーサリーコネクト+</v>
      </c>
      <c r="C433">
        <v>6030</v>
      </c>
      <c r="D433" t="str">
        <f>INDEX(Define!Q:Q,MATCH(C433,Define!P:P))</f>
        <v>FeatureのParam3を指定値に上書き</v>
      </c>
      <c r="E433">
        <v>12070</v>
      </c>
      <c r="F433">
        <v>0</v>
      </c>
      <c r="G433">
        <v>16</v>
      </c>
      <c r="H433">
        <v>100</v>
      </c>
    </row>
    <row r="434" spans="1:8">
      <c r="A434">
        <v>412080</v>
      </c>
      <c r="B434" t="str">
        <f>INDEX(TextData!B:B,MATCH(A434,TextData!A:A))</f>
        <v>ウィンドライズ+</v>
      </c>
      <c r="C434">
        <v>6010</v>
      </c>
      <c r="D434" t="str">
        <f>INDEX(Define!Q:Q,MATCH(C434,Define!P:P))</f>
        <v>FeatureのParam1を指定値に上書き</v>
      </c>
      <c r="E434">
        <v>12080</v>
      </c>
      <c r="F434">
        <v>0</v>
      </c>
      <c r="G434">
        <v>300</v>
      </c>
      <c r="H434">
        <v>100</v>
      </c>
    </row>
    <row r="435" spans="1:8">
      <c r="A435">
        <v>412090</v>
      </c>
      <c r="B435" t="str">
        <f>INDEX(TextData!B:B,MATCH(A435,TextData!A:A))</f>
        <v>アウトオブオーダー+</v>
      </c>
      <c r="C435">
        <v>6010</v>
      </c>
      <c r="D435" t="str">
        <f>INDEX(Define!Q:Q,MATCH(C435,Define!P:P))</f>
        <v>FeatureのParam1を指定値に上書き</v>
      </c>
      <c r="E435">
        <v>12090</v>
      </c>
      <c r="F435">
        <v>0</v>
      </c>
      <c r="G435">
        <v>400</v>
      </c>
      <c r="H435">
        <v>100</v>
      </c>
    </row>
    <row r="436" spans="1:8">
      <c r="A436">
        <v>413010</v>
      </c>
      <c r="B436" t="str">
        <f>INDEX(TextData!B:B,MATCH(A436,TextData!A:A))</f>
        <v>アーマーコード+</v>
      </c>
      <c r="C436">
        <v>6030</v>
      </c>
      <c r="D436" t="str">
        <f>INDEX(Define!Q:Q,MATCH(C436,Define!P:P))</f>
        <v>FeatureのParam3を指定値に上書き</v>
      </c>
      <c r="E436">
        <v>13010</v>
      </c>
      <c r="F436">
        <v>0</v>
      </c>
      <c r="G436">
        <v>8</v>
      </c>
      <c r="H436">
        <v>100</v>
      </c>
    </row>
    <row r="437" spans="1:8">
      <c r="A437">
        <v>413020</v>
      </c>
      <c r="B437" t="str">
        <f>INDEX(TextData!B:B,MATCH(A437,TextData!A:A))</f>
        <v>クイックバリア+</v>
      </c>
      <c r="C437">
        <v>6030</v>
      </c>
      <c r="D437" t="str">
        <f>INDEX(Define!Q:Q,MATCH(C437,Define!P:P))</f>
        <v>FeatureのParam3を指定値に上書き</v>
      </c>
      <c r="E437">
        <v>13020</v>
      </c>
      <c r="F437">
        <v>0</v>
      </c>
      <c r="G437">
        <v>50</v>
      </c>
      <c r="H437">
        <v>100</v>
      </c>
    </row>
    <row r="438" spans="1:8">
      <c r="A438">
        <v>413030</v>
      </c>
      <c r="B438" t="str">
        <f>INDEX(TextData!B:B,MATCH(A438,TextData!A:A))</f>
        <v>クイックキュア+</v>
      </c>
      <c r="C438">
        <v>6080</v>
      </c>
      <c r="D438" t="str">
        <f>INDEX(Define!Q:Q,MATCH(C438,Define!P:P))</f>
        <v>指定魔法のCTリセット値を変更する</v>
      </c>
      <c r="E438">
        <v>14090</v>
      </c>
      <c r="F438">
        <v>0</v>
      </c>
      <c r="G438">
        <v>1</v>
      </c>
      <c r="H438">
        <v>100</v>
      </c>
    </row>
    <row r="439" spans="1:8">
      <c r="A439">
        <v>413040</v>
      </c>
      <c r="B439" t="str">
        <f>INDEX(TextData!B:B,MATCH(A439,TextData!A:A))</f>
        <v>セルフシールド+</v>
      </c>
      <c r="C439">
        <v>6030</v>
      </c>
      <c r="D439" t="str">
        <f>INDEX(Define!Q:Q,MATCH(C439,Define!P:P))</f>
        <v>FeatureのParam3を指定値に上書き</v>
      </c>
      <c r="E439">
        <v>13040</v>
      </c>
      <c r="F439">
        <v>0</v>
      </c>
      <c r="G439">
        <v>50</v>
      </c>
      <c r="H439">
        <v>100</v>
      </c>
    </row>
    <row r="440" spans="1:8">
      <c r="A440">
        <v>413050</v>
      </c>
      <c r="B440" t="str">
        <f>INDEX(TextData!B:B,MATCH(A440,TextData!A:A))</f>
        <v>パッシブジャミング+</v>
      </c>
      <c r="C440">
        <v>6080</v>
      </c>
      <c r="D440" t="str">
        <f>INDEX(Define!Q:Q,MATCH(C440,Define!P:P))</f>
        <v>指定魔法のCTリセット値を変更する</v>
      </c>
      <c r="E440">
        <v>14090</v>
      </c>
      <c r="F440">
        <v>0</v>
      </c>
      <c r="G440">
        <v>1</v>
      </c>
      <c r="H440">
        <v>100</v>
      </c>
    </row>
    <row r="441" spans="1:8">
      <c r="A441">
        <v>413060</v>
      </c>
      <c r="B441" t="str">
        <f>INDEX(TextData!B:B,MATCH(A441,TextData!A:A))</f>
        <v>サプライカバー+</v>
      </c>
      <c r="C441">
        <v>6080</v>
      </c>
      <c r="D441" t="str">
        <f>INDEX(Define!Q:Q,MATCH(C441,Define!P:P))</f>
        <v>指定魔法のCTリセット値を変更する</v>
      </c>
      <c r="E441">
        <v>14090</v>
      </c>
      <c r="F441">
        <v>0</v>
      </c>
      <c r="G441">
        <v>1</v>
      </c>
      <c r="H441">
        <v>100</v>
      </c>
    </row>
    <row r="442" spans="1:8">
      <c r="A442">
        <v>413070</v>
      </c>
      <c r="B442" t="str">
        <f>INDEX(TextData!B:B,MATCH(A442,TextData!A:A))</f>
        <v>アシッドラッシュ+</v>
      </c>
      <c r="C442">
        <v>6010</v>
      </c>
      <c r="D442" t="str">
        <f>INDEX(Define!Q:Q,MATCH(C442,Define!P:P))</f>
        <v>FeatureのParam1を指定値に上書き</v>
      </c>
      <c r="E442">
        <v>13070</v>
      </c>
      <c r="F442">
        <v>0</v>
      </c>
      <c r="G442">
        <v>400</v>
      </c>
      <c r="H442">
        <v>100</v>
      </c>
    </row>
    <row r="443" spans="1:8">
      <c r="A443">
        <v>413080</v>
      </c>
      <c r="B443" t="str">
        <f>INDEX(TextData!B:B,MATCH(A443,TextData!A:A))</f>
        <v>ライフスティール+</v>
      </c>
      <c r="C443">
        <v>6030</v>
      </c>
      <c r="D443" t="str">
        <f>INDEX(Define!Q:Q,MATCH(C443,Define!P:P))</f>
        <v>FeatureのParam3を指定値に上書き</v>
      </c>
      <c r="E443">
        <v>13080</v>
      </c>
      <c r="F443">
        <v>0</v>
      </c>
      <c r="G443">
        <v>50</v>
      </c>
      <c r="H443">
        <v>100</v>
      </c>
    </row>
    <row r="444" spans="1:8">
      <c r="A444">
        <v>413090</v>
      </c>
      <c r="B444" t="str">
        <f>INDEX(TextData!B:B,MATCH(A444,TextData!A:A))</f>
        <v>アイスセイバー+</v>
      </c>
      <c r="C444">
        <v>6030</v>
      </c>
      <c r="D444" t="str">
        <f>INDEX(Define!Q:Q,MATCH(C444,Define!P:P))</f>
        <v>FeatureのParam3を指定値に上書き</v>
      </c>
      <c r="E444">
        <v>13090</v>
      </c>
      <c r="F444">
        <v>0</v>
      </c>
      <c r="G444">
        <v>50</v>
      </c>
      <c r="H444">
        <v>100</v>
      </c>
    </row>
    <row r="445" spans="1:8">
      <c r="A445">
        <v>414010</v>
      </c>
      <c r="B445" t="str">
        <f>INDEX(TextData!B:B,MATCH(A445,TextData!A:A))</f>
        <v>ディバインシールド+</v>
      </c>
      <c r="C445">
        <v>6020</v>
      </c>
      <c r="D445" t="str">
        <f>INDEX(Define!Q:Q,MATCH(C445,Define!P:P))</f>
        <v>FeatureのParam2を指定値に上書き</v>
      </c>
      <c r="E445">
        <v>14010</v>
      </c>
      <c r="F445">
        <v>0</v>
      </c>
      <c r="G445">
        <v>2</v>
      </c>
      <c r="H445">
        <v>100</v>
      </c>
    </row>
    <row r="446" spans="1:8">
      <c r="A446">
        <v>414020</v>
      </c>
      <c r="B446" t="str">
        <f>INDEX(TextData!B:B,MATCH(A446,TextData!A:A))</f>
        <v>ライフディバイド+</v>
      </c>
      <c r="C446">
        <v>6010</v>
      </c>
      <c r="D446" t="str">
        <f>INDEX(Define!Q:Q,MATCH(C446,Define!P:P))</f>
        <v>FeatureのParam1を指定値に上書き</v>
      </c>
      <c r="E446">
        <v>14020</v>
      </c>
      <c r="F446">
        <v>0</v>
      </c>
      <c r="G446">
        <v>50</v>
      </c>
      <c r="H446">
        <v>100</v>
      </c>
    </row>
    <row r="447" spans="1:8">
      <c r="A447">
        <v>414030</v>
      </c>
      <c r="B447" t="str">
        <f>INDEX(TextData!B:B,MATCH(A447,TextData!A:A))</f>
        <v>エイミングスコープ+</v>
      </c>
      <c r="C447">
        <v>6030</v>
      </c>
      <c r="D447" t="str">
        <f>INDEX(Define!Q:Q,MATCH(C447,Define!P:P))</f>
        <v>FeatureのParam3を指定値に上書き</v>
      </c>
      <c r="E447">
        <v>14030</v>
      </c>
      <c r="F447">
        <v>0</v>
      </c>
      <c r="G447">
        <v>10</v>
      </c>
      <c r="H447">
        <v>100</v>
      </c>
    </row>
    <row r="448" spans="1:8">
      <c r="A448">
        <v>414040</v>
      </c>
      <c r="B448" t="str">
        <f>INDEX(TextData!B:B,MATCH(A448,TextData!A:A))</f>
        <v>リジェネレーション+</v>
      </c>
      <c r="C448">
        <v>6030</v>
      </c>
      <c r="D448" t="str">
        <f>INDEX(Define!Q:Q,MATCH(C448,Define!P:P))</f>
        <v>FeatureのParam3を指定値に上書き</v>
      </c>
      <c r="E448">
        <v>14040</v>
      </c>
      <c r="F448">
        <v>0</v>
      </c>
      <c r="G448">
        <v>10</v>
      </c>
      <c r="H448">
        <v>100</v>
      </c>
    </row>
    <row r="449" spans="1:8">
      <c r="A449">
        <v>414050</v>
      </c>
      <c r="B449" t="str">
        <f>INDEX(TextData!B:B,MATCH(A449,TextData!A:A))</f>
        <v>ホープフルアイリス+</v>
      </c>
      <c r="C449">
        <v>6030</v>
      </c>
      <c r="D449" t="str">
        <f>INDEX(Define!Q:Q,MATCH(C449,Define!P:P))</f>
        <v>FeatureのParam3を指定値に上書き</v>
      </c>
      <c r="E449">
        <v>14050</v>
      </c>
      <c r="F449">
        <v>0</v>
      </c>
      <c r="G449">
        <v>15</v>
      </c>
      <c r="H449">
        <v>100</v>
      </c>
    </row>
    <row r="450" spans="1:8">
      <c r="A450">
        <v>414060</v>
      </c>
      <c r="B450" t="str">
        <f>INDEX(TextData!B:B,MATCH(A450,TextData!A:A))</f>
        <v>パッシブサプライ+</v>
      </c>
      <c r="C450">
        <v>6010</v>
      </c>
      <c r="D450" t="str">
        <f>INDEX(Define!Q:Q,MATCH(C450,Define!P:P))</f>
        <v>FeatureのParam1を指定値に上書き</v>
      </c>
      <c r="E450">
        <v>14060</v>
      </c>
      <c r="F450">
        <v>1</v>
      </c>
      <c r="G450">
        <v>2</v>
      </c>
      <c r="H450">
        <v>100</v>
      </c>
    </row>
    <row r="451" spans="1:8">
      <c r="A451">
        <v>414070</v>
      </c>
      <c r="B451" t="str">
        <f>INDEX(TextData!B:B,MATCH(A451,TextData!A:A))</f>
        <v>ホーミングクルセイド+</v>
      </c>
      <c r="C451">
        <v>6020</v>
      </c>
      <c r="D451" t="str">
        <f>INDEX(Define!Q:Q,MATCH(C451,Define!P:P))</f>
        <v>FeatureのParam2を指定値に上書き</v>
      </c>
      <c r="E451">
        <v>14070</v>
      </c>
      <c r="F451">
        <v>0</v>
      </c>
      <c r="G451">
        <v>5</v>
      </c>
      <c r="H451">
        <v>100</v>
      </c>
    </row>
    <row r="452" spans="1:8">
      <c r="A452">
        <v>414080</v>
      </c>
      <c r="B452" t="str">
        <f>INDEX(TextData!B:B,MATCH(A452,TextData!A:A))</f>
        <v>クイックヒール+</v>
      </c>
      <c r="C452">
        <v>6010</v>
      </c>
      <c r="D452" t="str">
        <f>INDEX(Define!Q:Q,MATCH(C452,Define!P:P))</f>
        <v>FeatureのParam1を指定値に上書き</v>
      </c>
      <c r="E452">
        <v>14080</v>
      </c>
      <c r="F452">
        <v>0</v>
      </c>
      <c r="G452">
        <v>15</v>
      </c>
      <c r="H452">
        <v>100</v>
      </c>
    </row>
    <row r="453" spans="1:8">
      <c r="A453">
        <v>414090</v>
      </c>
      <c r="B453" t="str">
        <f>INDEX(TextData!B:B,MATCH(A453,TextData!A:A))</f>
        <v>リレイズ+</v>
      </c>
      <c r="C453">
        <v>6080</v>
      </c>
      <c r="D453" t="str">
        <f>INDEX(Define!Q:Q,MATCH(C453,Define!P:P))</f>
        <v>指定魔法のCTリセット値を変更する</v>
      </c>
      <c r="E453">
        <v>14090</v>
      </c>
      <c r="F453">
        <v>0</v>
      </c>
      <c r="G453">
        <v>4</v>
      </c>
      <c r="H453">
        <v>100</v>
      </c>
    </row>
    <row r="454" spans="1:8">
      <c r="A454">
        <v>415010</v>
      </c>
      <c r="B454" t="str">
        <f>INDEX(TextData!B:B,MATCH(A454,TextData!A:A))</f>
        <v>イーグルアイ+</v>
      </c>
      <c r="C454">
        <v>6030</v>
      </c>
      <c r="D454" t="str">
        <f>INDEX(Define!Q:Q,MATCH(C454,Define!P:P))</f>
        <v>FeatureのParam3を指定値に上書き</v>
      </c>
      <c r="E454">
        <v>15010</v>
      </c>
      <c r="F454">
        <v>0</v>
      </c>
      <c r="G454">
        <v>25</v>
      </c>
      <c r="H454">
        <v>100</v>
      </c>
    </row>
    <row r="455" spans="1:8">
      <c r="A455">
        <v>415020</v>
      </c>
      <c r="B455" t="str">
        <f>INDEX(TextData!B:B,MATCH(A455,TextData!A:A))</f>
        <v>ネヴァーエンド+</v>
      </c>
      <c r="C455">
        <v>6030</v>
      </c>
      <c r="D455" t="str">
        <f>INDEX(Define!Q:Q,MATCH(C455,Define!P:P))</f>
        <v>FeatureのParam3を指定値に上書き</v>
      </c>
      <c r="E455">
        <v>15020</v>
      </c>
      <c r="F455">
        <v>0</v>
      </c>
      <c r="G455">
        <v>50</v>
      </c>
      <c r="H455">
        <v>100</v>
      </c>
    </row>
    <row r="456" spans="1:8">
      <c r="A456">
        <v>415030</v>
      </c>
      <c r="B456" t="str">
        <f>INDEX(TextData!B:B,MATCH(A456,TextData!A:A))</f>
        <v>グレイブアクト+</v>
      </c>
      <c r="C456">
        <v>6010</v>
      </c>
      <c r="D456" t="str">
        <f>INDEX(Define!Q:Q,MATCH(C456,Define!P:P))</f>
        <v>FeatureのParam1を指定値に上書き</v>
      </c>
      <c r="E456">
        <v>15030</v>
      </c>
      <c r="F456">
        <v>0</v>
      </c>
      <c r="G456">
        <v>2</v>
      </c>
      <c r="H456">
        <v>100</v>
      </c>
    </row>
    <row r="457" spans="1:8">
      <c r="A457">
        <v>415040</v>
      </c>
      <c r="B457" t="str">
        <f>INDEX(TextData!B:B,MATCH(A457,TextData!A:A))</f>
        <v>スカルグラッジ+</v>
      </c>
      <c r="C457">
        <v>6030</v>
      </c>
      <c r="D457" t="str">
        <f>INDEX(Define!Q:Q,MATCH(C457,Define!P:P))</f>
        <v>FeatureのParam3を指定値に上書き</v>
      </c>
      <c r="E457">
        <v>15040</v>
      </c>
      <c r="F457">
        <v>0</v>
      </c>
      <c r="G457">
        <v>10</v>
      </c>
      <c r="H457">
        <v>100</v>
      </c>
    </row>
    <row r="458" spans="1:8">
      <c r="A458">
        <v>415050</v>
      </c>
      <c r="B458" t="str">
        <f>INDEX(TextData!B:B,MATCH(A458,TextData!A:A))</f>
        <v>ネガティブドレイン+</v>
      </c>
      <c r="C458">
        <v>6030</v>
      </c>
      <c r="D458" t="str">
        <f>INDEX(Define!Q:Q,MATCH(C458,Define!P:P))</f>
        <v>FeatureのParam3を指定値に上書き</v>
      </c>
      <c r="E458">
        <v>15050</v>
      </c>
      <c r="F458">
        <v>0</v>
      </c>
      <c r="G458">
        <v>25</v>
      </c>
      <c r="H458">
        <v>100</v>
      </c>
    </row>
    <row r="459" spans="1:8">
      <c r="A459">
        <v>415060</v>
      </c>
      <c r="B459" t="str">
        <f>INDEX(TextData!B:B,MATCH(A459,TextData!A:A))</f>
        <v>アンデッドペイン+</v>
      </c>
      <c r="C459">
        <v>6030</v>
      </c>
      <c r="D459" t="str">
        <f>INDEX(Define!Q:Q,MATCH(C459,Define!P:P))</f>
        <v>FeatureのParam3を指定値に上書き</v>
      </c>
      <c r="E459">
        <v>15060</v>
      </c>
      <c r="F459">
        <v>0</v>
      </c>
      <c r="G459">
        <v>15</v>
      </c>
      <c r="H459">
        <v>100</v>
      </c>
    </row>
    <row r="460" spans="1:8">
      <c r="A460">
        <v>415070</v>
      </c>
      <c r="B460" t="str">
        <f>INDEX(TextData!B:B,MATCH(A460,TextData!A:A))</f>
        <v>ジャックポッド+</v>
      </c>
      <c r="C460">
        <v>6030</v>
      </c>
      <c r="D460" t="str">
        <f>INDEX(Define!Q:Q,MATCH(C460,Define!P:P))</f>
        <v>FeatureのParam3を指定値に上書き</v>
      </c>
      <c r="E460">
        <v>15070</v>
      </c>
      <c r="F460">
        <v>0</v>
      </c>
      <c r="G460">
        <v>75</v>
      </c>
      <c r="H460">
        <v>100</v>
      </c>
    </row>
    <row r="461" spans="1:8">
      <c r="A461">
        <v>415080</v>
      </c>
      <c r="B461" t="str">
        <f>INDEX(TextData!B:B,MATCH(A461,TextData!A:A))</f>
        <v>ヒールハント+</v>
      </c>
      <c r="C461">
        <v>6030</v>
      </c>
      <c r="D461" t="str">
        <f>INDEX(Define!Q:Q,MATCH(C461,Define!P:P))</f>
        <v>FeatureのParam3を指定値に上書き</v>
      </c>
      <c r="E461">
        <v>15080</v>
      </c>
      <c r="F461">
        <v>0</v>
      </c>
      <c r="G461">
        <v>50</v>
      </c>
      <c r="H461">
        <v>100</v>
      </c>
    </row>
    <row r="462" spans="1:8">
      <c r="A462">
        <v>415090</v>
      </c>
      <c r="B462" t="str">
        <f>INDEX(TextData!B:B,MATCH(A462,TextData!A:A))</f>
        <v>クイックカース+</v>
      </c>
      <c r="C462">
        <v>6030</v>
      </c>
      <c r="D462" t="str">
        <f>INDEX(Define!Q:Q,MATCH(C462,Define!P:P))</f>
        <v>FeatureのParam3を指定値に上書き</v>
      </c>
      <c r="E462">
        <v>15090</v>
      </c>
      <c r="F462">
        <v>0</v>
      </c>
      <c r="G462">
        <v>35</v>
      </c>
      <c r="H462">
        <v>100</v>
      </c>
    </row>
    <row r="463" spans="1:8">
      <c r="A463">
        <v>501010</v>
      </c>
      <c r="B463" t="str">
        <f>INDEX(TextData!B:B,MATCH(A463,TextData!A:A))</f>
        <v>火傷耐性+20%</v>
      </c>
      <c r="C463">
        <v>3010</v>
      </c>
      <c r="D463" t="str">
        <f>INDEX(Define!Q:Q,MATCH(C463,Define!P:P))</f>
        <v>ステート付与</v>
      </c>
      <c r="E463">
        <v>1210</v>
      </c>
      <c r="F463">
        <v>999</v>
      </c>
      <c r="G463">
        <v>20</v>
      </c>
      <c r="H463">
        <v>100</v>
      </c>
    </row>
    <row r="464" spans="1:8">
      <c r="A464">
        <v>501020</v>
      </c>
      <c r="B464" t="str">
        <f>INDEX(TextData!B:B,MATCH(A464,TextData!A:A))</f>
        <v>命中率+5%</v>
      </c>
      <c r="C464">
        <v>14010</v>
      </c>
      <c r="D464" t="str">
        <f>INDEX(Define!Q:Q,MATCH(C464,Define!P:P))</f>
        <v>Param1のステータスをParam3アップ</v>
      </c>
      <c r="E464">
        <v>11</v>
      </c>
      <c r="F464">
        <v>0</v>
      </c>
      <c r="G464">
        <v>5</v>
      </c>
      <c r="H464">
        <v>100</v>
      </c>
    </row>
    <row r="465" spans="1:8">
      <c r="A465">
        <v>501030</v>
      </c>
      <c r="B465" t="str">
        <f>INDEX(TextData!B:B,MATCH(A465,TextData!A:A))</f>
        <v>最大HP+2</v>
      </c>
      <c r="C465">
        <v>14010</v>
      </c>
      <c r="D465" t="str">
        <f>INDEX(Define!Q:Q,MATCH(C465,Define!P:P))</f>
        <v>Param1のステータスをParam3アップ</v>
      </c>
      <c r="E465">
        <v>0</v>
      </c>
      <c r="F465">
        <v>0</v>
      </c>
      <c r="G465">
        <v>2</v>
      </c>
      <c r="H465">
        <v>100</v>
      </c>
    </row>
    <row r="466" spans="1:8">
      <c r="A466">
        <v>501040</v>
      </c>
      <c r="B466" t="str">
        <f>INDEX(TextData!B:B,MATCH(A466,TextData!A:A))</f>
        <v>ATK+2</v>
      </c>
      <c r="C466">
        <v>14010</v>
      </c>
      <c r="D466" t="str">
        <f>INDEX(Define!Q:Q,MATCH(C466,Define!P:P))</f>
        <v>Param1のステータスをParam3アップ</v>
      </c>
      <c r="E466">
        <v>2</v>
      </c>
      <c r="F466">
        <v>0</v>
      </c>
      <c r="G466">
        <v>2</v>
      </c>
      <c r="H466">
        <v>100</v>
      </c>
    </row>
    <row r="467" spans="1:8">
      <c r="A467">
        <v>501110</v>
      </c>
      <c r="B467" t="str">
        <f>INDEX(TextData!B:B,MATCH(A467,TextData!A:A))</f>
        <v>DEF+2</v>
      </c>
      <c r="C467">
        <v>14010</v>
      </c>
      <c r="D467" t="str">
        <f>INDEX(Define!Q:Q,MATCH(C467,Define!P:P))</f>
        <v>Param1のステータスをParam3アップ</v>
      </c>
      <c r="E467">
        <v>3</v>
      </c>
      <c r="F467">
        <v>0</v>
      </c>
      <c r="G467">
        <v>2</v>
      </c>
      <c r="H467">
        <v>100</v>
      </c>
    </row>
    <row r="468" spans="1:8">
      <c r="A468">
        <v>501120</v>
      </c>
      <c r="B468" t="str">
        <f>INDEX(TextData!B:B,MATCH(A468,TextData!A:A))</f>
        <v>命中率+10%</v>
      </c>
      <c r="C468">
        <v>14010</v>
      </c>
      <c r="D468" t="str">
        <f>INDEX(Define!Q:Q,MATCH(C468,Define!P:P))</f>
        <v>Param1のステータスをParam3アップ</v>
      </c>
      <c r="E468">
        <v>11</v>
      </c>
      <c r="F468">
        <v>0</v>
      </c>
      <c r="G468">
        <v>10</v>
      </c>
      <c r="H468">
        <v>100</v>
      </c>
    </row>
    <row r="469" spans="1:8">
      <c r="A469">
        <v>501130</v>
      </c>
      <c r="B469" t="str">
        <f>INDEX(TextData!B:B,MATCH(A469,TextData!A:A))</f>
        <v>SPD+2</v>
      </c>
      <c r="C469">
        <v>14010</v>
      </c>
      <c r="D469" t="str">
        <f>INDEX(Define!Q:Q,MATCH(C469,Define!P:P))</f>
        <v>Param1のステータスをParam3アップ</v>
      </c>
      <c r="E469">
        <v>4</v>
      </c>
      <c r="F469">
        <v>0</v>
      </c>
      <c r="G469">
        <v>2</v>
      </c>
      <c r="H469">
        <v>100</v>
      </c>
    </row>
    <row r="470" spans="1:8">
      <c r="A470">
        <v>502010</v>
      </c>
      <c r="B470" t="str">
        <f>INDEX(TextData!B:B,MATCH(A470,TextData!A:A))</f>
        <v>DEF+1</v>
      </c>
      <c r="C470">
        <v>14010</v>
      </c>
      <c r="D470" t="str">
        <f>INDEX(Define!Q:Q,MATCH(C470,Define!P:P))</f>
        <v>Param1のステータスをParam3アップ</v>
      </c>
      <c r="E470">
        <v>3</v>
      </c>
      <c r="F470">
        <v>0</v>
      </c>
      <c r="G470">
        <v>1</v>
      </c>
      <c r="H470">
        <v>100</v>
      </c>
    </row>
    <row r="471" spans="1:8">
      <c r="A471">
        <v>502020</v>
      </c>
      <c r="B471" t="str">
        <f>INDEX(TextData!B:B,MATCH(A471,TextData!A:A))</f>
        <v>SPD+1</v>
      </c>
      <c r="C471">
        <v>14010</v>
      </c>
      <c r="D471" t="str">
        <f>INDEX(Define!Q:Q,MATCH(C471,Define!P:P))</f>
        <v>Param1のステータスをParam3アップ</v>
      </c>
      <c r="E471">
        <v>4</v>
      </c>
      <c r="F471">
        <v>0</v>
      </c>
      <c r="G471">
        <v>1</v>
      </c>
      <c r="H471">
        <v>100</v>
      </c>
    </row>
    <row r="472" spans="1:8">
      <c r="A472">
        <v>502030</v>
      </c>
      <c r="B472" t="str">
        <f>INDEX(TextData!B:B,MATCH(A472,TextData!A:A))</f>
        <v>SPD+1</v>
      </c>
      <c r="C472">
        <v>14010</v>
      </c>
      <c r="D472" t="str">
        <f>INDEX(Define!Q:Q,MATCH(C472,Define!P:P))</f>
        <v>Param1のステータスをParam3アップ</v>
      </c>
      <c r="E472">
        <v>4</v>
      </c>
      <c r="F472">
        <v>0</v>
      </c>
      <c r="G472">
        <v>1</v>
      </c>
      <c r="H472">
        <v>100</v>
      </c>
    </row>
    <row r="473" spans="1:8">
      <c r="A473">
        <v>502040</v>
      </c>
      <c r="B473" t="str">
        <f>INDEX(TextData!B:B,MATCH(A473,TextData!A:A))</f>
        <v>回避率+5%</v>
      </c>
      <c r="C473">
        <v>14010</v>
      </c>
      <c r="D473" t="str">
        <f>INDEX(Define!Q:Q,MATCH(C473,Define!P:P))</f>
        <v>Param1のステータスをParam3アップ</v>
      </c>
      <c r="E473">
        <v>12</v>
      </c>
      <c r="F473">
        <v>0</v>
      </c>
      <c r="G473">
        <v>5</v>
      </c>
      <c r="H473">
        <v>100</v>
      </c>
    </row>
    <row r="474" spans="1:8">
      <c r="A474">
        <v>502110</v>
      </c>
      <c r="B474" t="str">
        <f>INDEX(TextData!B:B,MATCH(A474,TextData!A:A))</f>
        <v>会心ダメージ率+25%</v>
      </c>
      <c r="C474">
        <v>3010</v>
      </c>
      <c r="D474" t="str">
        <f>INDEX(Define!Q:Q,MATCH(C474,Define!P:P))</f>
        <v>ステート付与</v>
      </c>
      <c r="E474">
        <v>1074</v>
      </c>
      <c r="F474">
        <v>999</v>
      </c>
      <c r="G474">
        <v>25</v>
      </c>
      <c r="H474">
        <v>100</v>
      </c>
    </row>
    <row r="475" spans="1:8">
      <c r="A475">
        <v>502120</v>
      </c>
      <c r="B475" t="str">
        <f>INDEX(TextData!B:B,MATCH(A475,TextData!A:A))</f>
        <v>命中率+5%</v>
      </c>
      <c r="C475">
        <v>14010</v>
      </c>
      <c r="D475" t="str">
        <f>INDEX(Define!Q:Q,MATCH(C475,Define!P:P))</f>
        <v>Param1のステータスをParam3アップ</v>
      </c>
      <c r="E475">
        <v>11</v>
      </c>
      <c r="F475">
        <v>0</v>
      </c>
      <c r="G475">
        <v>5</v>
      </c>
      <c r="H475">
        <v>100</v>
      </c>
    </row>
    <row r="476" spans="1:8">
      <c r="A476">
        <v>502121</v>
      </c>
      <c r="B476" t="str">
        <f>INDEX(TextData!B:B,MATCH(A476,TextData!A:A))</f>
        <v>回避率+5%</v>
      </c>
      <c r="C476">
        <v>14010</v>
      </c>
      <c r="D476" t="str">
        <f>INDEX(Define!Q:Q,MATCH(C476,Define!P:P))</f>
        <v>Param1のステータスをParam3アップ</v>
      </c>
      <c r="E476">
        <v>12</v>
      </c>
      <c r="F476">
        <v>0</v>
      </c>
      <c r="G476">
        <v>5</v>
      </c>
      <c r="H476">
        <v>100</v>
      </c>
    </row>
    <row r="477" spans="1:8">
      <c r="A477">
        <v>502130</v>
      </c>
      <c r="B477" t="str">
        <f>INDEX(TextData!B:B,MATCH(A477,TextData!A:A))</f>
        <v>SPD+2</v>
      </c>
      <c r="C477">
        <v>14010</v>
      </c>
      <c r="D477" t="str">
        <f>INDEX(Define!Q:Q,MATCH(C477,Define!P:P))</f>
        <v>Param1のステータスをParam3アップ</v>
      </c>
      <c r="E477">
        <v>4</v>
      </c>
      <c r="F477">
        <v>0</v>
      </c>
      <c r="G477">
        <v>2</v>
      </c>
      <c r="H477">
        <v>100</v>
      </c>
    </row>
    <row r="478" spans="1:8">
      <c r="A478">
        <v>503010</v>
      </c>
      <c r="B478" t="str">
        <f>INDEX(TextData!B:B,MATCH(A478,TextData!A:A))</f>
        <v>DEF+1</v>
      </c>
      <c r="C478">
        <v>14010</v>
      </c>
      <c r="D478" t="str">
        <f>INDEX(Define!Q:Q,MATCH(C478,Define!P:P))</f>
        <v>Param1のステータスをParam3アップ</v>
      </c>
      <c r="E478">
        <v>3</v>
      </c>
      <c r="F478">
        <v>0</v>
      </c>
      <c r="G478">
        <v>1</v>
      </c>
      <c r="H478">
        <v>100</v>
      </c>
    </row>
    <row r="479" spans="1:8">
      <c r="A479">
        <v>503020</v>
      </c>
      <c r="B479" t="str">
        <f>INDEX(TextData!B:B,MATCH(A479,TextData!A:A))</f>
        <v>凍結耐性+20%</v>
      </c>
      <c r="C479">
        <v>3010</v>
      </c>
      <c r="D479" t="str">
        <f>INDEX(Define!Q:Q,MATCH(C479,Define!P:P))</f>
        <v>ステート付与</v>
      </c>
      <c r="E479">
        <v>1220</v>
      </c>
      <c r="F479">
        <v>999</v>
      </c>
      <c r="G479">
        <v>20</v>
      </c>
      <c r="H479">
        <v>100</v>
      </c>
    </row>
    <row r="480" spans="1:8">
      <c r="A480">
        <v>503030</v>
      </c>
      <c r="B480" t="str">
        <f>INDEX(TextData!B:B,MATCH(A480,TextData!A:A))</f>
        <v>最大HP+2</v>
      </c>
      <c r="C480">
        <v>14010</v>
      </c>
      <c r="D480" t="str">
        <f>INDEX(Define!Q:Q,MATCH(C480,Define!P:P))</f>
        <v>Param1のステータスをParam3アップ</v>
      </c>
      <c r="E480">
        <v>0</v>
      </c>
      <c r="F480">
        <v>0</v>
      </c>
      <c r="G480">
        <v>2</v>
      </c>
      <c r="H480">
        <v>100</v>
      </c>
    </row>
    <row r="481" spans="1:8">
      <c r="A481">
        <v>503040</v>
      </c>
      <c r="B481" t="str">
        <f>INDEX(TextData!B:B,MATCH(A481,TextData!A:A))</f>
        <v>DEF+2</v>
      </c>
      <c r="C481">
        <v>14010</v>
      </c>
      <c r="D481" t="str">
        <f>INDEX(Define!Q:Q,MATCH(C481,Define!P:P))</f>
        <v>Param1のステータスをParam3アップ</v>
      </c>
      <c r="E481">
        <v>3</v>
      </c>
      <c r="F481">
        <v>0</v>
      </c>
      <c r="G481">
        <v>2</v>
      </c>
      <c r="H481">
        <v>100</v>
      </c>
    </row>
    <row r="482" spans="1:8">
      <c r="A482">
        <v>503110</v>
      </c>
      <c r="B482" t="str">
        <f>INDEX(TextData!B:B,MATCH(A482,TextData!A:A))</f>
        <v>DEF+2</v>
      </c>
      <c r="C482">
        <v>14010</v>
      </c>
      <c r="D482" t="str">
        <f>INDEX(Define!Q:Q,MATCH(C482,Define!P:P))</f>
        <v>Param1のステータスをParam3アップ</v>
      </c>
      <c r="E482">
        <v>3</v>
      </c>
      <c r="F482">
        <v>0</v>
      </c>
      <c r="G482">
        <v>2</v>
      </c>
      <c r="H482">
        <v>100</v>
      </c>
    </row>
    <row r="483" spans="1:8">
      <c r="A483">
        <v>503120</v>
      </c>
      <c r="B483" t="str">
        <f>INDEX(TextData!B:B,MATCH(A483,TextData!A:A))</f>
        <v>ATK+2</v>
      </c>
      <c r="C483">
        <v>14010</v>
      </c>
      <c r="D483" t="str">
        <f>INDEX(Define!Q:Q,MATCH(C483,Define!P:P))</f>
        <v>Param1のステータスをParam3アップ</v>
      </c>
      <c r="E483">
        <v>2</v>
      </c>
      <c r="F483">
        <v>0</v>
      </c>
      <c r="G483">
        <v>2</v>
      </c>
      <c r="H483">
        <v>100</v>
      </c>
    </row>
    <row r="484" spans="1:8">
      <c r="A484">
        <v>503130</v>
      </c>
      <c r="B484" t="str">
        <f>INDEX(TextData!B:B,MATCH(A484,TextData!A:A))</f>
        <v>ダメージ軽減効果無視+10%</v>
      </c>
      <c r="C484">
        <v>3010</v>
      </c>
      <c r="D484" t="str">
        <f>INDEX(Define!Q:Q,MATCH(C484,Define!P:P))</f>
        <v>ステート付与</v>
      </c>
      <c r="E484">
        <v>2500</v>
      </c>
      <c r="F484">
        <v>999</v>
      </c>
      <c r="G484">
        <v>10</v>
      </c>
      <c r="H484">
        <v>100</v>
      </c>
    </row>
    <row r="485" spans="1:8">
      <c r="A485">
        <v>504010</v>
      </c>
      <c r="B485" t="str">
        <f>INDEX(TextData!B:B,MATCH(A485,TextData!A:A))</f>
        <v>Hp回復効果+2</v>
      </c>
      <c r="C485">
        <v>3010</v>
      </c>
      <c r="D485" t="str">
        <f>INDEX(Define!Q:Q,MATCH(C485,Define!P:P))</f>
        <v>ステート付与</v>
      </c>
      <c r="E485">
        <v>2460</v>
      </c>
      <c r="F485">
        <v>999</v>
      </c>
      <c r="G485">
        <v>2</v>
      </c>
      <c r="H485">
        <v>100</v>
      </c>
    </row>
    <row r="486" spans="1:8">
      <c r="A486">
        <v>504020</v>
      </c>
      <c r="B486" t="str">
        <f>INDEX(TextData!B:B,MATCH(A486,TextData!A:A))</f>
        <v>SPD+1</v>
      </c>
      <c r="C486">
        <v>14010</v>
      </c>
      <c r="D486" t="str">
        <f>INDEX(Define!Q:Q,MATCH(C486,Define!P:P))</f>
        <v>Param1のステータスをParam3アップ</v>
      </c>
      <c r="E486">
        <v>4</v>
      </c>
      <c r="F486">
        <v>0</v>
      </c>
      <c r="G486">
        <v>1</v>
      </c>
      <c r="H486">
        <v>100</v>
      </c>
    </row>
    <row r="487" spans="1:8">
      <c r="A487">
        <v>504030</v>
      </c>
      <c r="B487" t="str">
        <f>INDEX(TextData!B:B,MATCH(A487,TextData!A:A))</f>
        <v>命中率+5%</v>
      </c>
      <c r="C487">
        <v>14010</v>
      </c>
      <c r="D487" t="str">
        <f>INDEX(Define!Q:Q,MATCH(C487,Define!P:P))</f>
        <v>Param1のステータスをParam3アップ</v>
      </c>
      <c r="E487">
        <v>11</v>
      </c>
      <c r="F487">
        <v>0</v>
      </c>
      <c r="G487">
        <v>5</v>
      </c>
      <c r="H487">
        <v>100</v>
      </c>
    </row>
    <row r="488" spans="1:8">
      <c r="A488">
        <v>504040</v>
      </c>
      <c r="B488" t="str">
        <f>INDEX(TextData!B:B,MATCH(A488,TextData!A:A))</f>
        <v>最大HP+2</v>
      </c>
      <c r="C488">
        <v>14010</v>
      </c>
      <c r="D488" t="str">
        <f>INDEX(Define!Q:Q,MATCH(C488,Define!P:P))</f>
        <v>Param1のステータスをParam3アップ</v>
      </c>
      <c r="E488">
        <v>0</v>
      </c>
      <c r="F488">
        <v>0</v>
      </c>
      <c r="G488">
        <v>2</v>
      </c>
      <c r="H488">
        <v>100</v>
      </c>
    </row>
    <row r="489" spans="1:8">
      <c r="A489">
        <v>504110</v>
      </c>
      <c r="B489" t="str">
        <f>INDEX(TextData!B:B,MATCH(A489,TextData!A:A))</f>
        <v>命中率+10%</v>
      </c>
      <c r="C489">
        <v>14010</v>
      </c>
      <c r="D489" t="str">
        <f>INDEX(Define!Q:Q,MATCH(C489,Define!P:P))</f>
        <v>Param1のステータスをParam3アップ</v>
      </c>
      <c r="E489">
        <v>11</v>
      </c>
      <c r="F489">
        <v>0</v>
      </c>
      <c r="G489">
        <v>10</v>
      </c>
      <c r="H489">
        <v>100</v>
      </c>
    </row>
    <row r="490" spans="1:8">
      <c r="A490">
        <v>504120</v>
      </c>
      <c r="B490" t="str">
        <f>INDEX(TextData!B:B,MATCH(A490,TextData!A:A))</f>
        <v>最大HP+2</v>
      </c>
      <c r="C490">
        <v>14010</v>
      </c>
      <c r="D490" t="str">
        <f>INDEX(Define!Q:Q,MATCH(C490,Define!P:P))</f>
        <v>Param1のステータスをParam3アップ</v>
      </c>
      <c r="E490">
        <v>0</v>
      </c>
      <c r="F490">
        <v>0</v>
      </c>
      <c r="G490">
        <v>2</v>
      </c>
      <c r="H490">
        <v>100</v>
      </c>
    </row>
    <row r="491" spans="1:8">
      <c r="A491">
        <v>504130</v>
      </c>
      <c r="B491" t="str">
        <f>INDEX(TextData!B:B,MATCH(A491,TextData!A:A))</f>
        <v>ダメージ軽減効果無視+10%</v>
      </c>
      <c r="C491">
        <v>3010</v>
      </c>
      <c r="D491" t="str">
        <f>INDEX(Define!Q:Q,MATCH(C491,Define!P:P))</f>
        <v>ステート付与</v>
      </c>
      <c r="E491">
        <v>2500</v>
      </c>
      <c r="F491">
        <v>999</v>
      </c>
      <c r="G491">
        <v>10</v>
      </c>
      <c r="H491">
        <v>100</v>
      </c>
    </row>
    <row r="492" spans="1:8">
      <c r="A492">
        <v>505010</v>
      </c>
      <c r="B492" t="str">
        <f>INDEX(TextData!B:B,MATCH(A492,TextData!A:A))</f>
        <v>回避率+5%</v>
      </c>
      <c r="C492">
        <v>14010</v>
      </c>
      <c r="D492" t="str">
        <f>INDEX(Define!Q:Q,MATCH(C492,Define!P:P))</f>
        <v>Param1のステータスをParam3アップ</v>
      </c>
      <c r="E492">
        <v>12</v>
      </c>
      <c r="F492">
        <v>0</v>
      </c>
      <c r="G492">
        <v>5</v>
      </c>
      <c r="H492">
        <v>100</v>
      </c>
    </row>
    <row r="493" spans="1:8">
      <c r="A493">
        <v>505020</v>
      </c>
      <c r="B493" t="str">
        <f>INDEX(TextData!B:B,MATCH(A493,TextData!A:A))</f>
        <v>SPD+1</v>
      </c>
      <c r="C493">
        <v>14010</v>
      </c>
      <c r="D493" t="str">
        <f>INDEX(Define!Q:Q,MATCH(C493,Define!P:P))</f>
        <v>Param1のステータスをParam3アップ</v>
      </c>
      <c r="E493">
        <v>4</v>
      </c>
      <c r="F493">
        <v>0</v>
      </c>
      <c r="G493">
        <v>1</v>
      </c>
      <c r="H493">
        <v>100</v>
      </c>
    </row>
    <row r="494" spans="1:8">
      <c r="A494">
        <v>505030</v>
      </c>
      <c r="B494" t="str">
        <f>INDEX(TextData!B:B,MATCH(A494,TextData!A:A))</f>
        <v>最大HP+2</v>
      </c>
      <c r="C494">
        <v>14010</v>
      </c>
      <c r="D494" t="str">
        <f>INDEX(Define!Q:Q,MATCH(C494,Define!P:P))</f>
        <v>Param1のステータスをParam3アップ</v>
      </c>
      <c r="E494">
        <v>0</v>
      </c>
      <c r="F494">
        <v>0</v>
      </c>
      <c r="G494">
        <v>2</v>
      </c>
      <c r="H494">
        <v>100</v>
      </c>
    </row>
    <row r="495" spans="1:8">
      <c r="A495">
        <v>505040</v>
      </c>
      <c r="B495" t="str">
        <f>INDEX(TextData!B:B,MATCH(A495,TextData!A:A))</f>
        <v>ATK+1</v>
      </c>
      <c r="C495">
        <v>14010</v>
      </c>
      <c r="D495" t="str">
        <f>INDEX(Define!Q:Q,MATCH(C495,Define!P:P))</f>
        <v>Param1のステータスをParam3アップ</v>
      </c>
      <c r="E495">
        <v>2</v>
      </c>
      <c r="F495">
        <v>0</v>
      </c>
      <c r="G495">
        <v>1</v>
      </c>
      <c r="H495">
        <v>100</v>
      </c>
    </row>
    <row r="496" spans="1:8">
      <c r="A496">
        <v>505110</v>
      </c>
      <c r="B496" t="str">
        <f>INDEX(TextData!B:B,MATCH(A496,TextData!A:A))</f>
        <v>命中率+5%</v>
      </c>
      <c r="C496">
        <v>14010</v>
      </c>
      <c r="D496" t="str">
        <f>INDEX(Define!Q:Q,MATCH(C496,Define!P:P))</f>
        <v>Param1のステータスをParam3アップ</v>
      </c>
      <c r="E496">
        <v>11</v>
      </c>
      <c r="F496">
        <v>0</v>
      </c>
      <c r="G496">
        <v>5</v>
      </c>
      <c r="H496">
        <v>100</v>
      </c>
    </row>
    <row r="497" spans="1:8">
      <c r="A497">
        <v>505111</v>
      </c>
      <c r="B497" t="str">
        <f>INDEX(TextData!B:B,MATCH(A497,TextData!A:A))</f>
        <v>回避率+5%</v>
      </c>
      <c r="C497">
        <v>14010</v>
      </c>
      <c r="D497" t="str">
        <f>INDEX(Define!Q:Q,MATCH(C497,Define!P:P))</f>
        <v>Param1のステータスをParam3アップ</v>
      </c>
      <c r="E497">
        <v>12</v>
      </c>
      <c r="F497">
        <v>0</v>
      </c>
      <c r="G497">
        <v>5</v>
      </c>
      <c r="H497">
        <v>100</v>
      </c>
    </row>
    <row r="498" spans="1:8">
      <c r="A498">
        <v>505120</v>
      </c>
      <c r="B498" t="str">
        <f>INDEX(TextData!B:B,MATCH(A498,TextData!A:A))</f>
        <v>ATK+1</v>
      </c>
      <c r="C498">
        <v>14010</v>
      </c>
      <c r="D498" t="str">
        <f>INDEX(Define!Q:Q,MATCH(C498,Define!P:P))</f>
        <v>Param1のステータスをParam3アップ</v>
      </c>
      <c r="E498">
        <v>2</v>
      </c>
      <c r="F498">
        <v>0</v>
      </c>
      <c r="G498">
        <v>1</v>
      </c>
      <c r="H498">
        <v>100</v>
      </c>
    </row>
    <row r="499" spans="1:8">
      <c r="A499">
        <v>505121</v>
      </c>
      <c r="B499" t="str">
        <f>INDEX(TextData!B:B,MATCH(A499,TextData!A:A))</f>
        <v>SPD+1</v>
      </c>
      <c r="C499">
        <v>14010</v>
      </c>
      <c r="D499" t="str">
        <f>INDEX(Define!Q:Q,MATCH(C499,Define!P:P))</f>
        <v>Param1のステータスをParam3アップ</v>
      </c>
      <c r="E499">
        <v>4</v>
      </c>
      <c r="F499">
        <v>0</v>
      </c>
      <c r="G499">
        <v>1</v>
      </c>
      <c r="H499">
        <v>100</v>
      </c>
    </row>
    <row r="500" spans="1:8">
      <c r="A500">
        <v>505130</v>
      </c>
      <c r="B500" t="str">
        <f>INDEX(TextData!B:B,MATCH(A500,TextData!A:A))</f>
        <v>SPD+2</v>
      </c>
      <c r="C500">
        <v>14010</v>
      </c>
      <c r="D500" t="str">
        <f>INDEX(Define!Q:Q,MATCH(C500,Define!P:P))</f>
        <v>Param1のステータスをParam3アップ</v>
      </c>
      <c r="E500">
        <v>4</v>
      </c>
      <c r="F500">
        <v>0</v>
      </c>
      <c r="G500">
        <v>1</v>
      </c>
      <c r="H500">
        <v>100</v>
      </c>
    </row>
    <row r="501" spans="1:8">
      <c r="A501">
        <v>506010</v>
      </c>
      <c r="B501" t="str">
        <f>INDEX(TextData!B:B,MATCH(A501,TextData!A:A))</f>
        <v>最大HP+3</v>
      </c>
      <c r="C501">
        <v>14010</v>
      </c>
      <c r="D501" t="str">
        <f>INDEX(Define!Q:Q,MATCH(C501,Define!P:P))</f>
        <v>Param1のステータスをParam3アップ</v>
      </c>
      <c r="E501">
        <v>0</v>
      </c>
      <c r="F501">
        <v>0</v>
      </c>
      <c r="G501">
        <v>3</v>
      </c>
      <c r="H501">
        <v>100</v>
      </c>
    </row>
    <row r="502" spans="1:8">
      <c r="A502">
        <v>506011</v>
      </c>
      <c r="B502" t="str">
        <f>INDEX(TextData!B:B,MATCH(A502,TextData!A:A))</f>
        <v>DEF+1</v>
      </c>
      <c r="C502">
        <v>14010</v>
      </c>
      <c r="D502" t="str">
        <f>INDEX(Define!Q:Q,MATCH(C502,Define!P:P))</f>
        <v>Param1のステータスをParam3アップ</v>
      </c>
      <c r="E502">
        <v>3</v>
      </c>
      <c r="F502">
        <v>0</v>
      </c>
      <c r="G502">
        <v>1</v>
      </c>
      <c r="H502">
        <v>100</v>
      </c>
    </row>
    <row r="503" spans="1:8">
      <c r="A503">
        <v>506012</v>
      </c>
      <c r="B503" t="str">
        <f>INDEX(TextData!B:B,MATCH(A503,TextData!A:A))</f>
        <v>SPD+1</v>
      </c>
      <c r="C503">
        <v>14010</v>
      </c>
      <c r="D503" t="str">
        <f>INDEX(Define!Q:Q,MATCH(C503,Define!P:P))</f>
        <v>Param1のステータスをParam3アップ</v>
      </c>
      <c r="E503">
        <v>4</v>
      </c>
      <c r="F503">
        <v>0</v>
      </c>
      <c r="G503">
        <v>1</v>
      </c>
      <c r="H503">
        <v>100</v>
      </c>
    </row>
    <row r="504" spans="1:8">
      <c r="A504">
        <v>506013</v>
      </c>
      <c r="B504" t="str">
        <f>INDEX(TextData!B:B,MATCH(A504,TextData!A:A))</f>
        <v>EXP+20%</v>
      </c>
      <c r="C504">
        <v>40020</v>
      </c>
      <c r="D504" t="str">
        <f>INDEX(Define!Q:Q,MATCH(C504,Define!P:P))</f>
        <v>獲得Eｘｐ％アップ</v>
      </c>
      <c r="E504">
        <v>20</v>
      </c>
      <c r="F504">
        <v>0</v>
      </c>
      <c r="G504">
        <v>0</v>
      </c>
      <c r="H504">
        <v>100</v>
      </c>
    </row>
    <row r="505" spans="1:8">
      <c r="A505">
        <v>506020</v>
      </c>
      <c r="B505" t="str">
        <f>INDEX(TextData!B:B,MATCH(A505,TextData!A:A))</f>
        <v>炎属性耐性+20%</v>
      </c>
      <c r="C505">
        <v>3010</v>
      </c>
      <c r="D505" t="str">
        <f>INDEX(Define!Q:Q,MATCH(C505,Define!P:P))</f>
        <v>ステート付与</v>
      </c>
      <c r="E505">
        <v>1310</v>
      </c>
      <c r="F505">
        <v>0</v>
      </c>
      <c r="G505">
        <v>20</v>
      </c>
      <c r="H505">
        <v>100</v>
      </c>
    </row>
    <row r="506" spans="1:8">
      <c r="A506">
        <v>506030</v>
      </c>
      <c r="B506" t="str">
        <f>INDEX(TextData!B:B,MATCH(A506,TextData!A:A))</f>
        <v>雷属性耐性+20%</v>
      </c>
      <c r="C506">
        <v>3010</v>
      </c>
      <c r="D506" t="str">
        <f>INDEX(Define!Q:Q,MATCH(C506,Define!P:P))</f>
        <v>ステート付与</v>
      </c>
      <c r="E506">
        <v>1320</v>
      </c>
      <c r="F506">
        <v>0</v>
      </c>
      <c r="G506">
        <v>20</v>
      </c>
      <c r="H506">
        <v>100</v>
      </c>
    </row>
    <row r="507" spans="1:8">
      <c r="A507">
        <v>506040</v>
      </c>
      <c r="B507" t="str">
        <f>INDEX(TextData!B:B,MATCH(A507,TextData!A:A))</f>
        <v>氷属性耐性+20%</v>
      </c>
      <c r="C507">
        <v>3010</v>
      </c>
      <c r="D507" t="str">
        <f>INDEX(Define!Q:Q,MATCH(C507,Define!P:P))</f>
        <v>ステート付与</v>
      </c>
      <c r="E507">
        <v>1330</v>
      </c>
      <c r="F507">
        <v>0</v>
      </c>
      <c r="G507">
        <v>20</v>
      </c>
      <c r="H507">
        <v>100</v>
      </c>
    </row>
    <row r="508" spans="1:8">
      <c r="A508">
        <v>506050</v>
      </c>
      <c r="B508" t="str">
        <f>INDEX(TextData!B:B,MATCH(A508,TextData!A:A))</f>
        <v>光属性耐性+20%</v>
      </c>
      <c r="C508">
        <v>3010</v>
      </c>
      <c r="D508" t="str">
        <f>INDEX(Define!Q:Q,MATCH(C508,Define!P:P))</f>
        <v>ステート付与</v>
      </c>
      <c r="E508">
        <v>1340</v>
      </c>
      <c r="F508">
        <v>0</v>
      </c>
      <c r="G508">
        <v>20</v>
      </c>
      <c r="H508">
        <v>100</v>
      </c>
    </row>
    <row r="509" spans="1:8">
      <c r="A509">
        <v>506060</v>
      </c>
      <c r="B509" t="str">
        <f>INDEX(TextData!B:B,MATCH(A509,TextData!A:A))</f>
        <v>闇属性耐性+20%</v>
      </c>
      <c r="C509">
        <v>3010</v>
      </c>
      <c r="D509" t="str">
        <f>INDEX(Define!Q:Q,MATCH(C509,Define!P:P))</f>
        <v>ステート付与</v>
      </c>
      <c r="E509">
        <v>1350</v>
      </c>
      <c r="F509">
        <v>0</v>
      </c>
      <c r="G509">
        <v>20</v>
      </c>
      <c r="H509">
        <v>100</v>
      </c>
    </row>
    <row r="510" spans="1:8">
      <c r="A510">
        <v>507010</v>
      </c>
      <c r="B510" t="str">
        <f>INDEX(TextData!B:B,MATCH(A510,TextData!A:A))</f>
        <v>獲得Exp+30%</v>
      </c>
      <c r="C510">
        <v>40020</v>
      </c>
      <c r="D510" t="str">
        <f>INDEX(Define!Q:Q,MATCH(C510,Define!P:P))</f>
        <v>獲得Eｘｐ％アップ</v>
      </c>
      <c r="E510">
        <v>30</v>
      </c>
      <c r="F510">
        <v>0</v>
      </c>
      <c r="G510">
        <v>0</v>
      </c>
      <c r="H510">
        <v>100</v>
      </c>
    </row>
    <row r="511" spans="1:8">
      <c r="A511">
        <v>507020</v>
      </c>
      <c r="B511" t="str">
        <f>INDEX(TextData!B:B,MATCH(A511,TextData!A:A))</f>
        <v>ATK⇔DEF交換</v>
      </c>
      <c r="C511">
        <v>14080</v>
      </c>
      <c r="D511" t="str">
        <f>INDEX(Define!Q:Q,MATCH(C511,Define!P:P))</f>
        <v>Param1とParam2のステータス値を交換する</v>
      </c>
      <c r="E511">
        <v>2</v>
      </c>
      <c r="F511">
        <v>3</v>
      </c>
      <c r="G511">
        <v>0</v>
      </c>
      <c r="H511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4"/>
  <sheetViews>
    <sheetView zoomScale="115" zoomScaleNormal="115" topLeftCell="A172" workbookViewId="0">
      <selection activeCell="A194" sqref="A194"/>
    </sheetView>
  </sheetViews>
  <sheetFormatPr defaultColWidth="8.72727272727273" defaultRowHeight="13" outlineLevelCol="7"/>
  <cols>
    <col min="2" max="2" width="19.7272727272727" customWidth="1"/>
    <col min="4" max="4" width="30.1090909090909" customWidth="1"/>
  </cols>
  <sheetData>
    <row r="1" spans="1:8">
      <c r="A1" t="s">
        <v>19</v>
      </c>
      <c r="B1" t="s">
        <v>4</v>
      </c>
      <c r="C1" t="s">
        <v>68</v>
      </c>
      <c r="D1" t="s">
        <v>4</v>
      </c>
      <c r="E1" t="s">
        <v>69</v>
      </c>
      <c r="F1" t="s">
        <v>21</v>
      </c>
      <c r="G1" t="s">
        <v>22</v>
      </c>
      <c r="H1" t="s">
        <v>23</v>
      </c>
    </row>
    <row r="2" spans="1:8">
      <c r="A2">
        <v>1040</v>
      </c>
      <c r="B2" t="str">
        <f>INDEX(TextData!B:B,MATCH(A2,TextData!A:A))</f>
        <v>フィニッシュスタブ</v>
      </c>
      <c r="C2">
        <v>20140</v>
      </c>
      <c r="D2" t="str">
        <f>INDEX(Define!V:V,MATCH(C2,Define!U:U))</f>
        <v>自身の攻撃で敵を倒す</v>
      </c>
      <c r="E2">
        <v>61</v>
      </c>
      <c r="F2">
        <v>0</v>
      </c>
      <c r="G2">
        <v>0</v>
      </c>
      <c r="H2">
        <v>0</v>
      </c>
    </row>
    <row r="3" spans="1:8">
      <c r="A3">
        <v>2120</v>
      </c>
      <c r="B3" t="str">
        <f>INDEX(TextData!B:B,MATCH(A3,TextData!A:A))</f>
        <v>インペイル</v>
      </c>
      <c r="C3">
        <v>20140</v>
      </c>
      <c r="D3" t="str">
        <f>INDEX(Define!V:V,MATCH(C3,Define!U:U))</f>
        <v>自身の攻撃で敵を倒す</v>
      </c>
      <c r="E3">
        <v>61</v>
      </c>
      <c r="F3">
        <v>0</v>
      </c>
      <c r="G3">
        <v>0</v>
      </c>
      <c r="H3">
        <v>0</v>
      </c>
    </row>
    <row r="4" spans="1:8">
      <c r="A4">
        <v>3021</v>
      </c>
      <c r="B4" t="str">
        <f>INDEX(TextData!B:B,MATCH(A4,TextData!A:A))</f>
        <v>シールドバッシュ</v>
      </c>
      <c r="C4">
        <v>6010</v>
      </c>
      <c r="D4" t="str">
        <f>INDEX(Define!V:V,MATCH(C4,Define!U:U))</f>
        <v>StateId状態になっている</v>
      </c>
      <c r="E4">
        <v>61</v>
      </c>
      <c r="F4">
        <v>2030</v>
      </c>
      <c r="G4">
        <v>0</v>
      </c>
      <c r="H4">
        <v>0</v>
      </c>
    </row>
    <row r="5" spans="1:8">
      <c r="A5">
        <v>4030</v>
      </c>
      <c r="B5" t="str">
        <f>INDEX(TextData!B:B,MATCH(A5,TextData!A:A))</f>
        <v>ヒーリング</v>
      </c>
      <c r="C5">
        <v>11011</v>
      </c>
      <c r="D5" t="str">
        <f>INDEX(Define!V:V,MATCH(C5,Define!U:U))</f>
        <v>Period中使用回数が〇以下</v>
      </c>
      <c r="E5">
        <v>0</v>
      </c>
      <c r="F5">
        <v>10</v>
      </c>
      <c r="G5">
        <v>0</v>
      </c>
      <c r="H5">
        <v>0</v>
      </c>
    </row>
    <row r="6" spans="1:8">
      <c r="A6">
        <v>4130</v>
      </c>
      <c r="B6" t="str">
        <f>INDEX(TextData!B:B,MATCH(A6,TextData!A:A))</f>
        <v>チャクラ</v>
      </c>
      <c r="C6">
        <v>11011</v>
      </c>
      <c r="D6" t="str">
        <f>INDEX(Define!V:V,MATCH(C6,Define!U:U))</f>
        <v>Period中使用回数が〇以下</v>
      </c>
      <c r="E6">
        <v>0</v>
      </c>
      <c r="F6">
        <v>3</v>
      </c>
      <c r="G6">
        <v>0</v>
      </c>
      <c r="H6">
        <v>0</v>
      </c>
    </row>
    <row r="7" spans="1:8">
      <c r="A7">
        <v>10010</v>
      </c>
      <c r="B7" t="str">
        <f>INDEX(TextData!B:B,MATCH(A7,TextData!A:A))</f>
        <v>アンデッド</v>
      </c>
      <c r="C7">
        <v>0</v>
      </c>
      <c r="D7" t="str">
        <f>INDEX(Define!V:V,MATCH(C7,Define!U:U))</f>
        <v>なし</v>
      </c>
      <c r="E7">
        <v>1</v>
      </c>
      <c r="F7">
        <v>0</v>
      </c>
      <c r="G7">
        <v>0</v>
      </c>
      <c r="H7">
        <v>0</v>
      </c>
    </row>
    <row r="8" spans="1:8">
      <c r="A8">
        <v>10020</v>
      </c>
      <c r="B8" t="str">
        <f>INDEX(TextData!B:B,MATCH(A8,TextData!A:A))</f>
        <v>エアリアル</v>
      </c>
      <c r="C8">
        <v>14410</v>
      </c>
      <c r="D8" t="str">
        <f>INDEX(Define!V:V,MATCH(C8,Define!U:U))</f>
        <v>Lvが〇以上</v>
      </c>
      <c r="E8">
        <v>1</v>
      </c>
      <c r="F8">
        <v>20</v>
      </c>
      <c r="G8">
        <v>0</v>
      </c>
      <c r="H8">
        <v>0</v>
      </c>
    </row>
    <row r="9" spans="1:8">
      <c r="A9">
        <v>10030</v>
      </c>
      <c r="B9" t="str">
        <f>INDEX(TextData!B:B,MATCH(A9,TextData!A:A))</f>
        <v>悪魔</v>
      </c>
      <c r="C9">
        <v>0</v>
      </c>
      <c r="D9" t="str">
        <f>INDEX(Define!V:V,MATCH(C9,Define!U:U))</f>
        <v>なし</v>
      </c>
      <c r="E9">
        <v>1</v>
      </c>
      <c r="F9">
        <v>0</v>
      </c>
      <c r="G9">
        <v>0</v>
      </c>
      <c r="H9">
        <v>0</v>
      </c>
    </row>
    <row r="10" spans="1:8">
      <c r="A10">
        <v>10040</v>
      </c>
      <c r="B10" t="str">
        <f>INDEX(TextData!B:B,MATCH(A10,TextData!A:A))</f>
        <v>クリーチャー</v>
      </c>
      <c r="C10">
        <v>14410</v>
      </c>
      <c r="D10" t="str">
        <f>INDEX(Define!V:V,MATCH(C10,Define!U:U))</f>
        <v>Lvが〇以上</v>
      </c>
      <c r="E10">
        <v>1</v>
      </c>
      <c r="F10">
        <v>20</v>
      </c>
      <c r="G10">
        <v>0</v>
      </c>
      <c r="H10">
        <v>0</v>
      </c>
    </row>
    <row r="11" spans="1:8">
      <c r="A11">
        <v>10050</v>
      </c>
      <c r="B11" t="str">
        <f>INDEX(TextData!B:B,MATCH(A11,TextData!A:A))</f>
        <v>野生の記憶</v>
      </c>
      <c r="C11">
        <v>14410</v>
      </c>
      <c r="D11" t="str">
        <f>INDEX(Define!V:V,MATCH(C11,Define!U:U))</f>
        <v>Lvが〇以上</v>
      </c>
      <c r="E11">
        <v>1</v>
      </c>
      <c r="F11">
        <v>20</v>
      </c>
      <c r="G11">
        <v>0</v>
      </c>
      <c r="H11">
        <v>0</v>
      </c>
    </row>
    <row r="12" spans="1:8">
      <c r="A12">
        <v>10060</v>
      </c>
      <c r="B12" t="str">
        <f>INDEX(TextData!B:B,MATCH(A12,TextData!A:A))</f>
        <v>変異生物</v>
      </c>
      <c r="C12">
        <v>14410</v>
      </c>
      <c r="D12" t="str">
        <f>INDEX(Define!V:V,MATCH(C12,Define!U:U))</f>
        <v>Lvが〇以上</v>
      </c>
      <c r="E12">
        <v>1</v>
      </c>
      <c r="F12">
        <v>20</v>
      </c>
      <c r="G12">
        <v>0</v>
      </c>
      <c r="H12">
        <v>0</v>
      </c>
    </row>
    <row r="13" spans="1:8">
      <c r="A13">
        <v>11010</v>
      </c>
      <c r="B13" t="str">
        <f>INDEX(TextData!B:B,MATCH(A13,TextData!A:A))</f>
        <v>フレイムセイバー</v>
      </c>
      <c r="C13">
        <v>10010</v>
      </c>
      <c r="D13" t="str">
        <f>INDEX(Define!V:V,MATCH(C13,Define!U:U))</f>
        <v>攻撃成功時〇%で</v>
      </c>
      <c r="E13">
        <v>61</v>
      </c>
      <c r="F13">
        <v>100</v>
      </c>
      <c r="G13">
        <v>0</v>
      </c>
      <c r="H13">
        <v>0</v>
      </c>
    </row>
    <row r="14" spans="1:8">
      <c r="A14">
        <v>11020</v>
      </c>
      <c r="B14" t="str">
        <f>INDEX(TextData!B:B,MATCH(A14,TextData!A:A))</f>
        <v>イーグルアイ</v>
      </c>
      <c r="C14">
        <v>15010</v>
      </c>
      <c r="D14" t="str">
        <f>INDEX(Define!V:V,MATCH(C14,Define!U:U))</f>
        <v>自身が攻撃タイプの行動をしようとしている</v>
      </c>
      <c r="E14">
        <v>21</v>
      </c>
      <c r="F14">
        <v>0</v>
      </c>
      <c r="G14">
        <v>0</v>
      </c>
      <c r="H14">
        <v>0</v>
      </c>
    </row>
    <row r="15" spans="1:8">
      <c r="A15">
        <v>11030</v>
      </c>
      <c r="B15" t="str">
        <f>INDEX(TextData!B:B,MATCH(A15,TextData!A:A))</f>
        <v>ウォークライ</v>
      </c>
      <c r="C15">
        <v>0</v>
      </c>
      <c r="D15" t="str">
        <f>INDEX(Define!V:V,MATCH(C15,Define!U:U))</f>
        <v>なし</v>
      </c>
      <c r="E15">
        <v>1</v>
      </c>
      <c r="F15">
        <v>0</v>
      </c>
      <c r="G15">
        <v>0</v>
      </c>
      <c r="H15">
        <v>0</v>
      </c>
    </row>
    <row r="16" spans="1:8">
      <c r="A16">
        <v>11040</v>
      </c>
      <c r="B16" t="str">
        <f>INDEX(TextData!B:B,MATCH(A16,TextData!A:A))</f>
        <v>ウルフソウル</v>
      </c>
      <c r="C16">
        <v>0</v>
      </c>
      <c r="D16" t="str">
        <f>INDEX(Define!V:V,MATCH(C16,Define!U:U))</f>
        <v>なし</v>
      </c>
      <c r="E16">
        <v>1</v>
      </c>
      <c r="F16">
        <v>0</v>
      </c>
      <c r="G16">
        <v>0</v>
      </c>
      <c r="H16">
        <v>0</v>
      </c>
    </row>
    <row r="17" spans="1:8">
      <c r="A17">
        <v>11050</v>
      </c>
      <c r="B17" t="str">
        <f>INDEX(TextData!B:B,MATCH(A17,TextData!A:A))</f>
        <v>キュアファイア</v>
      </c>
      <c r="C17">
        <v>12064</v>
      </c>
      <c r="D17" t="str">
        <f>INDEX(Define!V:V,MATCH(C17,Define!U:U))</f>
        <v>味方が状態異常を受ける。Param2で対象指定。Param3でState指定</v>
      </c>
      <c r="E17">
        <v>11</v>
      </c>
      <c r="F17">
        <v>0</v>
      </c>
      <c r="G17">
        <v>0</v>
      </c>
      <c r="H17">
        <v>2012</v>
      </c>
    </row>
    <row r="18" spans="1:8">
      <c r="A18">
        <v>11070</v>
      </c>
      <c r="B18" t="str">
        <f>INDEX(TextData!B:B,MATCH(A18,TextData!A:A))</f>
        <v>ルージュバック</v>
      </c>
      <c r="C18">
        <v>12060</v>
      </c>
      <c r="D18" t="str">
        <f>INDEX(Define!V:V,MATCH(C18,Define!U:U))</f>
        <v>味方が攻撃を受ける。Param2で対象指定</v>
      </c>
      <c r="E18">
        <v>11</v>
      </c>
      <c r="F18">
        <v>0</v>
      </c>
      <c r="G18">
        <v>4</v>
      </c>
      <c r="H18">
        <v>0</v>
      </c>
    </row>
    <row r="19" spans="1:8">
      <c r="A19">
        <v>11090</v>
      </c>
      <c r="B19" t="str">
        <f>INDEX(TextData!B:B,MATCH(A19,TextData!A:A))</f>
        <v>スレイプニル</v>
      </c>
      <c r="C19">
        <v>15010</v>
      </c>
      <c r="D19" t="str">
        <f>INDEX(Define!V:V,MATCH(C19,Define!U:U))</f>
        <v>自身が攻撃タイプの行動をしようとしている</v>
      </c>
      <c r="E19">
        <v>21</v>
      </c>
      <c r="F19">
        <v>0</v>
      </c>
      <c r="G19">
        <v>0</v>
      </c>
      <c r="H19">
        <v>0</v>
      </c>
    </row>
    <row r="20" spans="1:8">
      <c r="A20">
        <v>11100</v>
      </c>
      <c r="B20" t="str">
        <f>INDEX(TextData!B:B,MATCH(A20,TextData!A:A))</f>
        <v>レストア</v>
      </c>
      <c r="C20">
        <v>12072</v>
      </c>
      <c r="D20" t="str">
        <f>INDEX(Define!V:V,MATCH(C20,Define!U:U))</f>
        <v>味方がPassive魔法を成功する</v>
      </c>
      <c r="E20">
        <v>61</v>
      </c>
      <c r="F20">
        <v>0</v>
      </c>
      <c r="G20">
        <v>0</v>
      </c>
      <c r="H20">
        <v>0</v>
      </c>
    </row>
    <row r="21" spans="1:8">
      <c r="A21">
        <v>11110</v>
      </c>
      <c r="B21" t="str">
        <f>INDEX(TextData!B:B,MATCH(A21,TextData!A:A))</f>
        <v>レイジカウンター</v>
      </c>
      <c r="C21">
        <v>12060</v>
      </c>
      <c r="D21" t="str">
        <f>INDEX(Define!V:V,MATCH(C21,Define!U:U))</f>
        <v>味方が攻撃を受ける。Param2で対象指定</v>
      </c>
      <c r="E21">
        <v>11</v>
      </c>
      <c r="F21">
        <v>0</v>
      </c>
      <c r="G21">
        <v>4</v>
      </c>
      <c r="H21">
        <v>0</v>
      </c>
    </row>
    <row r="22" spans="1:8">
      <c r="A22">
        <v>11120</v>
      </c>
      <c r="B22" t="str">
        <f>INDEX(TextData!B:B,MATCH(A22,TextData!A:A))</f>
        <v>パワーエール</v>
      </c>
      <c r="C22">
        <v>15011</v>
      </c>
      <c r="D22" t="str">
        <f>INDEX(Define!V:V,MATCH(C22,Define!U:U))</f>
        <v>味方が攻撃タイプの行動をしようとしている</v>
      </c>
      <c r="E22">
        <v>23</v>
      </c>
      <c r="F22">
        <v>0</v>
      </c>
      <c r="G22">
        <v>0</v>
      </c>
      <c r="H22">
        <v>0</v>
      </c>
    </row>
    <row r="23" spans="1:8">
      <c r="A23">
        <v>11130</v>
      </c>
      <c r="B23" t="str">
        <f>INDEX(TextData!B:B,MATCH(A23,TextData!A:A))</f>
        <v>ワイドカウンター</v>
      </c>
      <c r="C23">
        <v>12060</v>
      </c>
      <c r="D23" t="str">
        <f>INDEX(Define!V:V,MATCH(C23,Define!U:U))</f>
        <v>味方が攻撃を受ける。Param2で対象指定</v>
      </c>
      <c r="E23">
        <v>11</v>
      </c>
      <c r="F23">
        <v>0</v>
      </c>
      <c r="G23">
        <v>4</v>
      </c>
      <c r="H23">
        <v>0</v>
      </c>
    </row>
    <row r="24" spans="1:8">
      <c r="A24">
        <v>11140</v>
      </c>
      <c r="B24" t="str">
        <f>INDEX(TextData!B:B,MATCH(A24,TextData!A:A))</f>
        <v>ライジングファイア</v>
      </c>
      <c r="C24">
        <v>20140</v>
      </c>
      <c r="D24" t="str">
        <f>INDEX(Define!V:V,MATCH(C24,Define!U:U))</f>
        <v>自身の攻撃で敵を倒す</v>
      </c>
      <c r="E24">
        <v>11</v>
      </c>
      <c r="F24">
        <v>0</v>
      </c>
      <c r="G24">
        <v>0</v>
      </c>
      <c r="H24">
        <v>0</v>
      </c>
    </row>
    <row r="25" spans="1:8">
      <c r="A25">
        <v>11920</v>
      </c>
      <c r="B25" t="str">
        <f>INDEX(TextData!B:B,MATCH(A25,TextData!A:A))</f>
        <v>プリディカメント</v>
      </c>
      <c r="C25">
        <v>1010</v>
      </c>
      <c r="D25" t="str">
        <f>INDEX(Define!V:V,MATCH(C25,Define!U:U))</f>
        <v>自身のHpが〇%以下</v>
      </c>
      <c r="E25">
        <v>61</v>
      </c>
      <c r="F25">
        <v>25</v>
      </c>
      <c r="G25">
        <v>0</v>
      </c>
      <c r="H25">
        <v>0</v>
      </c>
    </row>
    <row r="26" spans="1:8">
      <c r="A26">
        <v>11930</v>
      </c>
      <c r="B26" t="str">
        <f>INDEX(TextData!B:B,MATCH(A26,TextData!A:A))</f>
        <v>アサルトシフト</v>
      </c>
      <c r="C26">
        <v>0</v>
      </c>
      <c r="D26" t="str">
        <f>INDEX(Define!V:V,MATCH(C26,Define!U:U))</f>
        <v>なし</v>
      </c>
      <c r="E26">
        <v>1</v>
      </c>
      <c r="F26">
        <v>0</v>
      </c>
      <c r="G26">
        <v>0</v>
      </c>
      <c r="H26">
        <v>0</v>
      </c>
    </row>
    <row r="27" spans="1:8">
      <c r="A27">
        <v>11940</v>
      </c>
      <c r="B27" t="str">
        <f>INDEX(TextData!B:B,MATCH(A27,TextData!A:A))</f>
        <v>アクティブギフト</v>
      </c>
      <c r="C27">
        <v>15011</v>
      </c>
      <c r="D27" t="str">
        <f>INDEX(Define!V:V,MATCH(C27,Define!U:U))</f>
        <v>味方が攻撃タイプの行動をしようとしている</v>
      </c>
      <c r="E27">
        <v>23</v>
      </c>
      <c r="F27">
        <v>0</v>
      </c>
      <c r="G27">
        <v>0</v>
      </c>
      <c r="H27">
        <v>0</v>
      </c>
    </row>
    <row r="28" spans="1:8">
      <c r="A28">
        <v>11950</v>
      </c>
      <c r="B28" t="str">
        <f>INDEX(TextData!B:B,MATCH(A28,TextData!A:A))</f>
        <v>イグナイテッド</v>
      </c>
      <c r="C28">
        <v>6010</v>
      </c>
      <c r="D28" t="str">
        <f>INDEX(Define!V:V,MATCH(C28,Define!U:U))</f>
        <v>StateId状態になっている</v>
      </c>
      <c r="E28">
        <v>61</v>
      </c>
      <c r="F28">
        <v>1010</v>
      </c>
      <c r="G28">
        <v>1</v>
      </c>
      <c r="H28">
        <v>1</v>
      </c>
    </row>
    <row r="29" spans="1:8">
      <c r="A29">
        <v>11950</v>
      </c>
      <c r="B29" t="str">
        <f>INDEX(TextData!B:B,MATCH(A29,TextData!A:A))</f>
        <v>イグナイテッド</v>
      </c>
      <c r="C29">
        <v>11010</v>
      </c>
      <c r="D29" t="str">
        <f>INDEX(Define!V:V,MATCH(C29,Define!U:U))</f>
        <v>バトル中使用回数が〇以下</v>
      </c>
      <c r="E29">
        <v>61</v>
      </c>
      <c r="F29">
        <v>1</v>
      </c>
      <c r="G29">
        <v>0</v>
      </c>
      <c r="H29">
        <v>0</v>
      </c>
    </row>
    <row r="30" spans="1:8">
      <c r="A30">
        <v>12010</v>
      </c>
      <c r="B30" t="str">
        <f>INDEX(TextData!B:B,MATCH(A30,TextData!A:A))</f>
        <v>クロースエッジ</v>
      </c>
      <c r="C30">
        <v>12010</v>
      </c>
      <c r="D30" t="str">
        <f>INDEX(Define!V:V,MATCH(C30,Define!U:U))</f>
        <v>かばうが成立する</v>
      </c>
      <c r="E30">
        <v>41</v>
      </c>
      <c r="F30">
        <v>0</v>
      </c>
      <c r="G30">
        <v>13</v>
      </c>
      <c r="H30">
        <v>1</v>
      </c>
    </row>
    <row r="31" spans="1:8">
      <c r="A31">
        <v>12010</v>
      </c>
      <c r="B31" t="str">
        <f>INDEX(TextData!B:B,MATCH(A31,TextData!A:A))</f>
        <v>クロースエッジ</v>
      </c>
      <c r="C31">
        <v>15042</v>
      </c>
      <c r="D31" t="str">
        <f>INDEX(Define!V:V,MATCH(C31,Define!U:U))</f>
        <v>相手がRangeLの行動をしようとしている</v>
      </c>
      <c r="E31">
        <v>41</v>
      </c>
      <c r="F31">
        <v>0</v>
      </c>
      <c r="G31">
        <v>0</v>
      </c>
      <c r="H31">
        <v>0</v>
      </c>
    </row>
    <row r="32" spans="1:8">
      <c r="A32">
        <v>12011</v>
      </c>
      <c r="B32" t="str">
        <f>INDEX(TextData!B:B,MATCH(A32,TextData!A:A))</f>
        <v>クロースエッジ</v>
      </c>
      <c r="C32">
        <v>0</v>
      </c>
      <c r="D32" t="str">
        <f>INDEX(Define!V:V,MATCH(C32,Define!U:U))</f>
        <v>なし</v>
      </c>
      <c r="E32">
        <v>1</v>
      </c>
      <c r="F32">
        <v>0</v>
      </c>
      <c r="G32">
        <v>0</v>
      </c>
      <c r="H32">
        <v>0</v>
      </c>
    </row>
    <row r="33" spans="1:8">
      <c r="A33">
        <v>12020</v>
      </c>
      <c r="B33" t="str">
        <f>INDEX(TextData!B:B,MATCH(A33,TextData!A:A))</f>
        <v>ファストファクション</v>
      </c>
      <c r="C33">
        <v>0</v>
      </c>
      <c r="D33" t="str">
        <f>INDEX(Define!V:V,MATCH(C33,Define!U:U))</f>
        <v>なし</v>
      </c>
      <c r="E33">
        <v>1</v>
      </c>
      <c r="F33">
        <v>0</v>
      </c>
      <c r="G33">
        <v>0</v>
      </c>
      <c r="H33">
        <v>0</v>
      </c>
    </row>
    <row r="34" spans="1:8">
      <c r="A34">
        <v>12030</v>
      </c>
      <c r="B34" t="str">
        <f>INDEX(TextData!B:B,MATCH(A34,TextData!A:A))</f>
        <v>クイックムーブ</v>
      </c>
      <c r="C34">
        <v>0</v>
      </c>
      <c r="D34" t="str">
        <f>INDEX(Define!V:V,MATCH(C34,Define!U:U))</f>
        <v>なし</v>
      </c>
      <c r="E34">
        <v>1</v>
      </c>
      <c r="F34">
        <v>0</v>
      </c>
      <c r="G34">
        <v>0</v>
      </c>
      <c r="H34">
        <v>0</v>
      </c>
    </row>
    <row r="35" spans="1:8">
      <c r="A35">
        <v>12040</v>
      </c>
      <c r="B35" t="str">
        <f>INDEX(TextData!B:B,MATCH(A35,TextData!A:A))</f>
        <v>ヘブンリーラック</v>
      </c>
      <c r="C35">
        <v>0</v>
      </c>
      <c r="D35" t="str">
        <f>INDEX(Define!V:V,MATCH(C35,Define!U:U))</f>
        <v>なし</v>
      </c>
      <c r="E35">
        <v>1</v>
      </c>
      <c r="F35">
        <v>0</v>
      </c>
      <c r="G35">
        <v>0</v>
      </c>
      <c r="H35">
        <v>0</v>
      </c>
    </row>
    <row r="36" spans="1:8">
      <c r="A36">
        <v>12050</v>
      </c>
      <c r="B36" t="str">
        <f>INDEX(TextData!B:B,MATCH(A36,TextData!A:A))</f>
        <v>キュアスタン</v>
      </c>
      <c r="C36">
        <v>12064</v>
      </c>
      <c r="D36" t="str">
        <f>INDEX(Define!V:V,MATCH(C36,Define!U:U))</f>
        <v>味方が状態異常を受ける。Param2で対象指定。Param3でState指定</v>
      </c>
      <c r="E36">
        <v>11</v>
      </c>
      <c r="F36">
        <v>0</v>
      </c>
      <c r="G36">
        <v>0</v>
      </c>
      <c r="H36">
        <v>2150</v>
      </c>
    </row>
    <row r="37" spans="1:8">
      <c r="A37">
        <v>12090</v>
      </c>
      <c r="B37" t="str">
        <f>INDEX(TextData!B:B,MATCH(A37,TextData!A:A))</f>
        <v>アウトオブオーダー</v>
      </c>
      <c r="C37">
        <v>0</v>
      </c>
      <c r="D37" t="str">
        <f>INDEX(Define!V:V,MATCH(C37,Define!U:U))</f>
        <v>なし</v>
      </c>
      <c r="E37">
        <v>1</v>
      </c>
      <c r="F37">
        <v>0</v>
      </c>
      <c r="G37">
        <v>0</v>
      </c>
      <c r="H37">
        <v>0</v>
      </c>
    </row>
    <row r="38" spans="1:8">
      <c r="A38">
        <v>12100</v>
      </c>
      <c r="B38" t="str">
        <f>INDEX(TextData!B:B,MATCH(A38,TextData!A:A))</f>
        <v>ワンスパニッシュ</v>
      </c>
      <c r="C38">
        <v>12060</v>
      </c>
      <c r="D38" t="str">
        <f>INDEX(Define!V:V,MATCH(C38,Define!U:U))</f>
        <v>味方が攻撃を受ける。Param2で対象指定</v>
      </c>
      <c r="E38">
        <v>31</v>
      </c>
      <c r="F38">
        <v>0</v>
      </c>
      <c r="G38">
        <v>4</v>
      </c>
      <c r="H38">
        <v>1</v>
      </c>
    </row>
    <row r="39" spans="1:8">
      <c r="A39">
        <v>12100</v>
      </c>
      <c r="B39" t="str">
        <f>INDEX(TextData!B:B,MATCH(A39,TextData!A:A))</f>
        <v>ワンスパニッシュ</v>
      </c>
      <c r="C39">
        <v>11010</v>
      </c>
      <c r="D39" t="str">
        <f>INDEX(Define!V:V,MATCH(C39,Define!U:U))</f>
        <v>バトル中使用回数が〇以下</v>
      </c>
      <c r="E39">
        <v>0</v>
      </c>
      <c r="F39">
        <v>1</v>
      </c>
      <c r="G39">
        <v>0</v>
      </c>
      <c r="H39">
        <v>0</v>
      </c>
    </row>
    <row r="40" spans="1:8">
      <c r="A40">
        <v>12110</v>
      </c>
      <c r="B40" t="str">
        <f>INDEX(TextData!B:B,MATCH(A40,TextData!A:A))</f>
        <v>コンセントレイト</v>
      </c>
      <c r="C40">
        <v>15010</v>
      </c>
      <c r="D40" t="str">
        <f>INDEX(Define!V:V,MATCH(C40,Define!U:U))</f>
        <v>自身が攻撃タイプの行動をしようとしている</v>
      </c>
      <c r="E40">
        <v>21</v>
      </c>
      <c r="F40">
        <v>0</v>
      </c>
      <c r="G40">
        <v>0</v>
      </c>
      <c r="H40">
        <v>0</v>
      </c>
    </row>
    <row r="41" spans="1:8">
      <c r="A41">
        <v>12120</v>
      </c>
      <c r="B41" t="str">
        <f>INDEX(TextData!B:B,MATCH(A41,TextData!A:A))</f>
        <v>パリィ</v>
      </c>
      <c r="C41">
        <v>12060</v>
      </c>
      <c r="D41" t="str">
        <f>INDEX(Define!V:V,MATCH(C41,Define!U:U))</f>
        <v>味方が攻撃を受ける。Param2で対象指定</v>
      </c>
      <c r="E41">
        <v>31</v>
      </c>
      <c r="F41">
        <v>0</v>
      </c>
      <c r="G41">
        <v>4</v>
      </c>
      <c r="H41">
        <v>0</v>
      </c>
    </row>
    <row r="42" spans="1:8">
      <c r="A42">
        <v>12130</v>
      </c>
      <c r="B42" t="str">
        <f>INDEX(TextData!B:B,MATCH(A42,TextData!A:A))</f>
        <v>チェイスマジック</v>
      </c>
      <c r="C42">
        <v>12071</v>
      </c>
      <c r="D42" t="str">
        <f>INDEX(Define!V:V,MATCH(C42,Define!U:U))</f>
        <v>味方が攻撃を成功する</v>
      </c>
      <c r="E42">
        <v>61</v>
      </c>
      <c r="F42">
        <v>0</v>
      </c>
      <c r="G42">
        <v>0</v>
      </c>
      <c r="H42">
        <v>0</v>
      </c>
    </row>
    <row r="43" spans="1:8">
      <c r="A43">
        <v>12140</v>
      </c>
      <c r="B43" t="str">
        <f>INDEX(TextData!B:B,MATCH(A43,TextData!A:A))</f>
        <v>ウィンドライズ</v>
      </c>
      <c r="C43">
        <v>23010</v>
      </c>
      <c r="D43" t="str">
        <f>INDEX(Define!V:V,MATCH(C43,Define!U:U))</f>
        <v>攻撃を回避した時</v>
      </c>
      <c r="E43">
        <v>61</v>
      </c>
      <c r="F43">
        <v>0</v>
      </c>
      <c r="G43">
        <v>0</v>
      </c>
      <c r="H43">
        <v>0</v>
      </c>
    </row>
    <row r="44" spans="1:8">
      <c r="A44">
        <v>12510</v>
      </c>
      <c r="B44" t="str">
        <f>INDEX(TextData!B:B,MATCH(A44,TextData!A:A))</f>
        <v>アクトスタンス</v>
      </c>
      <c r="C44">
        <v>0</v>
      </c>
      <c r="D44" t="str">
        <f>INDEX(Define!V:V,MATCH(C44,Define!U:U))</f>
        <v>なし</v>
      </c>
      <c r="E44">
        <v>1</v>
      </c>
      <c r="F44">
        <v>0</v>
      </c>
      <c r="G44">
        <v>0</v>
      </c>
      <c r="H44">
        <v>0</v>
      </c>
    </row>
    <row r="45" spans="1:8">
      <c r="A45">
        <v>12910</v>
      </c>
      <c r="B45" t="str">
        <f>INDEX(TextData!B:B,MATCH(A45,TextData!A:A))</f>
        <v>コンセントレイト</v>
      </c>
      <c r="C45">
        <v>0</v>
      </c>
      <c r="D45" t="str">
        <f>INDEX(Define!V:V,MATCH(C45,Define!U:U))</f>
        <v>なし</v>
      </c>
      <c r="E45">
        <v>1</v>
      </c>
      <c r="F45">
        <v>0</v>
      </c>
      <c r="G45">
        <v>0</v>
      </c>
      <c r="H45">
        <v>0</v>
      </c>
    </row>
    <row r="46" spans="1:8">
      <c r="A46">
        <v>12930</v>
      </c>
      <c r="B46" t="str">
        <f>INDEX(TextData!B:B,MATCH(A46,TextData!A:A))</f>
        <v>スウィフトカレント</v>
      </c>
      <c r="C46">
        <v>0</v>
      </c>
      <c r="D46" t="str">
        <f>INDEX(Define!V:V,MATCH(C46,Define!U:U))</f>
        <v>なし</v>
      </c>
      <c r="E46">
        <v>1</v>
      </c>
      <c r="F46">
        <v>0</v>
      </c>
      <c r="G46">
        <v>0</v>
      </c>
      <c r="H46">
        <v>0</v>
      </c>
    </row>
    <row r="47" spans="1:8">
      <c r="A47">
        <v>12940</v>
      </c>
      <c r="B47" t="str">
        <f>INDEX(TextData!B:B,MATCH(A47,TextData!A:A))</f>
        <v>イヴェイドオール</v>
      </c>
      <c r="C47">
        <v>0</v>
      </c>
      <c r="D47" t="str">
        <f>INDEX(Define!V:V,MATCH(C47,Define!U:U))</f>
        <v>なし</v>
      </c>
      <c r="E47">
        <v>1</v>
      </c>
      <c r="F47">
        <v>0</v>
      </c>
      <c r="G47">
        <v>0</v>
      </c>
      <c r="H47">
        <v>0</v>
      </c>
    </row>
    <row r="48" spans="1:8">
      <c r="A48">
        <v>13010</v>
      </c>
      <c r="B48" t="str">
        <f>INDEX(TextData!B:B,MATCH(A48,TextData!A:A))</f>
        <v>ヘビィカバー</v>
      </c>
      <c r="C48">
        <v>12010</v>
      </c>
      <c r="D48" t="str">
        <f>INDEX(Define!V:V,MATCH(C48,Define!U:U))</f>
        <v>かばうが成立する</v>
      </c>
      <c r="E48">
        <v>41</v>
      </c>
      <c r="F48">
        <v>0</v>
      </c>
      <c r="G48">
        <v>13</v>
      </c>
      <c r="H48">
        <v>0</v>
      </c>
    </row>
    <row r="49" spans="1:8">
      <c r="A49">
        <v>13011</v>
      </c>
      <c r="B49" t="str">
        <f>INDEX(TextData!B:B,MATCH(A49,TextData!A:A))</f>
        <v>ヘビィカバー</v>
      </c>
      <c r="C49">
        <v>0</v>
      </c>
      <c r="D49" t="str">
        <f>INDEX(Define!V:V,MATCH(C49,Define!U:U))</f>
        <v>なし</v>
      </c>
      <c r="E49">
        <v>1</v>
      </c>
      <c r="F49">
        <v>0</v>
      </c>
      <c r="G49">
        <v>0</v>
      </c>
      <c r="H49">
        <v>0</v>
      </c>
    </row>
    <row r="50" spans="1:8">
      <c r="A50">
        <v>13020</v>
      </c>
      <c r="B50" t="str">
        <f>INDEX(TextData!B:B,MATCH(A50,TextData!A:A))</f>
        <v>アイシクルエッジ</v>
      </c>
      <c r="C50">
        <v>10010</v>
      </c>
      <c r="D50" t="str">
        <f>INDEX(Define!V:V,MATCH(C50,Define!U:U))</f>
        <v>攻撃成功時〇%で</v>
      </c>
      <c r="E50">
        <v>61</v>
      </c>
      <c r="F50">
        <v>100</v>
      </c>
      <c r="G50">
        <v>0</v>
      </c>
      <c r="H50">
        <v>0</v>
      </c>
    </row>
    <row r="51" spans="1:8">
      <c r="A51">
        <v>13030</v>
      </c>
      <c r="B51" t="str">
        <f>INDEX(TextData!B:B,MATCH(A51,TextData!A:A))</f>
        <v>カウンターマジック</v>
      </c>
      <c r="C51">
        <v>12060</v>
      </c>
      <c r="D51" t="str">
        <f>INDEX(Define!V:V,MATCH(C51,Define!U:U))</f>
        <v>味方が攻撃を受ける。Param2で対象指定</v>
      </c>
      <c r="E51">
        <v>11</v>
      </c>
      <c r="F51">
        <v>0</v>
      </c>
      <c r="G51">
        <v>4</v>
      </c>
      <c r="H51">
        <v>0</v>
      </c>
    </row>
    <row r="52" spans="1:8">
      <c r="A52">
        <v>13040</v>
      </c>
      <c r="B52" t="str">
        <f>INDEX(TextData!B:B,MATCH(A52,TextData!A:A))</f>
        <v>アーマーコード</v>
      </c>
      <c r="C52">
        <v>0</v>
      </c>
      <c r="D52" t="str">
        <f>INDEX(Define!V:V,MATCH(C52,Define!U:U))</f>
        <v>なし</v>
      </c>
      <c r="E52">
        <v>1</v>
      </c>
      <c r="F52">
        <v>0</v>
      </c>
      <c r="G52">
        <v>0</v>
      </c>
      <c r="H52">
        <v>0</v>
      </c>
    </row>
    <row r="53" spans="1:8">
      <c r="A53">
        <v>13050</v>
      </c>
      <c r="B53" t="str">
        <f>INDEX(TextData!B:B,MATCH(A53,TextData!A:A))</f>
        <v>キュアフリーズ</v>
      </c>
      <c r="C53">
        <v>12064</v>
      </c>
      <c r="D53" t="str">
        <f>INDEX(Define!V:V,MATCH(C53,Define!U:U))</f>
        <v>味方が状態異常を受ける。Param2で対象指定。Param3でState指定</v>
      </c>
      <c r="E53">
        <v>11</v>
      </c>
      <c r="F53">
        <v>0</v>
      </c>
      <c r="G53">
        <v>0</v>
      </c>
      <c r="H53">
        <v>2140</v>
      </c>
    </row>
    <row r="54" spans="1:8">
      <c r="A54">
        <v>13070</v>
      </c>
      <c r="B54" t="str">
        <f>INDEX(TextData!B:B,MATCH(A54,TextData!A:A))</f>
        <v>アシッドラッシュ</v>
      </c>
      <c r="C54">
        <v>10010</v>
      </c>
      <c r="D54" t="str">
        <f>INDEX(Define!V:V,MATCH(C54,Define!U:U))</f>
        <v>攻撃成功時〇%で</v>
      </c>
      <c r="E54">
        <v>51</v>
      </c>
      <c r="F54">
        <v>33</v>
      </c>
      <c r="G54">
        <v>0</v>
      </c>
      <c r="H54">
        <v>0</v>
      </c>
    </row>
    <row r="55" spans="1:8">
      <c r="A55">
        <v>13090</v>
      </c>
      <c r="B55" t="str">
        <f>INDEX(TextData!B:B,MATCH(A55,TextData!A:A))</f>
        <v>アイスセイバー</v>
      </c>
      <c r="C55">
        <v>10110</v>
      </c>
      <c r="D55" t="str">
        <f>INDEX(Define!V:V,MATCH(C55,Define!U:U))</f>
        <v>攻撃成功時相手が凍結ではない</v>
      </c>
      <c r="E55">
        <v>61</v>
      </c>
      <c r="F55">
        <v>0</v>
      </c>
      <c r="G55">
        <v>0</v>
      </c>
      <c r="H55">
        <v>0</v>
      </c>
    </row>
    <row r="56" ht="12" customHeight="1" spans="1:8">
      <c r="A56">
        <v>13110</v>
      </c>
      <c r="B56" t="str">
        <f>INDEX(TextData!B:B,MATCH(A56,TextData!A:A))</f>
        <v>ガーディアン</v>
      </c>
      <c r="C56">
        <v>12060</v>
      </c>
      <c r="D56" t="str">
        <f>INDEX(Define!V:V,MATCH(C56,Define!U:U))</f>
        <v>味方が攻撃を受ける。Param2で対象指定</v>
      </c>
      <c r="E56">
        <v>31</v>
      </c>
      <c r="F56">
        <v>0</v>
      </c>
      <c r="G56">
        <v>4</v>
      </c>
      <c r="H56">
        <v>0</v>
      </c>
    </row>
    <row r="57" ht="12" customHeight="1" spans="1:8">
      <c r="A57">
        <v>13120</v>
      </c>
      <c r="B57" t="str">
        <f>INDEX(TextData!B:B,MATCH(A57,TextData!A:A))</f>
        <v>ライフセーブ</v>
      </c>
      <c r="C57">
        <v>20160</v>
      </c>
      <c r="D57" t="str">
        <f>INDEX(Define!V:V,MATCH(C57,Define!U:U))</f>
        <v>自身が戦闘不能になる攻撃を受ける</v>
      </c>
      <c r="E57">
        <v>31</v>
      </c>
      <c r="F57">
        <v>0</v>
      </c>
      <c r="G57">
        <v>0</v>
      </c>
      <c r="H57">
        <v>1</v>
      </c>
    </row>
    <row r="58" spans="1:8">
      <c r="A58">
        <v>13120</v>
      </c>
      <c r="B58" t="str">
        <f>INDEX(TextData!B:B,MATCH(A58,TextData!A:A))</f>
        <v>ライフセーブ</v>
      </c>
      <c r="C58">
        <v>11010</v>
      </c>
      <c r="D58" t="str">
        <f>INDEX(Define!V:V,MATCH(C58,Define!U:U))</f>
        <v>バトル中使用回数が〇以下</v>
      </c>
      <c r="E58">
        <v>0</v>
      </c>
      <c r="F58">
        <v>1</v>
      </c>
      <c r="G58">
        <v>0</v>
      </c>
      <c r="H58">
        <v>0</v>
      </c>
    </row>
    <row r="59" spans="1:8">
      <c r="A59">
        <v>13130</v>
      </c>
      <c r="B59" t="str">
        <f>INDEX(TextData!B:B,MATCH(A59,TextData!A:A))</f>
        <v>ライフスティール</v>
      </c>
      <c r="C59">
        <v>15010</v>
      </c>
      <c r="D59" t="str">
        <f>INDEX(Define!V:V,MATCH(C59,Define!U:U))</f>
        <v>自身が攻撃タイプの行動をしようとしている</v>
      </c>
      <c r="E59">
        <v>21</v>
      </c>
      <c r="F59">
        <v>0</v>
      </c>
      <c r="G59">
        <v>0</v>
      </c>
      <c r="H59">
        <v>0</v>
      </c>
    </row>
    <row r="60" spans="1:8">
      <c r="A60">
        <v>13140</v>
      </c>
      <c r="B60" t="str">
        <f>INDEX(TextData!B:B,MATCH(A60,TextData!A:A))</f>
        <v>クイックバリア</v>
      </c>
      <c r="C60">
        <v>12060</v>
      </c>
      <c r="D60" t="str">
        <f>INDEX(Define!V:V,MATCH(C60,Define!U:U))</f>
        <v>味方が攻撃を受ける。Param2で対象指定</v>
      </c>
      <c r="E60">
        <v>31</v>
      </c>
      <c r="F60">
        <v>0</v>
      </c>
      <c r="G60">
        <v>0</v>
      </c>
      <c r="H60">
        <v>0</v>
      </c>
    </row>
    <row r="61" spans="1:8">
      <c r="A61">
        <v>13210</v>
      </c>
      <c r="B61" t="str">
        <f>INDEX(TextData!B:B,MATCH(A61,TextData!A:A))</f>
        <v>ルミナスカバー</v>
      </c>
      <c r="C61">
        <v>12010</v>
      </c>
      <c r="D61" t="str">
        <f>INDEX(Define!V:V,MATCH(C61,Define!U:U))</f>
        <v>かばうが成立する</v>
      </c>
      <c r="E61">
        <v>41</v>
      </c>
      <c r="F61">
        <v>0</v>
      </c>
      <c r="G61">
        <v>13</v>
      </c>
      <c r="H61">
        <v>0</v>
      </c>
    </row>
    <row r="62" spans="1:8">
      <c r="A62">
        <v>13211</v>
      </c>
      <c r="B62" t="str">
        <f>INDEX(TextData!B:B,MATCH(A62,TextData!A:A))</f>
        <v>ルミナスカバー</v>
      </c>
      <c r="C62">
        <v>0</v>
      </c>
      <c r="D62" t="str">
        <f>INDEX(Define!V:V,MATCH(C62,Define!U:U))</f>
        <v>なし</v>
      </c>
      <c r="E62">
        <v>1</v>
      </c>
      <c r="F62">
        <v>0</v>
      </c>
      <c r="G62">
        <v>0</v>
      </c>
      <c r="H62">
        <v>0</v>
      </c>
    </row>
    <row r="63" spans="1:8">
      <c r="A63">
        <v>13510</v>
      </c>
      <c r="B63" t="str">
        <f>INDEX(TextData!B:B,MATCH(A63,TextData!A:A))</f>
        <v>デコイプラス</v>
      </c>
      <c r="C63">
        <v>10130</v>
      </c>
      <c r="D63" t="str">
        <f>INDEX(Define!V:V,MATCH(C63,Define!U:U))</f>
        <v>攻撃成功時相手が挑発ではない</v>
      </c>
      <c r="E63">
        <v>1</v>
      </c>
      <c r="F63">
        <v>0</v>
      </c>
      <c r="G63">
        <v>0</v>
      </c>
      <c r="H63">
        <v>0</v>
      </c>
    </row>
    <row r="64" spans="1:8">
      <c r="A64">
        <v>13520</v>
      </c>
      <c r="B64" t="str">
        <f>INDEX(TextData!B:B,MATCH(A64,TextData!A:A))</f>
        <v>アフターシールド</v>
      </c>
      <c r="C64">
        <v>10010</v>
      </c>
      <c r="D64" t="str">
        <f>INDEX(Define!V:V,MATCH(C64,Define!U:U))</f>
        <v>攻撃成功時〇%で</v>
      </c>
      <c r="E64">
        <v>51</v>
      </c>
      <c r="F64">
        <v>100</v>
      </c>
      <c r="G64">
        <v>0</v>
      </c>
      <c r="H64">
        <v>0</v>
      </c>
    </row>
    <row r="65" spans="1:8">
      <c r="A65">
        <v>13530</v>
      </c>
      <c r="B65" t="str">
        <f>INDEX(TextData!B:B,MATCH(A65,TextData!A:A))</f>
        <v>カバープラス</v>
      </c>
      <c r="C65">
        <v>12010</v>
      </c>
      <c r="D65" t="str">
        <f>INDEX(Define!V:V,MATCH(C65,Define!U:U))</f>
        <v>かばうが成立する</v>
      </c>
      <c r="E65">
        <v>41</v>
      </c>
      <c r="F65">
        <v>0</v>
      </c>
      <c r="G65">
        <v>13</v>
      </c>
      <c r="H65">
        <v>0</v>
      </c>
    </row>
    <row r="66" spans="1:8">
      <c r="A66">
        <v>13930</v>
      </c>
      <c r="B66" t="str">
        <f>INDEX(TextData!B:B,MATCH(A66,TextData!A:A))</f>
        <v>クイックキュア</v>
      </c>
      <c r="C66">
        <v>12042</v>
      </c>
      <c r="D66" t="str">
        <f>INDEX(Define!V:V,MATCH(C66,Define!U:U))</f>
        <v>攻撃を受けた対象がAbnorml状態になった</v>
      </c>
      <c r="E66">
        <v>61</v>
      </c>
      <c r="F66">
        <v>0</v>
      </c>
      <c r="G66">
        <v>0</v>
      </c>
      <c r="H66">
        <v>0</v>
      </c>
    </row>
    <row r="67" ht="12" customHeight="1" spans="1:8">
      <c r="A67">
        <v>13940</v>
      </c>
      <c r="B67" t="str">
        <f>INDEX(TextData!B:B,MATCH(A67,TextData!A:A))</f>
        <v>セルフシールド</v>
      </c>
      <c r="C67">
        <v>12060</v>
      </c>
      <c r="D67" t="str">
        <f>INDEX(Define!V:V,MATCH(C67,Define!U:U))</f>
        <v>味方が攻撃を受ける。Param2で対象指定</v>
      </c>
      <c r="E67">
        <v>31</v>
      </c>
      <c r="F67">
        <v>0</v>
      </c>
      <c r="G67">
        <v>4</v>
      </c>
      <c r="H67">
        <v>0</v>
      </c>
    </row>
    <row r="68" spans="1:8">
      <c r="A68">
        <v>13950</v>
      </c>
      <c r="B68" t="str">
        <f>INDEX(TextData!B:B,MATCH(A68,TextData!A:A))</f>
        <v>パッシブジャミング</v>
      </c>
      <c r="C68">
        <v>15022</v>
      </c>
      <c r="D68" t="str">
        <f>INDEX(Define!V:V,MATCH(C68,Define!U:U))</f>
        <v>相手がバフの行動をしようとしている</v>
      </c>
      <c r="E68">
        <v>23</v>
      </c>
      <c r="F68">
        <v>0</v>
      </c>
      <c r="G68">
        <v>0</v>
      </c>
      <c r="H68">
        <v>0</v>
      </c>
    </row>
    <row r="69" spans="1:8">
      <c r="A69">
        <v>14010</v>
      </c>
      <c r="B69" t="str">
        <f>INDEX(TextData!B:B,MATCH(A69,TextData!A:A))</f>
        <v>ファーストエイド</v>
      </c>
      <c r="C69">
        <v>1130</v>
      </c>
      <c r="D69" t="str">
        <f>INDEX(Define!V:V,MATCH(C69,Define!U:U))</f>
        <v>最もHpが少ない味方</v>
      </c>
      <c r="E69">
        <v>101</v>
      </c>
      <c r="F69">
        <v>1</v>
      </c>
      <c r="G69">
        <v>0</v>
      </c>
      <c r="H69">
        <v>1</v>
      </c>
    </row>
    <row r="70" spans="1:8">
      <c r="A70">
        <v>14010</v>
      </c>
      <c r="B70" t="str">
        <f>INDEX(TextData!B:B,MATCH(A70,TextData!A:A))</f>
        <v>ファーストエイド</v>
      </c>
      <c r="C70">
        <v>11011</v>
      </c>
      <c r="D70" t="str">
        <f>INDEX(Define!V:V,MATCH(C70,Define!U:U))</f>
        <v>Period中使用回数が〇以下</v>
      </c>
      <c r="E70">
        <v>0</v>
      </c>
      <c r="F70">
        <v>5</v>
      </c>
      <c r="G70">
        <v>0</v>
      </c>
      <c r="H70">
        <v>0</v>
      </c>
    </row>
    <row r="71" spans="1:8">
      <c r="A71">
        <v>14020</v>
      </c>
      <c r="B71" t="str">
        <f>INDEX(TextData!B:B,MATCH(A71,TextData!A:A))</f>
        <v>クイックヒール</v>
      </c>
      <c r="C71">
        <v>12040</v>
      </c>
      <c r="D71" t="str">
        <f>INDEX(Define!V:V,MATCH(C71,Define!U:U))</f>
        <v>攻撃を受けた対象のHpがParam1%以下 Param2==1で生存判定しない</v>
      </c>
      <c r="E71">
        <v>11</v>
      </c>
      <c r="F71">
        <v>100</v>
      </c>
      <c r="G71">
        <v>0</v>
      </c>
      <c r="H71">
        <v>1</v>
      </c>
    </row>
    <row r="72" spans="1:8">
      <c r="A72">
        <v>14020</v>
      </c>
      <c r="B72" t="str">
        <f>INDEX(TextData!B:B,MATCH(A72,TextData!A:A))</f>
        <v>クイックヒール</v>
      </c>
      <c r="C72">
        <v>18010</v>
      </c>
      <c r="D72" t="str">
        <f>INDEX(Define!V:V,MATCH(C72,Define!U:U))</f>
        <v>自分の味方である</v>
      </c>
      <c r="E72">
        <v>11</v>
      </c>
      <c r="F72">
        <v>0</v>
      </c>
      <c r="G72">
        <v>0</v>
      </c>
      <c r="H72">
        <v>0</v>
      </c>
    </row>
    <row r="73" spans="1:8">
      <c r="A73">
        <v>14020</v>
      </c>
      <c r="B73" t="str">
        <f>INDEX(TextData!B:B,MATCH(A73,TextData!A:A))</f>
        <v>クイックヒール</v>
      </c>
      <c r="C73">
        <v>11011</v>
      </c>
      <c r="D73" t="str">
        <f>INDEX(Define!V:V,MATCH(C73,Define!U:U))</f>
        <v>Period中使用回数が〇以下</v>
      </c>
      <c r="E73">
        <v>0</v>
      </c>
      <c r="F73">
        <v>5</v>
      </c>
      <c r="G73">
        <v>0</v>
      </c>
      <c r="H73">
        <v>0</v>
      </c>
    </row>
    <row r="74" spans="1:8">
      <c r="A74">
        <v>14030</v>
      </c>
      <c r="B74" t="str">
        <f>INDEX(TextData!B:B,MATCH(A74,TextData!A:A))</f>
        <v>ガードバインド</v>
      </c>
      <c r="C74">
        <v>15010</v>
      </c>
      <c r="D74" t="str">
        <f>INDEX(Define!V:V,MATCH(C74,Define!U:U))</f>
        <v>自身が攻撃タイプの行動をしようとしている</v>
      </c>
      <c r="E74">
        <v>21</v>
      </c>
      <c r="F74">
        <v>0</v>
      </c>
      <c r="G74">
        <v>0</v>
      </c>
      <c r="H74">
        <v>0</v>
      </c>
    </row>
    <row r="75" spans="1:8">
      <c r="A75">
        <v>14040</v>
      </c>
      <c r="B75" t="str">
        <f>INDEX(TextData!B:B,MATCH(A75,TextData!A:A))</f>
        <v>ホープフルアイリス</v>
      </c>
      <c r="C75">
        <v>0</v>
      </c>
      <c r="D75" t="str">
        <f>INDEX(Define!V:V,MATCH(C75,Define!U:U))</f>
        <v>なし</v>
      </c>
      <c r="E75">
        <v>1</v>
      </c>
      <c r="F75">
        <v>0</v>
      </c>
      <c r="G75">
        <v>0</v>
      </c>
      <c r="H75">
        <v>0</v>
      </c>
    </row>
    <row r="76" spans="1:8">
      <c r="A76">
        <v>14050</v>
      </c>
      <c r="B76" t="str">
        <f>INDEX(TextData!B:B,MATCH(A76,TextData!A:A))</f>
        <v>キュアパッシブ</v>
      </c>
      <c r="C76">
        <v>12064</v>
      </c>
      <c r="D76" t="str">
        <f>INDEX(Define!V:V,MATCH(C76,Define!U:U))</f>
        <v>味方が状態異常を受ける。Param2で対象指定。Param3でState指定</v>
      </c>
      <c r="E76">
        <v>11</v>
      </c>
      <c r="F76">
        <v>0</v>
      </c>
      <c r="G76">
        <v>0</v>
      </c>
      <c r="H76">
        <v>2090</v>
      </c>
    </row>
    <row r="77" spans="1:8">
      <c r="A77">
        <v>14060</v>
      </c>
      <c r="B77" t="str">
        <f>INDEX(TextData!B:B,MATCH(A77,TextData!A:A))</f>
        <v>パッシブサプライ</v>
      </c>
      <c r="C77">
        <v>12066</v>
      </c>
      <c r="D77" t="str">
        <f>INDEX(Define!V:V,MATCH(C77,Define!U:U))</f>
        <v>自身がパッシブを受ける</v>
      </c>
      <c r="E77">
        <v>61</v>
      </c>
      <c r="F77">
        <v>0</v>
      </c>
      <c r="G77">
        <v>0</v>
      </c>
      <c r="H77">
        <v>1</v>
      </c>
    </row>
    <row r="78" spans="1:8">
      <c r="A78">
        <v>14060</v>
      </c>
      <c r="B78" t="str">
        <f>INDEX(TextData!B:B,MATCH(A78,TextData!A:A))</f>
        <v>パッシブサプライ</v>
      </c>
      <c r="C78">
        <v>11020</v>
      </c>
      <c r="D78" t="str">
        <f>INDEX(Define!V:V,MATCH(C78,Define!U:U))</f>
        <v>ターン中使用回数が〇回に満たない</v>
      </c>
      <c r="E78">
        <v>61</v>
      </c>
      <c r="F78">
        <v>1</v>
      </c>
      <c r="G78">
        <v>0</v>
      </c>
      <c r="H78">
        <v>0</v>
      </c>
    </row>
    <row r="79" spans="1:8">
      <c r="A79">
        <v>14070</v>
      </c>
      <c r="B79" t="str">
        <f>INDEX(TextData!B:B,MATCH(A79,TextData!A:A))</f>
        <v>ホーミングクルセイド</v>
      </c>
      <c r="C79">
        <v>0</v>
      </c>
      <c r="D79" t="str">
        <f>INDEX(Define!V:V,MATCH(C79,Define!U:U))</f>
        <v>なし</v>
      </c>
      <c r="E79">
        <v>1</v>
      </c>
      <c r="F79">
        <v>0</v>
      </c>
      <c r="G79">
        <v>0</v>
      </c>
      <c r="H79">
        <v>0</v>
      </c>
    </row>
    <row r="80" spans="1:8">
      <c r="A80">
        <v>14090</v>
      </c>
      <c r="B80" t="str">
        <f>INDEX(TextData!B:B,MATCH(A80,TextData!A:A))</f>
        <v>リレイズ</v>
      </c>
      <c r="C80">
        <v>20050</v>
      </c>
      <c r="D80" t="str">
        <f>INDEX(Define!V:V,MATCH(C80,Define!U:U))</f>
        <v>自身が戦闘不能になる</v>
      </c>
      <c r="E80">
        <v>31</v>
      </c>
      <c r="F80">
        <v>0</v>
      </c>
      <c r="G80">
        <v>0</v>
      </c>
      <c r="H80">
        <v>0</v>
      </c>
    </row>
    <row r="81" spans="1:8">
      <c r="A81">
        <v>14100</v>
      </c>
      <c r="B81" t="str">
        <f>INDEX(TextData!B:B,MATCH(A81,TextData!A:A))</f>
        <v>ファストヒール</v>
      </c>
      <c r="C81">
        <v>0</v>
      </c>
      <c r="D81" t="str">
        <f>INDEX(Define!V:V,MATCH(C81,Define!U:U))</f>
        <v>なし</v>
      </c>
      <c r="E81">
        <v>1</v>
      </c>
      <c r="F81">
        <v>0</v>
      </c>
      <c r="G81">
        <v>0</v>
      </c>
      <c r="H81">
        <v>0</v>
      </c>
    </row>
    <row r="82" spans="1:8">
      <c r="A82">
        <v>14110</v>
      </c>
      <c r="B82" t="str">
        <f>INDEX(TextData!B:B,MATCH(A82,TextData!A:A))</f>
        <v>リフレッシュ</v>
      </c>
      <c r="C82">
        <v>12064</v>
      </c>
      <c r="D82" t="str">
        <f>INDEX(Define!V:V,MATCH(C82,Define!U:U))</f>
        <v>味方が状態異常を受ける。Param2で対象指定。Param3でState指定</v>
      </c>
      <c r="E82">
        <v>61</v>
      </c>
      <c r="F82">
        <v>0</v>
      </c>
      <c r="G82">
        <v>0</v>
      </c>
      <c r="H82">
        <v>0</v>
      </c>
    </row>
    <row r="83" spans="1:8">
      <c r="A83">
        <v>14120</v>
      </c>
      <c r="B83" t="str">
        <f>INDEX(TextData!B:B,MATCH(A83,TextData!A:A))</f>
        <v>ファストメディック</v>
      </c>
      <c r="C83">
        <v>0</v>
      </c>
      <c r="D83" t="str">
        <f>INDEX(Define!V:V,MATCH(C83,Define!U:U))</f>
        <v>なし</v>
      </c>
      <c r="E83">
        <v>1</v>
      </c>
      <c r="F83">
        <v>0</v>
      </c>
      <c r="G83">
        <v>0</v>
      </c>
      <c r="H83">
        <v>0</v>
      </c>
    </row>
    <row r="84" spans="1:8">
      <c r="A84">
        <v>14130</v>
      </c>
      <c r="B84" t="str">
        <f>INDEX(TextData!B:B,MATCH(A84,TextData!A:A))</f>
        <v>ディバインシールド</v>
      </c>
      <c r="C84">
        <v>0</v>
      </c>
      <c r="D84" t="str">
        <f>INDEX(Define!V:V,MATCH(C84,Define!U:U))</f>
        <v>なし</v>
      </c>
      <c r="E84">
        <v>1</v>
      </c>
      <c r="F84">
        <v>0</v>
      </c>
      <c r="G84">
        <v>0</v>
      </c>
      <c r="H84">
        <v>0</v>
      </c>
    </row>
    <row r="85" spans="1:8">
      <c r="A85">
        <v>14140</v>
      </c>
      <c r="B85" t="str">
        <f>INDEX(TextData!B:B,MATCH(A85,TextData!A:A))</f>
        <v>ライフディバイド</v>
      </c>
      <c r="C85">
        <v>12040</v>
      </c>
      <c r="D85" t="str">
        <f>INDEX(Define!V:V,MATCH(C85,Define!U:U))</f>
        <v>攻撃を受けた対象のHpがParam1%以下 Param2==1で生存判定しない</v>
      </c>
      <c r="E85">
        <v>11</v>
      </c>
      <c r="F85">
        <v>100</v>
      </c>
      <c r="G85">
        <v>0</v>
      </c>
      <c r="H85">
        <v>1</v>
      </c>
    </row>
    <row r="86" spans="1:8">
      <c r="A86">
        <v>14140</v>
      </c>
      <c r="B86" t="str">
        <f>INDEX(TextData!B:B,MATCH(A86,TextData!A:A))</f>
        <v>ライフディバイド</v>
      </c>
      <c r="C86">
        <v>1020</v>
      </c>
      <c r="D86" t="str">
        <f>INDEX(Define!V:V,MATCH(C86,Define!U:U))</f>
        <v>自身のHpが〇%以上</v>
      </c>
      <c r="E86">
        <v>11</v>
      </c>
      <c r="F86">
        <v>25</v>
      </c>
      <c r="G86">
        <v>0</v>
      </c>
      <c r="H86">
        <v>1</v>
      </c>
    </row>
    <row r="87" spans="1:8">
      <c r="A87">
        <v>14140</v>
      </c>
      <c r="B87" t="str">
        <f>INDEX(TextData!B:B,MATCH(A87,TextData!A:A))</f>
        <v>ライフディバイド</v>
      </c>
      <c r="C87">
        <v>9120</v>
      </c>
      <c r="D87" t="str">
        <f>INDEX(Define!V:V,MATCH(C87,Define!U:U))</f>
        <v>自身を対象にしない</v>
      </c>
      <c r="E87">
        <v>11</v>
      </c>
      <c r="F87">
        <v>0</v>
      </c>
      <c r="G87">
        <v>0</v>
      </c>
      <c r="H87">
        <v>0</v>
      </c>
    </row>
    <row r="88" spans="1:8">
      <c r="A88">
        <v>14930</v>
      </c>
      <c r="B88" t="str">
        <f>INDEX(TextData!B:B,MATCH(A88,TextData!A:A))</f>
        <v>エイミングスコープ</v>
      </c>
      <c r="C88">
        <v>0</v>
      </c>
      <c r="D88" t="str">
        <f>INDEX(Define!V:V,MATCH(C88,Define!U:U))</f>
        <v>なし</v>
      </c>
      <c r="E88">
        <v>1</v>
      </c>
      <c r="F88">
        <v>0</v>
      </c>
      <c r="G88">
        <v>0</v>
      </c>
      <c r="H88">
        <v>0</v>
      </c>
    </row>
    <row r="89" spans="1:8">
      <c r="A89">
        <v>14940</v>
      </c>
      <c r="B89" t="str">
        <f>INDEX(TextData!B:B,MATCH(A89,TextData!A:A))</f>
        <v>リジェネレーション</v>
      </c>
      <c r="C89">
        <v>0</v>
      </c>
      <c r="D89" t="str">
        <f>INDEX(Define!V:V,MATCH(C89,Define!U:U))</f>
        <v>なし</v>
      </c>
      <c r="E89">
        <v>1</v>
      </c>
      <c r="F89">
        <v>0</v>
      </c>
      <c r="G89">
        <v>0</v>
      </c>
      <c r="H89">
        <v>0</v>
      </c>
    </row>
    <row r="90" spans="1:8">
      <c r="A90">
        <v>15010</v>
      </c>
      <c r="B90" t="str">
        <f>INDEX(TextData!B:B,MATCH(A90,TextData!A:A))</f>
        <v>ワンスパニッシュ</v>
      </c>
      <c r="C90">
        <v>12060</v>
      </c>
      <c r="D90" t="str">
        <f>INDEX(Define!V:V,MATCH(C90,Define!U:U))</f>
        <v>味方が攻撃を受ける。Param2で対象指定</v>
      </c>
      <c r="E90">
        <v>31</v>
      </c>
      <c r="F90">
        <v>0</v>
      </c>
      <c r="G90">
        <v>4</v>
      </c>
      <c r="H90">
        <v>1</v>
      </c>
    </row>
    <row r="91" spans="1:8">
      <c r="A91">
        <v>15010</v>
      </c>
      <c r="B91" t="str">
        <f>INDEX(TextData!B:B,MATCH(A91,TextData!A:A))</f>
        <v>ワンスパニッシュ</v>
      </c>
      <c r="C91">
        <v>11010</v>
      </c>
      <c r="D91" t="str">
        <f>INDEX(Define!V:V,MATCH(C91,Define!U:U))</f>
        <v>バトル中使用回数が〇以下</v>
      </c>
      <c r="E91">
        <v>31</v>
      </c>
      <c r="F91">
        <v>1</v>
      </c>
      <c r="G91">
        <v>0</v>
      </c>
      <c r="H91">
        <v>0</v>
      </c>
    </row>
    <row r="92" spans="1:8">
      <c r="A92">
        <v>15020</v>
      </c>
      <c r="B92" t="str">
        <f>INDEX(TextData!B:B,MATCH(A92,TextData!A:A))</f>
        <v>クイックカース</v>
      </c>
      <c r="C92">
        <v>12060</v>
      </c>
      <c r="D92" t="str">
        <f>INDEX(Define!V:V,MATCH(C92,Define!U:U))</f>
        <v>味方が攻撃を受ける。Param2で対象指定</v>
      </c>
      <c r="E92">
        <v>31</v>
      </c>
      <c r="F92">
        <v>0</v>
      </c>
      <c r="G92">
        <v>0</v>
      </c>
      <c r="H92">
        <v>0</v>
      </c>
    </row>
    <row r="93" spans="1:8">
      <c r="A93">
        <v>15030</v>
      </c>
      <c r="B93" t="str">
        <f>INDEX(TextData!B:B,MATCH(A93,TextData!A:A))</f>
        <v>バイタリティ</v>
      </c>
      <c r="C93">
        <v>15010</v>
      </c>
      <c r="D93" t="str">
        <f>INDEX(Define!V:V,MATCH(C93,Define!U:U))</f>
        <v>自身が攻撃タイプの行動をしようとしている</v>
      </c>
      <c r="E93">
        <v>21</v>
      </c>
      <c r="F93">
        <v>0</v>
      </c>
      <c r="G93">
        <v>0</v>
      </c>
      <c r="H93">
        <v>1</v>
      </c>
    </row>
    <row r="94" spans="1:8">
      <c r="A94">
        <v>15030</v>
      </c>
      <c r="B94" t="str">
        <f>INDEX(TextData!B:B,MATCH(A94,TextData!A:A))</f>
        <v>バイタリティ</v>
      </c>
      <c r="C94">
        <v>1020</v>
      </c>
      <c r="D94" t="str">
        <f>INDEX(Define!V:V,MATCH(C94,Define!U:U))</f>
        <v>自身のHpが〇%以上</v>
      </c>
      <c r="E94">
        <v>21</v>
      </c>
      <c r="F94">
        <v>100</v>
      </c>
      <c r="G94">
        <v>0</v>
      </c>
      <c r="H94">
        <v>0</v>
      </c>
    </row>
    <row r="95" spans="1:8">
      <c r="A95">
        <v>15040</v>
      </c>
      <c r="B95" t="str">
        <f>INDEX(TextData!B:B,MATCH(A95,TextData!A:A))</f>
        <v>ネガティブドレイン</v>
      </c>
      <c r="C95">
        <v>1010</v>
      </c>
      <c r="D95" t="str">
        <f>INDEX(Define!V:V,MATCH(C95,Define!U:U))</f>
        <v>自身のHpが〇%以下</v>
      </c>
      <c r="E95">
        <v>61</v>
      </c>
      <c r="F95">
        <v>50</v>
      </c>
      <c r="G95">
        <v>0</v>
      </c>
      <c r="H95">
        <v>0</v>
      </c>
    </row>
    <row r="96" spans="1:8">
      <c r="A96">
        <v>15050</v>
      </c>
      <c r="B96" t="str">
        <f>INDEX(TextData!B:B,MATCH(A96,TextData!A:A))</f>
        <v>キュアシェイド</v>
      </c>
      <c r="C96">
        <v>12064</v>
      </c>
      <c r="D96" t="str">
        <f>INDEX(Define!V:V,MATCH(C96,Define!U:U))</f>
        <v>味方が状態異常を受ける。Param2で対象指定。Param3でState指定</v>
      </c>
      <c r="E96">
        <v>11</v>
      </c>
      <c r="F96">
        <v>0</v>
      </c>
      <c r="G96">
        <v>0</v>
      </c>
      <c r="H96">
        <v>2020</v>
      </c>
    </row>
    <row r="97" spans="1:8">
      <c r="A97">
        <v>15060</v>
      </c>
      <c r="B97" t="str">
        <f>INDEX(TextData!B:B,MATCH(A97,TextData!A:A))</f>
        <v>アンデッドペイン</v>
      </c>
      <c r="C97">
        <v>0</v>
      </c>
      <c r="D97" t="str">
        <f>INDEX(Define!V:V,MATCH(C97,Define!U:U))</f>
        <v>なし</v>
      </c>
      <c r="E97">
        <v>1</v>
      </c>
      <c r="F97">
        <v>0</v>
      </c>
      <c r="G97">
        <v>0</v>
      </c>
      <c r="H97">
        <v>0</v>
      </c>
    </row>
    <row r="98" spans="1:8">
      <c r="A98">
        <v>15070</v>
      </c>
      <c r="B98" t="str">
        <f>INDEX(TextData!B:B,MATCH(A98,TextData!A:A))</f>
        <v>ジャックポッド</v>
      </c>
      <c r="C98">
        <v>15011</v>
      </c>
      <c r="D98" t="str">
        <f>INDEX(Define!V:V,MATCH(C98,Define!U:U))</f>
        <v>味方が攻撃タイプの行動をしようとしている</v>
      </c>
      <c r="E98">
        <v>23</v>
      </c>
      <c r="F98">
        <v>0</v>
      </c>
      <c r="G98">
        <v>0</v>
      </c>
      <c r="H98">
        <v>0</v>
      </c>
    </row>
    <row r="99" spans="1:8">
      <c r="A99">
        <v>15080</v>
      </c>
      <c r="B99" t="str">
        <f>INDEX(TextData!B:B,MATCH(A99,TextData!A:A))</f>
        <v>ヒールハント</v>
      </c>
      <c r="C99">
        <v>12082</v>
      </c>
      <c r="D99" t="str">
        <f>INDEX(Define!V:V,MATCH(C99,Define!U:U))</f>
        <v>相手が回復をする</v>
      </c>
      <c r="E99">
        <v>61</v>
      </c>
      <c r="F99">
        <v>0</v>
      </c>
      <c r="G99">
        <v>0</v>
      </c>
      <c r="H99">
        <v>0</v>
      </c>
    </row>
    <row r="100" spans="1:8">
      <c r="A100">
        <v>15110</v>
      </c>
      <c r="B100" t="str">
        <f>INDEX(TextData!B:B,MATCH(A100,TextData!A:A))</f>
        <v>フォーカサイト</v>
      </c>
      <c r="C100">
        <v>15011</v>
      </c>
      <c r="D100" t="str">
        <f>INDEX(Define!V:V,MATCH(C100,Define!U:U))</f>
        <v>味方が攻撃タイプの行動をしようとしている</v>
      </c>
      <c r="E100">
        <v>23</v>
      </c>
      <c r="F100">
        <v>0</v>
      </c>
      <c r="G100">
        <v>0</v>
      </c>
      <c r="H100">
        <v>0</v>
      </c>
    </row>
    <row r="101" spans="1:8">
      <c r="A101">
        <v>15120</v>
      </c>
      <c r="B101" t="str">
        <f>INDEX(TextData!B:B,MATCH(A101,TextData!A:A))</f>
        <v>ガードハント</v>
      </c>
      <c r="C101">
        <v>12011</v>
      </c>
      <c r="D101" t="str">
        <f>INDEX(Define!V:V,MATCH(C101,Define!U:U))</f>
        <v>かばう成立後かばった対象</v>
      </c>
      <c r="E101">
        <v>41</v>
      </c>
      <c r="F101">
        <v>0</v>
      </c>
      <c r="G101">
        <v>13</v>
      </c>
      <c r="H101">
        <v>0</v>
      </c>
    </row>
    <row r="102" spans="1:8">
      <c r="A102">
        <v>15130</v>
      </c>
      <c r="B102" t="str">
        <f>INDEX(TextData!B:B,MATCH(A102,TextData!A:A))</f>
        <v>リヴェンジャー</v>
      </c>
      <c r="C102">
        <v>12060</v>
      </c>
      <c r="D102" t="str">
        <f>INDEX(Define!V:V,MATCH(C102,Define!U:U))</f>
        <v>味方が攻撃を受ける。Param2で対象指定</v>
      </c>
      <c r="E102">
        <v>11</v>
      </c>
      <c r="F102">
        <v>0</v>
      </c>
      <c r="G102">
        <v>4</v>
      </c>
      <c r="H102">
        <v>0</v>
      </c>
    </row>
    <row r="103" spans="1:8">
      <c r="A103">
        <v>15140</v>
      </c>
      <c r="B103" t="str">
        <f>INDEX(TextData!B:B,MATCH(A103,TextData!A:A))</f>
        <v>ソーサリーコネクト</v>
      </c>
      <c r="C103">
        <v>15011</v>
      </c>
      <c r="D103" t="str">
        <f>INDEX(Define!V:V,MATCH(C103,Define!U:U))</f>
        <v>味方が攻撃タイプの行動をしようとしている</v>
      </c>
      <c r="E103">
        <v>23</v>
      </c>
      <c r="F103">
        <v>0</v>
      </c>
      <c r="G103">
        <v>0</v>
      </c>
      <c r="H103">
        <v>0</v>
      </c>
    </row>
    <row r="104" spans="1:8">
      <c r="A104">
        <v>15510</v>
      </c>
      <c r="B104" t="str">
        <f>INDEX(TextData!B:B,MATCH(A104,TextData!A:A))</f>
        <v>リープリアクト</v>
      </c>
      <c r="C104">
        <v>10030</v>
      </c>
      <c r="D104" t="str">
        <f>INDEX(Define!V:V,MATCH(C104,Define!U:U))</f>
        <v>会心攻撃成功時</v>
      </c>
      <c r="E104">
        <v>51</v>
      </c>
      <c r="F104">
        <v>100</v>
      </c>
      <c r="G104">
        <v>0</v>
      </c>
      <c r="H104">
        <v>0</v>
      </c>
    </row>
    <row r="105" spans="1:8">
      <c r="A105">
        <v>15520</v>
      </c>
      <c r="B105" t="str">
        <f>INDEX(TextData!B:B,MATCH(A105,TextData!A:A))</f>
        <v>ディレイドパッシブ</v>
      </c>
      <c r="C105">
        <v>10010</v>
      </c>
      <c r="D105" t="str">
        <f>INDEX(Define!V:V,MATCH(C105,Define!U:U))</f>
        <v>攻撃成功時〇%で</v>
      </c>
      <c r="E105">
        <v>51</v>
      </c>
      <c r="F105">
        <v>100</v>
      </c>
      <c r="G105">
        <v>0</v>
      </c>
      <c r="H105">
        <v>0</v>
      </c>
    </row>
    <row r="106" spans="1:8">
      <c r="A106">
        <v>15530</v>
      </c>
      <c r="B106" t="str">
        <f>INDEX(TextData!B:B,MATCH(A106,TextData!A:A))</f>
        <v>シャドウケイプ</v>
      </c>
      <c r="C106">
        <v>0</v>
      </c>
      <c r="D106" t="str">
        <f>INDEX(Define!V:V,MATCH(C106,Define!U:U))</f>
        <v>なし</v>
      </c>
      <c r="E106">
        <v>1</v>
      </c>
      <c r="F106">
        <v>0</v>
      </c>
      <c r="G106">
        <v>0</v>
      </c>
      <c r="H106">
        <v>0</v>
      </c>
    </row>
    <row r="107" spans="1:8">
      <c r="A107">
        <v>15910</v>
      </c>
      <c r="B107" t="str">
        <f>INDEX(TextData!B:B,MATCH(A107,TextData!A:A))</f>
        <v>イーグルアイ</v>
      </c>
      <c r="C107">
        <v>0</v>
      </c>
      <c r="D107" t="str">
        <f>INDEX(Define!V:V,MATCH(C107,Define!U:U))</f>
        <v>なし</v>
      </c>
      <c r="E107">
        <v>1</v>
      </c>
      <c r="F107">
        <v>0</v>
      </c>
      <c r="G107">
        <v>0</v>
      </c>
      <c r="H107">
        <v>0</v>
      </c>
    </row>
    <row r="108" spans="1:8">
      <c r="A108">
        <v>15920</v>
      </c>
      <c r="B108" t="str">
        <f>INDEX(TextData!B:B,MATCH(A108,TextData!A:A))</f>
        <v>ネヴァーエンド</v>
      </c>
      <c r="C108">
        <v>1010</v>
      </c>
      <c r="D108" t="str">
        <f>INDEX(Define!V:V,MATCH(C108,Define!U:U))</f>
        <v>自身のHpが〇%以下</v>
      </c>
      <c r="E108">
        <v>61</v>
      </c>
      <c r="F108">
        <v>25</v>
      </c>
      <c r="G108">
        <v>0</v>
      </c>
      <c r="H108">
        <v>0</v>
      </c>
    </row>
    <row r="109" spans="1:8">
      <c r="A109">
        <v>15930</v>
      </c>
      <c r="B109" t="str">
        <f>INDEX(TextData!B:B,MATCH(A109,TextData!A:A))</f>
        <v>グレイブアクト</v>
      </c>
      <c r="C109">
        <v>12041</v>
      </c>
      <c r="D109" t="str">
        <f>INDEX(Define!V:V,MATCH(C109,Define!U:U))</f>
        <v>攻撃を受けた対象が戦闘不能になった</v>
      </c>
      <c r="E109">
        <v>61</v>
      </c>
      <c r="F109">
        <v>0</v>
      </c>
      <c r="G109">
        <v>0</v>
      </c>
      <c r="H109">
        <v>0</v>
      </c>
    </row>
    <row r="110" spans="1:8">
      <c r="A110">
        <v>15940</v>
      </c>
      <c r="B110" t="str">
        <f>INDEX(TextData!B:B,MATCH(A110,TextData!A:A))</f>
        <v>スカルグラッジ</v>
      </c>
      <c r="C110">
        <v>1020</v>
      </c>
      <c r="D110" t="str">
        <f>INDEX(Define!V:V,MATCH(C110,Define!U:U))</f>
        <v>自身のHpが〇%以上</v>
      </c>
      <c r="E110">
        <v>61</v>
      </c>
      <c r="F110">
        <v>100</v>
      </c>
      <c r="G110">
        <v>0</v>
      </c>
      <c r="H110">
        <v>0</v>
      </c>
    </row>
    <row r="111" spans="1:8">
      <c r="A111">
        <v>30020</v>
      </c>
      <c r="B111" t="str">
        <f>INDEX(TextData!B:B,MATCH(A111,TextData!A:A))</f>
        <v>スティールヒール</v>
      </c>
      <c r="C111">
        <v>20140</v>
      </c>
      <c r="D111" t="str">
        <f>INDEX(Define!V:V,MATCH(C111,Define!U:U))</f>
        <v>自身の攻撃で敵を倒す</v>
      </c>
      <c r="E111">
        <v>11</v>
      </c>
      <c r="F111">
        <v>0</v>
      </c>
      <c r="G111">
        <v>0</v>
      </c>
      <c r="H111">
        <v>0</v>
      </c>
    </row>
    <row r="112" spans="1:8">
      <c r="A112">
        <v>30030</v>
      </c>
      <c r="B112" t="str">
        <f>INDEX(TextData!B:B,MATCH(A112,TextData!A:A))</f>
        <v>ガッツ</v>
      </c>
      <c r="C112">
        <v>0</v>
      </c>
      <c r="D112" t="str">
        <f>INDEX(Define!V:V,MATCH(C112,Define!U:U))</f>
        <v>なし</v>
      </c>
      <c r="E112">
        <v>1</v>
      </c>
      <c r="F112">
        <v>0</v>
      </c>
      <c r="G112">
        <v>0</v>
      </c>
      <c r="H112">
        <v>0</v>
      </c>
    </row>
    <row r="113" spans="1:8">
      <c r="A113">
        <v>100110</v>
      </c>
      <c r="B113" t="str">
        <f>INDEX(TextData!B:B,MATCH(A113,TextData!A:A))</f>
        <v>ソーイングアームド</v>
      </c>
      <c r="C113">
        <v>7010</v>
      </c>
      <c r="D113" t="str">
        <f>INDEX(Define!V:V,MATCH(C113,Define!U:U))</f>
        <v>神化発動前</v>
      </c>
      <c r="E113">
        <v>61</v>
      </c>
      <c r="F113">
        <v>0</v>
      </c>
      <c r="G113">
        <v>0</v>
      </c>
      <c r="H113">
        <v>1</v>
      </c>
    </row>
    <row r="114" spans="1:8">
      <c r="A114">
        <v>100110</v>
      </c>
      <c r="B114" t="str">
        <f>INDEX(TextData!B:B,MATCH(A114,TextData!A:A))</f>
        <v>ソーイングアームド</v>
      </c>
      <c r="C114">
        <v>12110</v>
      </c>
      <c r="D114" t="str">
        <f>INDEX(Define!V:V,MATCH(C114,Define!U:U))</f>
        <v>攻撃をした時に相手が戦闘不能になる</v>
      </c>
      <c r="E114">
        <v>61</v>
      </c>
      <c r="F114">
        <v>0</v>
      </c>
      <c r="G114">
        <v>0</v>
      </c>
      <c r="H114">
        <v>0</v>
      </c>
    </row>
    <row r="115" spans="1:8">
      <c r="A115">
        <v>100210</v>
      </c>
      <c r="B115" t="str">
        <f>INDEX(TextData!B:B,MATCH(A115,TextData!A:A))</f>
        <v>ピースメーカー</v>
      </c>
      <c r="C115">
        <v>7010</v>
      </c>
      <c r="D115" t="str">
        <f>INDEX(Define!V:V,MATCH(C115,Define!U:U))</f>
        <v>神化発動前</v>
      </c>
      <c r="E115">
        <v>61</v>
      </c>
      <c r="F115">
        <v>0</v>
      </c>
      <c r="G115">
        <v>0</v>
      </c>
      <c r="H115">
        <v>1</v>
      </c>
    </row>
    <row r="116" spans="1:8">
      <c r="A116">
        <v>100210</v>
      </c>
      <c r="B116" t="str">
        <f>INDEX(TextData!B:B,MATCH(A116,TextData!A:A))</f>
        <v>ピースメーカー</v>
      </c>
      <c r="C116">
        <v>17022</v>
      </c>
      <c r="D116" t="str">
        <f>INDEX(Define!V:V,MATCH(C116,Define!U:U))</f>
        <v>アクティブ攻撃を〇回成功する</v>
      </c>
      <c r="E116">
        <v>61</v>
      </c>
      <c r="F116">
        <v>5</v>
      </c>
      <c r="G116">
        <v>0</v>
      </c>
      <c r="H116">
        <v>0</v>
      </c>
    </row>
    <row r="117" spans="1:8">
      <c r="A117">
        <v>100310</v>
      </c>
      <c r="B117" t="str">
        <f>INDEX(TextData!B:B,MATCH(A117,TextData!A:A))</f>
        <v>セイクリッドバリア</v>
      </c>
      <c r="C117">
        <v>7010</v>
      </c>
      <c r="D117" t="str">
        <f>INDEX(Define!V:V,MATCH(C117,Define!U:U))</f>
        <v>神化発動前</v>
      </c>
      <c r="E117">
        <v>11</v>
      </c>
      <c r="F117">
        <v>0</v>
      </c>
      <c r="G117">
        <v>0</v>
      </c>
      <c r="H117">
        <v>1</v>
      </c>
    </row>
    <row r="118" spans="1:8">
      <c r="A118">
        <v>100310</v>
      </c>
      <c r="B118" t="str">
        <f>INDEX(TextData!B:B,MATCH(A118,TextData!A:A))</f>
        <v>セイクリッドバリア</v>
      </c>
      <c r="C118">
        <v>17020</v>
      </c>
      <c r="D118" t="str">
        <f>INDEX(Define!V:V,MATCH(C118,Define!U:U))</f>
        <v>攻撃を〇回受ける</v>
      </c>
      <c r="E118">
        <v>11</v>
      </c>
      <c r="F118">
        <v>5</v>
      </c>
      <c r="G118">
        <v>0</v>
      </c>
      <c r="H118">
        <v>0</v>
      </c>
    </row>
    <row r="119" spans="1:8">
      <c r="A119">
        <v>100410</v>
      </c>
      <c r="B119" t="str">
        <f>INDEX(TextData!B:B,MATCH(A119,TextData!A:A))</f>
        <v>アバンデンス</v>
      </c>
      <c r="C119">
        <v>7010</v>
      </c>
      <c r="D119" t="str">
        <f>INDEX(Define!V:V,MATCH(C119,Define!U:U))</f>
        <v>神化発動前</v>
      </c>
      <c r="E119">
        <v>61</v>
      </c>
      <c r="F119">
        <v>0</v>
      </c>
      <c r="G119">
        <v>0</v>
      </c>
      <c r="H119">
        <v>1</v>
      </c>
    </row>
    <row r="120" spans="1:8">
      <c r="A120">
        <v>100410</v>
      </c>
      <c r="B120" t="str">
        <f>INDEX(TextData!B:B,MATCH(A120,TextData!A:A))</f>
        <v>アバンデンス</v>
      </c>
      <c r="C120">
        <v>20040</v>
      </c>
      <c r="D120" t="str">
        <f>INDEX(Define!V:V,MATCH(C120,Define!U:U))</f>
        <v>自分以外が戦闘不能</v>
      </c>
      <c r="E120">
        <v>61</v>
      </c>
      <c r="F120">
        <v>0</v>
      </c>
      <c r="G120">
        <v>0</v>
      </c>
      <c r="H120">
        <v>0</v>
      </c>
    </row>
    <row r="121" spans="1:8">
      <c r="A121">
        <v>100510</v>
      </c>
      <c r="B121" t="str">
        <f>INDEX(TextData!B:B,MATCH(A121,TextData!A:A))</f>
        <v>カースドブレイク</v>
      </c>
      <c r="C121">
        <v>7010</v>
      </c>
      <c r="D121" t="str">
        <f>INDEX(Define!V:V,MATCH(C121,Define!U:U))</f>
        <v>神化発動前</v>
      </c>
      <c r="E121">
        <v>31</v>
      </c>
      <c r="F121">
        <v>0</v>
      </c>
      <c r="G121">
        <v>0</v>
      </c>
      <c r="H121">
        <v>1</v>
      </c>
    </row>
    <row r="122" spans="1:8">
      <c r="A122">
        <v>100510</v>
      </c>
      <c r="B122" t="str">
        <f>INDEX(TextData!B:B,MATCH(A122,TextData!A:A))</f>
        <v>カースドブレイク</v>
      </c>
      <c r="C122">
        <v>20160</v>
      </c>
      <c r="D122" t="str">
        <f>INDEX(Define!V:V,MATCH(C122,Define!U:U))</f>
        <v>自身が戦闘不能になる攻撃を受ける</v>
      </c>
      <c r="E122">
        <v>31</v>
      </c>
      <c r="F122">
        <v>0</v>
      </c>
      <c r="G122">
        <v>0</v>
      </c>
      <c r="H122">
        <v>0</v>
      </c>
    </row>
    <row r="123" spans="1:8">
      <c r="A123">
        <v>100610</v>
      </c>
      <c r="B123" t="str">
        <f>INDEX(TextData!B:B,MATCH(A123,TextData!A:A))</f>
        <v>サンフレイム</v>
      </c>
      <c r="C123">
        <v>7010</v>
      </c>
      <c r="D123" t="str">
        <f>INDEX(Define!V:V,MATCH(C123,Define!U:U))</f>
        <v>神化発動前</v>
      </c>
      <c r="E123">
        <v>61</v>
      </c>
      <c r="F123">
        <v>0</v>
      </c>
      <c r="G123">
        <v>0</v>
      </c>
      <c r="H123">
        <v>1</v>
      </c>
    </row>
    <row r="124" spans="1:8">
      <c r="A124">
        <v>100610</v>
      </c>
      <c r="B124" t="str">
        <f>INDEX(TextData!B:B,MATCH(A124,TextData!A:A))</f>
        <v>サンフレイム</v>
      </c>
      <c r="C124">
        <v>7070</v>
      </c>
      <c r="D124" t="str">
        <f>INDEX(Define!V:V,MATCH(C124,Define!U:U))</f>
        <v>神化魔法使用回数の総計</v>
      </c>
      <c r="E124">
        <v>61</v>
      </c>
      <c r="F124">
        <v>0</v>
      </c>
      <c r="G124">
        <v>2</v>
      </c>
      <c r="H124">
        <v>0</v>
      </c>
    </row>
    <row r="125" spans="1:8">
      <c r="A125">
        <v>100710</v>
      </c>
      <c r="B125" t="str">
        <f>INDEX(TextData!B:B,MATCH(A125,TextData!A:A))</f>
        <v>ライズザフラッグ</v>
      </c>
      <c r="C125">
        <v>7010</v>
      </c>
      <c r="D125" t="str">
        <f>INDEX(Define!V:V,MATCH(C125,Define!U:U))</f>
        <v>神化発動前</v>
      </c>
      <c r="E125">
        <v>61</v>
      </c>
      <c r="F125">
        <v>0</v>
      </c>
      <c r="G125">
        <v>0</v>
      </c>
      <c r="H125">
        <v>1</v>
      </c>
    </row>
    <row r="126" ht="12" customHeight="1" spans="1:8">
      <c r="A126">
        <v>100710</v>
      </c>
      <c r="B126" t="str">
        <f>INDEX(TextData!B:B,MATCH(A126,TextData!A:A))</f>
        <v>ライズザフラッグ</v>
      </c>
      <c r="C126">
        <v>20140</v>
      </c>
      <c r="D126" t="str">
        <f>INDEX(Define!V:V,MATCH(C126,Define!U:U))</f>
        <v>自身の攻撃で敵を倒す</v>
      </c>
      <c r="E126">
        <v>61</v>
      </c>
      <c r="F126">
        <v>0</v>
      </c>
      <c r="G126">
        <v>0</v>
      </c>
      <c r="H126">
        <v>0</v>
      </c>
    </row>
    <row r="127" spans="1:8">
      <c r="A127">
        <v>100810</v>
      </c>
      <c r="B127" t="str">
        <f>INDEX(TextData!B:B,MATCH(A127,TextData!A:A))</f>
        <v>テンパランス</v>
      </c>
      <c r="C127">
        <v>7010</v>
      </c>
      <c r="D127" t="str">
        <f>INDEX(Define!V:V,MATCH(C127,Define!U:U))</f>
        <v>神化発動前</v>
      </c>
      <c r="E127">
        <v>61</v>
      </c>
      <c r="F127">
        <v>0</v>
      </c>
      <c r="G127">
        <v>0</v>
      </c>
      <c r="H127">
        <v>1</v>
      </c>
    </row>
    <row r="128" ht="12" customHeight="1" spans="1:8">
      <c r="A128">
        <v>100810</v>
      </c>
      <c r="B128" t="str">
        <f>INDEX(TextData!B:B,MATCH(A128,TextData!A:A))</f>
        <v>テンパランス</v>
      </c>
      <c r="C128">
        <v>9020</v>
      </c>
      <c r="D128" t="str">
        <f>INDEX(Define!V:V,MATCH(C128,Define!U:U))</f>
        <v>ターン数が〇</v>
      </c>
      <c r="E128">
        <v>61</v>
      </c>
      <c r="F128">
        <v>10</v>
      </c>
      <c r="G128">
        <v>0</v>
      </c>
      <c r="H128">
        <v>0</v>
      </c>
    </row>
    <row r="129" spans="1:8">
      <c r="A129">
        <v>100910</v>
      </c>
      <c r="B129" t="str">
        <f>INDEX(TextData!B:B,MATCH(A129,TextData!A:A))</f>
        <v>バーニングカウンター</v>
      </c>
      <c r="C129">
        <v>7010</v>
      </c>
      <c r="D129" t="str">
        <f>INDEX(Define!V:V,MATCH(C129,Define!U:U))</f>
        <v>神化発動前</v>
      </c>
      <c r="E129">
        <v>11</v>
      </c>
      <c r="F129">
        <v>0</v>
      </c>
      <c r="G129">
        <v>0</v>
      </c>
      <c r="H129">
        <v>1</v>
      </c>
    </row>
    <row r="130" ht="12" customHeight="1" spans="1:8">
      <c r="A130">
        <v>100910</v>
      </c>
      <c r="B130" t="str">
        <f>INDEX(TextData!B:B,MATCH(A130,TextData!A:A))</f>
        <v>バーニングカウンター</v>
      </c>
      <c r="C130">
        <v>12041</v>
      </c>
      <c r="D130" t="str">
        <f>INDEX(Define!V:V,MATCH(C130,Define!U:U))</f>
        <v>攻撃を受けた対象が戦闘不能になった</v>
      </c>
      <c r="E130">
        <v>11</v>
      </c>
      <c r="F130">
        <v>0</v>
      </c>
      <c r="G130">
        <v>0</v>
      </c>
      <c r="H130">
        <v>0</v>
      </c>
    </row>
    <row r="131" spans="1:8">
      <c r="A131">
        <v>101010</v>
      </c>
      <c r="B131" t="str">
        <f>INDEX(TextData!B:B,MATCH(A131,TextData!A:A))</f>
        <v>エウロス</v>
      </c>
      <c r="C131">
        <v>7010</v>
      </c>
      <c r="D131" t="str">
        <f>INDEX(Define!V:V,MATCH(C131,Define!U:U))</f>
        <v>神化発動前</v>
      </c>
      <c r="E131">
        <v>61</v>
      </c>
      <c r="F131">
        <v>0</v>
      </c>
      <c r="G131">
        <v>0</v>
      </c>
      <c r="H131">
        <v>1</v>
      </c>
    </row>
    <row r="132" ht="12" customHeight="1" spans="1:8">
      <c r="A132">
        <v>101010</v>
      </c>
      <c r="B132" t="str">
        <f>INDEX(TextData!B:B,MATCH(A132,TextData!A:A))</f>
        <v>エウロス</v>
      </c>
      <c r="C132">
        <v>12063</v>
      </c>
      <c r="D132" t="str">
        <f>INDEX(Define!V:V,MATCH(C132,Define!U:U))</f>
        <v>自身が状態異常を受ける</v>
      </c>
      <c r="E132">
        <v>61</v>
      </c>
      <c r="F132">
        <v>0</v>
      </c>
      <c r="G132">
        <v>0</v>
      </c>
      <c r="H132">
        <v>0</v>
      </c>
    </row>
    <row r="133" spans="1:8">
      <c r="A133">
        <v>101110</v>
      </c>
      <c r="B133" t="str">
        <f>INDEX(TextData!B:B,MATCH(A133,TextData!A:A))</f>
        <v>アバランシュ</v>
      </c>
      <c r="C133">
        <v>7010</v>
      </c>
      <c r="D133" t="str">
        <f>INDEX(Define!V:V,MATCH(C133,Define!U:U))</f>
        <v>神化発動前</v>
      </c>
      <c r="E133">
        <v>61</v>
      </c>
      <c r="F133">
        <v>0</v>
      </c>
      <c r="G133">
        <v>0</v>
      </c>
      <c r="H133">
        <v>1</v>
      </c>
    </row>
    <row r="134" ht="12" customHeight="1" spans="1:8">
      <c r="A134">
        <v>101110</v>
      </c>
      <c r="B134" t="str">
        <f>INDEX(TextData!B:B,MATCH(A134,TextData!A:A))</f>
        <v>アバランシュ</v>
      </c>
      <c r="C134">
        <v>20071</v>
      </c>
      <c r="D134" t="str">
        <f>INDEX(Define!V:V,MATCH(C134,Define!U:U))</f>
        <v>敵全員が凍結状態</v>
      </c>
      <c r="E134">
        <v>61</v>
      </c>
      <c r="F134">
        <v>0</v>
      </c>
      <c r="G134">
        <v>0</v>
      </c>
      <c r="H134">
        <v>0</v>
      </c>
    </row>
    <row r="135" spans="1:8">
      <c r="A135">
        <v>110110</v>
      </c>
      <c r="B135" t="str">
        <f>INDEX(TextData!B:B,MATCH(A135,TextData!A:A))</f>
        <v>ウィビングヒストリー</v>
      </c>
      <c r="C135">
        <v>7010</v>
      </c>
      <c r="D135" t="str">
        <f>INDEX(Define!V:V,MATCH(C135,Define!U:U))</f>
        <v>神化発動前</v>
      </c>
      <c r="E135">
        <v>31</v>
      </c>
      <c r="F135">
        <v>0</v>
      </c>
      <c r="G135">
        <v>0</v>
      </c>
      <c r="H135">
        <v>1</v>
      </c>
    </row>
    <row r="136" spans="1:8">
      <c r="A136">
        <v>110110</v>
      </c>
      <c r="B136" t="str">
        <f>INDEX(TextData!B:B,MATCH(A136,TextData!A:A))</f>
        <v>ウィビングヒストリー</v>
      </c>
      <c r="C136">
        <v>20160</v>
      </c>
      <c r="D136" t="str">
        <f>INDEX(Define!V:V,MATCH(C136,Define!U:U))</f>
        <v>自身が戦闘不能になる攻撃を受ける</v>
      </c>
      <c r="E136">
        <v>31</v>
      </c>
      <c r="F136">
        <v>0</v>
      </c>
      <c r="G136">
        <v>0</v>
      </c>
      <c r="H136">
        <v>0</v>
      </c>
    </row>
    <row r="137" spans="1:8">
      <c r="A137">
        <v>110210</v>
      </c>
      <c r="B137" t="str">
        <f>INDEX(TextData!B:B,MATCH(A137,TextData!A:A))</f>
        <v>リベリオンスピリッツ</v>
      </c>
      <c r="C137">
        <v>7010</v>
      </c>
      <c r="D137" t="str">
        <f>INDEX(Define!V:V,MATCH(C137,Define!U:U))</f>
        <v>神化発動前</v>
      </c>
      <c r="E137">
        <v>31</v>
      </c>
      <c r="F137">
        <v>0</v>
      </c>
      <c r="G137">
        <v>0</v>
      </c>
      <c r="H137">
        <v>1</v>
      </c>
    </row>
    <row r="138" spans="1:8">
      <c r="A138">
        <v>110210</v>
      </c>
      <c r="B138" t="str">
        <f>INDEX(TextData!B:B,MATCH(A138,TextData!A:A))</f>
        <v>リベリオンスピリッツ</v>
      </c>
      <c r="C138">
        <v>20050</v>
      </c>
      <c r="D138" t="str">
        <f>INDEX(Define!V:V,MATCH(C138,Define!U:U))</f>
        <v>自身が戦闘不能になる</v>
      </c>
      <c r="E138">
        <v>31</v>
      </c>
      <c r="F138">
        <v>0</v>
      </c>
      <c r="G138">
        <v>0</v>
      </c>
      <c r="H138">
        <v>0</v>
      </c>
    </row>
    <row r="139" spans="1:8">
      <c r="A139">
        <v>200110</v>
      </c>
      <c r="B139" t="str">
        <f>INDEX(TextData!B:B,MATCH(A139,TextData!A:A))</f>
        <v>ティアーズスクリプト</v>
      </c>
      <c r="C139">
        <v>7010</v>
      </c>
      <c r="D139" t="str">
        <f>INDEX(Define!V:V,MATCH(C139,Define!U:U))</f>
        <v>神化発動前</v>
      </c>
      <c r="E139">
        <v>61</v>
      </c>
      <c r="F139">
        <v>0</v>
      </c>
      <c r="G139">
        <v>0</v>
      </c>
      <c r="H139">
        <v>1</v>
      </c>
    </row>
    <row r="140" spans="1:8">
      <c r="A140">
        <v>200110</v>
      </c>
      <c r="B140" t="str">
        <f>INDEX(TextData!B:B,MATCH(A140,TextData!A:A))</f>
        <v>ティアーズスクリプト</v>
      </c>
      <c r="C140">
        <v>17021</v>
      </c>
      <c r="D140" t="str">
        <f>INDEX(Define!V:V,MATCH(C140,Define!U:U))</f>
        <v>攻撃を〇回成功する</v>
      </c>
      <c r="E140">
        <v>61</v>
      </c>
      <c r="F140">
        <v>3</v>
      </c>
      <c r="G140">
        <v>0</v>
      </c>
      <c r="H140">
        <v>0</v>
      </c>
    </row>
    <row r="141" spans="1:8">
      <c r="A141">
        <v>200210</v>
      </c>
      <c r="B141" t="str">
        <f>INDEX(TextData!B:B,MATCH(A141,TextData!A:A))</f>
        <v>インフェルノ</v>
      </c>
      <c r="C141">
        <v>7010</v>
      </c>
      <c r="D141" t="str">
        <f>INDEX(Define!V:V,MATCH(C141,Define!U:U))</f>
        <v>神化発動前</v>
      </c>
      <c r="E141">
        <v>61</v>
      </c>
      <c r="F141">
        <v>0</v>
      </c>
      <c r="G141">
        <v>0</v>
      </c>
      <c r="H141">
        <v>1</v>
      </c>
    </row>
    <row r="142" spans="1:8">
      <c r="A142">
        <v>200210</v>
      </c>
      <c r="B142" t="str">
        <f>INDEX(TextData!B:B,MATCH(A142,TextData!A:A))</f>
        <v>インフェルノ</v>
      </c>
      <c r="C142">
        <v>1010</v>
      </c>
      <c r="D142" t="str">
        <f>INDEX(Define!V:V,MATCH(C142,Define!U:U))</f>
        <v>自身のHpが〇%以下</v>
      </c>
      <c r="E142">
        <v>61</v>
      </c>
      <c r="F142">
        <v>50</v>
      </c>
      <c r="G142">
        <v>0</v>
      </c>
      <c r="H142">
        <v>0</v>
      </c>
    </row>
    <row r="143" spans="1:8">
      <c r="A143">
        <v>200230</v>
      </c>
      <c r="B143" t="str">
        <f>INDEX(TextData!B:B,MATCH(A143,TextData!A:A))</f>
        <v>悪魔(ベリト)</v>
      </c>
      <c r="C143">
        <v>1010</v>
      </c>
      <c r="D143" t="str">
        <f>INDEX(Define!V:V,MATCH(C143,Define!U:U))</f>
        <v>自身のHpが〇%以下</v>
      </c>
      <c r="E143">
        <v>61</v>
      </c>
      <c r="F143">
        <v>25</v>
      </c>
      <c r="G143">
        <v>0</v>
      </c>
      <c r="H143">
        <v>0</v>
      </c>
    </row>
    <row r="144" spans="1:8">
      <c r="A144">
        <v>200310</v>
      </c>
      <c r="B144" t="str">
        <f>INDEX(TextData!B:B,MATCH(A144,TextData!A:A))</f>
        <v>ハードウォール</v>
      </c>
      <c r="C144">
        <v>7010</v>
      </c>
      <c r="D144" t="str">
        <f>INDEX(Define!V:V,MATCH(C144,Define!U:U))</f>
        <v>神化発動前</v>
      </c>
      <c r="E144">
        <v>61</v>
      </c>
      <c r="F144">
        <v>0</v>
      </c>
      <c r="G144">
        <v>0</v>
      </c>
      <c r="H144">
        <v>1</v>
      </c>
    </row>
    <row r="145" spans="1:8">
      <c r="A145">
        <v>200310</v>
      </c>
      <c r="B145" t="str">
        <f>INDEX(TextData!B:B,MATCH(A145,TextData!A:A))</f>
        <v>ハードウォール</v>
      </c>
      <c r="C145">
        <v>12060</v>
      </c>
      <c r="D145" t="str">
        <f>INDEX(Define!V:V,MATCH(C145,Define!U:U))</f>
        <v>味方が攻撃を受ける。Param2で対象指定</v>
      </c>
      <c r="E145">
        <v>31</v>
      </c>
      <c r="F145">
        <v>0</v>
      </c>
      <c r="G145">
        <v>4</v>
      </c>
      <c r="H145">
        <v>0</v>
      </c>
    </row>
    <row r="146" spans="1:8">
      <c r="A146">
        <v>200320</v>
      </c>
      <c r="B146" t="str">
        <f>INDEX(TextData!B:B,MATCH(A146,TextData!A:A))</f>
        <v>リファクター</v>
      </c>
      <c r="C146">
        <v>1010</v>
      </c>
      <c r="D146" t="str">
        <f>INDEX(Define!V:V,MATCH(C146,Define!U:U))</f>
        <v>自身のHpが〇%以下</v>
      </c>
      <c r="E146">
        <v>61</v>
      </c>
      <c r="F146">
        <v>50</v>
      </c>
      <c r="G146">
        <v>0</v>
      </c>
      <c r="H146">
        <v>0</v>
      </c>
    </row>
    <row r="147" spans="1:8">
      <c r="A147">
        <v>200330</v>
      </c>
      <c r="B147" t="str">
        <f>INDEX(TextData!B:B,MATCH(A147,TextData!A:A))</f>
        <v>悪魔(アモン)</v>
      </c>
      <c r="C147">
        <v>1010</v>
      </c>
      <c r="D147" t="str">
        <f>INDEX(Define!V:V,MATCH(C147,Define!U:U))</f>
        <v>自身のHpが〇%以下</v>
      </c>
      <c r="E147">
        <v>61</v>
      </c>
      <c r="F147">
        <v>25</v>
      </c>
      <c r="G147">
        <v>0</v>
      </c>
      <c r="H147">
        <v>0</v>
      </c>
    </row>
    <row r="148" spans="1:8">
      <c r="A148">
        <v>200410</v>
      </c>
      <c r="B148" t="str">
        <f>INDEX(TextData!B:B,MATCH(A148,TextData!A:A))</f>
        <v>コウソクテンショウ</v>
      </c>
      <c r="C148">
        <v>7010</v>
      </c>
      <c r="D148" t="str">
        <f>INDEX(Define!V:V,MATCH(C148,Define!U:U))</f>
        <v>神化発動前</v>
      </c>
      <c r="E148">
        <v>61</v>
      </c>
      <c r="F148">
        <v>0</v>
      </c>
      <c r="G148">
        <v>0</v>
      </c>
      <c r="H148">
        <v>1</v>
      </c>
    </row>
    <row r="149" spans="1:8">
      <c r="A149">
        <v>200410</v>
      </c>
      <c r="B149" t="str">
        <f>INDEX(TextData!B:B,MATCH(A149,TextData!A:A))</f>
        <v>コウソクテンショウ</v>
      </c>
      <c r="C149">
        <v>1010</v>
      </c>
      <c r="D149" t="str">
        <f>INDEX(Define!V:V,MATCH(C149,Define!U:U))</f>
        <v>自身のHpが〇%以下</v>
      </c>
      <c r="E149">
        <v>61</v>
      </c>
      <c r="F149">
        <v>40</v>
      </c>
      <c r="G149">
        <v>0</v>
      </c>
      <c r="H149">
        <v>0</v>
      </c>
    </row>
    <row r="150" spans="1:8">
      <c r="A150">
        <v>200430</v>
      </c>
      <c r="B150" t="str">
        <f>INDEX(TextData!B:B,MATCH(A150,TextData!A:A))</f>
        <v>悪魔(アンドラス)</v>
      </c>
      <c r="C150">
        <v>0</v>
      </c>
      <c r="D150" t="str">
        <f>INDEX(Define!V:V,MATCH(C150,Define!U:U))</f>
        <v>なし</v>
      </c>
      <c r="E150">
        <v>1</v>
      </c>
      <c r="F150">
        <v>0</v>
      </c>
      <c r="G150">
        <v>0</v>
      </c>
      <c r="H150">
        <v>0</v>
      </c>
    </row>
    <row r="151" spans="1:8">
      <c r="A151">
        <v>200510</v>
      </c>
      <c r="B151" t="str">
        <f>INDEX(TextData!B:B,MATCH(A151,TextData!A:A))</f>
        <v>カウントダウン</v>
      </c>
      <c r="C151">
        <v>7010</v>
      </c>
      <c r="D151" t="str">
        <f>INDEX(Define!V:V,MATCH(C151,Define!U:U))</f>
        <v>神化発動前</v>
      </c>
      <c r="E151">
        <v>61</v>
      </c>
      <c r="F151">
        <v>0</v>
      </c>
      <c r="G151">
        <v>0</v>
      </c>
      <c r="H151">
        <v>1</v>
      </c>
    </row>
    <row r="152" spans="1:8">
      <c r="A152">
        <v>200510</v>
      </c>
      <c r="B152" t="str">
        <f>INDEX(TextData!B:B,MATCH(A152,TextData!A:A))</f>
        <v>カウントダウン</v>
      </c>
      <c r="C152">
        <v>9040</v>
      </c>
      <c r="D152" t="str">
        <f>INDEX(Define!V:V,MATCH(C152,Define!U:U))</f>
        <v>全体の行動数がparam1 x 行動数 + param2</v>
      </c>
      <c r="E152">
        <v>61</v>
      </c>
      <c r="F152">
        <v>0</v>
      </c>
      <c r="G152">
        <v>100</v>
      </c>
      <c r="H152">
        <v>0</v>
      </c>
    </row>
    <row r="153" spans="1:8">
      <c r="A153">
        <v>200530</v>
      </c>
      <c r="B153" t="str">
        <f>INDEX(TextData!B:B,MATCH(A153,TextData!A:A))</f>
        <v>悪魔(ビフロンス)</v>
      </c>
      <c r="C153">
        <v>1010</v>
      </c>
      <c r="D153" t="str">
        <f>INDEX(Define!V:V,MATCH(C153,Define!U:U))</f>
        <v>自身のHpが〇%以下</v>
      </c>
      <c r="E153">
        <v>61</v>
      </c>
      <c r="F153">
        <v>50</v>
      </c>
      <c r="G153">
        <v>0</v>
      </c>
      <c r="H153">
        <v>0</v>
      </c>
    </row>
    <row r="154" spans="1:8">
      <c r="A154">
        <v>201010</v>
      </c>
      <c r="B154" t="str">
        <f>INDEX(TextData!B:B,MATCH(A154,TextData!A:A))</f>
        <v>カオスペイン</v>
      </c>
      <c r="C154">
        <v>7010</v>
      </c>
      <c r="D154" t="str">
        <f>INDEX(Define!V:V,MATCH(C154,Define!U:U))</f>
        <v>神化発動前</v>
      </c>
      <c r="E154">
        <v>61</v>
      </c>
      <c r="F154">
        <v>0</v>
      </c>
      <c r="G154">
        <v>0</v>
      </c>
      <c r="H154">
        <v>1</v>
      </c>
    </row>
    <row r="155" spans="1:8">
      <c r="A155">
        <v>201010</v>
      </c>
      <c r="B155" t="str">
        <f>INDEX(TextData!B:B,MATCH(A155,TextData!A:A))</f>
        <v>カオスペイン</v>
      </c>
      <c r="C155">
        <v>1010</v>
      </c>
      <c r="D155" t="str">
        <f>INDEX(Define!V:V,MATCH(C155,Define!U:U))</f>
        <v>自身のHpが〇%以下</v>
      </c>
      <c r="E155">
        <v>61</v>
      </c>
      <c r="F155">
        <v>25</v>
      </c>
      <c r="G155">
        <v>0</v>
      </c>
      <c r="H155">
        <v>0</v>
      </c>
    </row>
    <row r="156" spans="1:8">
      <c r="A156">
        <v>201030</v>
      </c>
      <c r="B156" t="str">
        <f>INDEX(TextData!B:B,MATCH(A156,TextData!A:A))</f>
        <v>アンリマユ</v>
      </c>
      <c r="C156">
        <v>0</v>
      </c>
      <c r="D156" t="str">
        <f>INDEX(Define!V:V,MATCH(C156,Define!U:U))</f>
        <v>なし</v>
      </c>
      <c r="E156">
        <v>1</v>
      </c>
      <c r="F156">
        <v>0</v>
      </c>
      <c r="G156">
        <v>0</v>
      </c>
      <c r="H156">
        <v>0</v>
      </c>
    </row>
    <row r="157" spans="1:8">
      <c r="A157">
        <v>209310</v>
      </c>
      <c r="B157" t="str">
        <f>INDEX(TextData!B:B,MATCH(A157,TextData!A:A))</f>
        <v>プルガシオン</v>
      </c>
      <c r="C157">
        <v>7010</v>
      </c>
      <c r="D157" t="str">
        <f>INDEX(Define!V:V,MATCH(C157,Define!U:U))</f>
        <v>神化発動前</v>
      </c>
      <c r="E157">
        <v>61</v>
      </c>
      <c r="F157">
        <v>0</v>
      </c>
      <c r="G157">
        <v>0</v>
      </c>
      <c r="H157">
        <v>1</v>
      </c>
    </row>
    <row r="158" spans="1:8">
      <c r="A158">
        <v>209310</v>
      </c>
      <c r="B158" t="str">
        <f>INDEX(TextData!B:B,MATCH(A158,TextData!A:A))</f>
        <v>プルガシオン</v>
      </c>
      <c r="C158">
        <v>1010</v>
      </c>
      <c r="D158" t="str">
        <f>INDEX(Define!V:V,MATCH(C158,Define!U:U))</f>
        <v>自身のHpが〇%以下</v>
      </c>
      <c r="E158">
        <v>61</v>
      </c>
      <c r="F158">
        <v>50</v>
      </c>
      <c r="G158">
        <v>0</v>
      </c>
      <c r="H158">
        <v>0</v>
      </c>
    </row>
    <row r="159" spans="1:8">
      <c r="A159">
        <v>209330</v>
      </c>
      <c r="B159" t="str">
        <f>INDEX(TextData!B:B,MATCH(A159,TextData!A:A))</f>
        <v>悪魔(パイモン)</v>
      </c>
      <c r="C159">
        <v>0</v>
      </c>
      <c r="D159" t="str">
        <f>INDEX(Define!V:V,MATCH(C159,Define!U:U))</f>
        <v>なし</v>
      </c>
      <c r="E159">
        <v>1</v>
      </c>
      <c r="F159">
        <v>0</v>
      </c>
      <c r="G159">
        <v>0</v>
      </c>
      <c r="H159">
        <v>0</v>
      </c>
    </row>
    <row r="160" spans="1:8">
      <c r="A160">
        <v>300010</v>
      </c>
      <c r="B160" t="str">
        <f>INDEX(TextData!B:B,MATCH(A160,TextData!A:A))</f>
        <v>ライフブースト</v>
      </c>
      <c r="C160">
        <v>0</v>
      </c>
      <c r="D160" t="str">
        <f>INDEX(Define!V:V,MATCH(C160,Define!U:U))</f>
        <v>なし</v>
      </c>
      <c r="E160">
        <v>1</v>
      </c>
      <c r="F160">
        <v>0</v>
      </c>
      <c r="G160">
        <v>0</v>
      </c>
      <c r="H160">
        <v>0</v>
      </c>
    </row>
    <row r="161" spans="1:8">
      <c r="A161">
        <v>300020</v>
      </c>
      <c r="B161" t="str">
        <f>INDEX(TextData!B:B,MATCH(A161,TextData!A:A))</f>
        <v>スピリットチャージ</v>
      </c>
      <c r="C161">
        <v>0</v>
      </c>
      <c r="D161" t="str">
        <f>INDEX(Define!V:V,MATCH(C161,Define!U:U))</f>
        <v>なし</v>
      </c>
      <c r="E161">
        <v>1</v>
      </c>
      <c r="F161">
        <v>0</v>
      </c>
      <c r="G161">
        <v>0</v>
      </c>
      <c r="H161">
        <v>0</v>
      </c>
    </row>
    <row r="162" spans="1:8">
      <c r="A162">
        <v>300030</v>
      </c>
      <c r="B162" t="str">
        <f>INDEX(TextData!B:B,MATCH(A162,TextData!A:A))</f>
        <v>フォースライズ</v>
      </c>
      <c r="C162">
        <v>0</v>
      </c>
      <c r="D162" t="str">
        <f>INDEX(Define!V:V,MATCH(C162,Define!U:U))</f>
        <v>なし</v>
      </c>
      <c r="E162">
        <v>1</v>
      </c>
      <c r="F162">
        <v>0</v>
      </c>
      <c r="G162">
        <v>0</v>
      </c>
      <c r="H162">
        <v>0</v>
      </c>
    </row>
    <row r="163" spans="1:8">
      <c r="A163">
        <v>300040</v>
      </c>
      <c r="B163" t="str">
        <f>INDEX(TextData!B:B,MATCH(A163,TextData!A:A))</f>
        <v>ディフェンスオーラ</v>
      </c>
      <c r="C163">
        <v>0</v>
      </c>
      <c r="D163" t="str">
        <f>INDEX(Define!V:V,MATCH(C163,Define!U:U))</f>
        <v>なし</v>
      </c>
      <c r="E163">
        <v>1</v>
      </c>
      <c r="F163">
        <v>0</v>
      </c>
      <c r="G163">
        <v>0</v>
      </c>
      <c r="H163">
        <v>0</v>
      </c>
    </row>
    <row r="164" spans="1:8">
      <c r="A164">
        <v>300050</v>
      </c>
      <c r="B164" t="str">
        <f>INDEX(TextData!B:B,MATCH(A164,TextData!A:A))</f>
        <v>ラピッドムーブ</v>
      </c>
      <c r="C164">
        <v>0</v>
      </c>
      <c r="D164" t="str">
        <f>INDEX(Define!V:V,MATCH(C164,Define!U:U))</f>
        <v>なし</v>
      </c>
      <c r="E164">
        <v>1</v>
      </c>
      <c r="F164">
        <v>0</v>
      </c>
      <c r="G164">
        <v>0</v>
      </c>
      <c r="H164">
        <v>0</v>
      </c>
    </row>
    <row r="165" spans="1:8">
      <c r="A165">
        <v>300130</v>
      </c>
      <c r="B165" t="str">
        <f>INDEX(TextData!B:B,MATCH(A165,TextData!A:A))</f>
        <v>アタックブレイク</v>
      </c>
      <c r="C165">
        <v>0</v>
      </c>
      <c r="D165" t="str">
        <f>INDEX(Define!V:V,MATCH(C165,Define!U:U))</f>
        <v>なし</v>
      </c>
      <c r="E165">
        <v>1</v>
      </c>
      <c r="F165">
        <v>0</v>
      </c>
      <c r="G165">
        <v>0</v>
      </c>
      <c r="H165">
        <v>0</v>
      </c>
    </row>
    <row r="166" spans="1:8">
      <c r="A166">
        <v>300140</v>
      </c>
      <c r="B166" t="str">
        <f>INDEX(TextData!B:B,MATCH(A166,TextData!A:A))</f>
        <v>シールドバニッシュ</v>
      </c>
      <c r="C166">
        <v>0</v>
      </c>
      <c r="D166" t="str">
        <f>INDEX(Define!V:V,MATCH(C166,Define!U:U))</f>
        <v>なし</v>
      </c>
      <c r="E166">
        <v>1</v>
      </c>
      <c r="F166">
        <v>0</v>
      </c>
      <c r="G166">
        <v>0</v>
      </c>
      <c r="H166">
        <v>0</v>
      </c>
    </row>
    <row r="167" spans="1:8">
      <c r="A167">
        <v>300210</v>
      </c>
      <c r="B167" t="str">
        <f>INDEX(TextData!B:B,MATCH(A167,TextData!A:A))</f>
        <v>エーテルリチャージ</v>
      </c>
      <c r="C167">
        <v>0</v>
      </c>
      <c r="D167" t="str">
        <f>INDEX(Define!V:V,MATCH(C167,Define!U:U))</f>
        <v>なし</v>
      </c>
      <c r="E167">
        <v>61</v>
      </c>
      <c r="F167">
        <v>0</v>
      </c>
      <c r="G167">
        <v>0</v>
      </c>
      <c r="H167">
        <v>0</v>
      </c>
    </row>
    <row r="168" spans="1:8">
      <c r="A168">
        <v>300220</v>
      </c>
      <c r="B168" t="str">
        <f>INDEX(TextData!B:B,MATCH(A168,TextData!A:A))</f>
        <v>リカバリーエンハンス</v>
      </c>
      <c r="C168">
        <v>0</v>
      </c>
      <c r="D168" t="str">
        <f>INDEX(Define!V:V,MATCH(C168,Define!U:U))</f>
        <v>なし</v>
      </c>
      <c r="E168">
        <v>1</v>
      </c>
      <c r="F168">
        <v>0</v>
      </c>
      <c r="G168">
        <v>0</v>
      </c>
      <c r="H168">
        <v>0</v>
      </c>
    </row>
    <row r="169" spans="1:8">
      <c r="A169">
        <v>300230</v>
      </c>
      <c r="B169" t="str">
        <f>INDEX(TextData!B:B,MATCH(A169,TextData!A:A))</f>
        <v>ヴェンジェンス</v>
      </c>
      <c r="C169">
        <v>0</v>
      </c>
      <c r="D169" t="str">
        <f>INDEX(Define!V:V,MATCH(C169,Define!U:U))</f>
        <v>なし</v>
      </c>
      <c r="E169">
        <v>1</v>
      </c>
      <c r="F169">
        <v>0</v>
      </c>
      <c r="G169">
        <v>0</v>
      </c>
      <c r="H169">
        <v>0</v>
      </c>
    </row>
    <row r="170" spans="1:8">
      <c r="A170">
        <v>301010</v>
      </c>
      <c r="B170" t="str">
        <f>INDEX(TextData!B:B,MATCH(A170,TextData!A:A))</f>
        <v>ディケイドリセット</v>
      </c>
      <c r="C170">
        <v>0</v>
      </c>
      <c r="D170" t="str">
        <f>INDEX(Define!V:V,MATCH(C170,Define!U:U))</f>
        <v>なし</v>
      </c>
      <c r="E170">
        <v>61</v>
      </c>
      <c r="F170">
        <v>0</v>
      </c>
      <c r="G170">
        <v>0</v>
      </c>
      <c r="H170">
        <v>0</v>
      </c>
    </row>
    <row r="171" spans="1:8">
      <c r="A171">
        <v>301020</v>
      </c>
      <c r="B171" t="str">
        <f>INDEX(TextData!B:B,MATCH(A171,TextData!A:A))</f>
        <v>ウォーリアーブラッド</v>
      </c>
      <c r="C171">
        <v>0</v>
      </c>
      <c r="D171" t="str">
        <f>INDEX(Define!V:V,MATCH(C171,Define!U:U))</f>
        <v>なし</v>
      </c>
      <c r="E171">
        <v>61</v>
      </c>
      <c r="F171">
        <v>0</v>
      </c>
      <c r="G171">
        <v>0</v>
      </c>
      <c r="H171">
        <v>0</v>
      </c>
    </row>
    <row r="172" spans="1:8">
      <c r="A172">
        <v>301030</v>
      </c>
      <c r="B172" t="str">
        <f>INDEX(TextData!B:B,MATCH(A172,TextData!A:A))</f>
        <v>トライアングルガード</v>
      </c>
      <c r="C172">
        <v>0</v>
      </c>
      <c r="D172" t="str">
        <f>INDEX(Define!V:V,MATCH(C172,Define!U:U))</f>
        <v>なし</v>
      </c>
      <c r="E172">
        <v>61</v>
      </c>
      <c r="F172">
        <v>0</v>
      </c>
      <c r="G172">
        <v>0</v>
      </c>
      <c r="H172">
        <v>0</v>
      </c>
    </row>
    <row r="173" spans="1:8">
      <c r="A173">
        <v>301040</v>
      </c>
      <c r="B173" t="str">
        <f>INDEX(TextData!B:B,MATCH(A173,TextData!A:A))</f>
        <v>セーフティバリア</v>
      </c>
      <c r="C173">
        <v>0</v>
      </c>
      <c r="D173" t="str">
        <f>INDEX(Define!V:V,MATCH(C173,Define!U:U))</f>
        <v>なし</v>
      </c>
      <c r="E173">
        <v>61</v>
      </c>
      <c r="F173">
        <v>0</v>
      </c>
      <c r="G173">
        <v>0</v>
      </c>
      <c r="H173">
        <v>0</v>
      </c>
    </row>
    <row r="174" spans="1:8">
      <c r="A174">
        <v>301040</v>
      </c>
      <c r="B174" t="str">
        <f>INDEX(TextData!B:B,MATCH(A174,TextData!A:A))</f>
        <v>セーフティバリア</v>
      </c>
      <c r="C174">
        <v>11010</v>
      </c>
      <c r="D174" t="str">
        <f>INDEX(Define!V:V,MATCH(C174,Define!U:U))</f>
        <v>バトル中使用回数が〇以下</v>
      </c>
      <c r="E174">
        <v>61</v>
      </c>
      <c r="F174">
        <v>1</v>
      </c>
      <c r="G174">
        <v>0</v>
      </c>
      <c r="H174">
        <v>0</v>
      </c>
    </row>
    <row r="175" spans="1:8">
      <c r="A175">
        <v>301050</v>
      </c>
      <c r="B175" t="str">
        <f>INDEX(TextData!B:B,MATCH(A175,TextData!A:A))</f>
        <v>ヒロインズハイ</v>
      </c>
      <c r="C175">
        <v>13020</v>
      </c>
      <c r="D175" t="str">
        <f>INDEX(Define!V:V,MATCH(C175,Define!U:U))</f>
        <v>〇のKindを持っている敵</v>
      </c>
      <c r="E175">
        <v>1</v>
      </c>
      <c r="F175">
        <v>12</v>
      </c>
      <c r="G175">
        <v>0</v>
      </c>
      <c r="H175">
        <v>0</v>
      </c>
    </row>
    <row r="176" spans="1:8">
      <c r="A176">
        <v>301060</v>
      </c>
      <c r="B176" t="str">
        <f>INDEX(TextData!B:B,MATCH(A176,TextData!A:A))</f>
        <v>セカンドステージ</v>
      </c>
      <c r="C176">
        <v>0</v>
      </c>
      <c r="D176" t="str">
        <f>INDEX(Define!V:V,MATCH(C176,Define!U:U))</f>
        <v>なし</v>
      </c>
      <c r="E176">
        <v>11</v>
      </c>
      <c r="F176">
        <v>0</v>
      </c>
      <c r="G176">
        <v>0</v>
      </c>
      <c r="H176">
        <v>1</v>
      </c>
    </row>
    <row r="177" spans="1:8">
      <c r="A177">
        <v>301060</v>
      </c>
      <c r="B177" t="str">
        <f>INDEX(TextData!B:B,MATCH(A177,TextData!A:A))</f>
        <v>セカンドステージ</v>
      </c>
      <c r="C177">
        <v>11010</v>
      </c>
      <c r="D177" t="str">
        <f>INDEX(Define!V:V,MATCH(C177,Define!U:U))</f>
        <v>バトル中使用回数が〇以下</v>
      </c>
      <c r="E177">
        <v>11</v>
      </c>
      <c r="F177">
        <v>1</v>
      </c>
      <c r="G177">
        <v>0</v>
      </c>
      <c r="H177">
        <v>0</v>
      </c>
    </row>
    <row r="178" spans="1:8">
      <c r="A178">
        <v>301070</v>
      </c>
      <c r="B178" t="str">
        <f>INDEX(TextData!B:B,MATCH(A178,TextData!A:A))</f>
        <v>ハイヒットポイント</v>
      </c>
      <c r="C178">
        <v>0</v>
      </c>
      <c r="D178" t="str">
        <f>INDEX(Define!V:V,MATCH(C178,Define!U:U))</f>
        <v>なし</v>
      </c>
      <c r="E178">
        <v>1</v>
      </c>
      <c r="F178">
        <v>0</v>
      </c>
      <c r="G178">
        <v>0</v>
      </c>
      <c r="H178">
        <v>0</v>
      </c>
    </row>
    <row r="179" spans="1:8">
      <c r="A179">
        <v>301080</v>
      </c>
      <c r="B179" t="str">
        <f>INDEX(TextData!B:B,MATCH(A179,TextData!A:A))</f>
        <v>セプタブラスト</v>
      </c>
      <c r="C179">
        <v>12070</v>
      </c>
      <c r="D179" t="str">
        <f>INDEX(Define!V:V,MATCH(C179,Define!U:U))</f>
        <v>味方が行動をする</v>
      </c>
      <c r="E179">
        <v>61</v>
      </c>
      <c r="F179">
        <v>0</v>
      </c>
      <c r="G179">
        <v>0</v>
      </c>
      <c r="H179">
        <v>1</v>
      </c>
    </row>
    <row r="180" spans="1:8">
      <c r="A180">
        <v>301080</v>
      </c>
      <c r="B180" t="str">
        <f>INDEX(TextData!B:B,MATCH(A180,TextData!A:A))</f>
        <v>セプタブラスト</v>
      </c>
      <c r="C180">
        <v>9031</v>
      </c>
      <c r="D180" t="str">
        <f>INDEX(Define!V:V,MATCH(C180,Define!U:U))</f>
        <v>行動者のターン数がparam1 x ターン数 + param2</v>
      </c>
      <c r="E180">
        <v>61</v>
      </c>
      <c r="F180">
        <v>0</v>
      </c>
      <c r="G180">
        <v>7</v>
      </c>
      <c r="H180">
        <v>0</v>
      </c>
    </row>
    <row r="181" spans="1:8">
      <c r="A181">
        <v>301090</v>
      </c>
      <c r="B181" t="str">
        <f>INDEX(TextData!B:B,MATCH(A181,TextData!A:A))</f>
        <v>イニシャルブロッカー</v>
      </c>
      <c r="C181">
        <v>0</v>
      </c>
      <c r="D181" t="str">
        <f>INDEX(Define!V:V,MATCH(C181,Define!U:U))</f>
        <v>なし</v>
      </c>
      <c r="E181">
        <v>1</v>
      </c>
      <c r="F181">
        <v>0</v>
      </c>
      <c r="G181">
        <v>0</v>
      </c>
      <c r="H181">
        <v>0</v>
      </c>
    </row>
    <row r="182" spans="1:8">
      <c r="A182">
        <v>301100</v>
      </c>
      <c r="B182" t="str">
        <f>INDEX(TextData!B:B,MATCH(A182,TextData!A:A))</f>
        <v>ファーストテイク</v>
      </c>
      <c r="C182">
        <v>0</v>
      </c>
      <c r="D182" t="str">
        <f>INDEX(Define!V:V,MATCH(C182,Define!U:U))</f>
        <v>なし</v>
      </c>
      <c r="E182">
        <v>1</v>
      </c>
      <c r="F182">
        <v>0</v>
      </c>
      <c r="G182">
        <v>0</v>
      </c>
      <c r="H182">
        <v>0</v>
      </c>
    </row>
    <row r="183" spans="1:8">
      <c r="A183">
        <v>310010</v>
      </c>
      <c r="B183" t="str">
        <f>INDEX(TextData!B:B,MATCH(A183,TextData!A:A))</f>
        <v>妖精の祈り</v>
      </c>
      <c r="C183">
        <v>0</v>
      </c>
      <c r="D183" t="str">
        <f>INDEX(Define!V:V,MATCH(C183,Define!U:U))</f>
        <v>なし</v>
      </c>
      <c r="E183">
        <v>1</v>
      </c>
      <c r="F183">
        <v>0</v>
      </c>
      <c r="G183">
        <v>0</v>
      </c>
      <c r="H183">
        <v>0</v>
      </c>
    </row>
    <row r="184" spans="1:8">
      <c r="A184">
        <v>310020</v>
      </c>
      <c r="B184" t="str">
        <f>INDEX(TextData!B:B,MATCH(A184,TextData!A:A))</f>
        <v>月のかけら</v>
      </c>
      <c r="C184">
        <v>40020</v>
      </c>
      <c r="D184" t="str">
        <f>INDEX(Define!V:V,MATCH(C184,Define!U:U))</f>
        <v>ピリオド経過</v>
      </c>
      <c r="E184">
        <v>1</v>
      </c>
      <c r="F184">
        <v>0</v>
      </c>
      <c r="G184">
        <v>0</v>
      </c>
      <c r="H184">
        <v>0</v>
      </c>
    </row>
    <row r="185" spans="1:8">
      <c r="A185">
        <v>310030</v>
      </c>
      <c r="B185" t="str">
        <f>INDEX(TextData!B:B,MATCH(A185,TextData!A:A))</f>
        <v>商売の才覚書</v>
      </c>
      <c r="C185">
        <v>0</v>
      </c>
      <c r="D185" t="str">
        <f>INDEX(Define!V:V,MATCH(C185,Define!U:U))</f>
        <v>なし</v>
      </c>
      <c r="E185">
        <v>1</v>
      </c>
      <c r="F185">
        <v>0</v>
      </c>
      <c r="G185">
        <v>0</v>
      </c>
      <c r="H185">
        <v>0</v>
      </c>
    </row>
    <row r="186" spans="1:8">
      <c r="A186">
        <v>310040</v>
      </c>
      <c r="B186" t="str">
        <f>INDEX(TextData!B:B,MATCH(A186,TextData!A:A))</f>
        <v>レイピッドブースト</v>
      </c>
      <c r="C186">
        <v>0</v>
      </c>
      <c r="D186" t="str">
        <f>INDEX(Define!V:V,MATCH(C186,Define!U:U))</f>
        <v>なし</v>
      </c>
      <c r="E186">
        <v>1</v>
      </c>
      <c r="F186">
        <v>0</v>
      </c>
      <c r="G186">
        <v>0</v>
      </c>
      <c r="H186">
        <v>0</v>
      </c>
    </row>
    <row r="187" spans="1:8">
      <c r="A187">
        <v>310050</v>
      </c>
      <c r="B187" t="str">
        <f>INDEX(TextData!B:B,MATCH(A187,TextData!A:A))</f>
        <v>黄金の守護精霊</v>
      </c>
      <c r="C187">
        <v>40020</v>
      </c>
      <c r="D187" t="str">
        <f>INDEX(Define!V:V,MATCH(C187,Define!U:U))</f>
        <v>ピリオド経過</v>
      </c>
      <c r="E187">
        <v>1</v>
      </c>
      <c r="F187">
        <v>0</v>
      </c>
      <c r="G187">
        <v>0</v>
      </c>
      <c r="H187">
        <v>0</v>
      </c>
    </row>
    <row r="188" spans="1:8">
      <c r="A188">
        <v>310060</v>
      </c>
      <c r="B188" t="str">
        <f>INDEX(TextData!B:B,MATCH(A188,TextData!A:A))</f>
        <v>ヒスイの勾玉</v>
      </c>
      <c r="C188">
        <v>0</v>
      </c>
      <c r="D188" t="str">
        <f>INDEX(Define!V:V,MATCH(C188,Define!U:U))</f>
        <v>なし</v>
      </c>
      <c r="E188">
        <v>1</v>
      </c>
      <c r="F188">
        <v>0</v>
      </c>
      <c r="G188">
        <v>0</v>
      </c>
      <c r="H188">
        <v>0</v>
      </c>
    </row>
    <row r="189" spans="1:8">
      <c r="A189">
        <v>310070</v>
      </c>
      <c r="B189" t="str">
        <f>INDEX(TextData!B:B,MATCH(A189,TextData!A:A))</f>
        <v>英傑の盾</v>
      </c>
      <c r="C189">
        <v>0</v>
      </c>
      <c r="D189" t="str">
        <f>INDEX(Define!V:V,MATCH(C189,Define!U:U))</f>
        <v>なし</v>
      </c>
      <c r="E189">
        <v>1</v>
      </c>
      <c r="F189">
        <v>0</v>
      </c>
      <c r="G189">
        <v>0</v>
      </c>
      <c r="H189">
        <v>0</v>
      </c>
    </row>
    <row r="190" spans="1:8">
      <c r="A190">
        <v>310080</v>
      </c>
      <c r="B190" t="str">
        <f>INDEX(TextData!B:B,MATCH(A190,TextData!A:A))</f>
        <v>鷹の目</v>
      </c>
      <c r="C190">
        <v>0</v>
      </c>
      <c r="D190" t="str">
        <f>INDEX(Define!V:V,MATCH(C190,Define!U:U))</f>
        <v>なし</v>
      </c>
      <c r="E190">
        <v>1</v>
      </c>
      <c r="F190">
        <v>0</v>
      </c>
      <c r="G190">
        <v>0</v>
      </c>
      <c r="H190">
        <v>0</v>
      </c>
    </row>
    <row r="191" spans="1:8">
      <c r="A191">
        <v>310100</v>
      </c>
      <c r="B191" t="str">
        <f>INDEX(TextData!B:B,MATCH(A191,TextData!A:A))</f>
        <v>セブンズストーン</v>
      </c>
      <c r="C191">
        <v>12070</v>
      </c>
      <c r="D191" t="str">
        <f>INDEX(Define!V:V,MATCH(C191,Define!U:U))</f>
        <v>味方が行動をする</v>
      </c>
      <c r="E191">
        <v>61</v>
      </c>
      <c r="F191">
        <v>0</v>
      </c>
      <c r="G191">
        <v>0</v>
      </c>
      <c r="H191">
        <v>1</v>
      </c>
    </row>
    <row r="192" spans="1:8">
      <c r="A192">
        <v>310100</v>
      </c>
      <c r="B192" t="str">
        <f>INDEX(TextData!B:B,MATCH(A192,TextData!A:A))</f>
        <v>セブンズストーン</v>
      </c>
      <c r="C192">
        <v>9031</v>
      </c>
      <c r="D192" t="str">
        <f>INDEX(Define!V:V,MATCH(C192,Define!U:U))</f>
        <v>行動者のターン数がparam1 x ターン数 + param2</v>
      </c>
      <c r="E192">
        <v>61</v>
      </c>
      <c r="F192">
        <v>0</v>
      </c>
      <c r="G192">
        <v>7</v>
      </c>
      <c r="H192">
        <v>0</v>
      </c>
    </row>
    <row r="193" spans="1:8">
      <c r="A193">
        <v>310110</v>
      </c>
      <c r="B193" t="str">
        <f>INDEX(TextData!B:B,MATCH(A193,TextData!A:A))</f>
        <v>ファーストトリック</v>
      </c>
      <c r="C193">
        <v>0</v>
      </c>
      <c r="D193" t="str">
        <f>INDEX(Define!V:V,MATCH(C193,Define!U:U))</f>
        <v>なし</v>
      </c>
      <c r="E193">
        <v>1</v>
      </c>
      <c r="F193">
        <v>0</v>
      </c>
      <c r="G193">
        <v>0</v>
      </c>
      <c r="H193">
        <v>0</v>
      </c>
    </row>
    <row r="194" spans="1:8">
      <c r="A194">
        <v>310120</v>
      </c>
      <c r="B194" t="str">
        <f>INDEX(TextData!B:B,MATCH(A194,TextData!A:A))</f>
        <v>リカバリーエンハンス</v>
      </c>
      <c r="C194">
        <v>0</v>
      </c>
      <c r="D194" t="str">
        <f>INDEX(Define!V:V,MATCH(C194,Define!U:U))</f>
        <v>なし</v>
      </c>
      <c r="E194">
        <v>1</v>
      </c>
      <c r="F194">
        <v>0</v>
      </c>
      <c r="G194">
        <v>0</v>
      </c>
      <c r="H194">
        <v>0</v>
      </c>
    </row>
    <row r="195" spans="1:8">
      <c r="A195">
        <v>310130</v>
      </c>
      <c r="B195" t="str">
        <f>INDEX(TextData!B:B,MATCH(A195,TextData!A:A))</f>
        <v>ヒールユニット</v>
      </c>
      <c r="C195">
        <v>40010</v>
      </c>
      <c r="D195" t="str">
        <f>INDEX(Define!V:V,MATCH(C195,Define!U:U))</f>
        <v>ダンジョンで移動する param2%turncount == param1</v>
      </c>
      <c r="E195">
        <v>1</v>
      </c>
      <c r="F195">
        <v>0</v>
      </c>
      <c r="G195">
        <v>0</v>
      </c>
      <c r="H195">
        <v>0</v>
      </c>
    </row>
    <row r="196" spans="1:8">
      <c r="A196">
        <v>320010</v>
      </c>
      <c r="B196" t="str">
        <f>INDEX(TextData!B:B,MATCH(A196,TextData!A:A))</f>
        <v>訓練所Lv1</v>
      </c>
      <c r="C196">
        <v>40020</v>
      </c>
      <c r="D196" t="str">
        <f>INDEX(Define!V:V,MATCH(C196,Define!U:U))</f>
        <v>ピリオド経過</v>
      </c>
      <c r="E196">
        <v>1</v>
      </c>
      <c r="F196">
        <v>0</v>
      </c>
      <c r="G196">
        <v>0</v>
      </c>
      <c r="H196">
        <v>0</v>
      </c>
    </row>
    <row r="197" spans="1:8">
      <c r="A197">
        <v>320011</v>
      </c>
      <c r="B197" t="str">
        <f>INDEX(TextData!B:B,MATCH(A197,TextData!A:A))</f>
        <v>訓練所Lv2</v>
      </c>
      <c r="C197">
        <v>40020</v>
      </c>
      <c r="D197" t="str">
        <f>INDEX(Define!V:V,MATCH(C197,Define!U:U))</f>
        <v>ピリオド経過</v>
      </c>
      <c r="E197">
        <v>1</v>
      </c>
      <c r="F197">
        <v>0</v>
      </c>
      <c r="G197">
        <v>0</v>
      </c>
      <c r="H197">
        <v>0</v>
      </c>
    </row>
    <row r="198" spans="1:8">
      <c r="A198">
        <v>320012</v>
      </c>
      <c r="B198" t="str">
        <f>INDEX(TextData!B:B,MATCH(A198,TextData!A:A))</f>
        <v>訓練所Lv3</v>
      </c>
      <c r="C198">
        <v>40020</v>
      </c>
      <c r="D198" t="str">
        <f>INDEX(Define!V:V,MATCH(C198,Define!U:U))</f>
        <v>ピリオド経過</v>
      </c>
      <c r="E198">
        <v>1</v>
      </c>
      <c r="F198">
        <v>0</v>
      </c>
      <c r="G198">
        <v>0</v>
      </c>
      <c r="H198">
        <v>0</v>
      </c>
    </row>
    <row r="199" spans="1:8">
      <c r="A199">
        <v>320020</v>
      </c>
      <c r="B199" t="str">
        <f>INDEX(TextData!B:B,MATCH(A199,TextData!A:A))</f>
        <v>研究施設Lv1</v>
      </c>
      <c r="C199">
        <v>40020</v>
      </c>
      <c r="D199" t="str">
        <f>INDEX(Define!V:V,MATCH(C199,Define!U:U))</f>
        <v>ピリオド経過</v>
      </c>
      <c r="E199">
        <v>1</v>
      </c>
      <c r="F199">
        <v>0</v>
      </c>
      <c r="G199">
        <v>0</v>
      </c>
      <c r="H199">
        <v>0</v>
      </c>
    </row>
    <row r="200" spans="1:8">
      <c r="A200">
        <v>320021</v>
      </c>
      <c r="B200" t="str">
        <f>INDEX(TextData!B:B,MATCH(A200,TextData!A:A))</f>
        <v>研究施設Lv2</v>
      </c>
      <c r="C200">
        <v>40020</v>
      </c>
      <c r="D200" t="str">
        <f>INDEX(Define!V:V,MATCH(C200,Define!U:U))</f>
        <v>ピリオド経過</v>
      </c>
      <c r="E200">
        <v>1</v>
      </c>
      <c r="F200">
        <v>0</v>
      </c>
      <c r="G200">
        <v>0</v>
      </c>
      <c r="H200">
        <v>0</v>
      </c>
    </row>
    <row r="201" spans="1:8">
      <c r="A201">
        <v>320022</v>
      </c>
      <c r="B201" t="str">
        <f>INDEX(TextData!B:B,MATCH(A201,TextData!A:A))</f>
        <v>研究施設Lv3</v>
      </c>
      <c r="C201">
        <v>40020</v>
      </c>
      <c r="D201" t="str">
        <f>INDEX(Define!V:V,MATCH(C201,Define!U:U))</f>
        <v>ピリオド経過</v>
      </c>
      <c r="E201">
        <v>1</v>
      </c>
      <c r="F201">
        <v>0</v>
      </c>
      <c r="G201">
        <v>0</v>
      </c>
      <c r="H201">
        <v>0</v>
      </c>
    </row>
    <row r="202" spans="1:8">
      <c r="A202">
        <v>320030</v>
      </c>
      <c r="B202" t="str">
        <f>INDEX(TextData!B:B,MATCH(A202,TextData!A:A))</f>
        <v>資料館Lv1</v>
      </c>
      <c r="C202">
        <v>14420</v>
      </c>
      <c r="D202" t="str">
        <f>INDEX(Define!V:V,MATCH(C202,Define!U:U))</f>
        <v>Lvが〇以下</v>
      </c>
      <c r="E202">
        <v>1</v>
      </c>
      <c r="F202">
        <v>10</v>
      </c>
      <c r="G202">
        <v>0</v>
      </c>
      <c r="H202">
        <v>0</v>
      </c>
    </row>
    <row r="203" spans="1:8">
      <c r="A203">
        <v>320031</v>
      </c>
      <c r="B203" t="str">
        <f>INDEX(TextData!B:B,MATCH(A203,TextData!A:A))</f>
        <v>資料館Lv2</v>
      </c>
      <c r="C203">
        <v>14420</v>
      </c>
      <c r="D203" t="str">
        <f>INDEX(Define!V:V,MATCH(C203,Define!U:U))</f>
        <v>Lvが〇以下</v>
      </c>
      <c r="E203">
        <v>1</v>
      </c>
      <c r="F203">
        <v>15</v>
      </c>
      <c r="G203">
        <v>0</v>
      </c>
      <c r="H203">
        <v>0</v>
      </c>
    </row>
    <row r="204" spans="1:8">
      <c r="A204">
        <v>320032</v>
      </c>
      <c r="B204" t="str">
        <f>INDEX(TextData!B:B,MATCH(A204,TextData!A:A))</f>
        <v>資料館Lv3</v>
      </c>
      <c r="C204">
        <v>14420</v>
      </c>
      <c r="D204" t="str">
        <f>INDEX(Define!V:V,MATCH(C204,Define!U:U))</f>
        <v>Lvが〇以下</v>
      </c>
      <c r="E204">
        <v>1</v>
      </c>
      <c r="F204">
        <v>20</v>
      </c>
      <c r="G204">
        <v>0</v>
      </c>
      <c r="H204">
        <v>0</v>
      </c>
    </row>
    <row r="205" spans="1:8">
      <c r="A205">
        <v>320040</v>
      </c>
      <c r="B205" t="str">
        <f>INDEX(TextData!B:B,MATCH(A205,TextData!A:A))</f>
        <v>潜伏技術Lv1</v>
      </c>
      <c r="C205">
        <v>40030</v>
      </c>
      <c r="D205" t="str">
        <f>INDEX(Define!V:V,MATCH(C205,Define!U:U))</f>
        <v>ダンジョン開始時</v>
      </c>
      <c r="E205">
        <v>1</v>
      </c>
      <c r="F205">
        <v>0</v>
      </c>
      <c r="G205">
        <v>0</v>
      </c>
      <c r="H205">
        <v>0</v>
      </c>
    </row>
    <row r="206" spans="1:8">
      <c r="A206">
        <v>321010</v>
      </c>
      <c r="B206" t="str">
        <f>INDEX(TextData!B:B,MATCH(A206,TextData!A:A))</f>
        <v>炎の祭壇</v>
      </c>
      <c r="C206">
        <v>0</v>
      </c>
      <c r="D206" t="str">
        <f>INDEX(Define!V:V,MATCH(C206,Define!U:U))</f>
        <v>なし</v>
      </c>
      <c r="E206">
        <v>1</v>
      </c>
      <c r="F206">
        <v>0</v>
      </c>
      <c r="G206">
        <v>0</v>
      </c>
      <c r="H206">
        <v>0</v>
      </c>
    </row>
    <row r="207" spans="1:8">
      <c r="A207">
        <v>321020</v>
      </c>
      <c r="B207" t="str">
        <f>INDEX(TextData!B:B,MATCH(A207,TextData!A:A))</f>
        <v>稲妻の祭壇</v>
      </c>
      <c r="C207">
        <v>0</v>
      </c>
      <c r="D207" t="str">
        <f>INDEX(Define!V:V,MATCH(C207,Define!U:U))</f>
        <v>なし</v>
      </c>
      <c r="E207">
        <v>1</v>
      </c>
      <c r="F207">
        <v>0</v>
      </c>
      <c r="G207">
        <v>0</v>
      </c>
      <c r="H207">
        <v>0</v>
      </c>
    </row>
    <row r="208" spans="1:8">
      <c r="A208">
        <v>321030</v>
      </c>
      <c r="B208" t="str">
        <f>INDEX(TextData!B:B,MATCH(A208,TextData!A:A))</f>
        <v>蒼の祭壇</v>
      </c>
      <c r="C208">
        <v>0</v>
      </c>
      <c r="D208" t="str">
        <f>INDEX(Define!V:V,MATCH(C208,Define!U:U))</f>
        <v>なし</v>
      </c>
      <c r="E208">
        <v>1</v>
      </c>
      <c r="F208">
        <v>0</v>
      </c>
      <c r="G208">
        <v>0</v>
      </c>
      <c r="H208">
        <v>0</v>
      </c>
    </row>
    <row r="209" spans="1:8">
      <c r="A209">
        <v>321040</v>
      </c>
      <c r="B209" t="str">
        <f>INDEX(TextData!B:B,MATCH(A209,TextData!A:A))</f>
        <v>光の祭壇</v>
      </c>
      <c r="C209">
        <v>0</v>
      </c>
      <c r="D209" t="str">
        <f>INDEX(Define!V:V,MATCH(C209,Define!U:U))</f>
        <v>なし</v>
      </c>
      <c r="E209">
        <v>1</v>
      </c>
      <c r="F209">
        <v>0</v>
      </c>
      <c r="G209">
        <v>0</v>
      </c>
      <c r="H209">
        <v>0</v>
      </c>
    </row>
    <row r="210" spans="1:8">
      <c r="A210">
        <v>321050</v>
      </c>
      <c r="B210" t="str">
        <f>INDEX(TextData!B:B,MATCH(A210,TextData!A:A))</f>
        <v>月の祭壇</v>
      </c>
      <c r="C210">
        <v>0</v>
      </c>
      <c r="D210" t="str">
        <f>INDEX(Define!V:V,MATCH(C210,Define!U:U))</f>
        <v>なし</v>
      </c>
      <c r="E210">
        <v>1</v>
      </c>
      <c r="F210">
        <v>0</v>
      </c>
      <c r="G210">
        <v>0</v>
      </c>
      <c r="H210">
        <v>0</v>
      </c>
    </row>
    <row r="211" spans="1:8">
      <c r="A211">
        <v>322010</v>
      </c>
      <c r="B211" t="str">
        <f>INDEX(TextData!B:B,MATCH(A211,TextData!A:A))</f>
        <v>食糧庫Lv1</v>
      </c>
      <c r="C211">
        <v>0</v>
      </c>
      <c r="D211" t="str">
        <f>INDEX(Define!V:V,MATCH(C211,Define!U:U))</f>
        <v>なし</v>
      </c>
      <c r="E211">
        <v>1</v>
      </c>
      <c r="F211">
        <v>0</v>
      </c>
      <c r="G211">
        <v>0</v>
      </c>
      <c r="H211">
        <v>0</v>
      </c>
    </row>
    <row r="212" spans="1:8">
      <c r="A212">
        <v>322020</v>
      </c>
      <c r="B212" t="str">
        <f>INDEX(TextData!B:B,MATCH(A212,TextData!A:A))</f>
        <v>攻撃技術Lv1</v>
      </c>
      <c r="C212">
        <v>0</v>
      </c>
      <c r="D212" t="str">
        <f>INDEX(Define!V:V,MATCH(C212,Define!U:U))</f>
        <v>なし</v>
      </c>
      <c r="E212">
        <v>1</v>
      </c>
      <c r="F212">
        <v>0</v>
      </c>
      <c r="G212">
        <v>0</v>
      </c>
      <c r="H212">
        <v>0</v>
      </c>
    </row>
    <row r="213" spans="1:8">
      <c r="A213">
        <v>322030</v>
      </c>
      <c r="B213" t="str">
        <f>INDEX(TextData!B:B,MATCH(A213,TextData!A:A))</f>
        <v>防御技術Lv1</v>
      </c>
      <c r="C213">
        <v>0</v>
      </c>
      <c r="D213" t="str">
        <f>INDEX(Define!V:V,MATCH(C213,Define!U:U))</f>
        <v>なし</v>
      </c>
      <c r="E213">
        <v>1</v>
      </c>
      <c r="F213">
        <v>0</v>
      </c>
      <c r="G213">
        <v>0</v>
      </c>
      <c r="H213">
        <v>0</v>
      </c>
    </row>
    <row r="214" spans="1:8">
      <c r="A214">
        <v>322040</v>
      </c>
      <c r="B214" t="str">
        <f>INDEX(TextData!B:B,MATCH(A214,TextData!A:A))</f>
        <v>詠唱技術Lv1</v>
      </c>
      <c r="C214">
        <v>0</v>
      </c>
      <c r="D214" t="str">
        <f>INDEX(Define!V:V,MATCH(C214,Define!U:U))</f>
        <v>なし</v>
      </c>
      <c r="E214">
        <v>1</v>
      </c>
      <c r="F214">
        <v>0</v>
      </c>
      <c r="G214">
        <v>0</v>
      </c>
      <c r="H214">
        <v>0</v>
      </c>
    </row>
  </sheetData>
  <autoFilter ref="E1:E214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115" zoomScaleNormal="115" workbookViewId="0">
      <selection activeCell="A4" sqref="A4"/>
    </sheetView>
  </sheetViews>
  <sheetFormatPr defaultColWidth="8.72727272727273" defaultRowHeight="13" outlineLevelCol="7"/>
  <cols>
    <col min="2" max="2" width="18.5454545454545" customWidth="1"/>
    <col min="4" max="4" width="32.4545454545455" customWidth="1"/>
  </cols>
  <sheetData>
    <row r="1" spans="1:8">
      <c r="A1" t="s">
        <v>19</v>
      </c>
      <c r="B1" t="s">
        <v>4</v>
      </c>
      <c r="C1" t="s">
        <v>68</v>
      </c>
      <c r="D1" t="s">
        <v>4</v>
      </c>
      <c r="E1" t="s">
        <v>69</v>
      </c>
      <c r="F1" t="s">
        <v>21</v>
      </c>
      <c r="G1" t="s">
        <v>22</v>
      </c>
      <c r="H1" t="s">
        <v>23</v>
      </c>
    </row>
    <row r="2" spans="1:8">
      <c r="A2">
        <v>13102</v>
      </c>
      <c r="B2" t="str">
        <f>INDEX(TextData!B:B,MATCH(A2,TextData!A:A))</f>
        <v>アイスセイバー</v>
      </c>
      <c r="C2">
        <v>6030</v>
      </c>
      <c r="D2" t="str">
        <f>INDEX(Define!V:V,MATCH(C2,Define!U:U))</f>
        <v>StateId状態になっている味方</v>
      </c>
      <c r="E2">
        <v>2</v>
      </c>
      <c r="F2">
        <v>2430</v>
      </c>
      <c r="G2">
        <v>0</v>
      </c>
      <c r="H2">
        <v>0</v>
      </c>
    </row>
    <row r="3" spans="1:8">
      <c r="A3">
        <v>13950</v>
      </c>
      <c r="B3" t="str">
        <f>INDEX(TextData!B:B,MATCH(A3,TextData!A:A))</f>
        <v>パッシブジャミング</v>
      </c>
      <c r="C3">
        <v>18020</v>
      </c>
      <c r="D3" t="str">
        <f>INDEX(Define!V:V,MATCH(C3,Define!U:U))</f>
        <v>自分の敵である</v>
      </c>
      <c r="E3">
        <v>0</v>
      </c>
      <c r="F3">
        <v>0</v>
      </c>
      <c r="G3">
        <v>0</v>
      </c>
      <c r="H3">
        <v>0</v>
      </c>
    </row>
    <row r="4" spans="1:8">
      <c r="A4">
        <v>14060</v>
      </c>
      <c r="B4" t="str">
        <f>INDEX(TextData!B:B,MATCH(A4,TextData!A:A))</f>
        <v>パッシブサプライ</v>
      </c>
      <c r="C4">
        <v>18010</v>
      </c>
      <c r="D4" t="str">
        <f>INDEX(Define!V:V,MATCH(C4,Define!U:U))</f>
        <v>自分の味方である</v>
      </c>
      <c r="E4">
        <v>0</v>
      </c>
      <c r="F4">
        <v>0</v>
      </c>
      <c r="G4">
        <v>0</v>
      </c>
      <c r="H4">
        <v>0</v>
      </c>
    </row>
    <row r="5" spans="1:8">
      <c r="A5">
        <v>100610</v>
      </c>
      <c r="B5" t="str">
        <f>INDEX(TextData!B:B,MATCH(A5,TextData!A:A))</f>
        <v>サンフレイム</v>
      </c>
      <c r="C5">
        <v>7020</v>
      </c>
      <c r="D5" t="str">
        <f>INDEX(Define!V:V,MATCH(C5,Define!U:U))</f>
        <v>神化発動後</v>
      </c>
      <c r="E5">
        <v>0</v>
      </c>
      <c r="F5">
        <v>0</v>
      </c>
      <c r="G5">
        <v>0</v>
      </c>
      <c r="H5">
        <v>0</v>
      </c>
    </row>
    <row r="6" spans="1:8">
      <c r="A6">
        <v>300210</v>
      </c>
      <c r="B6" t="str">
        <f>INDEX(TextData!B:B,MATCH(A6,TextData!A:A))</f>
        <v>エーテルリチャージ</v>
      </c>
      <c r="C6">
        <v>9030</v>
      </c>
      <c r="D6" t="str">
        <f>INDEX(Define!V:V,MATCH(C6,Define!U:U))</f>
        <v>ターン数がparam1 x ターン数 + param2</v>
      </c>
      <c r="E6">
        <v>2</v>
      </c>
      <c r="F6">
        <v>3</v>
      </c>
      <c r="G6">
        <v>0</v>
      </c>
      <c r="H6">
        <v>1</v>
      </c>
    </row>
    <row r="7" spans="1:8">
      <c r="A7">
        <v>300210</v>
      </c>
      <c r="B7" t="str">
        <f>INDEX(TextData!B:B,MATCH(A7,TextData!A:A))</f>
        <v>エーテルリチャージ</v>
      </c>
      <c r="C7">
        <v>16010</v>
      </c>
      <c r="D7" t="str">
        <f>INDEX(Define!V:V,MATCH(C7,Define!U:U))</f>
        <v>攻撃したのが自身</v>
      </c>
      <c r="E7">
        <v>2</v>
      </c>
      <c r="F7">
        <v>0</v>
      </c>
      <c r="G7">
        <v>0</v>
      </c>
      <c r="H7">
        <v>0</v>
      </c>
    </row>
    <row r="8" spans="1:8">
      <c r="A8">
        <v>301010</v>
      </c>
      <c r="B8" t="str">
        <f>INDEX(TextData!B:B,MATCH(A8,TextData!A:A))</f>
        <v>ディケイドリセット</v>
      </c>
      <c r="C8">
        <v>9030</v>
      </c>
      <c r="D8" t="str">
        <f>INDEX(Define!V:V,MATCH(C8,Define!U:U))</f>
        <v>ターン数がparam1 x ターン数 + param2</v>
      </c>
      <c r="E8">
        <v>2</v>
      </c>
      <c r="F8">
        <v>0</v>
      </c>
      <c r="G8">
        <v>10</v>
      </c>
      <c r="H8">
        <v>1</v>
      </c>
    </row>
    <row r="9" spans="1:8">
      <c r="A9">
        <v>301010</v>
      </c>
      <c r="B9" t="str">
        <f>INDEX(TextData!B:B,MATCH(A9,TextData!A:A))</f>
        <v>ディケイドリセット</v>
      </c>
      <c r="C9">
        <v>16010</v>
      </c>
      <c r="D9" t="str">
        <f>INDEX(Define!V:V,MATCH(C9,Define!U:U))</f>
        <v>攻撃したのが自身</v>
      </c>
      <c r="E9">
        <v>2</v>
      </c>
      <c r="F9">
        <v>0</v>
      </c>
      <c r="G9">
        <v>0</v>
      </c>
      <c r="H9">
        <v>0</v>
      </c>
    </row>
    <row r="10" spans="1:8">
      <c r="A10">
        <v>301020</v>
      </c>
      <c r="B10" t="str">
        <f>INDEX(TextData!B:B,MATCH(A10,TextData!A:A))</f>
        <v>ウォーリアーブラッド</v>
      </c>
      <c r="C10">
        <v>20140</v>
      </c>
      <c r="D10" t="str">
        <f>INDEX(Define!V:V,MATCH(C10,Define!U:U))</f>
        <v>自身の攻撃で敵を倒す</v>
      </c>
      <c r="E10">
        <v>2</v>
      </c>
      <c r="F10">
        <v>0</v>
      </c>
      <c r="G10">
        <v>0</v>
      </c>
      <c r="H10">
        <v>0</v>
      </c>
    </row>
    <row r="11" spans="1:8">
      <c r="A11">
        <v>301030</v>
      </c>
      <c r="B11" t="str">
        <f>INDEX(TextData!B:B,MATCH(A11,TextData!A:A))</f>
        <v>トライアングルガード</v>
      </c>
      <c r="C11">
        <v>9030</v>
      </c>
      <c r="D11" t="str">
        <f>INDEX(Define!V:V,MATCH(C11,Define!U:U))</f>
        <v>ターン数がparam1 x ターン数 + param2</v>
      </c>
      <c r="E11">
        <v>2</v>
      </c>
      <c r="F11">
        <v>3</v>
      </c>
      <c r="G11">
        <v>0</v>
      </c>
      <c r="H11">
        <v>1</v>
      </c>
    </row>
    <row r="12" spans="1:8">
      <c r="A12">
        <v>301030</v>
      </c>
      <c r="B12" t="str">
        <f>INDEX(TextData!B:B,MATCH(A12,TextData!A:A))</f>
        <v>トライアングルガード</v>
      </c>
      <c r="C12">
        <v>16010</v>
      </c>
      <c r="D12" t="str">
        <f>INDEX(Define!V:V,MATCH(C12,Define!U:U))</f>
        <v>攻撃したのが自身</v>
      </c>
      <c r="E12">
        <v>2</v>
      </c>
      <c r="F12">
        <v>0</v>
      </c>
      <c r="G12">
        <v>0</v>
      </c>
      <c r="H12">
        <v>0</v>
      </c>
    </row>
    <row r="13" spans="1:8">
      <c r="A13">
        <v>301040</v>
      </c>
      <c r="B13" t="str">
        <f>INDEX(TextData!B:B,MATCH(A13,TextData!A:A))</f>
        <v>セーフティバリア</v>
      </c>
      <c r="C13">
        <v>9030</v>
      </c>
      <c r="D13" t="str">
        <f>INDEX(Define!V:V,MATCH(C13,Define!U:U))</f>
        <v>ターン数がparam1 x ターン数 + param2</v>
      </c>
      <c r="E13">
        <v>2</v>
      </c>
      <c r="F13">
        <v>0</v>
      </c>
      <c r="G13">
        <v>2</v>
      </c>
      <c r="H13">
        <v>1</v>
      </c>
    </row>
    <row r="14" spans="1:8">
      <c r="A14">
        <v>301040</v>
      </c>
      <c r="B14" t="str">
        <f>INDEX(TextData!B:B,MATCH(A14,TextData!A:A))</f>
        <v>セーフティバリア</v>
      </c>
      <c r="C14">
        <v>16010</v>
      </c>
      <c r="D14" t="str">
        <f>INDEX(Define!V:V,MATCH(C14,Define!U:U))</f>
        <v>攻撃したのが自身</v>
      </c>
      <c r="E14">
        <v>2</v>
      </c>
      <c r="F14">
        <v>0</v>
      </c>
      <c r="G14">
        <v>0</v>
      </c>
      <c r="H14">
        <v>0</v>
      </c>
    </row>
    <row r="15" spans="1:8">
      <c r="A15">
        <v>301060</v>
      </c>
      <c r="B15" t="str">
        <f>INDEX(TextData!B:B,MATCH(A15,TextData!A:A))</f>
        <v>セカンドステージ</v>
      </c>
      <c r="C15">
        <v>12040</v>
      </c>
      <c r="D15" t="str">
        <f>INDEX(Define!V:V,MATCH(C15,Define!U:U))</f>
        <v>攻撃を受けた対象のHpがParam1%以下 Param2==1で生存判定しない</v>
      </c>
      <c r="E15">
        <v>2</v>
      </c>
      <c r="F15">
        <v>0</v>
      </c>
      <c r="G15">
        <v>1</v>
      </c>
      <c r="H15">
        <v>0</v>
      </c>
    </row>
    <row r="16" spans="1:8">
      <c r="A16">
        <v>310030</v>
      </c>
      <c r="B16" t="str">
        <f>INDEX(TextData!B:B,MATCH(A16,TextData!A:A))</f>
        <v>商売の才覚書</v>
      </c>
      <c r="C16">
        <v>24010</v>
      </c>
      <c r="D16" t="str">
        <f>INDEX(Define!V:V,MATCH(C16,Define!U:U))</f>
        <v>対象の中で1番CTの長い魔法を持っている(ScopeTrigger用)</v>
      </c>
      <c r="E16">
        <v>2</v>
      </c>
      <c r="F16">
        <v>0</v>
      </c>
      <c r="G16">
        <v>0</v>
      </c>
      <c r="H16">
        <v>0</v>
      </c>
    </row>
    <row r="17" spans="1:8">
      <c r="A17">
        <v>320010</v>
      </c>
      <c r="B17" t="str">
        <f>INDEX(TextData!B:B,MATCH(A17,TextData!A:A))</f>
        <v>訓練所Lv1</v>
      </c>
      <c r="C17">
        <v>14520</v>
      </c>
      <c r="D17" t="str">
        <f>INDEX(Define!V:V,MATCH(C17,Define!U:U))</f>
        <v>Lvが低い味方</v>
      </c>
      <c r="E17">
        <v>2</v>
      </c>
      <c r="F17">
        <v>3</v>
      </c>
      <c r="G17">
        <v>0</v>
      </c>
      <c r="H17">
        <v>0</v>
      </c>
    </row>
    <row r="18" spans="1:8">
      <c r="A18">
        <v>320011</v>
      </c>
      <c r="B18" t="str">
        <f>INDEX(TextData!B:B,MATCH(A18,TextData!A:A))</f>
        <v>訓練所Lv2</v>
      </c>
      <c r="C18">
        <v>14520</v>
      </c>
      <c r="D18" t="str">
        <f>INDEX(Define!V:V,MATCH(C18,Define!U:U))</f>
        <v>Lvが低い味方</v>
      </c>
      <c r="E18">
        <v>2</v>
      </c>
      <c r="F18">
        <v>3</v>
      </c>
      <c r="G18">
        <v>0</v>
      </c>
      <c r="H18">
        <v>0</v>
      </c>
    </row>
    <row r="19" spans="1:8">
      <c r="A19">
        <v>320012</v>
      </c>
      <c r="B19" t="str">
        <f>INDEX(TextData!B:B,MATCH(A19,TextData!A:A))</f>
        <v>訓練所Lv3</v>
      </c>
      <c r="C19">
        <v>14520</v>
      </c>
      <c r="D19" t="str">
        <f>INDEX(Define!V:V,MATCH(C19,Define!U:U))</f>
        <v>Lvが低い味方</v>
      </c>
      <c r="E19">
        <v>2</v>
      </c>
      <c r="F19">
        <v>3</v>
      </c>
      <c r="G19">
        <v>0</v>
      </c>
      <c r="H19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4"/>
  <sheetViews>
    <sheetView tabSelected="1" zoomScale="110" zoomScaleNormal="110" topLeftCell="C241" workbookViewId="0">
      <selection activeCell="G249" sqref="G249"/>
    </sheetView>
  </sheetViews>
  <sheetFormatPr defaultColWidth="8.72727272727273" defaultRowHeight="13" outlineLevelCol="6"/>
  <cols>
    <col min="2" max="2" width="20" customWidth="1"/>
    <col min="3" max="3" width="48" customWidth="1"/>
    <col min="4" max="4" width="17.5454545454545" customWidth="1"/>
    <col min="6" max="6" width="20" customWidth="1"/>
    <col min="7" max="7" width="47.5090909090909" customWidth="1"/>
  </cols>
  <sheetData>
    <row r="1" spans="1:7">
      <c r="A1" t="s">
        <v>0</v>
      </c>
      <c r="B1" t="s">
        <v>70</v>
      </c>
      <c r="C1" t="s">
        <v>71</v>
      </c>
      <c r="F1" t="s">
        <v>72</v>
      </c>
      <c r="G1" t="s">
        <v>73</v>
      </c>
    </row>
    <row r="2" spans="1:7">
      <c r="A2">
        <v>0</v>
      </c>
      <c r="B2" t="s">
        <v>74</v>
      </c>
      <c r="C2" t="s">
        <v>75</v>
      </c>
      <c r="F2" t="s">
        <v>74</v>
      </c>
      <c r="G2" t="s">
        <v>75</v>
      </c>
    </row>
    <row r="3" spans="1:7">
      <c r="A3">
        <v>1</v>
      </c>
      <c r="B3" t="s">
        <v>76</v>
      </c>
      <c r="C3" t="s">
        <v>75</v>
      </c>
      <c r="F3" t="s">
        <v>77</v>
      </c>
      <c r="G3" t="s">
        <v>75</v>
      </c>
    </row>
    <row r="4" ht="26" spans="1:7">
      <c r="A4">
        <v>11</v>
      </c>
      <c r="B4" t="s">
        <v>78</v>
      </c>
      <c r="C4" s="3" t="s">
        <v>79</v>
      </c>
      <c r="F4" t="s">
        <v>80</v>
      </c>
      <c r="G4" s="3" t="s">
        <v>79</v>
      </c>
    </row>
    <row r="5" spans="1:7">
      <c r="A5">
        <v>21</v>
      </c>
      <c r="B5" t="s">
        <v>81</v>
      </c>
      <c r="C5" t="s">
        <v>82</v>
      </c>
      <c r="F5" t="s">
        <v>83</v>
      </c>
      <c r="G5" t="s">
        <v>82</v>
      </c>
    </row>
    <row r="6" spans="1:7">
      <c r="A6">
        <v>31</v>
      </c>
      <c r="B6" t="s">
        <v>84</v>
      </c>
      <c r="C6" s="3" t="s">
        <v>85</v>
      </c>
      <c r="F6" t="s">
        <v>86</v>
      </c>
      <c r="G6" s="3" t="s">
        <v>85</v>
      </c>
    </row>
    <row r="7" spans="1:7">
      <c r="A7">
        <v>32</v>
      </c>
      <c r="B7" t="s">
        <v>87</v>
      </c>
      <c r="C7" t="s">
        <v>75</v>
      </c>
      <c r="F7" t="s">
        <v>88</v>
      </c>
      <c r="G7" t="s">
        <v>75</v>
      </c>
    </row>
    <row r="8" spans="1:7">
      <c r="A8">
        <v>33</v>
      </c>
      <c r="B8" t="s">
        <v>89</v>
      </c>
      <c r="C8" s="3" t="s">
        <v>85</v>
      </c>
      <c r="F8" t="s">
        <v>90</v>
      </c>
      <c r="G8" s="3" t="s">
        <v>85</v>
      </c>
    </row>
    <row r="9" spans="1:7">
      <c r="A9">
        <v>1010</v>
      </c>
      <c r="B9" t="s">
        <v>91</v>
      </c>
      <c r="C9" s="3" t="s">
        <v>92</v>
      </c>
      <c r="F9" t="s">
        <v>93</v>
      </c>
      <c r="G9" s="3" t="s">
        <v>94</v>
      </c>
    </row>
    <row r="10" ht="26" spans="1:7">
      <c r="A10">
        <v>1020</v>
      </c>
      <c r="B10" t="s">
        <v>95</v>
      </c>
      <c r="C10" s="3" t="s">
        <v>96</v>
      </c>
      <c r="F10" t="s">
        <v>97</v>
      </c>
      <c r="G10" s="3" t="s">
        <v>98</v>
      </c>
    </row>
    <row r="11" ht="26" spans="1:7">
      <c r="A11">
        <v>1030</v>
      </c>
      <c r="B11" t="s">
        <v>99</v>
      </c>
      <c r="C11" s="3" t="s">
        <v>100</v>
      </c>
      <c r="F11" t="s">
        <v>101</v>
      </c>
      <c r="G11" s="3" t="s">
        <v>102</v>
      </c>
    </row>
    <row r="12" ht="26" spans="1:7">
      <c r="A12">
        <v>1040</v>
      </c>
      <c r="B12" t="s">
        <v>103</v>
      </c>
      <c r="C12" s="3" t="s">
        <v>104</v>
      </c>
      <c r="F12" t="s">
        <v>105</v>
      </c>
      <c r="G12" s="3" t="s">
        <v>106</v>
      </c>
    </row>
    <row r="13" spans="1:7">
      <c r="A13">
        <v>1050</v>
      </c>
      <c r="B13" t="s">
        <v>107</v>
      </c>
      <c r="C13" s="3" t="s">
        <v>108</v>
      </c>
      <c r="F13" t="s">
        <v>109</v>
      </c>
      <c r="G13" s="3" t="s">
        <v>110</v>
      </c>
    </row>
    <row r="14" spans="1:7">
      <c r="A14">
        <v>1070</v>
      </c>
      <c r="B14" t="s">
        <v>111</v>
      </c>
      <c r="C14" t="s">
        <v>112</v>
      </c>
      <c r="F14" t="s">
        <v>113</v>
      </c>
      <c r="G14" t="s">
        <v>114</v>
      </c>
    </row>
    <row r="15" ht="39" spans="1:7">
      <c r="A15">
        <v>1080</v>
      </c>
      <c r="B15" t="s">
        <v>115</v>
      </c>
      <c r="C15" s="3" t="s">
        <v>116</v>
      </c>
      <c r="F15" t="s">
        <v>117</v>
      </c>
      <c r="G15" s="3" t="s">
        <v>118</v>
      </c>
    </row>
    <row r="16" ht="26" spans="1:7">
      <c r="A16">
        <v>1110</v>
      </c>
      <c r="B16" t="s">
        <v>119</v>
      </c>
      <c r="C16" s="3" t="s">
        <v>120</v>
      </c>
      <c r="F16" t="s">
        <v>121</v>
      </c>
      <c r="G16" s="3" t="s">
        <v>122</v>
      </c>
    </row>
    <row r="17" spans="1:7">
      <c r="A17">
        <v>1120</v>
      </c>
      <c r="B17" t="s">
        <v>123</v>
      </c>
      <c r="C17" t="s">
        <v>92</v>
      </c>
      <c r="F17" t="s">
        <v>124</v>
      </c>
      <c r="G17" s="3" t="s">
        <v>94</v>
      </c>
    </row>
    <row r="18" spans="1:7">
      <c r="A18">
        <v>1930</v>
      </c>
      <c r="B18" t="s">
        <v>125</v>
      </c>
      <c r="C18" s="1" t="s">
        <v>126</v>
      </c>
      <c r="F18" t="s">
        <v>127</v>
      </c>
      <c r="G18" s="1" t="s">
        <v>128</v>
      </c>
    </row>
    <row r="19" ht="26" spans="1:7">
      <c r="A19">
        <v>1940</v>
      </c>
      <c r="B19" t="s">
        <v>129</v>
      </c>
      <c r="C19" s="3" t="s">
        <v>130</v>
      </c>
      <c r="F19" t="s">
        <v>131</v>
      </c>
      <c r="G19" s="3" t="s">
        <v>132</v>
      </c>
    </row>
    <row r="20" spans="1:7">
      <c r="A20">
        <v>2010</v>
      </c>
      <c r="B20" t="s">
        <v>133</v>
      </c>
      <c r="C20" s="3" t="s">
        <v>92</v>
      </c>
      <c r="F20" t="s">
        <v>134</v>
      </c>
      <c r="G20" s="3" t="s">
        <v>94</v>
      </c>
    </row>
    <row r="21" spans="1:7">
      <c r="A21">
        <v>2020</v>
      </c>
      <c r="B21" t="s">
        <v>135</v>
      </c>
      <c r="C21" s="3" t="s">
        <v>136</v>
      </c>
      <c r="F21" t="s">
        <v>137</v>
      </c>
      <c r="G21" s="3" t="s">
        <v>138</v>
      </c>
    </row>
    <row r="22" spans="1:7">
      <c r="A22">
        <v>2030</v>
      </c>
      <c r="B22" t="s">
        <v>139</v>
      </c>
      <c r="C22" s="3" t="s">
        <v>92</v>
      </c>
      <c r="F22" t="s">
        <v>140</v>
      </c>
      <c r="G22" s="3" t="s">
        <v>94</v>
      </c>
    </row>
    <row r="23" ht="39" spans="1:7">
      <c r="A23">
        <v>2040</v>
      </c>
      <c r="B23" t="s">
        <v>141</v>
      </c>
      <c r="C23" s="3" t="s">
        <v>142</v>
      </c>
      <c r="F23" t="s">
        <v>143</v>
      </c>
      <c r="G23" s="3" t="s">
        <v>144</v>
      </c>
    </row>
    <row r="24" ht="26" spans="1:7">
      <c r="A24">
        <v>2050</v>
      </c>
      <c r="B24" t="s">
        <v>145</v>
      </c>
      <c r="C24" s="3" t="s">
        <v>146</v>
      </c>
      <c r="F24" t="s">
        <v>147</v>
      </c>
      <c r="G24" s="3" t="s">
        <v>148</v>
      </c>
    </row>
    <row r="25" ht="39" spans="1:7">
      <c r="A25">
        <v>2060</v>
      </c>
      <c r="B25" t="s">
        <v>149</v>
      </c>
      <c r="C25" s="3" t="s">
        <v>150</v>
      </c>
      <c r="F25" t="s">
        <v>151</v>
      </c>
      <c r="G25" s="3" t="s">
        <v>152</v>
      </c>
    </row>
    <row r="26" ht="39" spans="1:7">
      <c r="A26">
        <v>2070</v>
      </c>
      <c r="B26" t="s">
        <v>153</v>
      </c>
      <c r="C26" s="3" t="s">
        <v>154</v>
      </c>
      <c r="F26" t="s">
        <v>155</v>
      </c>
      <c r="G26" s="3" t="s">
        <v>156</v>
      </c>
    </row>
    <row r="27" ht="26" spans="1:7">
      <c r="A27">
        <v>2080</v>
      </c>
      <c r="B27" t="s">
        <v>157</v>
      </c>
      <c r="C27" s="3" t="s">
        <v>158</v>
      </c>
      <c r="F27" t="s">
        <v>159</v>
      </c>
      <c r="G27" s="3" t="s">
        <v>160</v>
      </c>
    </row>
    <row r="28" ht="39" spans="1:7">
      <c r="A28">
        <v>2110</v>
      </c>
      <c r="B28" t="s">
        <v>161</v>
      </c>
      <c r="C28" s="3" t="s">
        <v>162</v>
      </c>
      <c r="F28" t="s">
        <v>163</v>
      </c>
      <c r="G28" s="3" t="s">
        <v>164</v>
      </c>
    </row>
    <row r="29" ht="39" spans="1:7">
      <c r="A29">
        <v>2120</v>
      </c>
      <c r="B29" t="s">
        <v>165</v>
      </c>
      <c r="C29" s="3" t="s">
        <v>166</v>
      </c>
      <c r="F29" t="s">
        <v>167</v>
      </c>
      <c r="G29" s="3" t="s">
        <v>168</v>
      </c>
    </row>
    <row r="30" spans="1:7">
      <c r="A30">
        <v>2920</v>
      </c>
      <c r="B30" t="s">
        <v>169</v>
      </c>
      <c r="C30" t="s">
        <v>170</v>
      </c>
      <c r="F30" t="s">
        <v>171</v>
      </c>
      <c r="G30" s="3" t="s">
        <v>172</v>
      </c>
    </row>
    <row r="31" spans="1:7">
      <c r="A31">
        <v>2940</v>
      </c>
      <c r="B31" t="s">
        <v>173</v>
      </c>
      <c r="C31" s="1" t="s">
        <v>174</v>
      </c>
      <c r="F31" t="s">
        <v>175</v>
      </c>
      <c r="G31" s="1" t="s">
        <v>176</v>
      </c>
    </row>
    <row r="32" spans="1:7">
      <c r="A32">
        <v>3010</v>
      </c>
      <c r="B32" t="s">
        <v>177</v>
      </c>
      <c r="C32" s="3" t="s">
        <v>92</v>
      </c>
      <c r="F32" t="s">
        <v>178</v>
      </c>
      <c r="G32" s="3" t="s">
        <v>94</v>
      </c>
    </row>
    <row r="33" ht="26" spans="1:7">
      <c r="A33">
        <v>3020</v>
      </c>
      <c r="B33" t="s">
        <v>179</v>
      </c>
      <c r="C33" s="3" t="s">
        <v>180</v>
      </c>
      <c r="F33" t="s">
        <v>181</v>
      </c>
      <c r="G33" s="3" t="s">
        <v>182</v>
      </c>
    </row>
    <row r="34" ht="26" spans="1:7">
      <c r="A34">
        <v>3030</v>
      </c>
      <c r="B34" t="s">
        <v>183</v>
      </c>
      <c r="C34" s="3" t="s">
        <v>184</v>
      </c>
      <c r="F34" t="s">
        <v>185</v>
      </c>
      <c r="G34" s="3" t="s">
        <v>186</v>
      </c>
    </row>
    <row r="35" ht="26" spans="1:7">
      <c r="A35">
        <v>3040</v>
      </c>
      <c r="B35" t="s">
        <v>187</v>
      </c>
      <c r="C35" s="3" t="s">
        <v>188</v>
      </c>
      <c r="F35" t="s">
        <v>189</v>
      </c>
      <c r="G35" s="3" t="s">
        <v>190</v>
      </c>
    </row>
    <row r="36" ht="26" spans="1:7">
      <c r="A36">
        <v>3050</v>
      </c>
      <c r="B36" t="s">
        <v>191</v>
      </c>
      <c r="C36" s="3" t="s">
        <v>192</v>
      </c>
      <c r="F36" t="s">
        <v>193</v>
      </c>
      <c r="G36" s="3" t="s">
        <v>194</v>
      </c>
    </row>
    <row r="37" ht="26" spans="1:7">
      <c r="A37">
        <v>3060</v>
      </c>
      <c r="B37" t="s">
        <v>195</v>
      </c>
      <c r="C37" s="3" t="s">
        <v>196</v>
      </c>
      <c r="F37" t="s">
        <v>197</v>
      </c>
      <c r="G37" s="3" t="s">
        <v>198</v>
      </c>
    </row>
    <row r="38" ht="26" spans="1:7">
      <c r="A38">
        <v>3070</v>
      </c>
      <c r="B38" t="s">
        <v>199</v>
      </c>
      <c r="C38" s="3" t="s">
        <v>200</v>
      </c>
      <c r="F38" t="s">
        <v>201</v>
      </c>
      <c r="G38" s="3" t="s">
        <v>202</v>
      </c>
    </row>
    <row r="39" ht="39" spans="1:7">
      <c r="A39">
        <v>3080</v>
      </c>
      <c r="B39" t="s">
        <v>203</v>
      </c>
      <c r="C39" s="3" t="s">
        <v>204</v>
      </c>
      <c r="F39" t="s">
        <v>205</v>
      </c>
      <c r="G39" s="3" t="s">
        <v>206</v>
      </c>
    </row>
    <row r="40" ht="52" spans="1:7">
      <c r="A40">
        <v>3110</v>
      </c>
      <c r="B40" t="s">
        <v>207</v>
      </c>
      <c r="C40" s="3" t="s">
        <v>208</v>
      </c>
      <c r="F40" t="s">
        <v>209</v>
      </c>
      <c r="G40" s="3" t="s">
        <v>210</v>
      </c>
    </row>
    <row r="41" ht="39" spans="1:7">
      <c r="A41">
        <v>3120</v>
      </c>
      <c r="B41" t="s">
        <v>211</v>
      </c>
      <c r="C41" s="3" t="s">
        <v>212</v>
      </c>
      <c r="F41" t="s">
        <v>213</v>
      </c>
      <c r="G41" s="3" t="s">
        <v>214</v>
      </c>
    </row>
    <row r="42" ht="26" spans="1:7">
      <c r="A42">
        <v>3130</v>
      </c>
      <c r="B42" t="s">
        <v>215</v>
      </c>
      <c r="C42" s="3" t="s">
        <v>200</v>
      </c>
      <c r="F42" t="s">
        <v>216</v>
      </c>
      <c r="G42" s="3" t="s">
        <v>217</v>
      </c>
    </row>
    <row r="43" spans="1:7">
      <c r="A43">
        <v>3930</v>
      </c>
      <c r="B43" t="s">
        <v>218</v>
      </c>
      <c r="C43" s="3" t="s">
        <v>219</v>
      </c>
      <c r="F43" t="s">
        <v>220</v>
      </c>
      <c r="G43" s="3" t="s">
        <v>221</v>
      </c>
    </row>
    <row r="44" ht="52" spans="1:7">
      <c r="A44">
        <v>3940</v>
      </c>
      <c r="B44" t="s">
        <v>222</v>
      </c>
      <c r="C44" s="3" t="s">
        <v>223</v>
      </c>
      <c r="F44" t="s">
        <v>224</v>
      </c>
      <c r="G44" s="3" t="s">
        <v>225</v>
      </c>
    </row>
    <row r="45" ht="26" spans="1:7">
      <c r="A45">
        <v>4010</v>
      </c>
      <c r="B45" t="s">
        <v>226</v>
      </c>
      <c r="C45" s="3" t="s">
        <v>92</v>
      </c>
      <c r="F45" t="s">
        <v>227</v>
      </c>
      <c r="G45" s="3" t="s">
        <v>228</v>
      </c>
    </row>
    <row r="46" ht="39" spans="1:7">
      <c r="A46">
        <v>4020</v>
      </c>
      <c r="B46" t="s">
        <v>229</v>
      </c>
      <c r="C46" s="3" t="s">
        <v>230</v>
      </c>
      <c r="F46" t="s">
        <v>231</v>
      </c>
      <c r="G46" s="3" t="s">
        <v>232</v>
      </c>
    </row>
    <row r="47" ht="26" spans="1:7">
      <c r="A47">
        <v>4030</v>
      </c>
      <c r="B47" t="s">
        <v>233</v>
      </c>
      <c r="C47" s="3" t="s">
        <v>234</v>
      </c>
      <c r="F47" t="s">
        <v>235</v>
      </c>
      <c r="G47" s="3" t="s">
        <v>236</v>
      </c>
    </row>
    <row r="48" ht="26" spans="1:7">
      <c r="A48">
        <v>4040</v>
      </c>
      <c r="B48" t="s">
        <v>237</v>
      </c>
      <c r="C48" s="3" t="s">
        <v>238</v>
      </c>
      <c r="F48" t="s">
        <v>239</v>
      </c>
      <c r="G48" s="3" t="s">
        <v>240</v>
      </c>
    </row>
    <row r="49" spans="1:7">
      <c r="A49">
        <v>4050</v>
      </c>
      <c r="B49" t="s">
        <v>241</v>
      </c>
      <c r="C49" s="3" t="s">
        <v>242</v>
      </c>
      <c r="D49" t="s">
        <v>243</v>
      </c>
      <c r="F49" t="s">
        <v>244</v>
      </c>
      <c r="G49" s="3" t="s">
        <v>245</v>
      </c>
    </row>
    <row r="50" spans="1:7">
      <c r="A50">
        <v>4060</v>
      </c>
      <c r="B50" t="s">
        <v>246</v>
      </c>
      <c r="C50" s="3" t="s">
        <v>247</v>
      </c>
      <c r="F50" t="s">
        <v>248</v>
      </c>
      <c r="G50" s="3" t="s">
        <v>249</v>
      </c>
    </row>
    <row r="51" ht="26" spans="1:7">
      <c r="A51">
        <v>4070</v>
      </c>
      <c r="B51" t="s">
        <v>250</v>
      </c>
      <c r="C51" s="3" t="s">
        <v>251</v>
      </c>
      <c r="F51" t="s">
        <v>252</v>
      </c>
      <c r="G51" s="3" t="s">
        <v>253</v>
      </c>
    </row>
    <row r="52" spans="1:7">
      <c r="A52">
        <v>4080</v>
      </c>
      <c r="B52" t="s">
        <v>254</v>
      </c>
      <c r="C52" s="3" t="s">
        <v>255</v>
      </c>
      <c r="F52" t="s">
        <v>256</v>
      </c>
      <c r="G52" s="3" t="s">
        <v>257</v>
      </c>
    </row>
    <row r="53" spans="1:7">
      <c r="A53">
        <v>4110</v>
      </c>
      <c r="B53" t="s">
        <v>258</v>
      </c>
      <c r="C53" s="3" t="s">
        <v>259</v>
      </c>
      <c r="F53" t="s">
        <v>260</v>
      </c>
      <c r="G53" s="3" t="s">
        <v>94</v>
      </c>
    </row>
    <row r="54" ht="39" spans="1:7">
      <c r="A54">
        <v>4120</v>
      </c>
      <c r="B54" t="s">
        <v>261</v>
      </c>
      <c r="C54" s="3" t="s">
        <v>262</v>
      </c>
      <c r="F54" t="s">
        <v>263</v>
      </c>
      <c r="G54" s="3" t="s">
        <v>264</v>
      </c>
    </row>
    <row r="55" ht="26" spans="1:7">
      <c r="A55">
        <v>4130</v>
      </c>
      <c r="B55" t="s">
        <v>265</v>
      </c>
      <c r="C55" s="3" t="s">
        <v>266</v>
      </c>
      <c r="F55" t="s">
        <v>267</v>
      </c>
      <c r="G55" s="3" t="s">
        <v>268</v>
      </c>
    </row>
    <row r="56" spans="1:7">
      <c r="A56">
        <v>5010</v>
      </c>
      <c r="B56" t="s">
        <v>269</v>
      </c>
      <c r="C56" s="3" t="s">
        <v>92</v>
      </c>
      <c r="F56" t="s">
        <v>270</v>
      </c>
      <c r="G56" s="3" t="s">
        <v>94</v>
      </c>
    </row>
    <row r="57" ht="39" spans="1:7">
      <c r="A57">
        <v>5020</v>
      </c>
      <c r="B57" t="s">
        <v>271</v>
      </c>
      <c r="C57" s="3" t="s">
        <v>272</v>
      </c>
      <c r="F57" t="s">
        <v>273</v>
      </c>
      <c r="G57" s="3" t="s">
        <v>274</v>
      </c>
    </row>
    <row r="58" ht="26" spans="1:7">
      <c r="A58">
        <v>5030</v>
      </c>
      <c r="B58" t="s">
        <v>275</v>
      </c>
      <c r="C58" s="3" t="s">
        <v>276</v>
      </c>
      <c r="F58" t="s">
        <v>277</v>
      </c>
      <c r="G58" s="3" t="s">
        <v>278</v>
      </c>
    </row>
    <row r="59" ht="26" spans="1:7">
      <c r="A59">
        <v>5040</v>
      </c>
      <c r="B59" t="s">
        <v>279</v>
      </c>
      <c r="C59" s="3" t="s">
        <v>280</v>
      </c>
      <c r="F59" t="s">
        <v>281</v>
      </c>
      <c r="G59" s="3" t="s">
        <v>282</v>
      </c>
    </row>
    <row r="60" ht="26" spans="1:7">
      <c r="A60">
        <v>5050</v>
      </c>
      <c r="B60" t="s">
        <v>283</v>
      </c>
      <c r="C60" s="3" t="s">
        <v>284</v>
      </c>
      <c r="D60" t="s">
        <v>285</v>
      </c>
      <c r="F60" t="s">
        <v>286</v>
      </c>
      <c r="G60" s="3" t="s">
        <v>287</v>
      </c>
    </row>
    <row r="61" spans="1:7">
      <c r="A61">
        <v>5060</v>
      </c>
      <c r="B61" t="s">
        <v>288</v>
      </c>
      <c r="C61" s="3" t="s">
        <v>289</v>
      </c>
      <c r="F61" t="s">
        <v>290</v>
      </c>
      <c r="G61" s="3" t="s">
        <v>291</v>
      </c>
    </row>
    <row r="62" ht="52" spans="1:7">
      <c r="A62">
        <v>5080</v>
      </c>
      <c r="B62" t="s">
        <v>292</v>
      </c>
      <c r="C62" s="3" t="s">
        <v>208</v>
      </c>
      <c r="F62" t="s">
        <v>293</v>
      </c>
      <c r="G62" s="3" t="s">
        <v>210</v>
      </c>
    </row>
    <row r="63" ht="26" spans="1:7">
      <c r="A63">
        <v>5110</v>
      </c>
      <c r="B63" t="s">
        <v>294</v>
      </c>
      <c r="C63" s="3" t="s">
        <v>295</v>
      </c>
      <c r="F63" t="s">
        <v>296</v>
      </c>
      <c r="G63" s="3" t="s">
        <v>297</v>
      </c>
    </row>
    <row r="64" spans="1:7">
      <c r="A64">
        <v>5120</v>
      </c>
      <c r="B64" t="s">
        <v>298</v>
      </c>
      <c r="C64" s="3" t="s">
        <v>92</v>
      </c>
      <c r="F64" t="s">
        <v>299</v>
      </c>
      <c r="G64" s="3" t="s">
        <v>94</v>
      </c>
    </row>
    <row r="65" spans="1:7">
      <c r="A65">
        <v>5130</v>
      </c>
      <c r="B65" t="s">
        <v>300</v>
      </c>
      <c r="C65" s="3" t="s">
        <v>301</v>
      </c>
      <c r="F65" t="s">
        <v>302</v>
      </c>
      <c r="G65" s="3" t="s">
        <v>303</v>
      </c>
    </row>
    <row r="66" ht="39" spans="1:7">
      <c r="A66">
        <v>5940</v>
      </c>
      <c r="B66" t="s">
        <v>304</v>
      </c>
      <c r="C66" s="3" t="s">
        <v>305</v>
      </c>
      <c r="F66" t="s">
        <v>306</v>
      </c>
      <c r="G66" s="3" t="s">
        <v>307</v>
      </c>
    </row>
    <row r="67" spans="1:7">
      <c r="A67">
        <v>6010</v>
      </c>
      <c r="B67" t="s">
        <v>308</v>
      </c>
      <c r="C67" s="3" t="s">
        <v>309</v>
      </c>
      <c r="F67" t="s">
        <v>310</v>
      </c>
      <c r="G67" s="3" t="s">
        <v>311</v>
      </c>
    </row>
    <row r="68" customFormat="1" spans="1:7">
      <c r="A68">
        <v>6020</v>
      </c>
      <c r="B68" t="s">
        <v>312</v>
      </c>
      <c r="C68" s="3" t="s">
        <v>313</v>
      </c>
      <c r="F68" t="s">
        <v>314</v>
      </c>
      <c r="G68" s="3" t="s">
        <v>315</v>
      </c>
    </row>
    <row r="69" ht="39" spans="1:7">
      <c r="A69">
        <v>10010</v>
      </c>
      <c r="B69" t="s">
        <v>45</v>
      </c>
      <c r="C69" s="3" t="s">
        <v>316</v>
      </c>
      <c r="F69" t="s">
        <v>317</v>
      </c>
      <c r="G69" s="3" t="s">
        <v>318</v>
      </c>
    </row>
    <row r="70" ht="39" spans="1:7">
      <c r="A70">
        <v>10020</v>
      </c>
      <c r="B70" t="s">
        <v>319</v>
      </c>
      <c r="C70" s="4" t="s">
        <v>320</v>
      </c>
      <c r="F70" t="s">
        <v>321</v>
      </c>
      <c r="G70" s="4" t="s">
        <v>322</v>
      </c>
    </row>
    <row r="71" ht="26" spans="1:7">
      <c r="A71">
        <v>10030</v>
      </c>
      <c r="B71" t="s">
        <v>323</v>
      </c>
      <c r="C71" s="4" t="s">
        <v>324</v>
      </c>
      <c r="F71" t="s">
        <v>325</v>
      </c>
      <c r="G71" s="4" t="s">
        <v>326</v>
      </c>
    </row>
    <row r="72" ht="26" spans="1:7">
      <c r="A72">
        <v>10040</v>
      </c>
      <c r="B72" t="s">
        <v>327</v>
      </c>
      <c r="C72" s="4" t="s">
        <v>328</v>
      </c>
      <c r="F72" t="s">
        <v>329</v>
      </c>
      <c r="G72" s="4" t="s">
        <v>330</v>
      </c>
    </row>
    <row r="73" ht="26" spans="1:7">
      <c r="A73">
        <v>10050</v>
      </c>
      <c r="B73" t="s">
        <v>331</v>
      </c>
      <c r="C73" s="4" t="s">
        <v>332</v>
      </c>
      <c r="F73" t="s">
        <v>333</v>
      </c>
      <c r="G73" s="4" t="s">
        <v>334</v>
      </c>
    </row>
    <row r="74" ht="26" spans="1:7">
      <c r="A74">
        <v>10060</v>
      </c>
      <c r="B74" t="s">
        <v>335</v>
      </c>
      <c r="C74" s="4" t="s">
        <v>336</v>
      </c>
      <c r="F74" t="s">
        <v>337</v>
      </c>
      <c r="G74" s="4" t="s">
        <v>338</v>
      </c>
    </row>
    <row r="75" customFormat="1" ht="26" spans="1:7">
      <c r="A75">
        <v>10110</v>
      </c>
      <c r="B75" t="s">
        <v>339</v>
      </c>
      <c r="C75" s="3" t="s">
        <v>340</v>
      </c>
      <c r="F75" t="s">
        <v>341</v>
      </c>
      <c r="G75" s="3" t="s">
        <v>342</v>
      </c>
    </row>
    <row r="76" customFormat="1" ht="26" spans="1:7">
      <c r="A76">
        <v>10120</v>
      </c>
      <c r="B76" t="s">
        <v>343</v>
      </c>
      <c r="C76" s="3" t="s">
        <v>344</v>
      </c>
      <c r="F76" t="s">
        <v>345</v>
      </c>
      <c r="G76" s="3" t="s">
        <v>346</v>
      </c>
    </row>
    <row r="77" customFormat="1" ht="26" spans="1:7">
      <c r="A77">
        <v>10130</v>
      </c>
      <c r="B77" t="s">
        <v>347</v>
      </c>
      <c r="C77" s="3" t="s">
        <v>348</v>
      </c>
      <c r="F77" t="s">
        <v>349</v>
      </c>
      <c r="G77" s="3" t="s">
        <v>350</v>
      </c>
    </row>
    <row r="78" customFormat="1" ht="26" spans="1:7">
      <c r="A78">
        <v>10140</v>
      </c>
      <c r="B78" t="s">
        <v>351</v>
      </c>
      <c r="C78" s="3" t="s">
        <v>352</v>
      </c>
      <c r="F78" t="s">
        <v>353</v>
      </c>
      <c r="G78" s="3" t="s">
        <v>354</v>
      </c>
    </row>
    <row r="79" customFormat="1" ht="26" spans="1:7">
      <c r="A79">
        <v>10150</v>
      </c>
      <c r="B79" t="s">
        <v>355</v>
      </c>
      <c r="C79" s="3" t="s">
        <v>356</v>
      </c>
      <c r="F79" t="s">
        <v>357</v>
      </c>
      <c r="G79" s="3" t="s">
        <v>358</v>
      </c>
    </row>
    <row r="80" customFormat="1" spans="1:7">
      <c r="A80">
        <v>10210</v>
      </c>
      <c r="B80" t="s">
        <v>359</v>
      </c>
      <c r="C80" s="3" t="s">
        <v>360</v>
      </c>
      <c r="F80" t="s">
        <v>361</v>
      </c>
      <c r="G80" s="3" t="s">
        <v>362</v>
      </c>
    </row>
    <row r="81" customFormat="1" ht="39" spans="1:7">
      <c r="A81">
        <v>11010</v>
      </c>
      <c r="B81" t="s">
        <v>363</v>
      </c>
      <c r="C81" s="3" t="s">
        <v>364</v>
      </c>
      <c r="F81" t="s">
        <v>365</v>
      </c>
      <c r="G81" s="3" t="s">
        <v>366</v>
      </c>
    </row>
    <row r="82" customFormat="1" ht="26" spans="1:7">
      <c r="A82">
        <v>11020</v>
      </c>
      <c r="B82" t="s">
        <v>367</v>
      </c>
      <c r="C82" s="3" t="s">
        <v>368</v>
      </c>
      <c r="F82" t="s">
        <v>369</v>
      </c>
      <c r="G82" s="3" t="s">
        <v>370</v>
      </c>
    </row>
    <row r="83" customFormat="1" ht="26" spans="1:7">
      <c r="A83">
        <v>11030</v>
      </c>
      <c r="B83" t="s">
        <v>371</v>
      </c>
      <c r="C83" s="4" t="s">
        <v>372</v>
      </c>
      <c r="F83" t="s">
        <v>373</v>
      </c>
      <c r="G83" s="4" t="s">
        <v>374</v>
      </c>
    </row>
    <row r="84" ht="26" spans="1:7">
      <c r="A84">
        <v>11040</v>
      </c>
      <c r="B84" t="s">
        <v>375</v>
      </c>
      <c r="C84" s="4" t="s">
        <v>376</v>
      </c>
      <c r="F84" t="s">
        <v>377</v>
      </c>
      <c r="G84" s="4" t="s">
        <v>378</v>
      </c>
    </row>
    <row r="85" ht="26" spans="1:7">
      <c r="A85">
        <v>11050</v>
      </c>
      <c r="B85" t="s">
        <v>379</v>
      </c>
      <c r="C85" s="4" t="s">
        <v>380</v>
      </c>
      <c r="F85" t="s">
        <v>381</v>
      </c>
      <c r="G85" s="4" t="s">
        <v>378</v>
      </c>
    </row>
    <row r="86" ht="39" spans="1:7">
      <c r="A86">
        <v>11070</v>
      </c>
      <c r="B86" t="s">
        <v>382</v>
      </c>
      <c r="C86" s="3" t="s">
        <v>383</v>
      </c>
      <c r="F86" t="s">
        <v>384</v>
      </c>
      <c r="G86" s="3" t="s">
        <v>385</v>
      </c>
    </row>
    <row r="87" ht="39" spans="1:7">
      <c r="A87">
        <v>11090</v>
      </c>
      <c r="B87" t="s">
        <v>386</v>
      </c>
      <c r="C87" s="3" t="s">
        <v>387</v>
      </c>
      <c r="F87" t="s">
        <v>388</v>
      </c>
      <c r="G87" s="3" t="s">
        <v>389</v>
      </c>
    </row>
    <row r="88" customFormat="1" ht="26" spans="1:7">
      <c r="A88">
        <v>11100</v>
      </c>
      <c r="B88" t="s">
        <v>390</v>
      </c>
      <c r="C88" s="3" t="s">
        <v>391</v>
      </c>
      <c r="F88" t="s">
        <v>392</v>
      </c>
      <c r="G88" s="3" t="s">
        <v>393</v>
      </c>
    </row>
    <row r="89" customFormat="1" ht="26" spans="1:7">
      <c r="A89">
        <v>11110</v>
      </c>
      <c r="B89" t="s">
        <v>394</v>
      </c>
      <c r="C89" s="3" t="s">
        <v>395</v>
      </c>
      <c r="F89" t="s">
        <v>396</v>
      </c>
      <c r="G89" s="3" t="s">
        <v>397</v>
      </c>
    </row>
    <row r="90" ht="26" spans="1:7">
      <c r="A90">
        <v>11120</v>
      </c>
      <c r="B90" t="s">
        <v>398</v>
      </c>
      <c r="C90" s="3" t="s">
        <v>399</v>
      </c>
      <c r="F90" t="s">
        <v>400</v>
      </c>
      <c r="G90" s="3" t="s">
        <v>401</v>
      </c>
    </row>
    <row r="91" customFormat="1" ht="26" spans="1:7">
      <c r="A91">
        <v>11130</v>
      </c>
      <c r="B91" t="s">
        <v>402</v>
      </c>
      <c r="C91" s="3" t="s">
        <v>395</v>
      </c>
      <c r="F91" t="s">
        <v>403</v>
      </c>
      <c r="G91" s="3" t="s">
        <v>397</v>
      </c>
    </row>
    <row r="92" ht="39" spans="1:7">
      <c r="A92">
        <v>11140</v>
      </c>
      <c r="B92" t="s">
        <v>404</v>
      </c>
      <c r="C92" s="3" t="s">
        <v>405</v>
      </c>
      <c r="F92" t="s">
        <v>406</v>
      </c>
      <c r="G92" s="3" t="s">
        <v>407</v>
      </c>
    </row>
    <row r="93" ht="39" spans="1:7">
      <c r="A93">
        <v>11920</v>
      </c>
      <c r="B93" t="s">
        <v>408</v>
      </c>
      <c r="C93" s="4" t="s">
        <v>409</v>
      </c>
      <c r="F93" t="s">
        <v>410</v>
      </c>
      <c r="G93" s="4" t="s">
        <v>411</v>
      </c>
    </row>
    <row r="94" ht="39" spans="1:7">
      <c r="A94">
        <v>11930</v>
      </c>
      <c r="B94" t="s">
        <v>412</v>
      </c>
      <c r="C94" s="4" t="s">
        <v>413</v>
      </c>
      <c r="F94" t="s">
        <v>414</v>
      </c>
      <c r="G94" s="4" t="s">
        <v>415</v>
      </c>
    </row>
    <row r="95" ht="26" spans="1:7">
      <c r="A95">
        <v>11940</v>
      </c>
      <c r="B95" t="s">
        <v>416</v>
      </c>
      <c r="C95" s="3" t="s">
        <v>417</v>
      </c>
      <c r="D95" t="s">
        <v>416</v>
      </c>
      <c r="F95" t="s">
        <v>418</v>
      </c>
      <c r="G95" s="3" t="s">
        <v>419</v>
      </c>
    </row>
    <row r="96" ht="39" spans="1:7">
      <c r="A96">
        <v>11950</v>
      </c>
      <c r="B96" t="s">
        <v>420</v>
      </c>
      <c r="C96" s="3" t="s">
        <v>421</v>
      </c>
      <c r="F96" t="s">
        <v>422</v>
      </c>
      <c r="G96" s="3" t="s">
        <v>423</v>
      </c>
    </row>
    <row r="97" ht="39" spans="1:7">
      <c r="A97">
        <v>12010</v>
      </c>
      <c r="B97" t="s">
        <v>424</v>
      </c>
      <c r="C97" s="3" t="s">
        <v>425</v>
      </c>
      <c r="F97" t="s">
        <v>426</v>
      </c>
      <c r="G97" s="3" t="s">
        <v>427</v>
      </c>
    </row>
    <row r="98" ht="26" spans="1:7">
      <c r="A98">
        <v>12020</v>
      </c>
      <c r="B98" t="s">
        <v>428</v>
      </c>
      <c r="C98" s="3" t="s">
        <v>429</v>
      </c>
      <c r="F98" t="s">
        <v>430</v>
      </c>
      <c r="G98" s="3" t="s">
        <v>431</v>
      </c>
    </row>
    <row r="99" ht="26" spans="1:7">
      <c r="A99">
        <v>12030</v>
      </c>
      <c r="B99" t="s">
        <v>432</v>
      </c>
      <c r="C99" s="3" t="s">
        <v>433</v>
      </c>
      <c r="F99" t="s">
        <v>434</v>
      </c>
      <c r="G99" s="3" t="s">
        <v>435</v>
      </c>
    </row>
    <row r="100" spans="1:7">
      <c r="A100">
        <v>12040</v>
      </c>
      <c r="B100" t="s">
        <v>436</v>
      </c>
      <c r="C100" s="3" t="s">
        <v>437</v>
      </c>
      <c r="F100" t="s">
        <v>438</v>
      </c>
      <c r="G100" s="3" t="s">
        <v>439</v>
      </c>
    </row>
    <row r="101" ht="26" spans="1:7">
      <c r="A101">
        <v>12050</v>
      </c>
      <c r="B101" t="s">
        <v>440</v>
      </c>
      <c r="C101" s="4" t="s">
        <v>441</v>
      </c>
      <c r="F101" t="s">
        <v>442</v>
      </c>
      <c r="G101" s="3" t="s">
        <v>439</v>
      </c>
    </row>
    <row r="102" ht="39" spans="1:7">
      <c r="A102">
        <v>12090</v>
      </c>
      <c r="B102" t="s">
        <v>443</v>
      </c>
      <c r="C102" s="3" t="s">
        <v>444</v>
      </c>
      <c r="F102" t="s">
        <v>445</v>
      </c>
      <c r="G102" s="3" t="s">
        <v>446</v>
      </c>
    </row>
    <row r="103" customFormat="1" ht="39" spans="1:7">
      <c r="A103">
        <v>12100</v>
      </c>
      <c r="B103" t="s">
        <v>447</v>
      </c>
      <c r="C103" s="3" t="s">
        <v>448</v>
      </c>
      <c r="F103" t="s">
        <v>449</v>
      </c>
      <c r="G103" s="3" t="s">
        <v>450</v>
      </c>
    </row>
    <row r="104" customFormat="1" ht="39" spans="1:7">
      <c r="A104">
        <v>12110</v>
      </c>
      <c r="B104" t="s">
        <v>153</v>
      </c>
      <c r="C104" s="3" t="s">
        <v>451</v>
      </c>
      <c r="F104" t="s">
        <v>155</v>
      </c>
      <c r="G104" s="3" t="s">
        <v>452</v>
      </c>
    </row>
    <row r="105" customFormat="1" ht="26" spans="1:7">
      <c r="A105">
        <v>12120</v>
      </c>
      <c r="B105" t="s">
        <v>453</v>
      </c>
      <c r="C105" s="3" t="s">
        <v>454</v>
      </c>
      <c r="F105" t="s">
        <v>455</v>
      </c>
      <c r="G105" s="3" t="s">
        <v>456</v>
      </c>
    </row>
    <row r="106" ht="26" spans="1:7">
      <c r="A106">
        <v>12130</v>
      </c>
      <c r="B106" t="s">
        <v>457</v>
      </c>
      <c r="C106" s="3" t="s">
        <v>458</v>
      </c>
      <c r="F106" t="s">
        <v>459</v>
      </c>
      <c r="G106" s="3" t="s">
        <v>460</v>
      </c>
    </row>
    <row r="107" ht="26" spans="1:7">
      <c r="A107">
        <v>12140</v>
      </c>
      <c r="B107" t="s">
        <v>461</v>
      </c>
      <c r="C107" s="3" t="s">
        <v>462</v>
      </c>
      <c r="F107" t="s">
        <v>463</v>
      </c>
      <c r="G107" s="3" t="s">
        <v>464</v>
      </c>
    </row>
    <row r="108" customFormat="1" ht="39" spans="1:7">
      <c r="A108">
        <v>12510</v>
      </c>
      <c r="B108" t="s">
        <v>465</v>
      </c>
      <c r="C108" s="3" t="s">
        <v>466</v>
      </c>
      <c r="F108" t="s">
        <v>467</v>
      </c>
      <c r="G108" s="3" t="s">
        <v>468</v>
      </c>
    </row>
    <row r="109" spans="1:7">
      <c r="A109">
        <v>12910</v>
      </c>
      <c r="B109" t="s">
        <v>153</v>
      </c>
      <c r="C109" s="3" t="s">
        <v>469</v>
      </c>
      <c r="F109" t="s">
        <v>155</v>
      </c>
      <c r="G109" s="3" t="s">
        <v>470</v>
      </c>
    </row>
    <row r="110" ht="26" spans="1:7">
      <c r="A110">
        <v>12930</v>
      </c>
      <c r="B110" t="s">
        <v>471</v>
      </c>
      <c r="C110" s="3" t="s">
        <v>472</v>
      </c>
      <c r="F110" t="s">
        <v>473</v>
      </c>
      <c r="G110" s="3" t="s">
        <v>474</v>
      </c>
    </row>
    <row r="111" ht="39" spans="1:7">
      <c r="A111">
        <v>12940</v>
      </c>
      <c r="B111" t="s">
        <v>475</v>
      </c>
      <c r="C111" s="3" t="s">
        <v>476</v>
      </c>
      <c r="F111" t="s">
        <v>477</v>
      </c>
      <c r="G111" s="3" t="s">
        <v>478</v>
      </c>
    </row>
    <row r="112" ht="39" spans="1:7">
      <c r="A112">
        <v>13010</v>
      </c>
      <c r="B112" t="s">
        <v>479</v>
      </c>
      <c r="C112" s="3" t="s">
        <v>480</v>
      </c>
      <c r="F112" t="s">
        <v>481</v>
      </c>
      <c r="G112" s="3" t="s">
        <v>482</v>
      </c>
    </row>
    <row r="113" ht="39" spans="1:7">
      <c r="A113">
        <v>13020</v>
      </c>
      <c r="B113" t="s">
        <v>483</v>
      </c>
      <c r="C113" s="3" t="s">
        <v>484</v>
      </c>
      <c r="F113" t="s">
        <v>485</v>
      </c>
      <c r="G113" s="3" t="s">
        <v>486</v>
      </c>
    </row>
    <row r="114" ht="26" spans="1:7">
      <c r="A114">
        <v>13030</v>
      </c>
      <c r="B114" t="s">
        <v>487</v>
      </c>
      <c r="C114" s="3" t="s">
        <v>488</v>
      </c>
      <c r="F114" t="s">
        <v>489</v>
      </c>
      <c r="G114" s="3" t="s">
        <v>490</v>
      </c>
    </row>
    <row r="115" ht="26" spans="1:7">
      <c r="A115">
        <v>13040</v>
      </c>
      <c r="B115" t="s">
        <v>491</v>
      </c>
      <c r="C115" s="3" t="s">
        <v>492</v>
      </c>
      <c r="F115" t="s">
        <v>493</v>
      </c>
      <c r="G115" s="3" t="s">
        <v>494</v>
      </c>
    </row>
    <row r="116" ht="26" spans="1:7">
      <c r="A116">
        <v>13050</v>
      </c>
      <c r="B116" t="s">
        <v>495</v>
      </c>
      <c r="C116" s="4" t="s">
        <v>496</v>
      </c>
      <c r="F116" t="s">
        <v>497</v>
      </c>
      <c r="G116" s="3" t="s">
        <v>439</v>
      </c>
    </row>
    <row r="117" ht="26" spans="1:7">
      <c r="A117">
        <v>13070</v>
      </c>
      <c r="B117" t="s">
        <v>498</v>
      </c>
      <c r="C117" s="3" t="s">
        <v>499</v>
      </c>
      <c r="F117" t="s">
        <v>500</v>
      </c>
      <c r="G117" s="3" t="s">
        <v>501</v>
      </c>
    </row>
    <row r="118" ht="52" spans="1:7">
      <c r="A118">
        <v>13090</v>
      </c>
      <c r="B118" t="s">
        <v>502</v>
      </c>
      <c r="C118" s="3" t="s">
        <v>503</v>
      </c>
      <c r="F118" t="s">
        <v>504</v>
      </c>
      <c r="G118" s="3" t="s">
        <v>505</v>
      </c>
    </row>
    <row r="119" customFormat="1" ht="26" spans="1:7">
      <c r="A119">
        <v>13110</v>
      </c>
      <c r="B119" t="s">
        <v>506</v>
      </c>
      <c r="C119" s="3" t="s">
        <v>507</v>
      </c>
      <c r="F119" t="s">
        <v>508</v>
      </c>
      <c r="G119" s="3" t="s">
        <v>509</v>
      </c>
    </row>
    <row r="120" customFormat="1" ht="39" spans="1:7">
      <c r="A120">
        <v>13120</v>
      </c>
      <c r="B120" t="s">
        <v>510</v>
      </c>
      <c r="C120" s="3" t="s">
        <v>511</v>
      </c>
      <c r="F120" t="s">
        <v>512</v>
      </c>
      <c r="G120" s="3" t="s">
        <v>513</v>
      </c>
    </row>
    <row r="121" ht="26" spans="1:7">
      <c r="A121">
        <v>13130</v>
      </c>
      <c r="B121" t="s">
        <v>514</v>
      </c>
      <c r="C121" s="3" t="s">
        <v>515</v>
      </c>
      <c r="F121" t="s">
        <v>516</v>
      </c>
      <c r="G121" s="3" t="s">
        <v>517</v>
      </c>
    </row>
    <row r="122" ht="26" spans="1:7">
      <c r="A122">
        <v>13140</v>
      </c>
      <c r="B122" t="s">
        <v>518</v>
      </c>
      <c r="C122" s="3" t="s">
        <v>519</v>
      </c>
      <c r="F122" t="s">
        <v>520</v>
      </c>
      <c r="G122" s="3" t="s">
        <v>521</v>
      </c>
    </row>
    <row r="123" customFormat="1" ht="39" spans="1:7">
      <c r="A123">
        <v>13210</v>
      </c>
      <c r="B123" t="s">
        <v>522</v>
      </c>
      <c r="C123" s="3" t="s">
        <v>523</v>
      </c>
      <c r="F123" t="s">
        <v>524</v>
      </c>
      <c r="G123" s="3" t="s">
        <v>525</v>
      </c>
    </row>
    <row r="124" customFormat="1" ht="52" spans="1:7">
      <c r="A124">
        <v>13510</v>
      </c>
      <c r="B124" t="s">
        <v>526</v>
      </c>
      <c r="C124" s="3" t="s">
        <v>527</v>
      </c>
      <c r="F124" t="s">
        <v>528</v>
      </c>
      <c r="G124" s="3" t="s">
        <v>529</v>
      </c>
    </row>
    <row r="125" customFormat="1" ht="52" spans="1:7">
      <c r="A125">
        <v>13511</v>
      </c>
      <c r="B125" t="s">
        <v>526</v>
      </c>
      <c r="C125" s="3" t="s">
        <v>527</v>
      </c>
      <c r="F125" t="s">
        <v>528</v>
      </c>
      <c r="G125" s="3" t="s">
        <v>529</v>
      </c>
    </row>
    <row r="126" customFormat="1" ht="52" spans="1:7">
      <c r="A126">
        <v>13520</v>
      </c>
      <c r="B126" t="s">
        <v>530</v>
      </c>
      <c r="C126" s="3" t="s">
        <v>531</v>
      </c>
      <c r="F126" t="s">
        <v>532</v>
      </c>
      <c r="G126" s="3" t="s">
        <v>533</v>
      </c>
    </row>
    <row r="127" customFormat="1" ht="52" spans="1:7">
      <c r="A127">
        <v>13530</v>
      </c>
      <c r="B127" t="s">
        <v>534</v>
      </c>
      <c r="C127" s="3" t="s">
        <v>535</v>
      </c>
      <c r="F127" t="s">
        <v>536</v>
      </c>
      <c r="G127" s="3" t="s">
        <v>537</v>
      </c>
    </row>
    <row r="128" ht="39" spans="1:7">
      <c r="A128">
        <v>13930</v>
      </c>
      <c r="B128" t="s">
        <v>538</v>
      </c>
      <c r="C128" s="3" t="s">
        <v>539</v>
      </c>
      <c r="F128" t="s">
        <v>540</v>
      </c>
      <c r="G128" s="3" t="s">
        <v>541</v>
      </c>
    </row>
    <row r="129" ht="26" spans="1:7">
      <c r="A129">
        <v>13940</v>
      </c>
      <c r="B129" t="s">
        <v>542</v>
      </c>
      <c r="C129" s="3" t="s">
        <v>543</v>
      </c>
      <c r="F129" t="s">
        <v>544</v>
      </c>
      <c r="G129" s="3" t="s">
        <v>545</v>
      </c>
    </row>
    <row r="130" ht="39" spans="1:7">
      <c r="A130">
        <v>13950</v>
      </c>
      <c r="B130" t="s">
        <v>546</v>
      </c>
      <c r="C130" s="3" t="s">
        <v>547</v>
      </c>
      <c r="F130" t="s">
        <v>548</v>
      </c>
      <c r="G130" s="3" t="s">
        <v>549</v>
      </c>
    </row>
    <row r="131" customFormat="1" ht="39" spans="1:7">
      <c r="A131">
        <v>14010</v>
      </c>
      <c r="B131" t="s">
        <v>550</v>
      </c>
      <c r="C131" s="3" t="s">
        <v>551</v>
      </c>
      <c r="F131" t="s">
        <v>552</v>
      </c>
      <c r="G131" s="3" t="s">
        <v>553</v>
      </c>
    </row>
    <row r="132" ht="39" spans="1:7">
      <c r="A132">
        <v>14020</v>
      </c>
      <c r="B132" t="s">
        <v>554</v>
      </c>
      <c r="C132" s="3" t="s">
        <v>555</v>
      </c>
      <c r="F132" t="s">
        <v>556</v>
      </c>
      <c r="G132" s="3" t="s">
        <v>557</v>
      </c>
    </row>
    <row r="133" ht="26" spans="1:7">
      <c r="A133">
        <v>14030</v>
      </c>
      <c r="B133" t="s">
        <v>558</v>
      </c>
      <c r="C133" s="3" t="s">
        <v>559</v>
      </c>
      <c r="F133" t="s">
        <v>560</v>
      </c>
      <c r="G133" s="3" t="s">
        <v>561</v>
      </c>
    </row>
    <row r="134" ht="26" spans="1:7">
      <c r="A134">
        <v>14040</v>
      </c>
      <c r="B134" t="s">
        <v>562</v>
      </c>
      <c r="C134" s="3" t="s">
        <v>563</v>
      </c>
      <c r="F134" t="s">
        <v>564</v>
      </c>
      <c r="G134" s="3" t="s">
        <v>565</v>
      </c>
    </row>
    <row r="135" ht="26" spans="1:7">
      <c r="A135">
        <v>14050</v>
      </c>
      <c r="B135" t="s">
        <v>566</v>
      </c>
      <c r="C135" s="4" t="s">
        <v>567</v>
      </c>
      <c r="F135" t="s">
        <v>568</v>
      </c>
      <c r="G135" s="3" t="s">
        <v>565</v>
      </c>
    </row>
    <row r="136" ht="39" spans="1:7">
      <c r="A136">
        <v>14060</v>
      </c>
      <c r="B136" t="s">
        <v>569</v>
      </c>
      <c r="C136" s="3" t="s">
        <v>570</v>
      </c>
      <c r="F136" t="s">
        <v>571</v>
      </c>
      <c r="G136" s="3" t="s">
        <v>572</v>
      </c>
    </row>
    <row r="137" ht="39" spans="1:7">
      <c r="A137">
        <v>14070</v>
      </c>
      <c r="B137" t="s">
        <v>573</v>
      </c>
      <c r="C137" s="3" t="s">
        <v>574</v>
      </c>
      <c r="F137" t="s">
        <v>575</v>
      </c>
      <c r="G137" s="3" t="s">
        <v>576</v>
      </c>
    </row>
    <row r="138" ht="39" spans="1:7">
      <c r="A138">
        <v>14090</v>
      </c>
      <c r="B138" t="s">
        <v>577</v>
      </c>
      <c r="C138" s="3" t="s">
        <v>578</v>
      </c>
      <c r="D138" t="s">
        <v>579</v>
      </c>
      <c r="F138" t="s">
        <v>580</v>
      </c>
      <c r="G138" s="3" t="s">
        <v>581</v>
      </c>
    </row>
    <row r="139" customFormat="1" ht="26" spans="1:7">
      <c r="A139">
        <v>14100</v>
      </c>
      <c r="B139" t="s">
        <v>582</v>
      </c>
      <c r="C139" s="3" t="s">
        <v>583</v>
      </c>
      <c r="F139" t="s">
        <v>584</v>
      </c>
      <c r="G139" s="3" t="s">
        <v>585</v>
      </c>
    </row>
    <row r="140" customFormat="1" ht="26" spans="1:7">
      <c r="A140">
        <v>14110</v>
      </c>
      <c r="B140" t="s">
        <v>586</v>
      </c>
      <c r="C140" s="3" t="s">
        <v>587</v>
      </c>
      <c r="F140" t="s">
        <v>588</v>
      </c>
      <c r="G140" s="3" t="s">
        <v>589</v>
      </c>
    </row>
    <row r="141" customFormat="1" ht="26" spans="1:7">
      <c r="A141">
        <v>14120</v>
      </c>
      <c r="B141" t="s">
        <v>590</v>
      </c>
      <c r="C141" s="3" t="s">
        <v>591</v>
      </c>
      <c r="F141" t="s">
        <v>592</v>
      </c>
      <c r="G141" s="3" t="s">
        <v>593</v>
      </c>
    </row>
    <row r="142" ht="39" spans="1:7">
      <c r="A142">
        <v>14130</v>
      </c>
      <c r="B142" t="s">
        <v>594</v>
      </c>
      <c r="C142" s="3" t="s">
        <v>595</v>
      </c>
      <c r="F142" t="s">
        <v>596</v>
      </c>
      <c r="G142" s="3" t="s">
        <v>597</v>
      </c>
    </row>
    <row r="143" ht="39" spans="1:7">
      <c r="A143">
        <v>14140</v>
      </c>
      <c r="B143" t="s">
        <v>598</v>
      </c>
      <c r="C143" s="3" t="s">
        <v>599</v>
      </c>
      <c r="F143" t="s">
        <v>600</v>
      </c>
      <c r="G143" s="3" t="s">
        <v>601</v>
      </c>
    </row>
    <row r="144" ht="26" spans="1:7">
      <c r="A144">
        <v>14930</v>
      </c>
      <c r="B144" t="s">
        <v>602</v>
      </c>
      <c r="C144" s="3" t="s">
        <v>603</v>
      </c>
      <c r="F144" t="s">
        <v>604</v>
      </c>
      <c r="G144" s="3" t="s">
        <v>605</v>
      </c>
    </row>
    <row r="145" spans="1:7">
      <c r="A145">
        <v>14940</v>
      </c>
      <c r="B145" t="s">
        <v>606</v>
      </c>
      <c r="C145" t="s">
        <v>607</v>
      </c>
      <c r="F145" t="s">
        <v>608</v>
      </c>
      <c r="G145" t="s">
        <v>609</v>
      </c>
    </row>
    <row r="146" customFormat="1" ht="39" spans="1:7">
      <c r="A146">
        <v>15010</v>
      </c>
      <c r="B146" t="s">
        <v>447</v>
      </c>
      <c r="C146" s="3" t="s">
        <v>448</v>
      </c>
      <c r="F146" t="s">
        <v>449</v>
      </c>
      <c r="G146" s="3" t="s">
        <v>450</v>
      </c>
    </row>
    <row r="147" ht="26" spans="1:7">
      <c r="A147">
        <v>15020</v>
      </c>
      <c r="B147" t="s">
        <v>610</v>
      </c>
      <c r="C147" s="3" t="s">
        <v>611</v>
      </c>
      <c r="F147" t="s">
        <v>612</v>
      </c>
      <c r="G147" s="3" t="s">
        <v>613</v>
      </c>
    </row>
    <row r="148" ht="26" spans="1:7">
      <c r="A148">
        <v>15030</v>
      </c>
      <c r="B148" t="s">
        <v>614</v>
      </c>
      <c r="C148" s="3" t="s">
        <v>615</v>
      </c>
      <c r="F148" t="s">
        <v>616</v>
      </c>
      <c r="G148" s="3" t="s">
        <v>617</v>
      </c>
    </row>
    <row r="149" ht="26" spans="1:7">
      <c r="A149">
        <v>15040</v>
      </c>
      <c r="B149" t="s">
        <v>618</v>
      </c>
      <c r="C149" s="3" t="s">
        <v>619</v>
      </c>
      <c r="F149" t="s">
        <v>620</v>
      </c>
      <c r="G149" s="3" t="s">
        <v>621</v>
      </c>
    </row>
    <row r="150" ht="26" spans="1:7">
      <c r="A150">
        <v>15050</v>
      </c>
      <c r="B150" t="s">
        <v>622</v>
      </c>
      <c r="C150" s="4" t="s">
        <v>623</v>
      </c>
      <c r="F150" t="s">
        <v>624</v>
      </c>
      <c r="G150" s="3" t="s">
        <v>621</v>
      </c>
    </row>
    <row r="151" ht="26" spans="1:7">
      <c r="A151">
        <v>15060</v>
      </c>
      <c r="B151" t="s">
        <v>625</v>
      </c>
      <c r="C151" s="3" t="s">
        <v>626</v>
      </c>
      <c r="F151" t="s">
        <v>627</v>
      </c>
      <c r="G151" s="3" t="s">
        <v>628</v>
      </c>
    </row>
    <row r="152" ht="39" spans="1:7">
      <c r="A152">
        <v>15070</v>
      </c>
      <c r="B152" t="s">
        <v>629</v>
      </c>
      <c r="C152" s="3" t="s">
        <v>630</v>
      </c>
      <c r="D152" t="s">
        <v>631</v>
      </c>
      <c r="F152" t="s">
        <v>632</v>
      </c>
      <c r="G152" s="3" t="s">
        <v>633</v>
      </c>
    </row>
    <row r="153" ht="39" spans="1:7">
      <c r="A153">
        <v>15080</v>
      </c>
      <c r="B153" t="s">
        <v>634</v>
      </c>
      <c r="C153" s="3" t="s">
        <v>635</v>
      </c>
      <c r="F153" t="s">
        <v>636</v>
      </c>
      <c r="G153" s="3" t="s">
        <v>637</v>
      </c>
    </row>
    <row r="154" customFormat="1" ht="26" spans="1:7">
      <c r="A154">
        <v>15110</v>
      </c>
      <c r="B154" t="s">
        <v>638</v>
      </c>
      <c r="C154" s="3" t="s">
        <v>639</v>
      </c>
      <c r="F154" t="s">
        <v>640</v>
      </c>
      <c r="G154" s="3" t="s">
        <v>641</v>
      </c>
    </row>
    <row r="155" customFormat="1" ht="39" spans="1:7">
      <c r="A155">
        <v>15120</v>
      </c>
      <c r="B155" t="s">
        <v>642</v>
      </c>
      <c r="C155" s="3" t="s">
        <v>643</v>
      </c>
      <c r="F155" t="s">
        <v>644</v>
      </c>
      <c r="G155" s="3" t="s">
        <v>645</v>
      </c>
    </row>
    <row r="156" customFormat="1" ht="39" spans="1:7">
      <c r="A156">
        <v>15130</v>
      </c>
      <c r="B156" t="s">
        <v>646</v>
      </c>
      <c r="C156" s="3" t="s">
        <v>647</v>
      </c>
      <c r="F156" t="s">
        <v>648</v>
      </c>
      <c r="G156" s="3" t="s">
        <v>649</v>
      </c>
    </row>
    <row r="157" ht="39" spans="1:7">
      <c r="A157">
        <v>15140</v>
      </c>
      <c r="B157" t="s">
        <v>650</v>
      </c>
      <c r="C157" s="3" t="s">
        <v>651</v>
      </c>
      <c r="F157" t="s">
        <v>652</v>
      </c>
      <c r="G157" s="3" t="s">
        <v>653</v>
      </c>
    </row>
    <row r="158" customFormat="1" ht="52" spans="1:7">
      <c r="A158">
        <v>15510</v>
      </c>
      <c r="B158" t="s">
        <v>654</v>
      </c>
      <c r="C158" s="3" t="s">
        <v>655</v>
      </c>
      <c r="F158" t="s">
        <v>656</v>
      </c>
      <c r="G158" s="3" t="s">
        <v>657</v>
      </c>
    </row>
    <row r="159" customFormat="1" ht="52" spans="1:7">
      <c r="A159">
        <v>15512</v>
      </c>
      <c r="B159" t="s">
        <v>654</v>
      </c>
      <c r="C159" s="3" t="s">
        <v>655</v>
      </c>
      <c r="F159" t="s">
        <v>656</v>
      </c>
      <c r="G159" s="3" t="s">
        <v>657</v>
      </c>
    </row>
    <row r="160" customFormat="1" ht="26" spans="1:7">
      <c r="A160">
        <v>15520</v>
      </c>
      <c r="B160" t="s">
        <v>658</v>
      </c>
      <c r="C160" s="3" t="s">
        <v>659</v>
      </c>
      <c r="F160" t="s">
        <v>660</v>
      </c>
      <c r="G160" s="3" t="s">
        <v>661</v>
      </c>
    </row>
    <row r="161" customFormat="1" ht="39" spans="1:7">
      <c r="A161">
        <v>15530</v>
      </c>
      <c r="B161" t="s">
        <v>662</v>
      </c>
      <c r="C161" s="3" t="s">
        <v>663</v>
      </c>
      <c r="F161" t="s">
        <v>664</v>
      </c>
      <c r="G161" s="3" t="s">
        <v>665</v>
      </c>
    </row>
    <row r="162" ht="26" spans="1:7">
      <c r="A162">
        <v>15910</v>
      </c>
      <c r="B162" t="s">
        <v>367</v>
      </c>
      <c r="C162" s="3" t="s">
        <v>666</v>
      </c>
      <c r="F162" t="s">
        <v>369</v>
      </c>
      <c r="G162" s="3" t="s">
        <v>667</v>
      </c>
    </row>
    <row r="163" ht="26" spans="1:7">
      <c r="A163">
        <v>15920</v>
      </c>
      <c r="B163" t="s">
        <v>668</v>
      </c>
      <c r="C163" s="3" t="s">
        <v>669</v>
      </c>
      <c r="F163" t="s">
        <v>670</v>
      </c>
      <c r="G163" s="3" t="s">
        <v>671</v>
      </c>
    </row>
    <row r="164" ht="26" spans="1:7">
      <c r="A164">
        <v>15930</v>
      </c>
      <c r="B164" t="s">
        <v>672</v>
      </c>
      <c r="C164" s="3" t="s">
        <v>673</v>
      </c>
      <c r="F164" t="s">
        <v>674</v>
      </c>
      <c r="G164" s="3" t="s">
        <v>675</v>
      </c>
    </row>
    <row r="165" ht="52" spans="1:7">
      <c r="A165">
        <v>15940</v>
      </c>
      <c r="B165" t="s">
        <v>676</v>
      </c>
      <c r="C165" s="3" t="s">
        <v>677</v>
      </c>
      <c r="F165" t="s">
        <v>678</v>
      </c>
      <c r="G165" s="3" t="s">
        <v>679</v>
      </c>
    </row>
    <row r="166" spans="1:7">
      <c r="A166">
        <v>20010</v>
      </c>
      <c r="B166" t="s">
        <v>680</v>
      </c>
      <c r="C166" s="4" t="s">
        <v>681</v>
      </c>
      <c r="F166" t="s">
        <v>682</v>
      </c>
      <c r="G166" s="4" t="s">
        <v>683</v>
      </c>
    </row>
    <row r="167" customFormat="1" ht="26" spans="1:7">
      <c r="A167">
        <v>30010</v>
      </c>
      <c r="B167" t="s">
        <v>684</v>
      </c>
      <c r="C167" s="4" t="s">
        <v>685</v>
      </c>
      <c r="F167" t="s">
        <v>686</v>
      </c>
      <c r="G167" s="4" t="s">
        <v>687</v>
      </c>
    </row>
    <row r="168" customFormat="1" ht="39" spans="1:7">
      <c r="A168">
        <v>30020</v>
      </c>
      <c r="B168" t="s">
        <v>688</v>
      </c>
      <c r="C168" s="4" t="s">
        <v>689</v>
      </c>
      <c r="F168" t="s">
        <v>690</v>
      </c>
      <c r="G168" s="4" t="s">
        <v>691</v>
      </c>
    </row>
    <row r="169" customFormat="1" ht="26" spans="1:7">
      <c r="A169">
        <v>30030</v>
      </c>
      <c r="B169" t="s">
        <v>692</v>
      </c>
      <c r="C169" s="4" t="s">
        <v>693</v>
      </c>
      <c r="F169" t="s">
        <v>694</v>
      </c>
      <c r="G169" s="4" t="s">
        <v>695</v>
      </c>
    </row>
    <row r="170" ht="52" spans="1:7">
      <c r="A170">
        <v>100110</v>
      </c>
      <c r="B170" t="s">
        <v>696</v>
      </c>
      <c r="C170" s="3" t="s">
        <v>697</v>
      </c>
      <c r="F170" t="s">
        <v>698</v>
      </c>
      <c r="G170" s="3" t="s">
        <v>699</v>
      </c>
    </row>
    <row r="171" ht="39" spans="1:7">
      <c r="A171">
        <v>100120</v>
      </c>
      <c r="B171" t="s">
        <v>700</v>
      </c>
      <c r="C171" s="3" t="s">
        <v>701</v>
      </c>
      <c r="F171" t="s">
        <v>702</v>
      </c>
      <c r="G171" s="3" t="s">
        <v>703</v>
      </c>
    </row>
    <row r="172" ht="39" spans="1:7">
      <c r="A172">
        <v>100210</v>
      </c>
      <c r="B172" t="s">
        <v>704</v>
      </c>
      <c r="C172" s="3" t="s">
        <v>705</v>
      </c>
      <c r="F172" t="s">
        <v>706</v>
      </c>
      <c r="G172" s="3" t="s">
        <v>707</v>
      </c>
    </row>
    <row r="173" ht="28" customHeight="1" spans="1:7">
      <c r="A173">
        <v>100220</v>
      </c>
      <c r="B173" t="s">
        <v>708</v>
      </c>
      <c r="C173" s="3" t="s">
        <v>709</v>
      </c>
      <c r="F173" t="s">
        <v>710</v>
      </c>
      <c r="G173" s="3" t="s">
        <v>711</v>
      </c>
    </row>
    <row r="174" ht="52" spans="1:7">
      <c r="A174">
        <v>100310</v>
      </c>
      <c r="B174" t="s">
        <v>712</v>
      </c>
      <c r="C174" s="3" t="s">
        <v>713</v>
      </c>
      <c r="F174" t="s">
        <v>714</v>
      </c>
      <c r="G174" s="3" t="s">
        <v>715</v>
      </c>
    </row>
    <row r="175" ht="39" spans="1:7">
      <c r="A175">
        <v>100320</v>
      </c>
      <c r="B175" t="s">
        <v>716</v>
      </c>
      <c r="C175" s="3" t="s">
        <v>717</v>
      </c>
      <c r="F175" t="s">
        <v>718</v>
      </c>
      <c r="G175" s="3" t="s">
        <v>719</v>
      </c>
    </row>
    <row r="176" ht="52" spans="1:7">
      <c r="A176">
        <v>100410</v>
      </c>
      <c r="B176" t="s">
        <v>720</v>
      </c>
      <c r="C176" s="3" t="s">
        <v>721</v>
      </c>
      <c r="F176" t="s">
        <v>722</v>
      </c>
      <c r="G176" s="3" t="s">
        <v>723</v>
      </c>
    </row>
    <row r="177" ht="52" spans="1:7">
      <c r="A177">
        <v>100420</v>
      </c>
      <c r="B177" t="s">
        <v>724</v>
      </c>
      <c r="C177" s="3" t="s">
        <v>725</v>
      </c>
      <c r="F177" t="s">
        <v>726</v>
      </c>
      <c r="G177" s="3" t="s">
        <v>727</v>
      </c>
    </row>
    <row r="178" ht="65" spans="1:7">
      <c r="A178">
        <v>100510</v>
      </c>
      <c r="B178" t="s">
        <v>728</v>
      </c>
      <c r="C178" s="3" t="s">
        <v>729</v>
      </c>
      <c r="F178" t="s">
        <v>730</v>
      </c>
      <c r="G178" s="3" t="s">
        <v>731</v>
      </c>
    </row>
    <row r="179" ht="65" spans="1:7">
      <c r="A179">
        <v>100520</v>
      </c>
      <c r="B179" t="s">
        <v>732</v>
      </c>
      <c r="C179" s="3" t="s">
        <v>733</v>
      </c>
      <c r="F179" t="s">
        <v>734</v>
      </c>
      <c r="G179" s="3" t="s">
        <v>735</v>
      </c>
    </row>
    <row r="180" ht="52" spans="1:7">
      <c r="A180">
        <v>100610</v>
      </c>
      <c r="B180" t="s">
        <v>736</v>
      </c>
      <c r="C180" s="3" t="s">
        <v>737</v>
      </c>
      <c r="F180" t="s">
        <v>738</v>
      </c>
      <c r="G180" s="3" t="s">
        <v>739</v>
      </c>
    </row>
    <row r="181" ht="52" spans="1:7">
      <c r="A181">
        <v>100620</v>
      </c>
      <c r="B181" t="s">
        <v>740</v>
      </c>
      <c r="C181" s="3" t="s">
        <v>741</v>
      </c>
      <c r="F181" t="s">
        <v>742</v>
      </c>
      <c r="G181" s="3" t="s">
        <v>743</v>
      </c>
    </row>
    <row r="182" ht="65" spans="1:7">
      <c r="A182">
        <v>100710</v>
      </c>
      <c r="B182" t="s">
        <v>744</v>
      </c>
      <c r="C182" s="3" t="s">
        <v>745</v>
      </c>
      <c r="F182" t="s">
        <v>746</v>
      </c>
      <c r="G182" s="3" t="s">
        <v>747</v>
      </c>
    </row>
    <row r="183" ht="26" spans="1:7">
      <c r="A183">
        <v>100720</v>
      </c>
      <c r="B183" t="s">
        <v>748</v>
      </c>
      <c r="C183" s="3" t="s">
        <v>749</v>
      </c>
      <c r="F183" t="s">
        <v>750</v>
      </c>
      <c r="G183" s="3" t="s">
        <v>751</v>
      </c>
    </row>
    <row r="184" ht="52" spans="1:7">
      <c r="A184">
        <v>100810</v>
      </c>
      <c r="B184" t="s">
        <v>752</v>
      </c>
      <c r="C184" s="3" t="s">
        <v>753</v>
      </c>
      <c r="F184" t="s">
        <v>754</v>
      </c>
      <c r="G184" s="3" t="s">
        <v>755</v>
      </c>
    </row>
    <row r="185" ht="39" spans="1:7">
      <c r="A185">
        <v>100820</v>
      </c>
      <c r="B185" t="s">
        <v>756</v>
      </c>
      <c r="C185" s="3" t="s">
        <v>701</v>
      </c>
      <c r="F185" t="s">
        <v>757</v>
      </c>
      <c r="G185" s="3" t="s">
        <v>758</v>
      </c>
    </row>
    <row r="186" ht="39" spans="1:7">
      <c r="A186">
        <v>100910</v>
      </c>
      <c r="B186" t="s">
        <v>759</v>
      </c>
      <c r="C186" s="3" t="s">
        <v>760</v>
      </c>
      <c r="F186" t="s">
        <v>761</v>
      </c>
      <c r="G186" s="3" t="s">
        <v>762</v>
      </c>
    </row>
    <row r="187" ht="39" spans="1:7">
      <c r="A187">
        <v>100911</v>
      </c>
      <c r="B187" t="s">
        <v>759</v>
      </c>
      <c r="C187" s="3" t="s">
        <v>760</v>
      </c>
      <c r="F187" t="s">
        <v>761</v>
      </c>
      <c r="G187" s="3" t="s">
        <v>762</v>
      </c>
    </row>
    <row r="188" ht="65" spans="1:7">
      <c r="A188">
        <v>100920</v>
      </c>
      <c r="B188" t="s">
        <v>763</v>
      </c>
      <c r="C188" s="3" t="s">
        <v>764</v>
      </c>
      <c r="F188" t="s">
        <v>765</v>
      </c>
      <c r="G188" s="3" t="s">
        <v>766</v>
      </c>
    </row>
    <row r="189" ht="65" spans="1:7">
      <c r="A189">
        <v>100921</v>
      </c>
      <c r="B189" t="s">
        <v>763</v>
      </c>
      <c r="C189" s="3" t="s">
        <v>764</v>
      </c>
      <c r="F189" t="s">
        <v>765</v>
      </c>
      <c r="G189" s="3" t="s">
        <v>766</v>
      </c>
    </row>
    <row r="190" ht="39" spans="1:7">
      <c r="A190">
        <v>101010</v>
      </c>
      <c r="B190" t="s">
        <v>767</v>
      </c>
      <c r="C190" s="3" t="s">
        <v>768</v>
      </c>
      <c r="D190" s="3"/>
      <c r="F190" t="s">
        <v>769</v>
      </c>
      <c r="G190" s="3" t="s">
        <v>770</v>
      </c>
    </row>
    <row r="191" ht="39" spans="1:7">
      <c r="A191">
        <v>101020</v>
      </c>
      <c r="B191" t="s">
        <v>771</v>
      </c>
      <c r="C191" s="3" t="s">
        <v>701</v>
      </c>
      <c r="F191" t="s">
        <v>772</v>
      </c>
      <c r="G191" s="3" t="s">
        <v>758</v>
      </c>
    </row>
    <row r="192" ht="39" spans="1:7">
      <c r="A192">
        <v>101110</v>
      </c>
      <c r="B192" t="s">
        <v>773</v>
      </c>
      <c r="C192" s="3" t="s">
        <v>774</v>
      </c>
      <c r="F192" t="s">
        <v>775</v>
      </c>
      <c r="G192" s="3" t="s">
        <v>776</v>
      </c>
    </row>
    <row r="193" ht="65" spans="1:7">
      <c r="A193">
        <v>101120</v>
      </c>
      <c r="B193" t="s">
        <v>777</v>
      </c>
      <c r="C193" s="3" t="s">
        <v>778</v>
      </c>
      <c r="F193" t="s">
        <v>779</v>
      </c>
      <c r="G193" s="3" t="s">
        <v>780</v>
      </c>
    </row>
    <row r="194" customFormat="1" ht="52" spans="1:7">
      <c r="A194">
        <v>110110</v>
      </c>
      <c r="B194" t="s">
        <v>781</v>
      </c>
      <c r="C194" s="3" t="s">
        <v>782</v>
      </c>
      <c r="F194" t="s">
        <v>783</v>
      </c>
      <c r="G194" s="3" t="s">
        <v>784</v>
      </c>
    </row>
    <row r="195" customFormat="1" ht="39" spans="1:7">
      <c r="A195">
        <v>110120</v>
      </c>
      <c r="B195" t="s">
        <v>785</v>
      </c>
      <c r="C195" s="3" t="s">
        <v>786</v>
      </c>
      <c r="F195" t="s">
        <v>787</v>
      </c>
      <c r="G195" s="3" t="s">
        <v>788</v>
      </c>
    </row>
    <row r="196" customFormat="1" ht="52" spans="1:7">
      <c r="A196">
        <v>110210</v>
      </c>
      <c r="B196" t="s">
        <v>789</v>
      </c>
      <c r="C196" s="3" t="s">
        <v>790</v>
      </c>
      <c r="F196" t="s">
        <v>791</v>
      </c>
      <c r="G196" s="3" t="s">
        <v>792</v>
      </c>
    </row>
    <row r="197" customFormat="1" ht="39" spans="1:7">
      <c r="A197">
        <v>110220</v>
      </c>
      <c r="B197" t="s">
        <v>793</v>
      </c>
      <c r="C197" s="3" t="s">
        <v>701</v>
      </c>
      <c r="F197" t="s">
        <v>794</v>
      </c>
      <c r="G197" s="3" t="s">
        <v>758</v>
      </c>
    </row>
    <row r="198" customFormat="1" ht="39" spans="1:7">
      <c r="A198">
        <v>200110</v>
      </c>
      <c r="B198" t="s">
        <v>795</v>
      </c>
      <c r="C198" s="3" t="s">
        <v>796</v>
      </c>
      <c r="F198" t="s">
        <v>797</v>
      </c>
      <c r="G198" s="3" t="s">
        <v>798</v>
      </c>
    </row>
    <row r="199" customFormat="1" ht="39" spans="1:7">
      <c r="A199">
        <v>200120</v>
      </c>
      <c r="B199" t="s">
        <v>799</v>
      </c>
      <c r="C199" s="3" t="s">
        <v>800</v>
      </c>
      <c r="F199" t="s">
        <v>801</v>
      </c>
      <c r="G199" s="3" t="s">
        <v>758</v>
      </c>
    </row>
    <row r="200" ht="52" spans="1:7">
      <c r="A200">
        <v>200210</v>
      </c>
      <c r="B200" t="s">
        <v>802</v>
      </c>
      <c r="C200" s="3" t="s">
        <v>803</v>
      </c>
      <c r="F200" t="s">
        <v>804</v>
      </c>
      <c r="G200" s="3" t="s">
        <v>805</v>
      </c>
    </row>
    <row r="201" ht="39" spans="1:7">
      <c r="A201">
        <v>200220</v>
      </c>
      <c r="B201" t="s">
        <v>806</v>
      </c>
      <c r="C201" s="3" t="s">
        <v>807</v>
      </c>
      <c r="F201" t="s">
        <v>808</v>
      </c>
      <c r="G201" s="3" t="s">
        <v>809</v>
      </c>
    </row>
    <row r="202" ht="26" spans="1:7">
      <c r="A202">
        <v>200230</v>
      </c>
      <c r="B202" t="s">
        <v>810</v>
      </c>
      <c r="C202" s="4" t="s">
        <v>811</v>
      </c>
      <c r="F202" t="s">
        <v>812</v>
      </c>
      <c r="G202" s="4" t="s">
        <v>813</v>
      </c>
    </row>
    <row r="203" ht="52" spans="1:7">
      <c r="A203">
        <v>200310</v>
      </c>
      <c r="B203" t="s">
        <v>814</v>
      </c>
      <c r="C203" s="3" t="s">
        <v>815</v>
      </c>
      <c r="F203" t="s">
        <v>816</v>
      </c>
      <c r="G203" s="3" t="s">
        <v>817</v>
      </c>
    </row>
    <row r="204" ht="65" spans="1:7">
      <c r="A204">
        <v>200320</v>
      </c>
      <c r="B204" t="s">
        <v>818</v>
      </c>
      <c r="C204" s="3" t="s">
        <v>819</v>
      </c>
      <c r="F204" t="s">
        <v>820</v>
      </c>
      <c r="G204" s="3" t="s">
        <v>821</v>
      </c>
    </row>
    <row r="205" ht="26" spans="1:7">
      <c r="A205">
        <v>200330</v>
      </c>
      <c r="B205" t="s">
        <v>822</v>
      </c>
      <c r="C205" s="4" t="s">
        <v>823</v>
      </c>
      <c r="F205" t="s">
        <v>824</v>
      </c>
      <c r="G205" s="4" t="s">
        <v>825</v>
      </c>
    </row>
    <row r="206" ht="65" spans="1:7">
      <c r="A206">
        <v>200410</v>
      </c>
      <c r="B206" t="s">
        <v>826</v>
      </c>
      <c r="C206" s="3" t="s">
        <v>827</v>
      </c>
      <c r="F206" t="s">
        <v>828</v>
      </c>
      <c r="G206" s="3" t="s">
        <v>829</v>
      </c>
    </row>
    <row r="207" ht="78" spans="1:7">
      <c r="A207">
        <v>200411</v>
      </c>
      <c r="B207" t="s">
        <v>826</v>
      </c>
      <c r="C207" s="3" t="s">
        <v>830</v>
      </c>
      <c r="F207" t="s">
        <v>828</v>
      </c>
      <c r="G207" s="3" t="s">
        <v>831</v>
      </c>
    </row>
    <row r="208" ht="39" spans="1:7">
      <c r="A208">
        <v>200420</v>
      </c>
      <c r="B208" t="s">
        <v>832</v>
      </c>
      <c r="C208" s="3" t="s">
        <v>833</v>
      </c>
      <c r="F208" t="s">
        <v>834</v>
      </c>
      <c r="G208" s="3" t="s">
        <v>835</v>
      </c>
    </row>
    <row r="209" spans="1:7">
      <c r="A209">
        <v>200430</v>
      </c>
      <c r="B209" t="s">
        <v>836</v>
      </c>
      <c r="C209" s="3" t="s">
        <v>837</v>
      </c>
      <c r="F209" t="s">
        <v>838</v>
      </c>
      <c r="G209" s="3" t="s">
        <v>839</v>
      </c>
    </row>
    <row r="210" ht="52" spans="1:7">
      <c r="A210">
        <v>200510</v>
      </c>
      <c r="B210" t="s">
        <v>840</v>
      </c>
      <c r="C210" s="3" t="s">
        <v>841</v>
      </c>
      <c r="F210" t="s">
        <v>842</v>
      </c>
      <c r="G210" s="3" t="s">
        <v>843</v>
      </c>
    </row>
    <row r="211" ht="39" spans="1:7">
      <c r="A211">
        <v>200520</v>
      </c>
      <c r="B211" t="s">
        <v>844</v>
      </c>
      <c r="C211" s="3" t="s">
        <v>845</v>
      </c>
      <c r="F211" t="s">
        <v>846</v>
      </c>
      <c r="G211" s="3" t="s">
        <v>847</v>
      </c>
    </row>
    <row r="212" ht="39" spans="1:7">
      <c r="A212">
        <v>200530</v>
      </c>
      <c r="B212" t="s">
        <v>848</v>
      </c>
      <c r="C212" s="4" t="s">
        <v>849</v>
      </c>
      <c r="F212" t="s">
        <v>850</v>
      </c>
      <c r="G212" s="4" t="s">
        <v>851</v>
      </c>
    </row>
    <row r="213" ht="65" spans="1:7">
      <c r="A213">
        <v>201010</v>
      </c>
      <c r="B213" t="s">
        <v>852</v>
      </c>
      <c r="C213" s="3" t="s">
        <v>853</v>
      </c>
      <c r="F213" t="s">
        <v>854</v>
      </c>
      <c r="G213" s="3" t="s">
        <v>855</v>
      </c>
    </row>
    <row r="214" ht="39" spans="1:7">
      <c r="A214">
        <v>201020</v>
      </c>
      <c r="B214" t="s">
        <v>856</v>
      </c>
      <c r="C214" s="3" t="s">
        <v>857</v>
      </c>
      <c r="F214" t="s">
        <v>858</v>
      </c>
      <c r="G214" s="3" t="s">
        <v>859</v>
      </c>
    </row>
    <row r="215" ht="39" spans="1:7">
      <c r="A215">
        <v>201030</v>
      </c>
      <c r="B215" t="s">
        <v>860</v>
      </c>
      <c r="C215" s="4" t="s">
        <v>663</v>
      </c>
      <c r="F215" t="s">
        <v>861</v>
      </c>
      <c r="G215" s="4" t="s">
        <v>862</v>
      </c>
    </row>
    <row r="216" ht="65" spans="1:7">
      <c r="A216">
        <v>209310</v>
      </c>
      <c r="B216" t="s">
        <v>863</v>
      </c>
      <c r="C216" s="3" t="s">
        <v>864</v>
      </c>
      <c r="F216" t="s">
        <v>865</v>
      </c>
      <c r="G216" s="3" t="s">
        <v>866</v>
      </c>
    </row>
    <row r="217" ht="65" spans="1:7">
      <c r="A217">
        <v>209320</v>
      </c>
      <c r="B217" t="s">
        <v>867</v>
      </c>
      <c r="C217" s="3" t="s">
        <v>868</v>
      </c>
      <c r="F217" t="s">
        <v>869</v>
      </c>
      <c r="G217" s="3" t="s">
        <v>870</v>
      </c>
    </row>
    <row r="218" ht="39" spans="1:7">
      <c r="A218">
        <v>209330</v>
      </c>
      <c r="B218" t="s">
        <v>871</v>
      </c>
      <c r="C218" s="4" t="s">
        <v>872</v>
      </c>
      <c r="F218" t="s">
        <v>873</v>
      </c>
      <c r="G218" s="4" t="s">
        <v>874</v>
      </c>
    </row>
    <row r="219" ht="26" spans="1:7">
      <c r="A219">
        <v>300010</v>
      </c>
      <c r="B219" t="s">
        <v>875</v>
      </c>
      <c r="C219" s="3" t="s">
        <v>876</v>
      </c>
      <c r="F219" t="s">
        <v>875</v>
      </c>
      <c r="G219" s="3" t="s">
        <v>876</v>
      </c>
    </row>
    <row r="220" ht="26" spans="1:7">
      <c r="A220">
        <v>300020</v>
      </c>
      <c r="B220" t="s">
        <v>877</v>
      </c>
      <c r="C220" s="3" t="s">
        <v>878</v>
      </c>
      <c r="F220" t="s">
        <v>877</v>
      </c>
      <c r="G220" s="3" t="s">
        <v>878</v>
      </c>
    </row>
    <row r="221" ht="26" spans="1:7">
      <c r="A221">
        <v>300030</v>
      </c>
      <c r="B221" t="s">
        <v>879</v>
      </c>
      <c r="C221" s="3" t="s">
        <v>880</v>
      </c>
      <c r="F221" t="s">
        <v>879</v>
      </c>
      <c r="G221" s="3" t="s">
        <v>880</v>
      </c>
    </row>
    <row r="222" ht="26" spans="1:7">
      <c r="A222">
        <v>300040</v>
      </c>
      <c r="B222" t="s">
        <v>881</v>
      </c>
      <c r="C222" s="3" t="s">
        <v>882</v>
      </c>
      <c r="F222" t="s">
        <v>881</v>
      </c>
      <c r="G222" s="3" t="s">
        <v>882</v>
      </c>
    </row>
    <row r="223" ht="26" spans="1:7">
      <c r="A223">
        <v>300050</v>
      </c>
      <c r="B223" t="s">
        <v>883</v>
      </c>
      <c r="C223" s="3" t="s">
        <v>884</v>
      </c>
      <c r="F223" t="s">
        <v>883</v>
      </c>
      <c r="G223" s="3" t="s">
        <v>884</v>
      </c>
    </row>
    <row r="224" ht="26" spans="1:7">
      <c r="A224">
        <v>300130</v>
      </c>
      <c r="B224" t="s">
        <v>885</v>
      </c>
      <c r="C224" s="3" t="s">
        <v>886</v>
      </c>
      <c r="F224" t="s">
        <v>885</v>
      </c>
      <c r="G224" s="3" t="s">
        <v>886</v>
      </c>
    </row>
    <row r="225" ht="26" spans="1:7">
      <c r="A225">
        <v>300140</v>
      </c>
      <c r="B225" t="s">
        <v>887</v>
      </c>
      <c r="C225" s="3" t="s">
        <v>888</v>
      </c>
      <c r="F225" t="s">
        <v>887</v>
      </c>
      <c r="G225" s="3" t="s">
        <v>888</v>
      </c>
    </row>
    <row r="226" ht="26" spans="1:7">
      <c r="A226">
        <v>300210</v>
      </c>
      <c r="B226" t="s">
        <v>889</v>
      </c>
      <c r="C226" s="3" t="s">
        <v>890</v>
      </c>
      <c r="F226" t="s">
        <v>889</v>
      </c>
      <c r="G226" s="3" t="s">
        <v>890</v>
      </c>
    </row>
    <row r="227" ht="26" spans="1:7">
      <c r="A227">
        <v>300220</v>
      </c>
      <c r="B227" t="s">
        <v>891</v>
      </c>
      <c r="C227" s="3" t="s">
        <v>892</v>
      </c>
      <c r="F227" t="s">
        <v>891</v>
      </c>
      <c r="G227" s="3" t="s">
        <v>892</v>
      </c>
    </row>
    <row r="228" ht="39" spans="1:7">
      <c r="A228">
        <v>300230</v>
      </c>
      <c r="B228" t="s">
        <v>893</v>
      </c>
      <c r="C228" s="3" t="s">
        <v>894</v>
      </c>
      <c r="F228" t="s">
        <v>893</v>
      </c>
      <c r="G228" s="3" t="s">
        <v>894</v>
      </c>
    </row>
    <row r="229" ht="26" spans="1:7">
      <c r="A229">
        <v>301010</v>
      </c>
      <c r="B229" t="s">
        <v>895</v>
      </c>
      <c r="C229" s="3" t="s">
        <v>896</v>
      </c>
      <c r="F229" t="s">
        <v>895</v>
      </c>
      <c r="G229" s="3" t="s">
        <v>896</v>
      </c>
    </row>
    <row r="230" ht="26" spans="1:7">
      <c r="A230">
        <v>301020</v>
      </c>
      <c r="B230" t="s">
        <v>897</v>
      </c>
      <c r="C230" s="3" t="s">
        <v>898</v>
      </c>
      <c r="F230" t="s">
        <v>897</v>
      </c>
      <c r="G230" s="3" t="s">
        <v>898</v>
      </c>
    </row>
    <row r="231" ht="26" spans="1:7">
      <c r="A231">
        <v>301030</v>
      </c>
      <c r="B231" t="s">
        <v>899</v>
      </c>
      <c r="C231" s="3" t="s">
        <v>900</v>
      </c>
      <c r="F231" t="s">
        <v>899</v>
      </c>
      <c r="G231" s="3" t="s">
        <v>900</v>
      </c>
    </row>
    <row r="232" ht="52" spans="1:7">
      <c r="A232">
        <v>301040</v>
      </c>
      <c r="B232" t="s">
        <v>901</v>
      </c>
      <c r="C232" s="3" t="s">
        <v>902</v>
      </c>
      <c r="F232" t="s">
        <v>901</v>
      </c>
      <c r="G232" s="3" t="s">
        <v>902</v>
      </c>
    </row>
    <row r="233" ht="26" spans="1:7">
      <c r="A233">
        <v>301050</v>
      </c>
      <c r="B233" t="s">
        <v>903</v>
      </c>
      <c r="C233" s="3" t="s">
        <v>904</v>
      </c>
      <c r="F233" t="s">
        <v>903</v>
      </c>
      <c r="G233" s="3" t="s">
        <v>904</v>
      </c>
    </row>
    <row r="234" ht="39" spans="1:7">
      <c r="A234">
        <v>301060</v>
      </c>
      <c r="B234" t="s">
        <v>905</v>
      </c>
      <c r="C234" s="3" t="s">
        <v>906</v>
      </c>
      <c r="F234" t="s">
        <v>905</v>
      </c>
      <c r="G234" s="3" t="s">
        <v>906</v>
      </c>
    </row>
    <row r="235" ht="26" spans="1:7">
      <c r="A235">
        <v>301070</v>
      </c>
      <c r="B235" t="s">
        <v>907</v>
      </c>
      <c r="C235" s="3" t="s">
        <v>876</v>
      </c>
      <c r="F235" t="s">
        <v>907</v>
      </c>
      <c r="G235" s="3" t="s">
        <v>876</v>
      </c>
    </row>
    <row r="236" ht="39" spans="1:7">
      <c r="A236">
        <v>301080</v>
      </c>
      <c r="B236" t="s">
        <v>908</v>
      </c>
      <c r="C236" s="3" t="s">
        <v>909</v>
      </c>
      <c r="F236" t="s">
        <v>908</v>
      </c>
      <c r="G236" s="3" t="s">
        <v>909</v>
      </c>
    </row>
    <row r="237" ht="39" spans="1:7">
      <c r="A237">
        <v>301090</v>
      </c>
      <c r="B237" t="s">
        <v>910</v>
      </c>
      <c r="C237" s="3" t="s">
        <v>911</v>
      </c>
      <c r="F237" t="s">
        <v>910</v>
      </c>
      <c r="G237" s="3" t="s">
        <v>911</v>
      </c>
    </row>
    <row r="238" ht="26" spans="1:7">
      <c r="A238">
        <v>301100</v>
      </c>
      <c r="B238" t="s">
        <v>912</v>
      </c>
      <c r="C238" s="3" t="s">
        <v>913</v>
      </c>
      <c r="F238" t="s">
        <v>912</v>
      </c>
      <c r="G238" s="3" t="s">
        <v>913</v>
      </c>
    </row>
    <row r="239" ht="26" spans="1:7">
      <c r="A239">
        <v>310010</v>
      </c>
      <c r="B239" t="s">
        <v>914</v>
      </c>
      <c r="C239" s="3" t="s">
        <v>583</v>
      </c>
      <c r="F239" t="s">
        <v>915</v>
      </c>
      <c r="G239" s="3" t="s">
        <v>916</v>
      </c>
    </row>
    <row r="240" customFormat="1" ht="26" spans="1:7">
      <c r="A240">
        <v>310020</v>
      </c>
      <c r="B240" t="s">
        <v>917</v>
      </c>
      <c r="C240" s="3" t="s">
        <v>918</v>
      </c>
      <c r="F240" t="s">
        <v>919</v>
      </c>
      <c r="G240" s="3" t="s">
        <v>920</v>
      </c>
    </row>
    <row r="241" customFormat="1" spans="1:7">
      <c r="A241">
        <v>310030</v>
      </c>
      <c r="B241" t="s">
        <v>921</v>
      </c>
      <c r="C241" s="3" t="s">
        <v>922</v>
      </c>
      <c r="F241" t="s">
        <v>923</v>
      </c>
      <c r="G241" s="3" t="s">
        <v>924</v>
      </c>
    </row>
    <row r="242" customFormat="1" ht="26" spans="1:7">
      <c r="A242">
        <v>310040</v>
      </c>
      <c r="B242" t="s">
        <v>925</v>
      </c>
      <c r="C242" s="3" t="s">
        <v>429</v>
      </c>
      <c r="F242" t="s">
        <v>926</v>
      </c>
      <c r="G242" s="3" t="s">
        <v>927</v>
      </c>
    </row>
    <row r="243" customFormat="1" ht="26" spans="1:7">
      <c r="A243">
        <v>310050</v>
      </c>
      <c r="B243" t="s">
        <v>928</v>
      </c>
      <c r="C243" s="3" t="s">
        <v>929</v>
      </c>
      <c r="F243" t="s">
        <v>930</v>
      </c>
      <c r="G243" s="3" t="s">
        <v>931</v>
      </c>
    </row>
    <row r="244" customFormat="1" ht="26" spans="1:7">
      <c r="A244">
        <v>310060</v>
      </c>
      <c r="B244" t="s">
        <v>932</v>
      </c>
      <c r="C244" s="3" t="s">
        <v>880</v>
      </c>
      <c r="F244" t="s">
        <v>933</v>
      </c>
      <c r="G244" s="3" t="s">
        <v>934</v>
      </c>
    </row>
    <row r="245" customFormat="1" ht="26" spans="1:7">
      <c r="A245">
        <v>310070</v>
      </c>
      <c r="B245" t="s">
        <v>935</v>
      </c>
      <c r="C245" s="3" t="s">
        <v>882</v>
      </c>
      <c r="F245" t="s">
        <v>936</v>
      </c>
      <c r="G245" s="3" t="s">
        <v>937</v>
      </c>
    </row>
    <row r="246" customFormat="1" ht="26" spans="1:7">
      <c r="A246">
        <v>310080</v>
      </c>
      <c r="B246" t="s">
        <v>938</v>
      </c>
      <c r="C246" s="3" t="s">
        <v>884</v>
      </c>
      <c r="F246" t="s">
        <v>369</v>
      </c>
      <c r="G246" s="3" t="s">
        <v>939</v>
      </c>
    </row>
    <row r="247" customFormat="1" spans="1:7">
      <c r="A247">
        <v>310090</v>
      </c>
      <c r="B247" t="s">
        <v>684</v>
      </c>
      <c r="C247" s="4" t="s">
        <v>940</v>
      </c>
      <c r="F247" t="s">
        <v>686</v>
      </c>
      <c r="G247" s="4" t="s">
        <v>941</v>
      </c>
    </row>
    <row r="248" customFormat="1" ht="39" spans="1:7">
      <c r="A248">
        <v>310100</v>
      </c>
      <c r="B248" t="s">
        <v>942</v>
      </c>
      <c r="C248" s="3" t="s">
        <v>943</v>
      </c>
      <c r="F248" t="s">
        <v>944</v>
      </c>
      <c r="G248" s="3" t="s">
        <v>943</v>
      </c>
    </row>
    <row r="249" customFormat="1" ht="26" spans="1:7">
      <c r="A249">
        <v>310110</v>
      </c>
      <c r="B249" t="s">
        <v>945</v>
      </c>
      <c r="C249" s="3" t="s">
        <v>946</v>
      </c>
      <c r="F249" t="s">
        <v>947</v>
      </c>
      <c r="G249" s="3" t="s">
        <v>948</v>
      </c>
    </row>
    <row r="250" customFormat="1" ht="26" spans="1:7">
      <c r="A250">
        <v>310120</v>
      </c>
      <c r="B250" t="s">
        <v>891</v>
      </c>
      <c r="C250" s="3" t="s">
        <v>949</v>
      </c>
      <c r="F250" t="s">
        <v>950</v>
      </c>
      <c r="G250" s="3" t="s">
        <v>951</v>
      </c>
    </row>
    <row r="251" customFormat="1" ht="52" spans="1:7">
      <c r="A251">
        <v>310130</v>
      </c>
      <c r="B251" t="s">
        <v>952</v>
      </c>
      <c r="C251" s="3" t="s">
        <v>953</v>
      </c>
      <c r="F251" t="s">
        <v>954</v>
      </c>
      <c r="G251" s="3" t="s">
        <v>955</v>
      </c>
    </row>
    <row r="252" customFormat="1" ht="26" spans="1:7">
      <c r="A252">
        <v>320010</v>
      </c>
      <c r="B252" t="s">
        <v>956</v>
      </c>
      <c r="C252" s="3" t="s">
        <v>957</v>
      </c>
      <c r="F252" t="s">
        <v>956</v>
      </c>
      <c r="G252" s="3" t="s">
        <v>957</v>
      </c>
    </row>
    <row r="253" customFormat="1" ht="26" spans="1:7">
      <c r="A253">
        <v>320011</v>
      </c>
      <c r="B253" t="s">
        <v>958</v>
      </c>
      <c r="C253" s="3" t="s">
        <v>959</v>
      </c>
      <c r="F253" t="s">
        <v>958</v>
      </c>
      <c r="G253" s="3" t="s">
        <v>959</v>
      </c>
    </row>
    <row r="254" customFormat="1" ht="26" spans="1:7">
      <c r="A254">
        <v>320012</v>
      </c>
      <c r="B254" t="s">
        <v>960</v>
      </c>
      <c r="C254" s="3" t="s">
        <v>961</v>
      </c>
      <c r="F254" t="s">
        <v>960</v>
      </c>
      <c r="G254" s="3" t="s">
        <v>961</v>
      </c>
    </row>
    <row r="255" customFormat="1" ht="26" spans="1:7">
      <c r="A255">
        <v>320020</v>
      </c>
      <c r="B255" t="s">
        <v>962</v>
      </c>
      <c r="C255" s="3" t="s">
        <v>963</v>
      </c>
      <c r="F255" t="s">
        <v>962</v>
      </c>
      <c r="G255" s="3" t="s">
        <v>963</v>
      </c>
    </row>
    <row r="256" customFormat="1" ht="26" spans="1:7">
      <c r="A256">
        <v>320021</v>
      </c>
      <c r="B256" t="s">
        <v>964</v>
      </c>
      <c r="C256" s="3" t="s">
        <v>965</v>
      </c>
      <c r="F256" t="s">
        <v>964</v>
      </c>
      <c r="G256" s="3" t="s">
        <v>965</v>
      </c>
    </row>
    <row r="257" customFormat="1" ht="26" spans="1:7">
      <c r="A257">
        <v>320022</v>
      </c>
      <c r="B257" t="s">
        <v>966</v>
      </c>
      <c r="C257" s="3" t="s">
        <v>967</v>
      </c>
      <c r="F257" t="s">
        <v>966</v>
      </c>
      <c r="G257" s="3" t="s">
        <v>967</v>
      </c>
    </row>
    <row r="258" customFormat="1" ht="26" spans="1:7">
      <c r="A258">
        <v>320030</v>
      </c>
      <c r="B258" t="s">
        <v>968</v>
      </c>
      <c r="C258" s="3" t="s">
        <v>969</v>
      </c>
      <c r="F258" t="s">
        <v>968</v>
      </c>
      <c r="G258" s="3" t="s">
        <v>969</v>
      </c>
    </row>
    <row r="259" customFormat="1" ht="26" spans="1:7">
      <c r="A259">
        <v>320031</v>
      </c>
      <c r="B259" t="s">
        <v>970</v>
      </c>
      <c r="C259" s="3" t="s">
        <v>971</v>
      </c>
      <c r="F259" t="s">
        <v>970</v>
      </c>
      <c r="G259" s="3" t="s">
        <v>971</v>
      </c>
    </row>
    <row r="260" customFormat="1" ht="26" spans="1:7">
      <c r="A260">
        <v>320032</v>
      </c>
      <c r="B260" t="s">
        <v>972</v>
      </c>
      <c r="C260" s="3" t="s">
        <v>973</v>
      </c>
      <c r="F260" t="s">
        <v>972</v>
      </c>
      <c r="G260" s="3" t="s">
        <v>973</v>
      </c>
    </row>
    <row r="261" customFormat="1" spans="1:7">
      <c r="A261">
        <v>320040</v>
      </c>
      <c r="B261" t="s">
        <v>974</v>
      </c>
      <c r="C261" s="3" t="s">
        <v>975</v>
      </c>
      <c r="F261" t="s">
        <v>974</v>
      </c>
      <c r="G261" s="3" t="s">
        <v>975</v>
      </c>
    </row>
    <row r="262" customFormat="1" spans="1:7">
      <c r="A262">
        <v>321010</v>
      </c>
      <c r="B262" t="s">
        <v>976</v>
      </c>
      <c r="C262" t="s">
        <v>977</v>
      </c>
      <c r="F262" t="s">
        <v>976</v>
      </c>
      <c r="G262" t="s">
        <v>977</v>
      </c>
    </row>
    <row r="263" customFormat="1" spans="1:7">
      <c r="A263">
        <v>321020</v>
      </c>
      <c r="B263" t="s">
        <v>978</v>
      </c>
      <c r="C263" t="s">
        <v>979</v>
      </c>
      <c r="F263" t="s">
        <v>978</v>
      </c>
      <c r="G263" t="s">
        <v>979</v>
      </c>
    </row>
    <row r="264" customFormat="1" spans="1:7">
      <c r="A264">
        <v>321030</v>
      </c>
      <c r="B264" t="s">
        <v>980</v>
      </c>
      <c r="C264" t="s">
        <v>981</v>
      </c>
      <c r="F264" t="s">
        <v>980</v>
      </c>
      <c r="G264" t="s">
        <v>981</v>
      </c>
    </row>
    <row r="265" customFormat="1" spans="1:7">
      <c r="A265">
        <v>321040</v>
      </c>
      <c r="B265" t="s">
        <v>982</v>
      </c>
      <c r="C265" t="s">
        <v>983</v>
      </c>
      <c r="F265" t="s">
        <v>982</v>
      </c>
      <c r="G265" t="s">
        <v>983</v>
      </c>
    </row>
    <row r="266" customFormat="1" spans="1:7">
      <c r="A266">
        <v>321050</v>
      </c>
      <c r="B266" t="s">
        <v>984</v>
      </c>
      <c r="C266" t="s">
        <v>985</v>
      </c>
      <c r="F266" t="s">
        <v>984</v>
      </c>
      <c r="G266" t="s">
        <v>985</v>
      </c>
    </row>
    <row r="267" customFormat="1" spans="1:7">
      <c r="A267">
        <v>322010</v>
      </c>
      <c r="B267" t="s">
        <v>986</v>
      </c>
      <c r="C267" t="s">
        <v>987</v>
      </c>
      <c r="F267" t="s">
        <v>986</v>
      </c>
      <c r="G267" t="s">
        <v>987</v>
      </c>
    </row>
    <row r="268" customFormat="1" spans="1:7">
      <c r="A268">
        <v>322020</v>
      </c>
      <c r="B268" t="s">
        <v>988</v>
      </c>
      <c r="C268" t="s">
        <v>989</v>
      </c>
      <c r="F268" t="s">
        <v>988</v>
      </c>
      <c r="G268" t="s">
        <v>989</v>
      </c>
    </row>
    <row r="269" customFormat="1" spans="1:7">
      <c r="A269">
        <v>322030</v>
      </c>
      <c r="B269" t="s">
        <v>990</v>
      </c>
      <c r="C269" t="s">
        <v>991</v>
      </c>
      <c r="F269" t="s">
        <v>990</v>
      </c>
      <c r="G269" t="s">
        <v>991</v>
      </c>
    </row>
    <row r="270" customFormat="1" spans="1:7">
      <c r="A270">
        <v>322040</v>
      </c>
      <c r="B270" t="s">
        <v>992</v>
      </c>
      <c r="C270" t="s">
        <v>993</v>
      </c>
      <c r="F270" t="s">
        <v>992</v>
      </c>
      <c r="G270" t="s">
        <v>993</v>
      </c>
    </row>
    <row r="271" spans="1:7">
      <c r="A271">
        <v>401010</v>
      </c>
      <c r="B271" t="s">
        <v>994</v>
      </c>
      <c r="C271" s="3" t="s">
        <v>995</v>
      </c>
      <c r="F271" t="s">
        <v>994</v>
      </c>
      <c r="G271" s="3" t="s">
        <v>995</v>
      </c>
    </row>
    <row r="272" spans="1:7">
      <c r="A272">
        <v>401020</v>
      </c>
      <c r="B272" t="s">
        <v>996</v>
      </c>
      <c r="C272" s="3" t="s">
        <v>995</v>
      </c>
      <c r="F272" t="s">
        <v>996</v>
      </c>
      <c r="G272" s="3" t="s">
        <v>995</v>
      </c>
    </row>
    <row r="273" spans="1:7">
      <c r="A273">
        <v>401030</v>
      </c>
      <c r="B273" t="s">
        <v>997</v>
      </c>
      <c r="C273" s="3" t="s">
        <v>998</v>
      </c>
      <c r="F273" t="s">
        <v>997</v>
      </c>
      <c r="G273" s="3" t="s">
        <v>998</v>
      </c>
    </row>
    <row r="274" spans="1:7">
      <c r="A274">
        <v>401040</v>
      </c>
      <c r="B274" t="s">
        <v>999</v>
      </c>
      <c r="C274" t="s">
        <v>1000</v>
      </c>
      <c r="F274" t="s">
        <v>999</v>
      </c>
      <c r="G274" t="s">
        <v>1000</v>
      </c>
    </row>
    <row r="275" spans="1:7">
      <c r="A275">
        <v>401050</v>
      </c>
      <c r="B275" t="s">
        <v>1001</v>
      </c>
      <c r="C275" s="3" t="s">
        <v>995</v>
      </c>
      <c r="F275" t="s">
        <v>1001</v>
      </c>
      <c r="G275" s="3" t="s">
        <v>995</v>
      </c>
    </row>
    <row r="276" spans="1:7">
      <c r="A276">
        <v>401060</v>
      </c>
      <c r="B276" t="s">
        <v>1002</v>
      </c>
      <c r="C276" s="3" t="s">
        <v>995</v>
      </c>
      <c r="F276" t="s">
        <v>1002</v>
      </c>
      <c r="G276" s="3" t="s">
        <v>995</v>
      </c>
    </row>
    <row r="277" spans="1:7">
      <c r="A277">
        <v>401070</v>
      </c>
      <c r="B277" t="s">
        <v>1003</v>
      </c>
      <c r="C277" s="3" t="s">
        <v>1004</v>
      </c>
      <c r="F277" t="s">
        <v>1003</v>
      </c>
      <c r="G277" s="3" t="s">
        <v>1004</v>
      </c>
    </row>
    <row r="278" spans="1:7">
      <c r="A278">
        <v>401080</v>
      </c>
      <c r="B278" t="s">
        <v>1005</v>
      </c>
      <c r="C278" s="3" t="s">
        <v>1006</v>
      </c>
      <c r="F278" t="s">
        <v>1005</v>
      </c>
      <c r="G278" s="3" t="s">
        <v>1006</v>
      </c>
    </row>
    <row r="279" spans="1:7">
      <c r="A279">
        <v>402010</v>
      </c>
      <c r="B279" t="s">
        <v>1007</v>
      </c>
      <c r="C279" s="3" t="s">
        <v>995</v>
      </c>
      <c r="F279" t="s">
        <v>1007</v>
      </c>
      <c r="G279" s="3" t="s">
        <v>995</v>
      </c>
    </row>
    <row r="280" spans="1:7">
      <c r="A280">
        <v>402020</v>
      </c>
      <c r="B280" t="s">
        <v>1008</v>
      </c>
      <c r="C280" t="s">
        <v>1009</v>
      </c>
      <c r="F280" t="s">
        <v>1008</v>
      </c>
      <c r="G280" t="s">
        <v>1009</v>
      </c>
    </row>
    <row r="281" spans="1:7">
      <c r="A281">
        <v>402030</v>
      </c>
      <c r="B281" t="s">
        <v>1010</v>
      </c>
      <c r="C281" s="3" t="s">
        <v>1004</v>
      </c>
      <c r="F281" t="s">
        <v>1010</v>
      </c>
      <c r="G281" s="3" t="s">
        <v>1004</v>
      </c>
    </row>
    <row r="282" spans="1:7">
      <c r="A282">
        <v>402040</v>
      </c>
      <c r="B282" t="s">
        <v>1011</v>
      </c>
      <c r="C282" s="4" t="s">
        <v>1012</v>
      </c>
      <c r="F282" t="s">
        <v>1011</v>
      </c>
      <c r="G282" s="4" t="s">
        <v>1012</v>
      </c>
    </row>
    <row r="283" spans="1:7">
      <c r="A283">
        <v>402050</v>
      </c>
      <c r="B283" t="s">
        <v>1013</v>
      </c>
      <c r="C283" s="3" t="s">
        <v>1004</v>
      </c>
      <c r="F283" t="s">
        <v>1013</v>
      </c>
      <c r="G283" s="3" t="s">
        <v>1004</v>
      </c>
    </row>
    <row r="284" spans="1:7">
      <c r="A284">
        <v>402060</v>
      </c>
      <c r="B284" t="s">
        <v>1014</v>
      </c>
      <c r="C284" s="3" t="s">
        <v>995</v>
      </c>
      <c r="F284" t="s">
        <v>1014</v>
      </c>
      <c r="G284" s="3" t="s">
        <v>995</v>
      </c>
    </row>
    <row r="285" spans="1:7">
      <c r="A285">
        <v>402070</v>
      </c>
      <c r="B285" t="s">
        <v>1015</v>
      </c>
      <c r="C285" s="3" t="s">
        <v>1016</v>
      </c>
      <c r="F285" t="s">
        <v>1015</v>
      </c>
      <c r="G285" s="3" t="s">
        <v>1016</v>
      </c>
    </row>
    <row r="286" spans="1:7">
      <c r="A286">
        <v>402080</v>
      </c>
      <c r="B286" t="s">
        <v>1017</v>
      </c>
      <c r="C286" s="3" t="s">
        <v>1018</v>
      </c>
      <c r="F286" t="s">
        <v>1017</v>
      </c>
      <c r="G286" s="3" t="s">
        <v>1018</v>
      </c>
    </row>
    <row r="287" spans="1:7">
      <c r="A287">
        <v>403010</v>
      </c>
      <c r="B287" t="s">
        <v>1019</v>
      </c>
      <c r="C287" s="3" t="s">
        <v>995</v>
      </c>
      <c r="F287" t="s">
        <v>1019</v>
      </c>
      <c r="G287" s="3" t="s">
        <v>995</v>
      </c>
    </row>
    <row r="288" spans="1:7">
      <c r="A288">
        <v>403020</v>
      </c>
      <c r="B288" t="s">
        <v>1020</v>
      </c>
      <c r="C288" s="3" t="s">
        <v>1021</v>
      </c>
      <c r="F288" t="s">
        <v>1020</v>
      </c>
      <c r="G288" s="3" t="s">
        <v>1021</v>
      </c>
    </row>
    <row r="289" spans="1:7">
      <c r="A289">
        <v>403030</v>
      </c>
      <c r="B289" t="s">
        <v>1022</v>
      </c>
      <c r="C289" s="4" t="s">
        <v>1023</v>
      </c>
      <c r="F289" t="s">
        <v>1022</v>
      </c>
      <c r="G289" s="4" t="s">
        <v>1023</v>
      </c>
    </row>
    <row r="290" spans="1:7">
      <c r="A290">
        <v>403040</v>
      </c>
      <c r="B290" t="s">
        <v>1024</v>
      </c>
      <c r="C290" s="3" t="s">
        <v>1025</v>
      </c>
      <c r="F290" t="s">
        <v>1024</v>
      </c>
      <c r="G290" s="3" t="s">
        <v>1025</v>
      </c>
    </row>
    <row r="291" spans="1:7">
      <c r="A291">
        <v>403050</v>
      </c>
      <c r="B291" t="s">
        <v>1026</v>
      </c>
      <c r="C291" s="3" t="s">
        <v>1027</v>
      </c>
      <c r="F291" t="s">
        <v>1026</v>
      </c>
      <c r="G291" s="3" t="s">
        <v>1027</v>
      </c>
    </row>
    <row r="292" spans="1:7">
      <c r="A292">
        <v>403060</v>
      </c>
      <c r="B292" t="s">
        <v>1028</v>
      </c>
      <c r="C292" s="4" t="s">
        <v>1029</v>
      </c>
      <c r="F292" t="s">
        <v>1028</v>
      </c>
      <c r="G292" s="4" t="s">
        <v>1029</v>
      </c>
    </row>
    <row r="293" spans="1:7">
      <c r="A293">
        <v>403070</v>
      </c>
      <c r="B293" t="s">
        <v>1030</v>
      </c>
      <c r="C293" s="4" t="s">
        <v>1031</v>
      </c>
      <c r="F293" t="s">
        <v>1030</v>
      </c>
      <c r="G293" s="4" t="s">
        <v>1031</v>
      </c>
    </row>
    <row r="294" spans="1:7">
      <c r="A294">
        <v>403080</v>
      </c>
      <c r="B294" t="s">
        <v>1032</v>
      </c>
      <c r="C294" s="3" t="s">
        <v>1033</v>
      </c>
      <c r="F294" t="s">
        <v>1032</v>
      </c>
      <c r="G294" s="3" t="s">
        <v>1033</v>
      </c>
    </row>
    <row r="295" spans="1:7">
      <c r="A295">
        <v>404010</v>
      </c>
      <c r="B295" t="s">
        <v>1034</v>
      </c>
      <c r="C295" s="3" t="s">
        <v>995</v>
      </c>
      <c r="F295" t="s">
        <v>1034</v>
      </c>
      <c r="G295" s="3" t="s">
        <v>995</v>
      </c>
    </row>
    <row r="296" spans="1:7">
      <c r="A296">
        <v>404020</v>
      </c>
      <c r="B296" t="s">
        <v>1035</v>
      </c>
      <c r="C296" s="3" t="s">
        <v>995</v>
      </c>
      <c r="F296" t="s">
        <v>1035</v>
      </c>
      <c r="G296" s="3" t="s">
        <v>995</v>
      </c>
    </row>
    <row r="297" spans="1:7">
      <c r="A297">
        <v>404030</v>
      </c>
      <c r="B297" t="s">
        <v>1036</v>
      </c>
      <c r="C297" s="3" t="s">
        <v>1037</v>
      </c>
      <c r="F297" t="s">
        <v>1036</v>
      </c>
      <c r="G297" s="3" t="s">
        <v>1037</v>
      </c>
    </row>
    <row r="298" spans="1:7">
      <c r="A298">
        <v>404040</v>
      </c>
      <c r="B298" t="s">
        <v>1038</v>
      </c>
      <c r="C298" s="3" t="s">
        <v>1039</v>
      </c>
      <c r="F298" t="s">
        <v>1038</v>
      </c>
      <c r="G298" s="3" t="s">
        <v>1039</v>
      </c>
    </row>
    <row r="299" spans="1:7">
      <c r="A299">
        <v>404050</v>
      </c>
      <c r="B299" t="s">
        <v>1040</v>
      </c>
      <c r="C299" s="4" t="s">
        <v>1041</v>
      </c>
      <c r="F299" t="s">
        <v>1040</v>
      </c>
      <c r="G299" s="4" t="s">
        <v>1041</v>
      </c>
    </row>
    <row r="300" spans="1:7">
      <c r="A300">
        <v>404060</v>
      </c>
      <c r="B300" t="s">
        <v>1042</v>
      </c>
      <c r="C300" s="3" t="s">
        <v>1004</v>
      </c>
      <c r="F300" t="s">
        <v>1042</v>
      </c>
      <c r="G300" s="3" t="s">
        <v>1004</v>
      </c>
    </row>
    <row r="301" spans="1:7">
      <c r="A301">
        <v>404070</v>
      </c>
      <c r="B301" t="s">
        <v>1043</v>
      </c>
      <c r="C301" s="3" t="s">
        <v>1044</v>
      </c>
      <c r="F301" t="s">
        <v>1043</v>
      </c>
      <c r="G301" s="3" t="s">
        <v>1044</v>
      </c>
    </row>
    <row r="302" spans="1:7">
      <c r="A302">
        <v>404080</v>
      </c>
      <c r="B302" t="s">
        <v>1045</v>
      </c>
      <c r="C302" s="3" t="s">
        <v>1004</v>
      </c>
      <c r="F302" t="s">
        <v>1045</v>
      </c>
      <c r="G302" s="3" t="s">
        <v>1004</v>
      </c>
    </row>
    <row r="303" spans="1:7">
      <c r="A303">
        <v>405010</v>
      </c>
      <c r="B303" t="s">
        <v>1046</v>
      </c>
      <c r="C303" s="3" t="s">
        <v>995</v>
      </c>
      <c r="F303" t="s">
        <v>1046</v>
      </c>
      <c r="G303" s="3" t="s">
        <v>995</v>
      </c>
    </row>
    <row r="304" spans="1:7">
      <c r="A304">
        <v>405020</v>
      </c>
      <c r="B304" t="s">
        <v>1047</v>
      </c>
      <c r="C304" s="3" t="s">
        <v>995</v>
      </c>
      <c r="F304" t="s">
        <v>1047</v>
      </c>
      <c r="G304" s="3" t="s">
        <v>995</v>
      </c>
    </row>
    <row r="305" spans="1:7">
      <c r="A305">
        <v>405030</v>
      </c>
      <c r="B305" t="s">
        <v>1048</v>
      </c>
      <c r="C305" s="3" t="s">
        <v>1039</v>
      </c>
      <c r="F305" t="s">
        <v>1048</v>
      </c>
      <c r="G305" s="3" t="s">
        <v>1039</v>
      </c>
    </row>
    <row r="306" spans="1:7">
      <c r="A306">
        <v>405040</v>
      </c>
      <c r="B306" t="s">
        <v>1049</v>
      </c>
      <c r="C306" s="3" t="s">
        <v>1050</v>
      </c>
      <c r="F306" t="s">
        <v>1049</v>
      </c>
      <c r="G306" s="3" t="s">
        <v>1050</v>
      </c>
    </row>
    <row r="307" spans="1:7">
      <c r="A307">
        <v>405050</v>
      </c>
      <c r="B307" t="s">
        <v>1051</v>
      </c>
      <c r="C307" s="3" t="s">
        <v>1018</v>
      </c>
      <c r="F307" t="s">
        <v>1051</v>
      </c>
      <c r="G307" s="3" t="s">
        <v>1018</v>
      </c>
    </row>
    <row r="308" spans="1:7">
      <c r="A308">
        <v>405060</v>
      </c>
      <c r="B308" t="s">
        <v>1052</v>
      </c>
      <c r="C308" s="3" t="s">
        <v>1053</v>
      </c>
      <c r="F308" t="s">
        <v>1052</v>
      </c>
      <c r="G308" s="3" t="s">
        <v>1053</v>
      </c>
    </row>
    <row r="309" spans="1:7">
      <c r="A309">
        <v>405070</v>
      </c>
      <c r="B309" t="s">
        <v>1054</v>
      </c>
      <c r="C309" s="4" t="s">
        <v>1055</v>
      </c>
      <c r="F309" t="s">
        <v>1054</v>
      </c>
      <c r="G309" s="4" t="s">
        <v>1055</v>
      </c>
    </row>
    <row r="310" spans="1:7">
      <c r="A310">
        <v>405080</v>
      </c>
      <c r="B310" t="s">
        <v>1056</v>
      </c>
      <c r="C310" s="3" t="s">
        <v>1057</v>
      </c>
      <c r="F310" t="s">
        <v>1056</v>
      </c>
      <c r="G310" s="3" t="s">
        <v>1057</v>
      </c>
    </row>
    <row r="311" spans="1:7">
      <c r="A311">
        <v>411010</v>
      </c>
      <c r="B311" t="s">
        <v>1058</v>
      </c>
      <c r="C311" s="4" t="s">
        <v>1059</v>
      </c>
      <c r="F311" t="s">
        <v>1058</v>
      </c>
      <c r="G311" s="4" t="s">
        <v>1059</v>
      </c>
    </row>
    <row r="312" spans="1:7">
      <c r="A312">
        <v>411020</v>
      </c>
      <c r="B312" t="s">
        <v>1060</v>
      </c>
      <c r="C312" s="4" t="s">
        <v>1059</v>
      </c>
      <c r="F312" t="s">
        <v>1060</v>
      </c>
      <c r="G312" s="4" t="s">
        <v>1059</v>
      </c>
    </row>
    <row r="313" spans="1:7">
      <c r="A313">
        <v>411030</v>
      </c>
      <c r="B313" t="s">
        <v>1061</v>
      </c>
      <c r="C313" s="4" t="s">
        <v>1062</v>
      </c>
      <c r="F313" t="s">
        <v>1061</v>
      </c>
      <c r="G313" s="4" t="s">
        <v>1062</v>
      </c>
    </row>
    <row r="314" spans="1:7">
      <c r="A314">
        <v>411040</v>
      </c>
      <c r="B314" t="s">
        <v>1063</v>
      </c>
      <c r="C314" s="4" t="s">
        <v>1004</v>
      </c>
      <c r="F314" t="s">
        <v>1063</v>
      </c>
      <c r="G314" s="4" t="s">
        <v>1004</v>
      </c>
    </row>
    <row r="315" spans="1:7">
      <c r="A315">
        <v>411050</v>
      </c>
      <c r="B315" t="s">
        <v>1064</v>
      </c>
      <c r="C315" s="4" t="s">
        <v>1041</v>
      </c>
      <c r="F315" t="s">
        <v>1064</v>
      </c>
      <c r="G315" s="4" t="s">
        <v>1041</v>
      </c>
    </row>
    <row r="316" spans="1:7">
      <c r="A316">
        <v>411060</v>
      </c>
      <c r="B316" t="s">
        <v>1065</v>
      </c>
      <c r="C316" s="4" t="s">
        <v>1041</v>
      </c>
      <c r="F316" t="s">
        <v>1065</v>
      </c>
      <c r="G316" s="4" t="s">
        <v>1041</v>
      </c>
    </row>
    <row r="317" spans="1:7">
      <c r="A317">
        <v>411070</v>
      </c>
      <c r="B317" t="s">
        <v>1066</v>
      </c>
      <c r="C317" s="4" t="s">
        <v>1059</v>
      </c>
      <c r="F317" t="s">
        <v>1066</v>
      </c>
      <c r="G317" s="4" t="s">
        <v>1059</v>
      </c>
    </row>
    <row r="318" spans="1:7">
      <c r="A318">
        <v>411080</v>
      </c>
      <c r="B318" t="s">
        <v>1067</v>
      </c>
      <c r="C318" s="4" t="s">
        <v>1059</v>
      </c>
      <c r="F318" t="s">
        <v>1067</v>
      </c>
      <c r="G318" s="4" t="s">
        <v>1059</v>
      </c>
    </row>
    <row r="319" spans="1:7">
      <c r="A319">
        <v>411090</v>
      </c>
      <c r="B319" t="s">
        <v>1068</v>
      </c>
      <c r="C319" s="4" t="s">
        <v>1069</v>
      </c>
      <c r="F319" t="s">
        <v>1068</v>
      </c>
      <c r="G319" s="4" t="s">
        <v>1069</v>
      </c>
    </row>
    <row r="320" spans="1:7">
      <c r="A320">
        <v>412010</v>
      </c>
      <c r="B320" t="s">
        <v>1070</v>
      </c>
      <c r="C320" t="s">
        <v>1071</v>
      </c>
      <c r="F320" t="s">
        <v>1070</v>
      </c>
      <c r="G320" t="s">
        <v>1071</v>
      </c>
    </row>
    <row r="321" spans="1:7">
      <c r="A321">
        <v>412020</v>
      </c>
      <c r="B321" t="s">
        <v>1072</v>
      </c>
      <c r="C321" s="4" t="s">
        <v>1009</v>
      </c>
      <c r="F321" t="s">
        <v>1072</v>
      </c>
      <c r="G321" s="4" t="s">
        <v>1009</v>
      </c>
    </row>
    <row r="322" spans="1:7">
      <c r="A322">
        <v>412030</v>
      </c>
      <c r="B322" t="s">
        <v>1073</v>
      </c>
      <c r="C322" s="4" t="s">
        <v>1074</v>
      </c>
      <c r="F322" t="s">
        <v>1073</v>
      </c>
      <c r="G322" s="4" t="s">
        <v>1074</v>
      </c>
    </row>
    <row r="323" spans="1:7">
      <c r="A323">
        <v>412040</v>
      </c>
      <c r="B323" t="s">
        <v>1075</v>
      </c>
      <c r="C323" s="4" t="s">
        <v>1076</v>
      </c>
      <c r="F323" t="s">
        <v>1075</v>
      </c>
      <c r="G323" s="4" t="s">
        <v>1076</v>
      </c>
    </row>
    <row r="324" spans="1:7">
      <c r="A324">
        <v>412050</v>
      </c>
      <c r="B324" t="s">
        <v>1077</v>
      </c>
      <c r="C324" s="4" t="s">
        <v>1012</v>
      </c>
      <c r="F324" t="s">
        <v>1077</v>
      </c>
      <c r="G324" s="4" t="s">
        <v>1012</v>
      </c>
    </row>
    <row r="325" spans="1:7">
      <c r="A325">
        <v>412060</v>
      </c>
      <c r="B325" t="s">
        <v>1078</v>
      </c>
      <c r="C325" s="3" t="s">
        <v>995</v>
      </c>
      <c r="F325" t="s">
        <v>1078</v>
      </c>
      <c r="G325" s="3" t="s">
        <v>995</v>
      </c>
    </row>
    <row r="326" spans="1:7">
      <c r="A326">
        <v>412070</v>
      </c>
      <c r="B326" t="s">
        <v>1079</v>
      </c>
      <c r="C326" s="4" t="s">
        <v>1059</v>
      </c>
      <c r="F326" t="s">
        <v>1079</v>
      </c>
      <c r="G326" s="4" t="s">
        <v>1059</v>
      </c>
    </row>
    <row r="327" spans="1:7">
      <c r="A327">
        <v>412080</v>
      </c>
      <c r="B327" t="s">
        <v>1080</v>
      </c>
      <c r="C327" s="3" t="s">
        <v>995</v>
      </c>
      <c r="F327" t="s">
        <v>1080</v>
      </c>
      <c r="G327" s="3" t="s">
        <v>995</v>
      </c>
    </row>
    <row r="328" spans="1:7">
      <c r="A328">
        <v>412090</v>
      </c>
      <c r="B328" t="s">
        <v>1081</v>
      </c>
      <c r="C328" s="4" t="s">
        <v>1082</v>
      </c>
      <c r="F328" t="s">
        <v>1081</v>
      </c>
      <c r="G328" s="4" t="s">
        <v>1082</v>
      </c>
    </row>
    <row r="329" spans="1:7">
      <c r="A329">
        <v>413010</v>
      </c>
      <c r="B329" t="s">
        <v>1083</v>
      </c>
      <c r="C329" s="4" t="s">
        <v>1023</v>
      </c>
      <c r="F329" t="s">
        <v>1083</v>
      </c>
      <c r="G329" s="4" t="s">
        <v>1023</v>
      </c>
    </row>
    <row r="330" spans="1:7">
      <c r="A330">
        <v>413020</v>
      </c>
      <c r="B330" t="s">
        <v>1084</v>
      </c>
      <c r="C330" s="3" t="s">
        <v>1025</v>
      </c>
      <c r="F330" t="s">
        <v>1084</v>
      </c>
      <c r="G330" s="3" t="s">
        <v>1025</v>
      </c>
    </row>
    <row r="331" spans="1:7">
      <c r="A331">
        <v>413030</v>
      </c>
      <c r="B331" t="s">
        <v>1085</v>
      </c>
      <c r="C331" s="3" t="s">
        <v>1004</v>
      </c>
      <c r="F331" t="s">
        <v>1085</v>
      </c>
      <c r="G331" s="3" t="s">
        <v>1004</v>
      </c>
    </row>
    <row r="332" spans="1:7">
      <c r="A332">
        <v>413040</v>
      </c>
      <c r="B332" t="s">
        <v>1086</v>
      </c>
      <c r="C332" s="3" t="s">
        <v>1025</v>
      </c>
      <c r="F332" t="s">
        <v>1086</v>
      </c>
      <c r="G332" s="3" t="s">
        <v>1025</v>
      </c>
    </row>
    <row r="333" spans="1:7">
      <c r="A333">
        <v>413050</v>
      </c>
      <c r="B333" t="s">
        <v>1087</v>
      </c>
      <c r="C333" s="3" t="s">
        <v>1004</v>
      </c>
      <c r="F333" t="s">
        <v>1087</v>
      </c>
      <c r="G333" s="3" t="s">
        <v>1004</v>
      </c>
    </row>
    <row r="334" spans="1:7">
      <c r="A334">
        <v>413060</v>
      </c>
      <c r="B334" t="s">
        <v>1088</v>
      </c>
      <c r="C334" s="3" t="s">
        <v>1004</v>
      </c>
      <c r="F334" t="s">
        <v>1088</v>
      </c>
      <c r="G334" s="3" t="s">
        <v>1004</v>
      </c>
    </row>
    <row r="335" spans="1:7">
      <c r="A335">
        <v>413070</v>
      </c>
      <c r="B335" t="s">
        <v>1089</v>
      </c>
      <c r="C335" s="4" t="s">
        <v>1090</v>
      </c>
      <c r="F335" t="s">
        <v>1089</v>
      </c>
      <c r="G335" s="4" t="s">
        <v>1090</v>
      </c>
    </row>
    <row r="336" spans="1:7">
      <c r="A336">
        <v>413080</v>
      </c>
      <c r="B336" t="s">
        <v>1091</v>
      </c>
      <c r="C336" s="3" t="s">
        <v>1039</v>
      </c>
      <c r="F336" t="s">
        <v>1091</v>
      </c>
      <c r="G336" s="3" t="s">
        <v>1039</v>
      </c>
    </row>
    <row r="337" spans="1:7">
      <c r="A337">
        <v>413090</v>
      </c>
      <c r="B337" t="s">
        <v>1092</v>
      </c>
      <c r="C337" s="3" t="s">
        <v>1093</v>
      </c>
      <c r="F337" t="s">
        <v>1092</v>
      </c>
      <c r="G337" s="3" t="s">
        <v>1093</v>
      </c>
    </row>
    <row r="338" spans="1:7">
      <c r="A338">
        <v>414010</v>
      </c>
      <c r="B338" t="s">
        <v>1094</v>
      </c>
      <c r="C338" s="3" t="s">
        <v>1095</v>
      </c>
      <c r="F338" t="s">
        <v>1094</v>
      </c>
      <c r="G338" s="3" t="s">
        <v>1095</v>
      </c>
    </row>
    <row r="339" spans="1:7">
      <c r="A339">
        <v>414020</v>
      </c>
      <c r="B339" t="s">
        <v>1096</v>
      </c>
      <c r="C339" s="3" t="s">
        <v>1097</v>
      </c>
      <c r="F339" t="s">
        <v>1096</v>
      </c>
      <c r="G339" s="3" t="s">
        <v>1097</v>
      </c>
    </row>
    <row r="340" spans="1:7">
      <c r="A340">
        <v>414030</v>
      </c>
      <c r="B340" t="s">
        <v>1098</v>
      </c>
      <c r="C340" s="3" t="s">
        <v>1016</v>
      </c>
      <c r="F340" t="s">
        <v>1098</v>
      </c>
      <c r="G340" s="3" t="s">
        <v>1016</v>
      </c>
    </row>
    <row r="341" spans="1:7">
      <c r="A341">
        <v>414040</v>
      </c>
      <c r="B341" t="s">
        <v>1099</v>
      </c>
      <c r="C341" s="3" t="s">
        <v>1044</v>
      </c>
      <c r="F341" t="s">
        <v>1099</v>
      </c>
      <c r="G341" s="3" t="s">
        <v>1044</v>
      </c>
    </row>
    <row r="342" spans="1:7">
      <c r="A342">
        <v>414050</v>
      </c>
      <c r="B342" t="s">
        <v>1100</v>
      </c>
      <c r="C342" s="3" t="s">
        <v>1101</v>
      </c>
      <c r="F342" t="s">
        <v>1100</v>
      </c>
      <c r="G342" s="3" t="s">
        <v>1101</v>
      </c>
    </row>
    <row r="343" spans="1:7">
      <c r="A343">
        <v>414060</v>
      </c>
      <c r="B343" t="s">
        <v>1102</v>
      </c>
      <c r="C343" s="4" t="s">
        <v>1041</v>
      </c>
      <c r="F343" t="s">
        <v>1102</v>
      </c>
      <c r="G343" s="4" t="s">
        <v>1041</v>
      </c>
    </row>
    <row r="344" spans="1:7">
      <c r="A344">
        <v>414070</v>
      </c>
      <c r="B344" t="s">
        <v>1103</v>
      </c>
      <c r="C344" s="4" t="s">
        <v>1104</v>
      </c>
      <c r="F344" t="s">
        <v>1103</v>
      </c>
      <c r="G344" s="4" t="s">
        <v>1104</v>
      </c>
    </row>
    <row r="345" spans="1:7">
      <c r="A345">
        <v>414080</v>
      </c>
      <c r="B345" t="s">
        <v>1105</v>
      </c>
      <c r="C345" s="3" t="s">
        <v>1044</v>
      </c>
      <c r="F345" t="s">
        <v>1105</v>
      </c>
      <c r="G345" s="3" t="s">
        <v>1044</v>
      </c>
    </row>
    <row r="346" spans="1:7">
      <c r="A346">
        <v>414090</v>
      </c>
      <c r="B346" t="s">
        <v>1106</v>
      </c>
      <c r="C346" s="3" t="s">
        <v>1004</v>
      </c>
      <c r="F346" t="s">
        <v>1106</v>
      </c>
      <c r="G346" s="3" t="s">
        <v>1004</v>
      </c>
    </row>
    <row r="347" spans="1:7">
      <c r="A347">
        <v>415010</v>
      </c>
      <c r="B347" t="s">
        <v>1107</v>
      </c>
      <c r="C347" s="3" t="s">
        <v>1108</v>
      </c>
      <c r="F347" t="s">
        <v>1107</v>
      </c>
      <c r="G347" s="3" t="s">
        <v>1108</v>
      </c>
    </row>
    <row r="348" spans="1:7">
      <c r="A348">
        <v>415020</v>
      </c>
      <c r="B348" t="s">
        <v>1109</v>
      </c>
      <c r="C348" s="3" t="s">
        <v>1108</v>
      </c>
      <c r="F348" t="s">
        <v>1109</v>
      </c>
      <c r="G348" s="3" t="s">
        <v>1108</v>
      </c>
    </row>
    <row r="349" spans="1:7">
      <c r="A349">
        <v>415030</v>
      </c>
      <c r="B349" t="s">
        <v>1110</v>
      </c>
      <c r="C349" s="4" t="s">
        <v>1041</v>
      </c>
      <c r="F349" t="s">
        <v>1110</v>
      </c>
      <c r="G349" s="4" t="s">
        <v>1041</v>
      </c>
    </row>
    <row r="350" spans="1:7">
      <c r="A350">
        <v>415040</v>
      </c>
      <c r="B350" t="s">
        <v>1111</v>
      </c>
      <c r="C350" s="4" t="s">
        <v>1112</v>
      </c>
      <c r="F350" t="s">
        <v>1111</v>
      </c>
      <c r="G350" s="4" t="s">
        <v>1112</v>
      </c>
    </row>
    <row r="351" spans="1:7">
      <c r="A351">
        <v>415050</v>
      </c>
      <c r="B351" t="s">
        <v>1113</v>
      </c>
      <c r="C351" s="3" t="s">
        <v>1039</v>
      </c>
      <c r="F351" t="s">
        <v>1113</v>
      </c>
      <c r="G351" s="3" t="s">
        <v>1039</v>
      </c>
    </row>
    <row r="352" spans="1:7">
      <c r="A352">
        <v>415060</v>
      </c>
      <c r="B352" t="s">
        <v>1114</v>
      </c>
      <c r="C352" s="3" t="s">
        <v>1039</v>
      </c>
      <c r="F352" t="s">
        <v>1114</v>
      </c>
      <c r="G352" s="3" t="s">
        <v>1039</v>
      </c>
    </row>
    <row r="353" spans="1:7">
      <c r="A353">
        <v>415070</v>
      </c>
      <c r="B353" t="s">
        <v>1115</v>
      </c>
      <c r="C353" s="3" t="s">
        <v>1108</v>
      </c>
      <c r="F353" t="s">
        <v>1115</v>
      </c>
      <c r="G353" s="3" t="s">
        <v>1108</v>
      </c>
    </row>
    <row r="354" spans="1:7">
      <c r="A354">
        <v>415080</v>
      </c>
      <c r="B354" t="s">
        <v>1116</v>
      </c>
      <c r="C354" s="3" t="s">
        <v>1117</v>
      </c>
      <c r="F354" t="s">
        <v>1116</v>
      </c>
      <c r="G354" s="3" t="s">
        <v>1117</v>
      </c>
    </row>
    <row r="355" spans="1:7">
      <c r="A355">
        <v>415090</v>
      </c>
      <c r="B355" t="s">
        <v>1118</v>
      </c>
      <c r="C355" s="3" t="s">
        <v>1119</v>
      </c>
      <c r="F355" t="s">
        <v>1118</v>
      </c>
      <c r="G355" s="3" t="s">
        <v>1119</v>
      </c>
    </row>
    <row r="356" customFormat="1" spans="1:7">
      <c r="A356">
        <v>501010</v>
      </c>
      <c r="B356" t="s">
        <v>1120</v>
      </c>
      <c r="C356" t="s">
        <v>1121</v>
      </c>
      <c r="F356" t="s">
        <v>1122</v>
      </c>
      <c r="G356" t="s">
        <v>1123</v>
      </c>
    </row>
    <row r="357" spans="1:7">
      <c r="A357">
        <v>501020</v>
      </c>
      <c r="B357" t="s">
        <v>1124</v>
      </c>
      <c r="C357" t="s">
        <v>1125</v>
      </c>
      <c r="F357" t="s">
        <v>1126</v>
      </c>
      <c r="G357" t="s">
        <v>1127</v>
      </c>
    </row>
    <row r="358" customFormat="1" spans="1:7">
      <c r="A358">
        <v>501030</v>
      </c>
      <c r="B358" t="s">
        <v>1128</v>
      </c>
      <c r="C358" t="s">
        <v>1129</v>
      </c>
      <c r="F358" t="s">
        <v>1130</v>
      </c>
      <c r="G358" t="s">
        <v>1131</v>
      </c>
    </row>
    <row r="359" customFormat="1" spans="1:7">
      <c r="A359">
        <v>501040</v>
      </c>
      <c r="B359" t="s">
        <v>1132</v>
      </c>
      <c r="C359" t="s">
        <v>989</v>
      </c>
      <c r="F359" t="s">
        <v>1132</v>
      </c>
      <c r="G359" t="s">
        <v>1133</v>
      </c>
    </row>
    <row r="360" customFormat="1" spans="1:7">
      <c r="A360">
        <v>501110</v>
      </c>
      <c r="B360" t="s">
        <v>1134</v>
      </c>
      <c r="C360" t="s">
        <v>991</v>
      </c>
      <c r="F360" t="s">
        <v>1134</v>
      </c>
      <c r="G360" t="s">
        <v>1135</v>
      </c>
    </row>
    <row r="361" customFormat="1" spans="1:7">
      <c r="A361">
        <v>501120</v>
      </c>
      <c r="B361" t="s">
        <v>1136</v>
      </c>
      <c r="C361" t="s">
        <v>1125</v>
      </c>
      <c r="F361" t="s">
        <v>1137</v>
      </c>
      <c r="G361" t="s">
        <v>1127</v>
      </c>
    </row>
    <row r="362" customFormat="1" spans="1:7">
      <c r="A362">
        <v>501130</v>
      </c>
      <c r="B362" t="s">
        <v>1138</v>
      </c>
      <c r="C362" t="s">
        <v>993</v>
      </c>
      <c r="F362" t="s">
        <v>1138</v>
      </c>
      <c r="G362" t="s">
        <v>1139</v>
      </c>
    </row>
    <row r="363" customFormat="1" spans="1:7">
      <c r="A363">
        <v>502010</v>
      </c>
      <c r="B363" t="s">
        <v>1140</v>
      </c>
      <c r="C363" t="s">
        <v>991</v>
      </c>
      <c r="F363" t="s">
        <v>1140</v>
      </c>
      <c r="G363" t="s">
        <v>1135</v>
      </c>
    </row>
    <row r="364" customFormat="1" spans="1:7">
      <c r="A364">
        <v>502020</v>
      </c>
      <c r="B364" t="s">
        <v>1141</v>
      </c>
      <c r="C364" t="s">
        <v>993</v>
      </c>
      <c r="F364" t="s">
        <v>1141</v>
      </c>
      <c r="G364" t="s">
        <v>1139</v>
      </c>
    </row>
    <row r="365" customFormat="1" spans="1:7">
      <c r="A365">
        <v>502030</v>
      </c>
      <c r="B365" t="s">
        <v>1141</v>
      </c>
      <c r="C365" t="s">
        <v>993</v>
      </c>
      <c r="F365" t="s">
        <v>1141</v>
      </c>
      <c r="G365" t="s">
        <v>1139</v>
      </c>
    </row>
    <row r="366" customFormat="1" spans="1:7">
      <c r="A366">
        <v>502040</v>
      </c>
      <c r="B366" t="s">
        <v>1142</v>
      </c>
      <c r="C366" t="s">
        <v>1143</v>
      </c>
      <c r="F366" t="s">
        <v>1144</v>
      </c>
      <c r="G366" t="s">
        <v>1145</v>
      </c>
    </row>
    <row r="367" customFormat="1" spans="1:7">
      <c r="A367">
        <v>502110</v>
      </c>
      <c r="B367" t="s">
        <v>1146</v>
      </c>
      <c r="C367" t="s">
        <v>1147</v>
      </c>
      <c r="F367" t="s">
        <v>1148</v>
      </c>
      <c r="G367" t="s">
        <v>1149</v>
      </c>
    </row>
    <row r="368" customFormat="1" spans="1:7">
      <c r="A368">
        <v>502120</v>
      </c>
      <c r="B368" t="s">
        <v>1124</v>
      </c>
      <c r="C368" t="s">
        <v>1125</v>
      </c>
      <c r="F368" t="s">
        <v>1126</v>
      </c>
      <c r="G368" t="s">
        <v>1127</v>
      </c>
    </row>
    <row r="369" customFormat="1" spans="1:7">
      <c r="A369">
        <v>502121</v>
      </c>
      <c r="B369" t="s">
        <v>1142</v>
      </c>
      <c r="C369" t="s">
        <v>1143</v>
      </c>
      <c r="F369" t="s">
        <v>1144</v>
      </c>
      <c r="G369" t="s">
        <v>1145</v>
      </c>
    </row>
    <row r="370" customFormat="1" spans="1:7">
      <c r="A370">
        <v>502130</v>
      </c>
      <c r="B370" t="s">
        <v>1138</v>
      </c>
      <c r="C370" t="s">
        <v>993</v>
      </c>
      <c r="F370" t="s">
        <v>1138</v>
      </c>
      <c r="G370" t="s">
        <v>1139</v>
      </c>
    </row>
    <row r="371" customFormat="1" spans="1:7">
      <c r="A371">
        <v>503010</v>
      </c>
      <c r="B371" t="s">
        <v>1140</v>
      </c>
      <c r="C371" t="s">
        <v>991</v>
      </c>
      <c r="F371" t="s">
        <v>1140</v>
      </c>
      <c r="G371" t="s">
        <v>1135</v>
      </c>
    </row>
    <row r="372" customFormat="1" spans="1:7">
      <c r="A372">
        <v>503020</v>
      </c>
      <c r="B372" t="s">
        <v>1150</v>
      </c>
      <c r="C372" t="s">
        <v>1151</v>
      </c>
      <c r="F372" t="s">
        <v>1152</v>
      </c>
      <c r="G372" t="s">
        <v>1153</v>
      </c>
    </row>
    <row r="373" customFormat="1" spans="1:7">
      <c r="A373">
        <v>503030</v>
      </c>
      <c r="B373" t="s">
        <v>1128</v>
      </c>
      <c r="C373" t="s">
        <v>1129</v>
      </c>
      <c r="F373" t="s">
        <v>1130</v>
      </c>
      <c r="G373" t="s">
        <v>1131</v>
      </c>
    </row>
    <row r="374" customFormat="1" spans="1:7">
      <c r="A374">
        <v>503040</v>
      </c>
      <c r="B374" t="s">
        <v>1134</v>
      </c>
      <c r="C374" t="s">
        <v>991</v>
      </c>
      <c r="F374" t="s">
        <v>1134</v>
      </c>
      <c r="G374" t="s">
        <v>1135</v>
      </c>
    </row>
    <row r="375" customFormat="1" spans="1:7">
      <c r="A375">
        <v>503110</v>
      </c>
      <c r="B375" t="s">
        <v>1134</v>
      </c>
      <c r="C375" t="s">
        <v>991</v>
      </c>
      <c r="F375" t="s">
        <v>1134</v>
      </c>
      <c r="G375" t="s">
        <v>1135</v>
      </c>
    </row>
    <row r="376" customFormat="1" spans="1:7">
      <c r="A376">
        <v>503120</v>
      </c>
      <c r="B376" t="s">
        <v>1132</v>
      </c>
      <c r="C376" t="s">
        <v>989</v>
      </c>
      <c r="F376" t="s">
        <v>1132</v>
      </c>
      <c r="G376" t="s">
        <v>1133</v>
      </c>
    </row>
    <row r="377" customFormat="1" spans="1:7">
      <c r="A377">
        <v>503130</v>
      </c>
      <c r="B377" t="s">
        <v>1154</v>
      </c>
      <c r="C377" t="s">
        <v>1155</v>
      </c>
      <c r="F377" t="s">
        <v>1156</v>
      </c>
      <c r="G377" t="s">
        <v>1157</v>
      </c>
    </row>
    <row r="378" spans="1:7">
      <c r="A378">
        <v>504010</v>
      </c>
      <c r="B378" t="s">
        <v>1158</v>
      </c>
      <c r="C378" t="s">
        <v>1159</v>
      </c>
      <c r="F378" t="s">
        <v>1160</v>
      </c>
      <c r="G378" t="s">
        <v>1161</v>
      </c>
    </row>
    <row r="379" spans="1:7">
      <c r="A379">
        <v>504020</v>
      </c>
      <c r="B379" t="s">
        <v>1141</v>
      </c>
      <c r="C379" t="s">
        <v>993</v>
      </c>
      <c r="F379" t="s">
        <v>1141</v>
      </c>
      <c r="G379" t="s">
        <v>1139</v>
      </c>
    </row>
    <row r="380" spans="1:7">
      <c r="A380">
        <v>504030</v>
      </c>
      <c r="B380" t="s">
        <v>1124</v>
      </c>
      <c r="C380" t="s">
        <v>1125</v>
      </c>
      <c r="F380" t="s">
        <v>1126</v>
      </c>
      <c r="G380" t="s">
        <v>1127</v>
      </c>
    </row>
    <row r="381" customFormat="1" spans="1:7">
      <c r="A381">
        <v>504040</v>
      </c>
      <c r="B381" t="s">
        <v>1128</v>
      </c>
      <c r="C381" t="s">
        <v>1129</v>
      </c>
      <c r="F381" t="s">
        <v>1130</v>
      </c>
      <c r="G381" t="s">
        <v>1131</v>
      </c>
    </row>
    <row r="382" customFormat="1" spans="1:7">
      <c r="A382">
        <v>504110</v>
      </c>
      <c r="B382" t="s">
        <v>1136</v>
      </c>
      <c r="C382" t="s">
        <v>1125</v>
      </c>
      <c r="F382" t="s">
        <v>1137</v>
      </c>
      <c r="G382" t="s">
        <v>1127</v>
      </c>
    </row>
    <row r="383" customFormat="1" spans="1:7">
      <c r="A383">
        <v>504120</v>
      </c>
      <c r="B383" t="s">
        <v>1128</v>
      </c>
      <c r="C383" t="s">
        <v>1129</v>
      </c>
      <c r="F383" t="s">
        <v>1130</v>
      </c>
      <c r="G383" t="s">
        <v>1131</v>
      </c>
    </row>
    <row r="384" customFormat="1" spans="1:7">
      <c r="A384">
        <v>504130</v>
      </c>
      <c r="B384" t="s">
        <v>1154</v>
      </c>
      <c r="C384" t="s">
        <v>1155</v>
      </c>
      <c r="F384" t="s">
        <v>1156</v>
      </c>
      <c r="G384" t="s">
        <v>1157</v>
      </c>
    </row>
    <row r="385" spans="1:7">
      <c r="A385">
        <v>505010</v>
      </c>
      <c r="B385" t="s">
        <v>1142</v>
      </c>
      <c r="C385" t="s">
        <v>1143</v>
      </c>
      <c r="F385" t="s">
        <v>1144</v>
      </c>
      <c r="G385" t="s">
        <v>1145</v>
      </c>
    </row>
    <row r="386" spans="1:7">
      <c r="A386">
        <v>505020</v>
      </c>
      <c r="B386" t="s">
        <v>1141</v>
      </c>
      <c r="C386" t="s">
        <v>993</v>
      </c>
      <c r="F386" t="s">
        <v>1141</v>
      </c>
      <c r="G386" t="s">
        <v>1139</v>
      </c>
    </row>
    <row r="387" spans="1:7">
      <c r="A387">
        <v>505030</v>
      </c>
      <c r="B387" t="s">
        <v>1128</v>
      </c>
      <c r="C387" t="s">
        <v>1129</v>
      </c>
      <c r="F387" t="s">
        <v>1130</v>
      </c>
      <c r="G387" t="s">
        <v>1131</v>
      </c>
    </row>
    <row r="388" customFormat="1" spans="1:7">
      <c r="A388">
        <v>505040</v>
      </c>
      <c r="B388" t="s">
        <v>1162</v>
      </c>
      <c r="C388" t="s">
        <v>989</v>
      </c>
      <c r="F388" t="s">
        <v>1162</v>
      </c>
      <c r="G388" t="s">
        <v>1133</v>
      </c>
    </row>
    <row r="389" customFormat="1" spans="1:7">
      <c r="A389">
        <v>505110</v>
      </c>
      <c r="B389" t="s">
        <v>1124</v>
      </c>
      <c r="C389" t="s">
        <v>1125</v>
      </c>
      <c r="F389" t="s">
        <v>1126</v>
      </c>
      <c r="G389" t="s">
        <v>1127</v>
      </c>
    </row>
    <row r="390" customFormat="1" spans="1:7">
      <c r="A390">
        <v>505111</v>
      </c>
      <c r="B390" t="s">
        <v>1142</v>
      </c>
      <c r="C390" t="s">
        <v>1143</v>
      </c>
      <c r="F390" t="s">
        <v>1144</v>
      </c>
      <c r="G390" t="s">
        <v>1145</v>
      </c>
    </row>
    <row r="391" customFormat="1" spans="1:7">
      <c r="A391">
        <v>505120</v>
      </c>
      <c r="B391" t="s">
        <v>1162</v>
      </c>
      <c r="C391" t="s">
        <v>989</v>
      </c>
      <c r="F391" t="s">
        <v>1162</v>
      </c>
      <c r="G391" t="s">
        <v>1133</v>
      </c>
    </row>
    <row r="392" customFormat="1" spans="1:7">
      <c r="A392">
        <v>505121</v>
      </c>
      <c r="B392" t="s">
        <v>1141</v>
      </c>
      <c r="C392" t="s">
        <v>993</v>
      </c>
      <c r="F392" t="s">
        <v>1141</v>
      </c>
      <c r="G392" t="s">
        <v>1139</v>
      </c>
    </row>
    <row r="393" customFormat="1" spans="1:7">
      <c r="A393">
        <v>505130</v>
      </c>
      <c r="B393" t="s">
        <v>1138</v>
      </c>
      <c r="C393" t="s">
        <v>993</v>
      </c>
      <c r="F393" t="s">
        <v>1138</v>
      </c>
      <c r="G393" t="s">
        <v>1139</v>
      </c>
    </row>
    <row r="394" customFormat="1" spans="1:7">
      <c r="A394">
        <v>506010</v>
      </c>
      <c r="B394" t="s">
        <v>1163</v>
      </c>
      <c r="C394" t="s">
        <v>1129</v>
      </c>
      <c r="F394" t="s">
        <v>1164</v>
      </c>
      <c r="G394" t="s">
        <v>1131</v>
      </c>
    </row>
    <row r="395" customFormat="1" spans="1:7">
      <c r="A395">
        <v>506011</v>
      </c>
      <c r="B395" t="s">
        <v>1140</v>
      </c>
      <c r="C395" t="s">
        <v>991</v>
      </c>
      <c r="F395" t="s">
        <v>1140</v>
      </c>
      <c r="G395" t="s">
        <v>1135</v>
      </c>
    </row>
    <row r="396" customFormat="1" spans="1:7">
      <c r="A396">
        <v>506012</v>
      </c>
      <c r="B396" t="s">
        <v>1141</v>
      </c>
      <c r="C396" t="s">
        <v>993</v>
      </c>
      <c r="F396" t="s">
        <v>1141</v>
      </c>
      <c r="G396" t="s">
        <v>1139</v>
      </c>
    </row>
    <row r="397" customFormat="1" spans="1:7">
      <c r="A397">
        <v>506013</v>
      </c>
      <c r="B397" t="s">
        <v>1165</v>
      </c>
      <c r="C397" s="4" t="s">
        <v>1166</v>
      </c>
      <c r="F397" t="s">
        <v>1165</v>
      </c>
      <c r="G397" s="4" t="s">
        <v>1167</v>
      </c>
    </row>
    <row r="398" customFormat="1" spans="1:7">
      <c r="A398">
        <v>506020</v>
      </c>
      <c r="B398" t="s">
        <v>1168</v>
      </c>
      <c r="C398" t="s">
        <v>1169</v>
      </c>
      <c r="F398" t="s">
        <v>1170</v>
      </c>
      <c r="G398" t="s">
        <v>1171</v>
      </c>
    </row>
    <row r="399" customFormat="1" spans="1:7">
      <c r="A399">
        <v>506030</v>
      </c>
      <c r="B399" t="s">
        <v>1172</v>
      </c>
      <c r="C399" t="s">
        <v>1173</v>
      </c>
      <c r="F399" t="s">
        <v>1174</v>
      </c>
      <c r="G399" t="s">
        <v>1175</v>
      </c>
    </row>
    <row r="400" customFormat="1" spans="1:7">
      <c r="A400">
        <v>506040</v>
      </c>
      <c r="B400" t="s">
        <v>1176</v>
      </c>
      <c r="C400" t="s">
        <v>1177</v>
      </c>
      <c r="F400" t="s">
        <v>1178</v>
      </c>
      <c r="G400" t="s">
        <v>1179</v>
      </c>
    </row>
    <row r="401" customFormat="1" spans="1:7">
      <c r="A401">
        <v>506050</v>
      </c>
      <c r="B401" t="s">
        <v>1180</v>
      </c>
      <c r="C401" t="s">
        <v>1181</v>
      </c>
      <c r="F401" t="s">
        <v>1182</v>
      </c>
      <c r="G401" t="s">
        <v>1183</v>
      </c>
    </row>
    <row r="402" customFormat="1" spans="1:7">
      <c r="A402">
        <v>506060</v>
      </c>
      <c r="B402" t="s">
        <v>1184</v>
      </c>
      <c r="C402" t="s">
        <v>1185</v>
      </c>
      <c r="F402" t="s">
        <v>1186</v>
      </c>
      <c r="G402" t="s">
        <v>1187</v>
      </c>
    </row>
    <row r="403" spans="1:7">
      <c r="A403">
        <v>507010</v>
      </c>
      <c r="B403" t="s">
        <v>1188</v>
      </c>
      <c r="C403" t="s">
        <v>1189</v>
      </c>
      <c r="F403" t="s">
        <v>1190</v>
      </c>
      <c r="G403" t="s">
        <v>1191</v>
      </c>
    </row>
    <row r="404" customFormat="1" ht="26" spans="1:7">
      <c r="A404">
        <v>507020</v>
      </c>
      <c r="B404" t="s">
        <v>1192</v>
      </c>
      <c r="C404" s="3" t="s">
        <v>1193</v>
      </c>
      <c r="F404" t="s">
        <v>1194</v>
      </c>
      <c r="G404" s="3" t="s">
        <v>1195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1"/>
  <sheetViews>
    <sheetView zoomScale="115" zoomScaleNormal="115" topLeftCell="H73" workbookViewId="0">
      <selection activeCell="K99" sqref="K99"/>
    </sheetView>
  </sheetViews>
  <sheetFormatPr defaultColWidth="8.72727272727273" defaultRowHeight="13"/>
  <cols>
    <col min="3" max="3" width="1.72727272727273" customWidth="1"/>
    <col min="6" max="6" width="1.54545454545455" customWidth="1"/>
    <col min="9" max="9" width="1.63636363636364" customWidth="1"/>
    <col min="12" max="12" width="2.27272727272727" customWidth="1"/>
    <col min="14" max="14" width="15.4545454545455" customWidth="1"/>
    <col min="15" max="15" width="2.54545454545455" customWidth="1"/>
    <col min="18" max="18" width="2.45454545454545" customWidth="1"/>
    <col min="20" max="20" width="10.3636363636364" customWidth="1"/>
    <col min="22" max="22" width="37.4545454545455" customWidth="1"/>
    <col min="26" max="26" width="30.0909090909091" customWidth="1"/>
  </cols>
  <sheetData>
    <row r="1" spans="1:25">
      <c r="A1" t="s">
        <v>6</v>
      </c>
      <c r="D1" t="s">
        <v>10</v>
      </c>
      <c r="G1" t="s">
        <v>11</v>
      </c>
      <c r="J1" t="s">
        <v>12</v>
      </c>
      <c r="M1" t="s">
        <v>1196</v>
      </c>
      <c r="P1" t="s">
        <v>1197</v>
      </c>
      <c r="S1" t="s">
        <v>1198</v>
      </c>
      <c r="U1" t="s">
        <v>1199</v>
      </c>
      <c r="W1" t="s">
        <v>1200</v>
      </c>
      <c r="Y1" t="s">
        <v>69</v>
      </c>
    </row>
    <row r="2" spans="1:29">
      <c r="A2">
        <v>0</v>
      </c>
      <c r="B2" t="s">
        <v>1201</v>
      </c>
      <c r="D2">
        <v>0</v>
      </c>
      <c r="E2" t="s">
        <v>1201</v>
      </c>
      <c r="G2">
        <v>0</v>
      </c>
      <c r="H2" t="s">
        <v>1201</v>
      </c>
      <c r="J2">
        <v>0</v>
      </c>
      <c r="K2" t="s">
        <v>1201</v>
      </c>
      <c r="M2">
        <v>0</v>
      </c>
      <c r="N2" t="s">
        <v>1201</v>
      </c>
      <c r="P2">
        <v>0</v>
      </c>
      <c r="Q2" t="s">
        <v>1202</v>
      </c>
      <c r="U2">
        <v>0</v>
      </c>
      <c r="V2" t="s">
        <v>1201</v>
      </c>
      <c r="W2">
        <v>0</v>
      </c>
      <c r="X2" t="s">
        <v>1201</v>
      </c>
      <c r="Y2">
        <v>-1</v>
      </c>
      <c r="Z2" t="s">
        <v>1201</v>
      </c>
      <c r="AB2">
        <v>301</v>
      </c>
      <c r="AC2" t="s">
        <v>1203</v>
      </c>
    </row>
    <row r="3" spans="1:29">
      <c r="A3">
        <v>1</v>
      </c>
      <c r="B3" t="s">
        <v>18</v>
      </c>
      <c r="D3">
        <v>1</v>
      </c>
      <c r="E3" t="s">
        <v>1204</v>
      </c>
      <c r="G3">
        <v>1</v>
      </c>
      <c r="H3" t="s">
        <v>1205</v>
      </c>
      <c r="J3">
        <v>1</v>
      </c>
      <c r="K3" t="s">
        <v>1206</v>
      </c>
      <c r="M3">
        <v>1</v>
      </c>
      <c r="N3" t="s">
        <v>18</v>
      </c>
      <c r="P3">
        <v>1010</v>
      </c>
      <c r="Q3" t="s">
        <v>1207</v>
      </c>
      <c r="U3">
        <v>1010</v>
      </c>
      <c r="V3" t="s">
        <v>1208</v>
      </c>
      <c r="W3">
        <v>1</v>
      </c>
      <c r="X3" t="s">
        <v>1209</v>
      </c>
      <c r="Y3">
        <v>1</v>
      </c>
      <c r="Z3" t="s">
        <v>1210</v>
      </c>
      <c r="AB3">
        <v>302</v>
      </c>
      <c r="AC3" t="s">
        <v>1211</v>
      </c>
    </row>
    <row r="4" spans="1:29">
      <c r="A4">
        <v>2</v>
      </c>
      <c r="B4" t="s">
        <v>1212</v>
      </c>
      <c r="D4">
        <v>2</v>
      </c>
      <c r="E4" t="s">
        <v>1213</v>
      </c>
      <c r="G4">
        <v>2</v>
      </c>
      <c r="H4" t="s">
        <v>1214</v>
      </c>
      <c r="J4">
        <v>2</v>
      </c>
      <c r="K4" t="s">
        <v>1215</v>
      </c>
      <c r="M4">
        <v>2</v>
      </c>
      <c r="N4" t="s">
        <v>1212</v>
      </c>
      <c r="P4">
        <v>1020</v>
      </c>
      <c r="Q4" t="s">
        <v>1216</v>
      </c>
      <c r="U4">
        <v>1020</v>
      </c>
      <c r="V4" t="s">
        <v>1217</v>
      </c>
      <c r="W4">
        <v>2</v>
      </c>
      <c r="X4" t="s">
        <v>1218</v>
      </c>
      <c r="Y4">
        <v>11</v>
      </c>
      <c r="Z4" t="s">
        <v>1219</v>
      </c>
      <c r="AB4" s="2">
        <v>303</v>
      </c>
      <c r="AC4" s="2" t="s">
        <v>1220</v>
      </c>
    </row>
    <row r="5" spans="1:29">
      <c r="A5">
        <v>3</v>
      </c>
      <c r="B5" t="s">
        <v>1221</v>
      </c>
      <c r="D5">
        <v>3</v>
      </c>
      <c r="E5" t="s">
        <v>1222</v>
      </c>
      <c r="G5">
        <v>3</v>
      </c>
      <c r="H5" t="s">
        <v>1223</v>
      </c>
      <c r="J5">
        <v>3</v>
      </c>
      <c r="K5" t="s">
        <v>1224</v>
      </c>
      <c r="M5">
        <v>3</v>
      </c>
      <c r="N5" t="s">
        <v>1221</v>
      </c>
      <c r="P5">
        <v>1030</v>
      </c>
      <c r="Q5" t="s">
        <v>1225</v>
      </c>
      <c r="U5">
        <v>1030</v>
      </c>
      <c r="V5" t="s">
        <v>1226</v>
      </c>
      <c r="W5">
        <v>3</v>
      </c>
      <c r="X5" t="s">
        <v>1227</v>
      </c>
      <c r="Y5">
        <v>21</v>
      </c>
      <c r="Z5" t="s">
        <v>1228</v>
      </c>
      <c r="AB5">
        <v>304</v>
      </c>
      <c r="AC5" t="s">
        <v>1229</v>
      </c>
    </row>
    <row r="6" spans="4:29">
      <c r="D6">
        <v>4</v>
      </c>
      <c r="E6" t="s">
        <v>1218</v>
      </c>
      <c r="G6">
        <v>4</v>
      </c>
      <c r="H6" t="s">
        <v>78</v>
      </c>
      <c r="J6">
        <v>4</v>
      </c>
      <c r="K6" t="s">
        <v>1230</v>
      </c>
      <c r="M6">
        <v>4</v>
      </c>
      <c r="N6" t="s">
        <v>1230</v>
      </c>
      <c r="P6">
        <v>1040</v>
      </c>
      <c r="Q6" t="s">
        <v>1231</v>
      </c>
      <c r="U6">
        <v>1040</v>
      </c>
      <c r="V6" t="s">
        <v>1232</v>
      </c>
      <c r="W6">
        <v>4</v>
      </c>
      <c r="X6" t="s">
        <v>1233</v>
      </c>
      <c r="Y6">
        <v>22</v>
      </c>
      <c r="Z6" t="s">
        <v>1234</v>
      </c>
      <c r="AB6">
        <v>305</v>
      </c>
      <c r="AC6" t="s">
        <v>1235</v>
      </c>
    </row>
    <row r="7" spans="4:29">
      <c r="D7">
        <v>5</v>
      </c>
      <c r="E7" t="s">
        <v>1236</v>
      </c>
      <c r="G7">
        <v>5</v>
      </c>
      <c r="H7" t="s">
        <v>1237</v>
      </c>
      <c r="J7">
        <v>6</v>
      </c>
      <c r="K7" t="s">
        <v>1238</v>
      </c>
      <c r="M7">
        <v>5</v>
      </c>
      <c r="N7" t="s">
        <v>1239</v>
      </c>
      <c r="P7">
        <v>1050</v>
      </c>
      <c r="Q7" t="s">
        <v>1240</v>
      </c>
      <c r="U7">
        <v>1050</v>
      </c>
      <c r="V7" t="s">
        <v>1241</v>
      </c>
      <c r="W7">
        <v>5</v>
      </c>
      <c r="X7" t="s">
        <v>1242</v>
      </c>
      <c r="Y7">
        <v>23</v>
      </c>
      <c r="Z7" t="s">
        <v>1243</v>
      </c>
      <c r="AB7">
        <v>306</v>
      </c>
      <c r="AC7" t="s">
        <v>1244</v>
      </c>
    </row>
    <row r="8" spans="4:29">
      <c r="D8">
        <v>6</v>
      </c>
      <c r="E8" t="s">
        <v>1245</v>
      </c>
      <c r="G8">
        <v>6</v>
      </c>
      <c r="H8" t="s">
        <v>1246</v>
      </c>
      <c r="J8">
        <v>7</v>
      </c>
      <c r="K8" t="s">
        <v>1247</v>
      </c>
      <c r="M8">
        <v>6</v>
      </c>
      <c r="N8" t="s">
        <v>1248</v>
      </c>
      <c r="P8">
        <v>1060</v>
      </c>
      <c r="Q8" t="s">
        <v>1249</v>
      </c>
      <c r="U8">
        <v>1060</v>
      </c>
      <c r="V8" t="s">
        <v>1250</v>
      </c>
      <c r="W8">
        <v>6</v>
      </c>
      <c r="X8" t="s">
        <v>1251</v>
      </c>
      <c r="Y8">
        <v>31</v>
      </c>
      <c r="Z8" t="s">
        <v>1252</v>
      </c>
      <c r="AB8">
        <v>307</v>
      </c>
      <c r="AC8" t="s">
        <v>1253</v>
      </c>
    </row>
    <row r="9" spans="7:29">
      <c r="G9">
        <v>7</v>
      </c>
      <c r="H9" t="s">
        <v>1254</v>
      </c>
      <c r="J9">
        <v>11</v>
      </c>
      <c r="K9" t="s">
        <v>1255</v>
      </c>
      <c r="M9">
        <v>11</v>
      </c>
      <c r="N9" t="s">
        <v>1256</v>
      </c>
      <c r="P9">
        <v>1070</v>
      </c>
      <c r="Q9" t="s">
        <v>1257</v>
      </c>
      <c r="U9">
        <v>1130</v>
      </c>
      <c r="V9" t="s">
        <v>1258</v>
      </c>
      <c r="W9">
        <v>7</v>
      </c>
      <c r="X9" t="s">
        <v>1259</v>
      </c>
      <c r="Y9">
        <v>41</v>
      </c>
      <c r="Z9" t="s">
        <v>1260</v>
      </c>
      <c r="AB9">
        <v>308</v>
      </c>
      <c r="AC9" t="s">
        <v>1261</v>
      </c>
    </row>
    <row r="10" spans="7:29">
      <c r="G10">
        <v>8</v>
      </c>
      <c r="H10" t="s">
        <v>1262</v>
      </c>
      <c r="J10">
        <v>101</v>
      </c>
      <c r="K10" t="s">
        <v>1263</v>
      </c>
      <c r="M10">
        <v>12</v>
      </c>
      <c r="N10" s="1" t="s">
        <v>1264</v>
      </c>
      <c r="P10">
        <v>1080</v>
      </c>
      <c r="Q10" t="s">
        <v>1265</v>
      </c>
      <c r="U10">
        <v>1140</v>
      </c>
      <c r="V10" t="s">
        <v>1266</v>
      </c>
      <c r="W10">
        <v>10</v>
      </c>
      <c r="X10" t="s">
        <v>1267</v>
      </c>
      <c r="Y10">
        <v>42</v>
      </c>
      <c r="Z10" t="s">
        <v>1268</v>
      </c>
      <c r="AB10">
        <v>309</v>
      </c>
      <c r="AC10" t="s">
        <v>1269</v>
      </c>
    </row>
    <row r="11" spans="7:29">
      <c r="G11">
        <v>9</v>
      </c>
      <c r="H11" t="s">
        <v>1270</v>
      </c>
      <c r="M11">
        <v>13</v>
      </c>
      <c r="N11" s="1" t="s">
        <v>1271</v>
      </c>
      <c r="P11">
        <v>1090</v>
      </c>
      <c r="Q11" t="s">
        <v>1272</v>
      </c>
      <c r="U11">
        <v>1150</v>
      </c>
      <c r="V11" t="s">
        <v>1273</v>
      </c>
      <c r="W11">
        <v>11</v>
      </c>
      <c r="X11" t="s">
        <v>78</v>
      </c>
      <c r="Y11">
        <v>51</v>
      </c>
      <c r="Z11" t="s">
        <v>1274</v>
      </c>
      <c r="AB11">
        <v>310</v>
      </c>
      <c r="AC11" t="s">
        <v>1275</v>
      </c>
    </row>
    <row r="12" spans="7:29">
      <c r="G12">
        <v>11</v>
      </c>
      <c r="H12" t="s">
        <v>1276</v>
      </c>
      <c r="M12">
        <v>21</v>
      </c>
      <c r="N12" t="s">
        <v>1277</v>
      </c>
      <c r="P12">
        <v>1100</v>
      </c>
      <c r="Q12" t="s">
        <v>1278</v>
      </c>
      <c r="U12">
        <v>1160</v>
      </c>
      <c r="V12" t="s">
        <v>1279</v>
      </c>
      <c r="W12">
        <v>99</v>
      </c>
      <c r="X12" t="s">
        <v>1280</v>
      </c>
      <c r="Y12">
        <v>61</v>
      </c>
      <c r="Z12" t="s">
        <v>1281</v>
      </c>
      <c r="AB12">
        <v>311</v>
      </c>
      <c r="AC12" t="s">
        <v>1282</v>
      </c>
    </row>
    <row r="13" spans="7:29">
      <c r="G13">
        <v>12</v>
      </c>
      <c r="H13" t="s">
        <v>1283</v>
      </c>
      <c r="M13">
        <v>31</v>
      </c>
      <c r="N13" t="s">
        <v>1284</v>
      </c>
      <c r="P13">
        <v>1110</v>
      </c>
      <c r="Q13" t="s">
        <v>1285</v>
      </c>
      <c r="U13">
        <v>2010</v>
      </c>
      <c r="V13" t="s">
        <v>1286</v>
      </c>
      <c r="W13" t="s">
        <v>1287</v>
      </c>
      <c r="Y13">
        <v>101</v>
      </c>
      <c r="Z13" t="s">
        <v>1288</v>
      </c>
      <c r="AB13">
        <v>401</v>
      </c>
      <c r="AC13" t="s">
        <v>1289</v>
      </c>
    </row>
    <row r="14" spans="13:29">
      <c r="M14">
        <v>32</v>
      </c>
      <c r="N14" t="s">
        <v>1290</v>
      </c>
      <c r="P14">
        <v>1120</v>
      </c>
      <c r="Q14" t="s">
        <v>1291</v>
      </c>
      <c r="U14">
        <v>3010</v>
      </c>
      <c r="V14" t="s">
        <v>1292</v>
      </c>
      <c r="AB14">
        <v>402</v>
      </c>
      <c r="AC14" t="s">
        <v>1293</v>
      </c>
    </row>
    <row r="15" spans="13:29">
      <c r="M15">
        <v>41</v>
      </c>
      <c r="N15" t="s">
        <v>1294</v>
      </c>
      <c r="P15">
        <v>1130</v>
      </c>
      <c r="Q15" t="s">
        <v>1295</v>
      </c>
      <c r="U15">
        <v>3020</v>
      </c>
      <c r="V15" t="s">
        <v>1296</v>
      </c>
      <c r="AB15">
        <v>403</v>
      </c>
      <c r="AC15" t="s">
        <v>1297</v>
      </c>
    </row>
    <row r="16" spans="16:29">
      <c r="P16">
        <v>2010</v>
      </c>
      <c r="Q16" t="s">
        <v>1298</v>
      </c>
      <c r="U16">
        <v>3030</v>
      </c>
      <c r="V16" t="s">
        <v>1299</v>
      </c>
      <c r="AB16">
        <v>404</v>
      </c>
      <c r="AC16" t="s">
        <v>1300</v>
      </c>
    </row>
    <row r="17" spans="16:29">
      <c r="P17">
        <v>2011</v>
      </c>
      <c r="Q17" t="s">
        <v>1301</v>
      </c>
      <c r="U17">
        <v>3040</v>
      </c>
      <c r="V17" t="s">
        <v>1302</v>
      </c>
      <c r="AB17">
        <v>501</v>
      </c>
      <c r="AC17" t="s">
        <v>1303</v>
      </c>
    </row>
    <row r="18" spans="16:29">
      <c r="P18">
        <v>2020</v>
      </c>
      <c r="Q18" t="s">
        <v>1304</v>
      </c>
      <c r="U18">
        <v>3050</v>
      </c>
      <c r="V18" t="s">
        <v>1305</v>
      </c>
      <c r="AB18">
        <v>502</v>
      </c>
      <c r="AC18" t="s">
        <v>1306</v>
      </c>
    </row>
    <row r="19" spans="16:29">
      <c r="P19">
        <v>2030</v>
      </c>
      <c r="Q19" t="s">
        <v>1307</v>
      </c>
      <c r="U19">
        <v>3060</v>
      </c>
      <c r="V19" t="s">
        <v>1308</v>
      </c>
      <c r="AB19">
        <v>503</v>
      </c>
      <c r="AC19" t="s">
        <v>1309</v>
      </c>
    </row>
    <row r="20" spans="16:29">
      <c r="P20">
        <v>2040</v>
      </c>
      <c r="Q20" t="s">
        <v>1310</v>
      </c>
      <c r="U20">
        <v>4010</v>
      </c>
      <c r="V20" t="s">
        <v>1311</v>
      </c>
      <c r="AB20">
        <v>504</v>
      </c>
      <c r="AC20" t="s">
        <v>1312</v>
      </c>
    </row>
    <row r="21" spans="16:29">
      <c r="P21">
        <v>2110</v>
      </c>
      <c r="Q21" t="s">
        <v>1313</v>
      </c>
      <c r="U21">
        <v>4020</v>
      </c>
      <c r="V21" t="s">
        <v>1314</v>
      </c>
      <c r="AB21">
        <v>505</v>
      </c>
      <c r="AC21" t="s">
        <v>1315</v>
      </c>
    </row>
    <row r="22" spans="16:29">
      <c r="P22">
        <v>2120</v>
      </c>
      <c r="Q22" t="s">
        <v>1316</v>
      </c>
      <c r="U22">
        <v>5010</v>
      </c>
      <c r="V22" t="s">
        <v>1317</v>
      </c>
      <c r="AB22">
        <v>506</v>
      </c>
      <c r="AC22" t="s">
        <v>1318</v>
      </c>
    </row>
    <row r="23" spans="16:29">
      <c r="P23">
        <v>2130</v>
      </c>
      <c r="Q23" t="s">
        <v>1319</v>
      </c>
      <c r="U23">
        <v>5020</v>
      </c>
      <c r="V23" t="s">
        <v>1320</v>
      </c>
      <c r="AB23">
        <v>507</v>
      </c>
      <c r="AC23" t="s">
        <v>1321</v>
      </c>
    </row>
    <row r="24" spans="16:29">
      <c r="P24">
        <v>3010</v>
      </c>
      <c r="Q24" t="s">
        <v>1322</v>
      </c>
      <c r="U24">
        <v>5030</v>
      </c>
      <c r="V24" t="s">
        <v>1323</v>
      </c>
      <c r="AB24">
        <v>508</v>
      </c>
      <c r="AC24" t="s">
        <v>1289</v>
      </c>
    </row>
    <row r="25" spans="16:29">
      <c r="P25">
        <v>3020</v>
      </c>
      <c r="Q25" t="s">
        <v>1324</v>
      </c>
      <c r="U25">
        <v>5040</v>
      </c>
      <c r="V25" t="s">
        <v>1325</v>
      </c>
      <c r="AB25">
        <v>509</v>
      </c>
      <c r="AC25" t="s">
        <v>1297</v>
      </c>
    </row>
    <row r="26" spans="16:22">
      <c r="P26">
        <v>3030</v>
      </c>
      <c r="Q26" t="s">
        <v>1326</v>
      </c>
      <c r="U26">
        <v>5050</v>
      </c>
      <c r="V26" t="s">
        <v>1327</v>
      </c>
    </row>
    <row r="27" spans="16:22">
      <c r="P27">
        <v>3040</v>
      </c>
      <c r="Q27" t="s">
        <v>1328</v>
      </c>
      <c r="U27">
        <v>5060</v>
      </c>
      <c r="V27" t="s">
        <v>1329</v>
      </c>
    </row>
    <row r="28" spans="16:22">
      <c r="P28">
        <v>3050</v>
      </c>
      <c r="Q28" t="s">
        <v>1330</v>
      </c>
      <c r="U28">
        <v>5070</v>
      </c>
      <c r="V28" t="s">
        <v>1331</v>
      </c>
    </row>
    <row r="29" spans="16:22">
      <c r="P29">
        <v>3060</v>
      </c>
      <c r="Q29" t="s">
        <v>1332</v>
      </c>
      <c r="U29">
        <v>5080</v>
      </c>
      <c r="V29" t="s">
        <v>1333</v>
      </c>
    </row>
    <row r="30" spans="16:22">
      <c r="P30">
        <v>3070</v>
      </c>
      <c r="Q30" t="s">
        <v>1334</v>
      </c>
      <c r="U30">
        <v>5090</v>
      </c>
      <c r="V30" t="s">
        <v>1335</v>
      </c>
    </row>
    <row r="31" spans="16:22">
      <c r="P31">
        <v>4010</v>
      </c>
      <c r="Q31" t="s">
        <v>1336</v>
      </c>
      <c r="U31">
        <v>5100</v>
      </c>
      <c r="V31" t="s">
        <v>1337</v>
      </c>
    </row>
    <row r="32" spans="16:22">
      <c r="P32">
        <v>4011</v>
      </c>
      <c r="Q32" t="s">
        <v>1338</v>
      </c>
      <c r="U32">
        <v>5110</v>
      </c>
      <c r="V32" t="s">
        <v>1339</v>
      </c>
    </row>
    <row r="33" spans="16:22">
      <c r="P33">
        <v>4020</v>
      </c>
      <c r="Q33" t="s">
        <v>1340</v>
      </c>
      <c r="U33">
        <v>5120</v>
      </c>
      <c r="V33" t="s">
        <v>1341</v>
      </c>
    </row>
    <row r="34" spans="16:22">
      <c r="P34">
        <v>4030</v>
      </c>
      <c r="Q34" t="s">
        <v>1342</v>
      </c>
      <c r="U34">
        <v>5130</v>
      </c>
      <c r="V34" t="s">
        <v>1343</v>
      </c>
    </row>
    <row r="35" spans="16:22">
      <c r="P35">
        <v>4040</v>
      </c>
      <c r="Q35" t="s">
        <v>1344</v>
      </c>
      <c r="U35">
        <v>5140</v>
      </c>
      <c r="V35" t="s">
        <v>1345</v>
      </c>
    </row>
    <row r="36" spans="16:22">
      <c r="P36">
        <v>4041</v>
      </c>
      <c r="Q36" t="s">
        <v>1346</v>
      </c>
      <c r="U36">
        <v>5150</v>
      </c>
      <c r="V36" t="s">
        <v>1347</v>
      </c>
    </row>
    <row r="37" spans="16:22">
      <c r="P37">
        <v>5010</v>
      </c>
      <c r="Q37" t="s">
        <v>1348</v>
      </c>
      <c r="U37">
        <v>6010</v>
      </c>
      <c r="V37" t="s">
        <v>1349</v>
      </c>
    </row>
    <row r="38" spans="16:22">
      <c r="P38">
        <v>5011</v>
      </c>
      <c r="Q38" t="s">
        <v>1350</v>
      </c>
      <c r="U38">
        <v>6020</v>
      </c>
      <c r="V38" t="s">
        <v>1351</v>
      </c>
    </row>
    <row r="39" spans="16:22">
      <c r="P39">
        <v>5012</v>
      </c>
      <c r="Q39" t="s">
        <v>1352</v>
      </c>
      <c r="U39">
        <v>6030</v>
      </c>
      <c r="V39" t="s">
        <v>1353</v>
      </c>
    </row>
    <row r="40" spans="16:22">
      <c r="P40">
        <v>5020</v>
      </c>
      <c r="Q40" t="s">
        <v>1354</v>
      </c>
      <c r="U40">
        <v>6040</v>
      </c>
      <c r="V40" t="s">
        <v>1355</v>
      </c>
    </row>
    <row r="41" spans="16:22">
      <c r="P41">
        <v>5030</v>
      </c>
      <c r="Q41" t="s">
        <v>1356</v>
      </c>
      <c r="U41">
        <v>6050</v>
      </c>
      <c r="V41" t="s">
        <v>1357</v>
      </c>
    </row>
    <row r="42" spans="16:22">
      <c r="P42">
        <v>5040</v>
      </c>
      <c r="Q42" t="s">
        <v>1358</v>
      </c>
      <c r="U42">
        <v>6060</v>
      </c>
      <c r="V42" t="s">
        <v>1359</v>
      </c>
    </row>
    <row r="43" spans="16:22">
      <c r="P43">
        <v>5050</v>
      </c>
      <c r="Q43" t="s">
        <v>1360</v>
      </c>
      <c r="U43">
        <v>6110</v>
      </c>
      <c r="V43" t="s">
        <v>1361</v>
      </c>
    </row>
    <row r="44" spans="16:22">
      <c r="P44">
        <v>6010</v>
      </c>
      <c r="Q44" t="s">
        <v>1362</v>
      </c>
      <c r="U44">
        <v>6120</v>
      </c>
      <c r="V44" t="s">
        <v>1363</v>
      </c>
    </row>
    <row r="45" spans="16:22">
      <c r="P45">
        <v>6020</v>
      </c>
      <c r="Q45" t="s">
        <v>1364</v>
      </c>
      <c r="U45">
        <v>6130</v>
      </c>
      <c r="V45" t="s">
        <v>1365</v>
      </c>
    </row>
    <row r="46" spans="16:22">
      <c r="P46">
        <v>6030</v>
      </c>
      <c r="Q46" t="s">
        <v>1366</v>
      </c>
      <c r="U46">
        <v>6140</v>
      </c>
      <c r="V46" t="s">
        <v>1367</v>
      </c>
    </row>
    <row r="47" spans="16:22">
      <c r="P47">
        <v>6040</v>
      </c>
      <c r="Q47" t="s">
        <v>1368</v>
      </c>
      <c r="U47">
        <v>6150</v>
      </c>
      <c r="V47" t="s">
        <v>1369</v>
      </c>
    </row>
    <row r="48" spans="16:22">
      <c r="P48">
        <v>6050</v>
      </c>
      <c r="Q48" t="s">
        <v>1370</v>
      </c>
      <c r="U48">
        <v>6210</v>
      </c>
      <c r="V48" t="s">
        <v>1371</v>
      </c>
    </row>
    <row r="49" spans="16:22">
      <c r="P49">
        <v>6060</v>
      </c>
      <c r="Q49" t="s">
        <v>1372</v>
      </c>
      <c r="U49">
        <v>6220</v>
      </c>
      <c r="V49" t="s">
        <v>1373</v>
      </c>
    </row>
    <row r="50" spans="16:22">
      <c r="P50">
        <v>6070</v>
      </c>
      <c r="Q50" t="s">
        <v>1374</v>
      </c>
      <c r="U50">
        <v>6230</v>
      </c>
      <c r="V50" t="s">
        <v>1375</v>
      </c>
    </row>
    <row r="51" spans="16:22">
      <c r="P51">
        <v>6080</v>
      </c>
      <c r="Q51" t="s">
        <v>1376</v>
      </c>
      <c r="U51">
        <v>6240</v>
      </c>
      <c r="V51" t="s">
        <v>1377</v>
      </c>
    </row>
    <row r="52" spans="16:22">
      <c r="P52">
        <v>6100</v>
      </c>
      <c r="Q52" t="s">
        <v>1378</v>
      </c>
      <c r="U52">
        <v>6250</v>
      </c>
      <c r="V52" t="s">
        <v>1379</v>
      </c>
    </row>
    <row r="53" spans="16:22">
      <c r="P53">
        <v>6210</v>
      </c>
      <c r="Q53" t="s">
        <v>1380</v>
      </c>
      <c r="U53">
        <v>6310</v>
      </c>
      <c r="V53" t="s">
        <v>1381</v>
      </c>
    </row>
    <row r="54" spans="16:22">
      <c r="P54">
        <v>6310</v>
      </c>
      <c r="Q54" t="s">
        <v>1382</v>
      </c>
      <c r="U54">
        <v>6320</v>
      </c>
      <c r="V54" t="s">
        <v>1383</v>
      </c>
    </row>
    <row r="55" spans="16:22">
      <c r="P55">
        <v>7010</v>
      </c>
      <c r="Q55" t="s">
        <v>1384</v>
      </c>
      <c r="U55">
        <v>6330</v>
      </c>
      <c r="V55" t="s">
        <v>1385</v>
      </c>
    </row>
    <row r="56" spans="16:22">
      <c r="P56">
        <v>7020</v>
      </c>
      <c r="Q56" t="s">
        <v>1386</v>
      </c>
      <c r="U56">
        <v>6340</v>
      </c>
      <c r="V56" t="s">
        <v>1387</v>
      </c>
    </row>
    <row r="57" spans="16:22">
      <c r="P57">
        <v>7030</v>
      </c>
      <c r="Q57" t="s">
        <v>1388</v>
      </c>
      <c r="U57">
        <v>6350</v>
      </c>
      <c r="V57" t="s">
        <v>1389</v>
      </c>
    </row>
    <row r="58" spans="16:22">
      <c r="P58">
        <v>8010</v>
      </c>
      <c r="Q58" t="s">
        <v>1390</v>
      </c>
      <c r="U58">
        <v>7010</v>
      </c>
      <c r="V58" t="s">
        <v>1391</v>
      </c>
    </row>
    <row r="59" spans="16:22">
      <c r="P59">
        <v>8020</v>
      </c>
      <c r="Q59" t="s">
        <v>1392</v>
      </c>
      <c r="U59">
        <v>7020</v>
      </c>
      <c r="V59" t="s">
        <v>1393</v>
      </c>
    </row>
    <row r="60" spans="16:22">
      <c r="P60">
        <v>8030</v>
      </c>
      <c r="Q60" t="s">
        <v>1394</v>
      </c>
      <c r="U60">
        <v>7030</v>
      </c>
      <c r="V60" t="s">
        <v>1395</v>
      </c>
    </row>
    <row r="61" spans="16:22">
      <c r="P61">
        <v>9010</v>
      </c>
      <c r="Q61" t="s">
        <v>1396</v>
      </c>
      <c r="U61">
        <v>7040</v>
      </c>
      <c r="V61" t="s">
        <v>1397</v>
      </c>
    </row>
    <row r="62" spans="16:22">
      <c r="P62">
        <v>10010</v>
      </c>
      <c r="Q62" t="s">
        <v>1398</v>
      </c>
      <c r="U62">
        <v>7050</v>
      </c>
      <c r="V62" t="s">
        <v>1399</v>
      </c>
    </row>
    <row r="63" spans="16:22">
      <c r="P63">
        <v>10020</v>
      </c>
      <c r="Q63" t="s">
        <v>1400</v>
      </c>
      <c r="U63">
        <v>7060</v>
      </c>
      <c r="V63" t="s">
        <v>1401</v>
      </c>
    </row>
    <row r="64" spans="16:22">
      <c r="P64">
        <v>11010</v>
      </c>
      <c r="Q64" t="s">
        <v>1402</v>
      </c>
      <c r="U64">
        <v>7070</v>
      </c>
      <c r="V64" t="s">
        <v>1403</v>
      </c>
    </row>
    <row r="65" spans="16:22">
      <c r="P65">
        <v>12010</v>
      </c>
      <c r="Q65" t="s">
        <v>1404</v>
      </c>
      <c r="U65">
        <v>8010</v>
      </c>
      <c r="V65" t="s">
        <v>1405</v>
      </c>
    </row>
    <row r="66" spans="16:22">
      <c r="P66">
        <v>13010</v>
      </c>
      <c r="Q66" t="s">
        <v>1406</v>
      </c>
      <c r="U66">
        <v>8020</v>
      </c>
      <c r="V66" t="s">
        <v>1407</v>
      </c>
    </row>
    <row r="67" spans="16:22">
      <c r="P67">
        <v>14010</v>
      </c>
      <c r="Q67" t="s">
        <v>1408</v>
      </c>
      <c r="U67">
        <v>8030</v>
      </c>
      <c r="V67" t="s">
        <v>1409</v>
      </c>
    </row>
    <row r="68" spans="16:22">
      <c r="P68">
        <v>14080</v>
      </c>
      <c r="Q68" t="s">
        <v>1410</v>
      </c>
      <c r="U68">
        <v>8040</v>
      </c>
      <c r="V68" t="s">
        <v>1411</v>
      </c>
    </row>
    <row r="69" spans="16:22">
      <c r="P69">
        <v>40010</v>
      </c>
      <c r="Q69" t="s">
        <v>1412</v>
      </c>
      <c r="U69">
        <v>8050</v>
      </c>
      <c r="V69" t="s">
        <v>1413</v>
      </c>
    </row>
    <row r="70" spans="16:22">
      <c r="P70">
        <v>40020</v>
      </c>
      <c r="Q70" t="s">
        <v>1414</v>
      </c>
      <c r="U70">
        <v>8060</v>
      </c>
      <c r="V70" t="s">
        <v>1415</v>
      </c>
    </row>
    <row r="71" spans="16:22">
      <c r="P71">
        <v>40030</v>
      </c>
      <c r="Q71" t="s">
        <v>1416</v>
      </c>
      <c r="U71">
        <v>9010</v>
      </c>
      <c r="V71" t="s">
        <v>1417</v>
      </c>
    </row>
    <row r="72" spans="16:22">
      <c r="P72">
        <v>40040</v>
      </c>
      <c r="Q72" t="s">
        <v>1418</v>
      </c>
      <c r="U72">
        <v>9020</v>
      </c>
      <c r="V72" t="s">
        <v>1419</v>
      </c>
    </row>
    <row r="73" spans="16:22">
      <c r="P73">
        <v>40050</v>
      </c>
      <c r="Q73" t="s">
        <v>1420</v>
      </c>
      <c r="U73">
        <v>9030</v>
      </c>
      <c r="V73" t="s">
        <v>1421</v>
      </c>
    </row>
    <row r="74" spans="16:22">
      <c r="P74">
        <v>40060</v>
      </c>
      <c r="Q74" t="s">
        <v>1422</v>
      </c>
      <c r="U74">
        <v>9031</v>
      </c>
      <c r="V74" t="s">
        <v>1423</v>
      </c>
    </row>
    <row r="75" spans="16:22">
      <c r="P75">
        <v>40070</v>
      </c>
      <c r="Q75" t="s">
        <v>1424</v>
      </c>
      <c r="U75">
        <v>9040</v>
      </c>
      <c r="V75" t="s">
        <v>1425</v>
      </c>
    </row>
    <row r="76" spans="16:22">
      <c r="P76">
        <v>40080</v>
      </c>
      <c r="Q76" t="s">
        <v>1426</v>
      </c>
      <c r="U76">
        <v>9110</v>
      </c>
      <c r="V76" t="s">
        <v>1427</v>
      </c>
    </row>
    <row r="77" spans="16:22">
      <c r="P77">
        <v>40090</v>
      </c>
      <c r="Q77" t="s">
        <v>1428</v>
      </c>
      <c r="U77">
        <v>9120</v>
      </c>
      <c r="V77" t="s">
        <v>1429</v>
      </c>
    </row>
    <row r="78" spans="21:22">
      <c r="U78">
        <v>10010</v>
      </c>
      <c r="V78" t="s">
        <v>1430</v>
      </c>
    </row>
    <row r="79" spans="21:22">
      <c r="U79">
        <v>10020</v>
      </c>
      <c r="V79" t="s">
        <v>1431</v>
      </c>
    </row>
    <row r="80" spans="21:22">
      <c r="U80">
        <v>10030</v>
      </c>
      <c r="V80" t="s">
        <v>1432</v>
      </c>
    </row>
    <row r="81" spans="21:22">
      <c r="U81">
        <v>10110</v>
      </c>
      <c r="V81" t="s">
        <v>1433</v>
      </c>
    </row>
    <row r="82" spans="21:22">
      <c r="U82">
        <v>10120</v>
      </c>
      <c r="V82" t="s">
        <v>1434</v>
      </c>
    </row>
    <row r="83" spans="21:22">
      <c r="U83">
        <v>10130</v>
      </c>
      <c r="V83" t="s">
        <v>1435</v>
      </c>
    </row>
    <row r="84" spans="21:22">
      <c r="U84">
        <v>11010</v>
      </c>
      <c r="V84" t="s">
        <v>1436</v>
      </c>
    </row>
    <row r="85" spans="21:22">
      <c r="U85">
        <v>11011</v>
      </c>
      <c r="V85" t="s">
        <v>1437</v>
      </c>
    </row>
    <row r="86" spans="21:22">
      <c r="U86">
        <v>11020</v>
      </c>
      <c r="V86" t="s">
        <v>1438</v>
      </c>
    </row>
    <row r="87" spans="21:22">
      <c r="U87">
        <v>12010</v>
      </c>
      <c r="V87" t="s">
        <v>1439</v>
      </c>
    </row>
    <row r="88" spans="21:22">
      <c r="U88">
        <v>12011</v>
      </c>
      <c r="V88" t="s">
        <v>1440</v>
      </c>
    </row>
    <row r="89" spans="21:22">
      <c r="U89">
        <v>12030</v>
      </c>
      <c r="V89" t="s">
        <v>1441</v>
      </c>
    </row>
    <row r="90" spans="21:22">
      <c r="U90">
        <v>12040</v>
      </c>
      <c r="V90" t="s">
        <v>1442</v>
      </c>
    </row>
    <row r="91" spans="21:22">
      <c r="U91">
        <v>12041</v>
      </c>
      <c r="V91" t="s">
        <v>1443</v>
      </c>
    </row>
    <row r="92" spans="21:22">
      <c r="U92">
        <v>12042</v>
      </c>
      <c r="V92" t="s">
        <v>1444</v>
      </c>
    </row>
    <row r="93" spans="21:22">
      <c r="U93">
        <v>12043</v>
      </c>
      <c r="V93" t="s">
        <v>1445</v>
      </c>
    </row>
    <row r="94" spans="21:22">
      <c r="U94">
        <v>12050</v>
      </c>
      <c r="V94" t="s">
        <v>1446</v>
      </c>
    </row>
    <row r="95" spans="21:22">
      <c r="U95">
        <v>12060</v>
      </c>
      <c r="V95" t="s">
        <v>1447</v>
      </c>
    </row>
    <row r="96" spans="21:22">
      <c r="U96">
        <v>12063</v>
      </c>
      <c r="V96" t="s">
        <v>1448</v>
      </c>
    </row>
    <row r="97" spans="21:22">
      <c r="U97">
        <v>12064</v>
      </c>
      <c r="V97" t="s">
        <v>1449</v>
      </c>
    </row>
    <row r="98" spans="21:22">
      <c r="U98">
        <v>12066</v>
      </c>
      <c r="V98" t="s">
        <v>1450</v>
      </c>
    </row>
    <row r="99" spans="21:22">
      <c r="U99">
        <v>12067</v>
      </c>
      <c r="V99" t="s">
        <v>1451</v>
      </c>
    </row>
    <row r="100" spans="21:22">
      <c r="U100">
        <v>12070</v>
      </c>
      <c r="V100" t="s">
        <v>1452</v>
      </c>
    </row>
    <row r="101" spans="21:22">
      <c r="U101">
        <v>12071</v>
      </c>
      <c r="V101" t="s">
        <v>1453</v>
      </c>
    </row>
    <row r="102" spans="21:22">
      <c r="U102">
        <v>12072</v>
      </c>
      <c r="V102" t="s">
        <v>1454</v>
      </c>
    </row>
    <row r="103" spans="21:22">
      <c r="U103">
        <v>12082</v>
      </c>
      <c r="V103" t="s">
        <v>1455</v>
      </c>
    </row>
    <row r="104" spans="21:22">
      <c r="U104">
        <v>12092</v>
      </c>
      <c r="V104" t="s">
        <v>1456</v>
      </c>
    </row>
    <row r="105" spans="21:22">
      <c r="U105">
        <v>12110</v>
      </c>
      <c r="V105" t="s">
        <v>1457</v>
      </c>
    </row>
    <row r="106" spans="21:22">
      <c r="U106">
        <v>13010</v>
      </c>
      <c r="V106" t="s">
        <v>1458</v>
      </c>
    </row>
    <row r="107" spans="21:22">
      <c r="U107">
        <v>13020</v>
      </c>
      <c r="V107" t="s">
        <v>1459</v>
      </c>
    </row>
    <row r="108" spans="21:22">
      <c r="U108">
        <v>14010</v>
      </c>
      <c r="V108" t="s">
        <v>1460</v>
      </c>
    </row>
    <row r="109" spans="21:22">
      <c r="U109">
        <v>14110</v>
      </c>
      <c r="V109" t="s">
        <v>1461</v>
      </c>
    </row>
    <row r="110" spans="21:22">
      <c r="U110">
        <v>14210</v>
      </c>
      <c r="V110" t="s">
        <v>1462</v>
      </c>
    </row>
    <row r="111" spans="21:22">
      <c r="U111">
        <v>14310</v>
      </c>
      <c r="V111" t="s">
        <v>1463</v>
      </c>
    </row>
    <row r="112" spans="21:22">
      <c r="U112">
        <v>14410</v>
      </c>
      <c r="V112" t="s">
        <v>1464</v>
      </c>
    </row>
    <row r="113" spans="21:22">
      <c r="U113">
        <v>14420</v>
      </c>
      <c r="V113" t="s">
        <v>1465</v>
      </c>
    </row>
    <row r="114" spans="21:22">
      <c r="U114">
        <v>14520</v>
      </c>
      <c r="V114" t="s">
        <v>1466</v>
      </c>
    </row>
    <row r="115" spans="21:22">
      <c r="U115">
        <v>15010</v>
      </c>
      <c r="V115" t="s">
        <v>1467</v>
      </c>
    </row>
    <row r="116" spans="21:22">
      <c r="U116">
        <v>15011</v>
      </c>
      <c r="V116" t="s">
        <v>1468</v>
      </c>
    </row>
    <row r="117" spans="21:22">
      <c r="U117">
        <v>15022</v>
      </c>
      <c r="V117" t="s">
        <v>1469</v>
      </c>
    </row>
    <row r="118" spans="21:22">
      <c r="U118">
        <v>15042</v>
      </c>
      <c r="V118" t="s">
        <v>1470</v>
      </c>
    </row>
    <row r="119" spans="21:22">
      <c r="U119">
        <v>16010</v>
      </c>
      <c r="V119" t="s">
        <v>1471</v>
      </c>
    </row>
    <row r="120" spans="21:22">
      <c r="U120">
        <v>16020</v>
      </c>
      <c r="V120" t="s">
        <v>1472</v>
      </c>
    </row>
    <row r="121" spans="21:22">
      <c r="U121">
        <v>17010</v>
      </c>
      <c r="V121" t="s">
        <v>1473</v>
      </c>
    </row>
    <row r="122" spans="21:22">
      <c r="U122">
        <v>17020</v>
      </c>
      <c r="V122" t="s">
        <v>1474</v>
      </c>
    </row>
    <row r="123" spans="21:22">
      <c r="U123">
        <v>17021</v>
      </c>
      <c r="V123" t="s">
        <v>1475</v>
      </c>
    </row>
    <row r="124" spans="21:22">
      <c r="U124">
        <v>17022</v>
      </c>
      <c r="V124" t="s">
        <v>1476</v>
      </c>
    </row>
    <row r="125" spans="21:22">
      <c r="U125">
        <v>17030</v>
      </c>
      <c r="V125" t="s">
        <v>1477</v>
      </c>
    </row>
    <row r="126" spans="21:22">
      <c r="U126">
        <v>17040</v>
      </c>
      <c r="V126" t="s">
        <v>1478</v>
      </c>
    </row>
    <row r="127" spans="21:22">
      <c r="U127">
        <v>17050</v>
      </c>
      <c r="V127" t="s">
        <v>1479</v>
      </c>
    </row>
    <row r="128" spans="21:22">
      <c r="U128">
        <v>17060</v>
      </c>
      <c r="V128" t="s">
        <v>1480</v>
      </c>
    </row>
    <row r="129" spans="21:22">
      <c r="U129">
        <v>18010</v>
      </c>
      <c r="V129" t="s">
        <v>1481</v>
      </c>
    </row>
    <row r="130" spans="21:22">
      <c r="U130">
        <v>18020</v>
      </c>
      <c r="V130" t="s">
        <v>1482</v>
      </c>
    </row>
    <row r="131" spans="21:22">
      <c r="U131">
        <v>19010</v>
      </c>
      <c r="V131" t="s">
        <v>1483</v>
      </c>
    </row>
    <row r="132" spans="21:22">
      <c r="U132">
        <v>19020</v>
      </c>
      <c r="V132" t="s">
        <v>1484</v>
      </c>
    </row>
    <row r="133" spans="21:22">
      <c r="U133">
        <v>19030</v>
      </c>
      <c r="V133" t="s">
        <v>1485</v>
      </c>
    </row>
    <row r="134" spans="21:22">
      <c r="U134">
        <v>20030</v>
      </c>
      <c r="V134" t="s">
        <v>1457</v>
      </c>
    </row>
    <row r="135" spans="21:22">
      <c r="U135">
        <v>20040</v>
      </c>
      <c r="V135" t="s">
        <v>1486</v>
      </c>
    </row>
    <row r="136" spans="21:22">
      <c r="U136">
        <v>20050</v>
      </c>
      <c r="V136" t="s">
        <v>1487</v>
      </c>
    </row>
    <row r="137" spans="21:22">
      <c r="U137">
        <v>20070</v>
      </c>
      <c r="V137" t="s">
        <v>1488</v>
      </c>
    </row>
    <row r="138" spans="21:22">
      <c r="U138">
        <v>20071</v>
      </c>
      <c r="V138" t="s">
        <v>1489</v>
      </c>
    </row>
    <row r="139" spans="21:22">
      <c r="U139">
        <v>20110</v>
      </c>
      <c r="V139" t="s">
        <v>1490</v>
      </c>
    </row>
    <row r="140" spans="21:22">
      <c r="U140">
        <v>20120</v>
      </c>
      <c r="V140" t="s">
        <v>1491</v>
      </c>
    </row>
    <row r="141" spans="21:22">
      <c r="U141">
        <v>20130</v>
      </c>
      <c r="V141" t="s">
        <v>1492</v>
      </c>
    </row>
    <row r="142" spans="21:22">
      <c r="U142">
        <v>20140</v>
      </c>
      <c r="V142" t="s">
        <v>1493</v>
      </c>
    </row>
    <row r="143" spans="21:22">
      <c r="U143">
        <v>20150</v>
      </c>
      <c r="V143" t="s">
        <v>1494</v>
      </c>
    </row>
    <row r="144" spans="21:22">
      <c r="U144">
        <v>20160</v>
      </c>
      <c r="V144" t="s">
        <v>1495</v>
      </c>
    </row>
    <row r="145" spans="21:22">
      <c r="U145">
        <v>23010</v>
      </c>
      <c r="V145" t="s">
        <v>1496</v>
      </c>
    </row>
    <row r="146" spans="21:22">
      <c r="U146">
        <v>24010</v>
      </c>
      <c r="V146" t="s">
        <v>1497</v>
      </c>
    </row>
    <row r="147" spans="21:22">
      <c r="U147">
        <v>30010</v>
      </c>
      <c r="V147" t="s">
        <v>1498</v>
      </c>
    </row>
    <row r="148" spans="21:22">
      <c r="U148">
        <v>30020</v>
      </c>
      <c r="V148" t="s">
        <v>1499</v>
      </c>
    </row>
    <row r="149" spans="21:22">
      <c r="U149">
        <v>40010</v>
      </c>
      <c r="V149" t="s">
        <v>1500</v>
      </c>
    </row>
    <row r="150" spans="21:22">
      <c r="U150">
        <v>40020</v>
      </c>
      <c r="V150" t="s">
        <v>1501</v>
      </c>
    </row>
    <row r="151" spans="21:22">
      <c r="U151">
        <v>40030</v>
      </c>
      <c r="V151" t="s">
        <v>1502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Skills</vt:lpstr>
      <vt:lpstr>Features</vt:lpstr>
      <vt:lpstr>Triggers</vt:lpstr>
      <vt:lpstr>ScopeTriggers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2026-10-12T02:09:06Z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9AA80B4D883B48CFAC47B06FBECCCEC5</vt:lpwstr>
  </property>
</Properties>
</file>