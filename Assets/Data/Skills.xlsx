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Skills!$F$1:$F$314</definedName>
    <definedName name="_xlnm._FilterDatabase" localSheetId="2" hidden="1">Triggers!$E$1:$E$209</definedName>
  </definedNames>
  <calcPr calcId="144525" concurrentCalc="0"/>
</workbook>
</file>

<file path=xl/sharedStrings.xml><?xml version="1.0" encoding="utf-8"?>
<sst xmlns="http://schemas.openxmlformats.org/spreadsheetml/2006/main" count="2138" uniqueCount="1486">
  <si>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</si>
  <si>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</si>
  <si>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</si>
  <si>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</si>
  <si>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</si>
  <si>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</si>
  <si>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</si>
  <si>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</si>
  <si>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</si>
  <si>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</si>
  <si>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</si>
  <si>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</si>
  <si>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</si>
  <si>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</si>
  <si>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</si>
  <si>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</si>
  <si>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</si>
  <si>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</si>
  <si>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</si>
  <si>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</si>
  <si>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</si>
  <si>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</si>
  <si>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</si>
  <si>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</si>
  <si>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</si>
  <si>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</si>
  <si>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</si>
  <si>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</si>
  <si>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</si>
  <si>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</si>
  <si>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</si>
  <si>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</si>
  <si>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</si>
  <si>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</si>
  <si>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</si>
  <si>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</si>
  <si>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</si>
  <si>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</si>
  <si>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</si>
  <si>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</si>
  <si>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</si>
  <si>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</si>
  <si>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</si>
  <si>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</si>
  <si>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</si>
  <si>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</si>
  <si>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</si>
  <si>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</si>
  <si>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</si>
  <si>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</si>
  <si>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</si>
  <si>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</si>
  <si>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</si>
  <si>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</si>
  <si>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</si>
  <si>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</si>
  <si>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</si>
  <si>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</si>
  <si>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</si>
  <si>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</si>
  <si>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</si>
  <si>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</si>
  <si>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</si>
  <si>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</si>
  <si>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</si>
  <si>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</si>
  <si>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</si>
  <si>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</si>
  <si>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</si>
  <si>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</si>
  <si>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</si>
  <si>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</si>
  <si>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</si>
  <si>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</si>
  <si>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</si>
  <si>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</si>
  <si>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</si>
  <si>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</si>
  <si>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</si>
  <si>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</si>
  <si>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</si>
  <si>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</si>
  <si>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</si>
  <si>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</si>
  <si>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</si>
  <si>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</si>
  <si>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</si>
  <si>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</si>
  <si>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</si>
  <si>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</si>
  <si>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</si>
  <si>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</si>
  <si>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</si>
  <si>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</si>
  <si>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</si>
  <si>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</si>
  <si>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</si>
  <si>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</si>
  <si>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</si>
  <si>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</si>
  <si>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</si>
  <si>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</si>
  <si>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</si>
  <si>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</si>
  <si>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対象を倒した場合/f[f,2,2]ターンATK+/f[f,2,3]%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</si>
  <si>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</si>
  <si>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</si>
  <si>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</si>
  <si>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</si>
  <si>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</si>
  <si>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</si>
  <si>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</si>
  <si>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</si>
  <si>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</si>
  <si>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</si>
  <si>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</si>
  <si>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</si>
  <si>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</si>
  <si>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</si>
  <si>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</si>
  <si>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</si>
  <si>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</si>
  <si>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</si>
  <si>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</si>
  <si>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</si>
  <si>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</si>
  <si>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</si>
  <si>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</si>
  <si>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</si>
  <si>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</si>
  <si>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</si>
  <si>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</si>
  <si>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</si>
  <si>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</si>
  <si>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</si>
  <si>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</si>
  <si>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</si>
  <si>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</si>
  <si>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</si>
  <si>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</si>
  <si>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</si>
  <si>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</si>
  <si>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自身に/f[f,1,2]ターン回避率/f[f,1,3]%アップを付与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</si>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</sst>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0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0" fillId="34" borderId="8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9" fillId="34" borderId="2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5" fillId="26" borderId="6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08"/>
  <sheetViews>
    <sheetView zoomScale="115" zoomScaleNormal="115" workbookViewId="0">
      <pane ySplit="1" topLeftCell="A142" activePane="bottomLeft" state="frozen"/>
      <selection/>
      <selection pane="bottomLeft" activeCell="A128" sqref="A128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12090</v>
      </c>
      <c r="B107">
        <v>12090</v>
      </c>
      <c r="C107" t="str">
        <f>INDEX(TextData!B:B,MATCH(B107,TextData!A:A))</f>
        <v>アウトオブオーダー</v>
      </c>
      <c r="D107">
        <v>6</v>
      </c>
      <c r="E107" t="str">
        <f>INDEX(Define!X:X,MATCH(D107,Define!W:W))</f>
        <v>自己強化</v>
      </c>
      <c r="F107">
        <v>1501</v>
      </c>
      <c r="G107" t="str">
        <f>INDEX([1]Animations!B:B,MATCH(F107,[1]Animations!A:A))</f>
        <v>MakerEffect/BallsOfLight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2</v>
      </c>
      <c r="T107" t="str">
        <f>INDEX(Define!N:N,MATCH(S107,Define!M:M))</f>
        <v>列</v>
      </c>
      <c r="U107">
        <v>2</v>
      </c>
      <c r="V107">
        <v>1</v>
      </c>
      <c r="W107">
        <v>1</v>
      </c>
      <c r="X107">
        <v>0</v>
      </c>
    </row>
    <row r="108" spans="1:24">
      <c r="A108">
        <v>12100</v>
      </c>
      <c r="B108">
        <v>12100</v>
      </c>
      <c r="C108" t="str">
        <f>INDEX(TextData!B:B,MATCH(B108,TextData!A:A))</f>
        <v>ワンスパニッシュ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12110</v>
      </c>
      <c r="B109">
        <v>12110</v>
      </c>
      <c r="C109" t="str">
        <f>INDEX(TextData!B:B,MATCH(B109,TextData!A:A))</f>
        <v>コンセントレイト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12120</v>
      </c>
      <c r="B110">
        <v>12120</v>
      </c>
      <c r="C110" t="str">
        <f>INDEX(TextData!B:B,MATCH(B110,TextData!A:A))</f>
        <v>パリィ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12130</v>
      </c>
      <c r="B111">
        <v>12130</v>
      </c>
      <c r="C111" t="str">
        <f>INDEX(TextData!B:B,MATCH(B111,TextData!A:A))</f>
        <v>チェイスマジック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7</v>
      </c>
      <c r="R111" t="str">
        <f>INDEX(Define!K:K,MATCH(Q111,Define!J:J))</f>
        <v>追撃</v>
      </c>
      <c r="S111">
        <v>1</v>
      </c>
      <c r="T111" t="str">
        <f>INDEX(Define!N:N,MATCH(S111,Define!M:M))</f>
        <v>単体</v>
      </c>
      <c r="U111">
        <v>2</v>
      </c>
      <c r="V111">
        <v>1</v>
      </c>
      <c r="W111">
        <v>1</v>
      </c>
      <c r="X111">
        <v>0</v>
      </c>
    </row>
    <row r="112" spans="1:24">
      <c r="A112">
        <v>12140</v>
      </c>
      <c r="B112">
        <v>12140</v>
      </c>
      <c r="C112" t="str">
        <f>INDEX(TextData!B:B,MATCH(B112,TextData!A:A))</f>
        <v>ウィンドライズ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6</v>
      </c>
      <c r="R112" t="str">
        <f>INDEX(Define!K:K,MATCH(Q112,Define!J:J))</f>
        <v>反撃</v>
      </c>
      <c r="S112">
        <v>1</v>
      </c>
      <c r="T112" t="str">
        <f>INDEX(Define!N:N,MATCH(S112,Define!M:M))</f>
        <v>単体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12510</v>
      </c>
      <c r="B113">
        <v>12510</v>
      </c>
      <c r="C113" t="str">
        <f>INDEX(TextData!B:B,MATCH(B113,TextData!A:A))</f>
        <v>アクトスタンス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12910</v>
      </c>
      <c r="B114">
        <v>12910</v>
      </c>
      <c r="C114" t="str">
        <f>INDEX(TextData!B:B,MATCH(B114,TextData!A:A))</f>
        <v>コンセントレイト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12930</v>
      </c>
      <c r="B115">
        <v>12930</v>
      </c>
      <c r="C115" t="str">
        <f>INDEX(TextData!B:B,MATCH(B115,TextData!A:A))</f>
        <v>スウィフトカレント</v>
      </c>
      <c r="D115">
        <v>6</v>
      </c>
      <c r="E115" t="str">
        <f>INDEX(Define!X:X,MATCH(D115,Define!W:W))</f>
        <v>自己強化</v>
      </c>
      <c r="F115">
        <v>1501</v>
      </c>
      <c r="G115" t="str">
        <f>INDEX([1]Animations!B:B,MATCH(F115,[1]Animations!A:A))</f>
        <v>MakerEffect/BallsOfLight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12940</v>
      </c>
      <c r="B116">
        <v>12940</v>
      </c>
      <c r="C116" t="str">
        <f>INDEX(TextData!B:B,MATCH(B116,TextData!A:A))</f>
        <v>イヴェイドオール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13010</v>
      </c>
      <c r="B117">
        <v>13010</v>
      </c>
      <c r="C117" t="str">
        <f>INDEX(TextData!B:B,MATCH(B117,TextData!A:A))</f>
        <v>ヘビィカバー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4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2</v>
      </c>
      <c r="R117" t="str">
        <f>INDEX(Define!K:K,MATCH(Q117,Define!J:J))</f>
        <v>味方</v>
      </c>
      <c r="S117">
        <v>11</v>
      </c>
      <c r="T117" t="str">
        <f>INDEX(Define!N:N,MATCH(S117,Define!M:M))</f>
        <v>単体・自身を除く</v>
      </c>
      <c r="U117">
        <v>1</v>
      </c>
      <c r="V117">
        <v>1</v>
      </c>
      <c r="W117">
        <v>1</v>
      </c>
      <c r="X117">
        <v>0</v>
      </c>
    </row>
    <row r="118" spans="1:24">
      <c r="A118">
        <v>13011</v>
      </c>
      <c r="B118">
        <v>13010</v>
      </c>
      <c r="C118" t="str">
        <f>INDEX(TextData!B:B,MATCH(B118,TextData!A:A))</f>
        <v>ヘビィカバー</v>
      </c>
      <c r="D118">
        <v>6</v>
      </c>
      <c r="E118" t="str">
        <f>INDEX(Define!X:X,MATCH(D118,Define!W:W))</f>
        <v>自己強化</v>
      </c>
      <c r="F118">
        <v>803</v>
      </c>
      <c r="G118" t="str">
        <f>INDEX([1]Animations!B:B,MATCH(F118,[1]Animations!A:A))</f>
        <v>MakerEffect/Powerup3</v>
      </c>
      <c r="H118">
        <v>1</v>
      </c>
      <c r="I118" t="str">
        <f>INDEX(Define!B:B,MATCH(H118,Define!A:A))</f>
        <v>単体</v>
      </c>
      <c r="J118">
        <v>0</v>
      </c>
      <c r="K118">
        <v>4</v>
      </c>
      <c r="L118">
        <v>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spans="1:24">
      <c r="A119">
        <v>13020</v>
      </c>
      <c r="B119">
        <v>13020</v>
      </c>
      <c r="C119" t="str">
        <f>INDEX(TextData!B:B,MATCH(B119,TextData!A:A))</f>
        <v>アイシクルエッジ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13030</v>
      </c>
      <c r="B120">
        <v>13030</v>
      </c>
      <c r="C120" t="str">
        <f>INDEX(TextData!B:B,MATCH(B120,TextData!A:A))</f>
        <v>カウンターマジック</v>
      </c>
      <c r="D120">
        <v>6</v>
      </c>
      <c r="E120" t="str">
        <f>INDEX(Define!X:X,MATCH(D120,Define!W:W))</f>
        <v>自己強化</v>
      </c>
      <c r="F120">
        <v>1109</v>
      </c>
      <c r="G120" t="str">
        <f>INDEX([1]Animations!B:B,MATCH(F120,[1]Animations!A:A))</f>
        <v>MakerEffect/Flash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13040</v>
      </c>
      <c r="B121">
        <v>13040</v>
      </c>
      <c r="C121" t="str">
        <f>INDEX(TextData!B:B,MATCH(B121,TextData!A:A))</f>
        <v>アーマーコード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13050</v>
      </c>
      <c r="B122">
        <v>13050</v>
      </c>
      <c r="C122" t="str">
        <f>INDEX(TextData!B:B,MATCH(B122,TextData!A:A))</f>
        <v>キュアフリーズ</v>
      </c>
      <c r="D122">
        <v>6</v>
      </c>
      <c r="E122" t="str">
        <f>INDEX(Define!X:X,MATCH(D122,Define!W:W))</f>
        <v>自己強化</v>
      </c>
      <c r="F122">
        <v>3023</v>
      </c>
      <c r="G122" t="str">
        <f>INDEX([1]Animations!B:B,MATCH(F122,[1]Animations!A:A))</f>
        <v>Genfulew_Effect/B&amp;S_MinMax_Cure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13070</v>
      </c>
      <c r="B123">
        <v>13070</v>
      </c>
      <c r="C123" t="str">
        <f>INDEX(TextData!B:B,MATCH(B123,TextData!A:A))</f>
        <v>アシッドラッシュ</v>
      </c>
      <c r="D123">
        <v>6</v>
      </c>
      <c r="E123" t="str">
        <f>INDEX(Define!X:X,MATCH(D123,Define!W:W))</f>
        <v>自己強化</v>
      </c>
      <c r="F123">
        <v>1024</v>
      </c>
      <c r="G123" t="str">
        <f>INDEX([1]Animations!B:B,MATCH(F123,[1]Animations!A:A))</f>
        <v>MakerEffect/PierceIce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7</v>
      </c>
      <c r="R123" t="str">
        <f>INDEX(Define!K:K,MATCH(Q123,Define!J:J))</f>
        <v>追撃</v>
      </c>
      <c r="S123">
        <v>1</v>
      </c>
      <c r="T123" t="str">
        <f>INDEX(Define!N:N,MATCH(S123,Define!M:M))</f>
        <v>単体</v>
      </c>
      <c r="U123">
        <v>1</v>
      </c>
      <c r="V123">
        <v>1</v>
      </c>
      <c r="W123">
        <v>1</v>
      </c>
      <c r="X123">
        <v>0</v>
      </c>
    </row>
    <row r="124" spans="1:24">
      <c r="A124">
        <v>13090</v>
      </c>
      <c r="B124">
        <v>13090</v>
      </c>
      <c r="C124" t="str">
        <f>INDEX(TextData!B:B,MATCH(B124,TextData!A:A))</f>
        <v>アイスセイバー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3</v>
      </c>
      <c r="T124" t="str">
        <f>INDEX(Define!N:N,MATCH(S124,Define!M:M))</f>
        <v>全体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13110</v>
      </c>
      <c r="B125">
        <v>13110</v>
      </c>
      <c r="C125" t="str">
        <f>INDEX(TextData!B:B,MATCH(B125,TextData!A:A))</f>
        <v>ガーディアン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30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13120</v>
      </c>
      <c r="B126">
        <v>13120</v>
      </c>
      <c r="C126" t="str">
        <f>INDEX(TextData!B:B,MATCH(B126,TextData!A:A))</f>
        <v>ライフセーブ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13130</v>
      </c>
      <c r="B127">
        <v>13130</v>
      </c>
      <c r="C127" t="str">
        <f>INDEX(TextData!B:B,MATCH(B127,TextData!A:A))</f>
        <v>ライフスティール</v>
      </c>
      <c r="D127">
        <v>6</v>
      </c>
      <c r="E127" t="str">
        <f>INDEX(Define!X:X,MATCH(D127,Define!W:W))</f>
        <v>自己強化</v>
      </c>
      <c r="F127">
        <v>3347</v>
      </c>
      <c r="G127" t="str">
        <f>INDEX([1]Animations!B:B,MATCH(F127,[1]Animations!A:A))</f>
        <v>Genfulew_Effect/Enemy_CR_Charge2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13140</v>
      </c>
      <c r="B128">
        <v>13140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spans="1:24">
      <c r="A129">
        <v>13210</v>
      </c>
      <c r="B129">
        <v>13210</v>
      </c>
      <c r="C129" t="str">
        <f>INDEX(TextData!B:B,MATCH(B129,TextData!A:A))</f>
        <v>ルミナスカバー</v>
      </c>
      <c r="D129">
        <v>6</v>
      </c>
      <c r="E129" t="str">
        <f>INDEX(Define!X:X,MATCH(D129,Define!W:W))</f>
        <v>自己強化</v>
      </c>
      <c r="F129">
        <v>1109</v>
      </c>
      <c r="G129" t="str">
        <f>INDEX([1]Animations!B:B,MATCH(F129,[1]Animations!A:A))</f>
        <v>MakerEffect/Flash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2</v>
      </c>
      <c r="R129" t="str">
        <f>INDEX(Define!K:K,MATCH(Q129,Define!J:J))</f>
        <v>味方</v>
      </c>
      <c r="S129">
        <v>11</v>
      </c>
      <c r="T129" t="str">
        <f>INDEX(Define!N:N,MATCH(S129,Define!M:M))</f>
        <v>単体・自身を除く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13211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13510</v>
      </c>
      <c r="B131">
        <v>13510</v>
      </c>
      <c r="C131" t="str">
        <f>INDEX(TextData!B:B,MATCH(B131,TextData!A:A))</f>
        <v>デコイプラス</v>
      </c>
      <c r="D131">
        <v>6</v>
      </c>
      <c r="E131" t="str">
        <f>INDEX(Define!X:X,MATCH(D131,Define!W:W))</f>
        <v>自己強化</v>
      </c>
      <c r="F131">
        <v>1024</v>
      </c>
      <c r="G131" t="str">
        <f>INDEX([1]Animations!B:B,MATCH(F131,[1]Animations!A:A))</f>
        <v>MakerEffect/PierceIce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7</v>
      </c>
      <c r="R131" t="str">
        <f>INDEX(Define!K:K,MATCH(Q131,Define!J:J))</f>
        <v>追撃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13511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13520</v>
      </c>
      <c r="B133">
        <v>13520</v>
      </c>
      <c r="C133" t="str">
        <f>INDEX(TextData!B:B,MATCH(B133,TextData!A:A))</f>
        <v>アフターシールド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30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13530</v>
      </c>
      <c r="B134">
        <v>13530</v>
      </c>
      <c r="C134" t="str">
        <f>INDEX(TextData!B:B,MATCH(B134,TextData!A:A))</f>
        <v>カバープラス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13930</v>
      </c>
      <c r="B135">
        <v>13930</v>
      </c>
      <c r="C135" t="str">
        <f>INDEX(TextData!B:B,MATCH(B135,TextData!A:A))</f>
        <v>クイックキュア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 s="7">
        <v>2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1</v>
      </c>
    </row>
    <row r="136" spans="1:24">
      <c r="A136">
        <v>13940</v>
      </c>
      <c r="B136">
        <v>13940</v>
      </c>
      <c r="C136" t="str">
        <f>INDEX(TextData!B:B,MATCH(B136,TextData!A:A))</f>
        <v>セルフシールド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13950</v>
      </c>
      <c r="B137">
        <v>13950</v>
      </c>
      <c r="C137" t="str">
        <f>INDEX(TextData!B:B,MATCH(B137,TextData!A:A))</f>
        <v>パッシブジャミング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ht="12" customHeight="1" spans="1:24">
      <c r="A138">
        <v>14010</v>
      </c>
      <c r="B138">
        <v>14010</v>
      </c>
      <c r="C138" t="str">
        <f>INDEX(TextData!B:B,MATCH(B138,TextData!A:A))</f>
        <v>ファーストエイド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11</v>
      </c>
      <c r="R138" t="str">
        <f>INDEX(Define!K:K,MATCH(Q138,Define!J:J))</f>
        <v>Triggerの条件を満たす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1</v>
      </c>
    </row>
    <row r="139" ht="12" customHeight="1" spans="1:24">
      <c r="A139">
        <v>14020</v>
      </c>
      <c r="B139">
        <v>14020</v>
      </c>
      <c r="C139" t="str">
        <f>INDEX(TextData!B:B,MATCH(B139,TextData!A:A))</f>
        <v>クイックヒール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14030</v>
      </c>
      <c r="B140">
        <v>14030</v>
      </c>
      <c r="C140" t="str">
        <f>INDEX(TextData!B:B,MATCH(B140,TextData!A:A))</f>
        <v>ガードバインド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14040</v>
      </c>
      <c r="B141">
        <v>14040</v>
      </c>
      <c r="C141" t="str">
        <f>INDEX(TextData!B:B,MATCH(B141,TextData!A:A))</f>
        <v>ホープフルアイリス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14050</v>
      </c>
      <c r="B142">
        <v>14050</v>
      </c>
      <c r="C142" t="str">
        <f>INDEX(TextData!B:B,MATCH(B142,TextData!A:A))</f>
        <v>キュアパッシブ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14060</v>
      </c>
      <c r="B143">
        <v>14060</v>
      </c>
      <c r="C143" t="str">
        <f>INDEX(TextData!B:B,MATCH(B143,TextData!A:A))</f>
        <v>パッシブサプライ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14070</v>
      </c>
      <c r="B144">
        <v>14070</v>
      </c>
      <c r="C144" t="str">
        <f>INDEX(TextData!B:B,MATCH(B144,TextData!A:A))</f>
        <v>ホーミングクルセイド</v>
      </c>
      <c r="D144">
        <v>6</v>
      </c>
      <c r="E144" t="str">
        <f>INDEX(Define!X:X,MATCH(D144,Define!W:W))</f>
        <v>自己強化</v>
      </c>
      <c r="F144">
        <v>1109</v>
      </c>
      <c r="G144" t="str">
        <f>INDEX([1]Animations!B:B,MATCH(F144,[1]Animations!A:A))</f>
        <v>MakerEffect/Flash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14090</v>
      </c>
      <c r="B145">
        <v>14090</v>
      </c>
      <c r="C145" t="str">
        <f>INDEX(TextData!B:B,MATCH(B145,TextData!A:A))</f>
        <v>リレイズ</v>
      </c>
      <c r="D145">
        <v>6</v>
      </c>
      <c r="E145" t="str">
        <f>INDEX(Define!X:X,MATCH(D145,Define!W:W))</f>
        <v>自己強化</v>
      </c>
      <c r="F145">
        <v>3027</v>
      </c>
      <c r="G145" t="str">
        <f>INDEX([1]Animations!B:B,MATCH(F145,[1]Animations!A:A))</f>
        <v>Genfulew_Effect/B&amp;S_MinMax_Regeneration1</v>
      </c>
      <c r="H145">
        <v>1</v>
      </c>
      <c r="I145" t="str">
        <f>INDEX(Define!B:B,MATCH(H145,Define!A:A))</f>
        <v>単体</v>
      </c>
      <c r="J145">
        <v>0</v>
      </c>
      <c r="K145">
        <v>5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14100</v>
      </c>
      <c r="B146">
        <v>14100</v>
      </c>
      <c r="C146" t="str">
        <f>INDEX(TextData!B:B,MATCH(B146,TextData!A:A))</f>
        <v>ファストヒール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14110</v>
      </c>
      <c r="B147">
        <v>14110</v>
      </c>
      <c r="C147" t="str">
        <f>INDEX(TextData!B:B,MATCH(B147,TextData!A:A))</f>
        <v>リフレッシュ</v>
      </c>
      <c r="D147">
        <v>6</v>
      </c>
      <c r="E147" t="str">
        <f>INDEX(Define!X:X,MATCH(D147,Define!W:W))</f>
        <v>自己強化</v>
      </c>
      <c r="F147">
        <v>3023</v>
      </c>
      <c r="G147" t="str">
        <f>INDEX([1]Animations!B:B,MATCH(F147,[1]Animations!A:A))</f>
        <v>Genfulew_Effect/B&amp;S_MinMax_Cure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14120</v>
      </c>
      <c r="B148">
        <v>14120</v>
      </c>
      <c r="C148" t="str">
        <f>INDEX(TextData!B:B,MATCH(B148,TextData!A:A))</f>
        <v>ファストメディック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14130</v>
      </c>
      <c r="B149">
        <v>14130</v>
      </c>
      <c r="C149" t="str">
        <f>INDEX(TextData!B:B,MATCH(B149,TextData!A:A))</f>
        <v>ディバインシールド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14140</v>
      </c>
      <c r="B150">
        <v>14140</v>
      </c>
      <c r="C150" t="str">
        <f>INDEX(TextData!B:B,MATCH(B150,TextData!A:A))</f>
        <v>ライフディバイド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14930</v>
      </c>
      <c r="B151">
        <v>14930</v>
      </c>
      <c r="C151" t="str">
        <f>INDEX(TextData!B:B,MATCH(B151,TextData!A:A))</f>
        <v>エイミングスコープ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14940</v>
      </c>
      <c r="B152">
        <v>14940</v>
      </c>
      <c r="C152" t="str">
        <f>INDEX(TextData!B:B,MATCH(B152,TextData!A:A))</f>
        <v>リジェネレーション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15010</v>
      </c>
      <c r="B153">
        <v>15010</v>
      </c>
      <c r="C153" t="str">
        <f>INDEX(TextData!B:B,MATCH(B153,TextData!A:A))</f>
        <v>ワンスパニッシュ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15020</v>
      </c>
      <c r="B154">
        <v>15020</v>
      </c>
      <c r="C154" t="str">
        <f>INDEX(TextData!B:B,MATCH(B154,TextData!A:A))</f>
        <v>クイックカース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2</v>
      </c>
      <c r="V154">
        <v>1</v>
      </c>
      <c r="W154">
        <v>1</v>
      </c>
      <c r="X154">
        <v>1</v>
      </c>
    </row>
    <row r="155" ht="12" customHeight="1" spans="1:24">
      <c r="A155">
        <v>15030</v>
      </c>
      <c r="B155">
        <v>15030</v>
      </c>
      <c r="C155" t="str">
        <f>INDEX(TextData!B:B,MATCH(B155,TextData!A:A))</f>
        <v>バイタリティ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15040</v>
      </c>
      <c r="B156">
        <v>15040</v>
      </c>
      <c r="C156" t="str">
        <f>INDEX(TextData!B:B,MATCH(B156,TextData!A:A))</f>
        <v>ネガティブドレイン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15050</v>
      </c>
      <c r="B157">
        <v>15050</v>
      </c>
      <c r="C157" t="str">
        <f>INDEX(TextData!B:B,MATCH(B157,TextData!A:A))</f>
        <v>キュアシェイド</v>
      </c>
      <c r="D157">
        <v>6</v>
      </c>
      <c r="E157" t="str">
        <f>INDEX(Define!X:X,MATCH(D157,Define!W:W))</f>
        <v>自己強化</v>
      </c>
      <c r="F157">
        <v>3023</v>
      </c>
      <c r="G157" t="str">
        <f>INDEX([1]Animations!B:B,MATCH(F157,[1]Animations!A:A))</f>
        <v>Genfulew_Effect/B&amp;S_MinMax_Cure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15060</v>
      </c>
      <c r="B158">
        <v>15060</v>
      </c>
      <c r="C158" t="str">
        <f>INDEX(TextData!B:B,MATCH(B158,TextData!A:A))</f>
        <v>アンデッドペイン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15070</v>
      </c>
      <c r="B159">
        <v>15070</v>
      </c>
      <c r="C159" t="str">
        <f>INDEX(TextData!B:B,MATCH(B159,TextData!A:A))</f>
        <v>ジャックポッド</v>
      </c>
      <c r="D159">
        <v>6</v>
      </c>
      <c r="E159" t="str">
        <f>INDEX(Define!X:X,MATCH(D159,Define!W:W))</f>
        <v>自己強化</v>
      </c>
      <c r="F159">
        <v>3047</v>
      </c>
      <c r="G159" t="str">
        <f>INDEX([1]Animations!B:B,MATCH(F159,[1]Animations!A:A))</f>
        <v>Genfulew_Effect/B&amp;S_MinMax_Dispel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11</v>
      </c>
      <c r="R159" t="str">
        <f>INDEX(Define!K:K,MATCH(Q159,Define!J:J))</f>
        <v>Triggerの条件を満たす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1</v>
      </c>
    </row>
    <row r="160" ht="12" customHeight="1" spans="1:24">
      <c r="A160">
        <v>15080</v>
      </c>
      <c r="B160">
        <v>15080</v>
      </c>
      <c r="C160" t="str">
        <f>INDEX(TextData!B:B,MATCH(B160,TextData!A:A))</f>
        <v>ヒールハント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2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2</v>
      </c>
      <c r="V160">
        <v>1</v>
      </c>
      <c r="W160">
        <v>1</v>
      </c>
      <c r="X160">
        <v>0</v>
      </c>
    </row>
    <row r="161" ht="12" customHeight="1" spans="1:24">
      <c r="A161">
        <v>15110</v>
      </c>
      <c r="B161">
        <v>15110</v>
      </c>
      <c r="C161" t="str">
        <f>INDEX(TextData!B:B,MATCH(B161,TextData!A:A))</f>
        <v>フォーカサイト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2</v>
      </c>
      <c r="R161" t="str">
        <f>INDEX(Define!K:K,MATCH(Q161,Define!J:J))</f>
        <v>味方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15120</v>
      </c>
      <c r="B162">
        <v>15120</v>
      </c>
      <c r="C162" t="str">
        <f>INDEX(TextData!B:B,MATCH(B162,TextData!A:A))</f>
        <v>ガードハント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15130</v>
      </c>
      <c r="B163">
        <v>15130</v>
      </c>
      <c r="C163" t="str">
        <f>INDEX(TextData!B:B,MATCH(B163,TextData!A:A))</f>
        <v>リヴェンジャー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15140</v>
      </c>
      <c r="B164">
        <v>15140</v>
      </c>
      <c r="C164" t="str">
        <f>INDEX(TextData!B:B,MATCH(B164,TextData!A:A))</f>
        <v>ソーサリーコネクト</v>
      </c>
      <c r="D164">
        <v>6</v>
      </c>
      <c r="E164" t="str">
        <f>INDEX(Define!X:X,MATCH(D164,Define!W:W))</f>
        <v>自己強化</v>
      </c>
      <c r="F164">
        <v>3005</v>
      </c>
      <c r="G164" t="str">
        <f>INDEX([1]Animations!B:B,MATCH(F164,[1]Animations!A:A))</f>
        <v>Genfulew_Effect/B&amp;S_MinMax_AttackUp</v>
      </c>
      <c r="H164">
        <v>1</v>
      </c>
      <c r="I164" t="str">
        <f>INDEX(Define!B:B,MATCH(H164,Define!A:A))</f>
        <v>単体</v>
      </c>
      <c r="J164">
        <v>0</v>
      </c>
      <c r="K164">
        <v>5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11</v>
      </c>
      <c r="R164" t="str">
        <f>INDEX(Define!K:K,MATCH(Q164,Define!J:J))</f>
        <v>Triggerの条件を満たす</v>
      </c>
      <c r="S164">
        <v>1</v>
      </c>
      <c r="T164" t="str">
        <f>INDEX(Define!N:N,MATCH(S164,Define!M:M))</f>
        <v>単体</v>
      </c>
      <c r="U164">
        <v>1</v>
      </c>
      <c r="V164">
        <v>1</v>
      </c>
      <c r="W164">
        <v>1</v>
      </c>
      <c r="X164">
        <v>1</v>
      </c>
    </row>
    <row r="165" spans="1:24">
      <c r="A165">
        <v>15141</v>
      </c>
      <c r="B165">
        <v>15140</v>
      </c>
      <c r="C165" t="str">
        <f>INDEX(TextData!B:B,MATCH(B165,TextData!A:A))</f>
        <v>ソーサリーコネクト</v>
      </c>
      <c r="D165">
        <v>6</v>
      </c>
      <c r="E165" t="str">
        <f>INDEX(Define!X:X,MATCH(D165,Define!W:W))</f>
        <v>自己強化</v>
      </c>
      <c r="F165">
        <v>3006</v>
      </c>
      <c r="G165" t="str">
        <f>INDEX([1]Animations!B:B,MATCH(F165,[1]Animations!A:A))</f>
        <v>Genfulew_Effect/B&amp;S_MinMax_AttackDown</v>
      </c>
      <c r="H165">
        <v>1</v>
      </c>
      <c r="I165" t="str">
        <f>INDEX(Define!B:B,MATCH(H165,Define!A:A))</f>
        <v>単体</v>
      </c>
      <c r="J165">
        <v>0</v>
      </c>
      <c r="K165">
        <v>5</v>
      </c>
      <c r="L165">
        <v>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レイピッドブースト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黄金の守護精霊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310110</v>
      </c>
      <c r="B254">
        <v>310110</v>
      </c>
      <c r="C254" t="str">
        <f>INDEX(TextData!B:B,MATCH(B254,TextData!A:A))</f>
        <v>ファーストトリック</v>
      </c>
      <c r="D254">
        <v>6</v>
      </c>
      <c r="E254" t="str">
        <f>INDEX(Define!X:X,MATCH(D254,Define!W:W))</f>
        <v>自己強化</v>
      </c>
      <c r="F254">
        <v>51</v>
      </c>
      <c r="G254" t="str">
        <f>INDEX([1]Animations!B:B,MATCH(F254,[1]Animations!A:A))</f>
        <v>NA_Effekseer/NA_aura_001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310130</v>
      </c>
      <c r="B255">
        <v>310130</v>
      </c>
      <c r="C255" t="str">
        <f>INDEX(TextData!B:B,MATCH(B255,TextData!A:A))</f>
        <v>ヒールユニット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320010</v>
      </c>
      <c r="B256">
        <v>320010</v>
      </c>
      <c r="C256" t="str">
        <f>INDEX(TextData!B:B,MATCH(B256,TextData!A:A))</f>
        <v>訓練所Lv1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320011</v>
      </c>
      <c r="B257">
        <v>320011</v>
      </c>
      <c r="C257" t="str">
        <f>INDEX(TextData!B:B,MATCH(B257,TextData!A:A))</f>
        <v>訓練所Lv2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320012</v>
      </c>
      <c r="B258">
        <v>320012</v>
      </c>
      <c r="C258" t="str">
        <f>INDEX(TextData!B:B,MATCH(B258,TextData!A:A))</f>
        <v>訓練所Lv3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320020</v>
      </c>
      <c r="B259">
        <v>320020</v>
      </c>
      <c r="C259" t="str">
        <f>INDEX(TextData!B:B,MATCH(B259,TextData!A:A))</f>
        <v>研究施設Lv1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320021</v>
      </c>
      <c r="B260">
        <v>320021</v>
      </c>
      <c r="C260" t="str">
        <f>INDEX(TextData!B:B,MATCH(B260,TextData!A:A))</f>
        <v>研究施設Lv2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320022</v>
      </c>
      <c r="B261">
        <v>320022</v>
      </c>
      <c r="C261" t="str">
        <f>INDEX(TextData!B:B,MATCH(B261,TextData!A:A))</f>
        <v>研究施設Lv3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320030</v>
      </c>
      <c r="B262">
        <v>320030</v>
      </c>
      <c r="C262" t="str">
        <f>INDEX(TextData!B:B,MATCH(B262,TextData!A:A))</f>
        <v>資料館Lv1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320031</v>
      </c>
      <c r="B263">
        <v>320031</v>
      </c>
      <c r="C263" t="str">
        <f>INDEX(TextData!B:B,MATCH(B263,TextData!A:A))</f>
        <v>資料館Lv2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320032</v>
      </c>
      <c r="B264">
        <v>320032</v>
      </c>
      <c r="C264" t="str">
        <f>INDEX(TextData!B:B,MATCH(B264,TextData!A:A))</f>
        <v>資料館Lv3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320040</v>
      </c>
      <c r="B265">
        <v>320040</v>
      </c>
      <c r="C265" t="str">
        <f>INDEX(TextData!B:B,MATCH(B265,TextData!A:A))</f>
        <v>潜伏技術Lv1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321010</v>
      </c>
      <c r="B266">
        <v>321010</v>
      </c>
      <c r="C266" t="str">
        <f>INDEX(TextData!B:B,MATCH(B266,TextData!A:A))</f>
        <v>炎の祭壇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321020</v>
      </c>
      <c r="B267">
        <v>321020</v>
      </c>
      <c r="C267" t="str">
        <f>INDEX(TextData!B:B,MATCH(B267,TextData!A:A))</f>
        <v>稲妻の祭壇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321030</v>
      </c>
      <c r="B268">
        <v>321030</v>
      </c>
      <c r="C268" t="str">
        <f>INDEX(TextData!B:B,MATCH(B268,TextData!A:A))</f>
        <v>蒼の祭壇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321040</v>
      </c>
      <c r="B269">
        <v>321040</v>
      </c>
      <c r="C269" t="str">
        <f>INDEX(TextData!B:B,MATCH(B269,TextData!A:A))</f>
        <v>光の祭壇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321050</v>
      </c>
      <c r="B270">
        <v>321050</v>
      </c>
      <c r="C270" t="str">
        <f>INDEX(TextData!B:B,MATCH(B270,TextData!A:A))</f>
        <v>月の祭壇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322010</v>
      </c>
      <c r="B271">
        <v>322010</v>
      </c>
      <c r="C271" t="str">
        <f>INDEX(TextData!B:B,MATCH(B271,TextData!A:A))</f>
        <v>食糧庫Lv1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322020</v>
      </c>
      <c r="B272">
        <v>322020</v>
      </c>
      <c r="C272" t="str">
        <f>INDEX(TextData!B:B,MATCH(B272,TextData!A:A))</f>
        <v>攻撃技術Lv1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322030</v>
      </c>
      <c r="B273">
        <v>322030</v>
      </c>
      <c r="C273" t="str">
        <f>INDEX(TextData!B:B,MATCH(B273,TextData!A:A))</f>
        <v>防御技術Lv1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322040</v>
      </c>
      <c r="B274">
        <v>322040</v>
      </c>
      <c r="C274" t="str">
        <f>INDEX(TextData!B:B,MATCH(B274,TextData!A:A))</f>
        <v>詠唱技術Lv1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401010</v>
      </c>
      <c r="B275">
        <v>401010</v>
      </c>
      <c r="C275" t="str">
        <f>INDEX(TextData!B:B,MATCH(B275,TextData!A:A))</f>
        <v>ファイアボール+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401020</v>
      </c>
      <c r="B276">
        <v>401020</v>
      </c>
      <c r="C276" t="str">
        <f>INDEX(TextData!B:B,MATCH(B276,TextData!A:A))</f>
        <v>バーンストーム+</v>
      </c>
      <c r="D276">
        <v>1</v>
      </c>
      <c r="E276" t="str">
        <f>INDEX(Define!X:X,MATCH(D276,Define!W:W))</f>
        <v>元素</v>
      </c>
      <c r="F276">
        <v>101</v>
      </c>
      <c r="G276" t="str">
        <f>INDEX([1]Animations!B:B,MATCH(F276,[1]Animations!A:A))</f>
        <v>MakerEffect/FireOne1</v>
      </c>
      <c r="H276">
        <v>2</v>
      </c>
      <c r="I276" t="str">
        <f>INDEX(Define!B:B,MATCH(H276,Define!A:A))</f>
        <v>列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401030</v>
      </c>
      <c r="B277">
        <v>401030</v>
      </c>
      <c r="C277" t="str">
        <f>INDEX(TextData!B:B,MATCH(B277,TextData!A:A))</f>
        <v>ヒートスタンプ+</v>
      </c>
      <c r="D277">
        <v>2</v>
      </c>
      <c r="E277" t="str">
        <f>INDEX(Define!X:X,MATCH(D277,Define!W:W))</f>
        <v>光</v>
      </c>
      <c r="F277">
        <v>21</v>
      </c>
      <c r="G277" t="str">
        <f>INDEX([1]Animations!B:B,MATCH(F277,[1]Animations!A:A))</f>
        <v>tktk01/Magic2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401040</v>
      </c>
      <c r="B278">
        <v>401040</v>
      </c>
      <c r="C278" t="str">
        <f>INDEX(TextData!B:B,MATCH(B278,TextData!A:A))</f>
        <v>ソードアダプト+</v>
      </c>
      <c r="D278">
        <v>4</v>
      </c>
      <c r="E278" t="str">
        <f>INDEX(Define!X:X,MATCH(D278,Define!W:W))</f>
        <v>精神</v>
      </c>
      <c r="F278">
        <v>51</v>
      </c>
      <c r="G278" t="str">
        <f>INDEX([1]Animations!B:B,MATCH(F278,[1]Animations!A:A))</f>
        <v>NA_Effekseer/NA_aura_001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401050</v>
      </c>
      <c r="B279">
        <v>401050</v>
      </c>
      <c r="C279" t="str">
        <f>INDEX(TextData!B:B,MATCH(B279,TextData!A:A))</f>
        <v>フレイムレイン+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401060</v>
      </c>
      <c r="B280">
        <v>401060</v>
      </c>
      <c r="C280" t="str">
        <f>INDEX(TextData!B:B,MATCH(B280,TextData!A:A))</f>
        <v>イクスティンクション+</v>
      </c>
      <c r="D280">
        <v>1</v>
      </c>
      <c r="E280" t="str">
        <f>INDEX(Define!X:X,MATCH(D280,Define!W:W))</f>
        <v>元素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401070</v>
      </c>
      <c r="B281">
        <v>401070</v>
      </c>
      <c r="C281" t="str">
        <f>INDEX(TextData!B:B,MATCH(B281,TextData!A:A))</f>
        <v>バーニングソウル+</v>
      </c>
      <c r="D281">
        <v>2</v>
      </c>
      <c r="E281" t="str">
        <f>INDEX(Define!X:X,MATCH(D281,Define!W:W))</f>
        <v>光</v>
      </c>
      <c r="F281">
        <v>101</v>
      </c>
      <c r="G281" t="str">
        <f>INDEX([1]Animations!B:B,MATCH(F281,[1]Animations!A:A))</f>
        <v>MakerEffect/FireOne1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401080</v>
      </c>
      <c r="B282">
        <v>401080</v>
      </c>
      <c r="C282" t="str">
        <f>INDEX(TextData!B:B,MATCH(B282,TextData!A:A))</f>
        <v>レイジングバウンサー+</v>
      </c>
      <c r="D282">
        <v>1</v>
      </c>
      <c r="E282" t="str">
        <f>INDEX(Define!X:X,MATCH(D282,Define!W:W))</f>
        <v>元素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402010</v>
      </c>
      <c r="B283">
        <v>402010</v>
      </c>
      <c r="C283" t="str">
        <f>INDEX(TextData!B:B,MATCH(B283,TextData!A:A))</f>
        <v>ディスチャージ+</v>
      </c>
      <c r="D283">
        <v>1</v>
      </c>
      <c r="E283" t="str">
        <f>INDEX(Define!X:X,MATCH(D283,Define!W:W))</f>
        <v>元素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402020</v>
      </c>
      <c r="B284">
        <v>402020</v>
      </c>
      <c r="C284" t="str">
        <f>INDEX(TextData!B:B,MATCH(B284,TextData!A:A))</f>
        <v>イベイドコード+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402030</v>
      </c>
      <c r="B285">
        <v>402030</v>
      </c>
      <c r="C285" t="str">
        <f>INDEX(TextData!B:B,MATCH(B285,TextData!A:A))</f>
        <v>ショックインパルス+</v>
      </c>
      <c r="D285">
        <v>3</v>
      </c>
      <c r="E285" t="str">
        <f>INDEX(Define!X:X,MATCH(D285,Define!W:W))</f>
        <v>理術</v>
      </c>
      <c r="F285">
        <v>201</v>
      </c>
      <c r="G285" t="str">
        <f>INDEX([1]Animations!B:B,MATCH(F285,[1]Animations!A:A))</f>
        <v>MakerEffect/ThunderOne1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402040</v>
      </c>
      <c r="B286">
        <v>402040</v>
      </c>
      <c r="C286" t="str">
        <f>INDEX(TextData!B:B,MATCH(B286,TextData!A:A))</f>
        <v>トラストチェイン+</v>
      </c>
      <c r="D286">
        <v>1</v>
      </c>
      <c r="E286" t="str">
        <f>INDEX(Define!X:X,MATCH(D286,Define!W:W))</f>
        <v>元素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402050</v>
      </c>
      <c r="B287">
        <v>402050</v>
      </c>
      <c r="C287" t="str">
        <f>INDEX(TextData!B:B,MATCH(B287,TextData!A:A))</f>
        <v>スペルバニシング+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402060</v>
      </c>
      <c r="B288">
        <v>402060</v>
      </c>
      <c r="C288" t="str">
        <f>INDEX(TextData!B:B,MATCH(B288,TextData!A:A))</f>
        <v>アーテニーストライク+</v>
      </c>
      <c r="D288">
        <v>1</v>
      </c>
      <c r="E288" t="str">
        <f>INDEX(Define!X:X,MATCH(D288,Define!W:W))</f>
        <v>元素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402070</v>
      </c>
      <c r="B289">
        <v>402070</v>
      </c>
      <c r="C289" t="str">
        <f>INDEX(TextData!B:B,MATCH(B289,TextData!A:A))</f>
        <v>コンセントレイト+</v>
      </c>
      <c r="D289">
        <v>3</v>
      </c>
      <c r="E289" t="str">
        <f>INDEX(Define!X:X,MATCH(D289,Define!W:W))</f>
        <v>理術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402080</v>
      </c>
      <c r="B290">
        <v>402080</v>
      </c>
      <c r="C290" t="str">
        <f>INDEX(TextData!B:B,MATCH(B290,TextData!A:A))</f>
        <v>ディレイマジック+</v>
      </c>
      <c r="D290">
        <v>5</v>
      </c>
      <c r="E290" t="str">
        <f>INDEX(Define!X:X,MATCH(D290,Define!W:W))</f>
        <v>超次元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403010</v>
      </c>
      <c r="B291">
        <v>403010</v>
      </c>
      <c r="C291" t="str">
        <f>INDEX(TextData!B:B,MATCH(B291,TextData!A:A))</f>
        <v>アイスブレイド+</v>
      </c>
      <c r="D291">
        <v>1</v>
      </c>
      <c r="E291" t="str">
        <f>INDEX(Define!X:X,MATCH(D291,Define!W:W))</f>
        <v>元素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403020</v>
      </c>
      <c r="B292">
        <v>403020</v>
      </c>
      <c r="C292" t="str">
        <f>INDEX(TextData!B:B,MATCH(B292,TextData!A:A))</f>
        <v>カウンターオーラ+</v>
      </c>
      <c r="D292">
        <v>2</v>
      </c>
      <c r="E292" t="str">
        <f>INDEX(Define!X:X,MATCH(D292,Define!W:W))</f>
        <v>光</v>
      </c>
      <c r="F292">
        <v>301</v>
      </c>
      <c r="G292" t="str">
        <f>INDEX([1]Animations!B:B,MATCH(F292,[1]Animations!A:A))</f>
        <v>MakerEffect/IceOne1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403030</v>
      </c>
      <c r="B293">
        <v>403030</v>
      </c>
      <c r="C293" t="str">
        <f>INDEX(TextData!B:B,MATCH(B293,TextData!A:A))</f>
        <v>ラインプロテクト+</v>
      </c>
      <c r="D293">
        <v>4</v>
      </c>
      <c r="E293" t="str">
        <f>INDEX(Define!X:X,MATCH(D293,Define!W:W))</f>
        <v>精神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403040</v>
      </c>
      <c r="B294">
        <v>403040</v>
      </c>
      <c r="C294" t="str">
        <f>INDEX(TextData!B:B,MATCH(B294,TextData!A:A))</f>
        <v>エスコートソール+</v>
      </c>
      <c r="D294">
        <v>3</v>
      </c>
      <c r="E294" t="str">
        <f>INDEX(Define!X:X,MATCH(D294,Define!W:W))</f>
        <v>理術</v>
      </c>
      <c r="F294">
        <v>61</v>
      </c>
      <c r="G294" t="str">
        <f>INDEX([1]Animations!B:B,MATCH(F294,[1]Animations!A:A))</f>
        <v>NA_Effekseer/NA_aura_002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403050</v>
      </c>
      <c r="B295">
        <v>403050</v>
      </c>
      <c r="C295" t="str">
        <f>INDEX(TextData!B:B,MATCH(B295,TextData!A:A))</f>
        <v>ディープフリーズ+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403060</v>
      </c>
      <c r="B296">
        <v>403060</v>
      </c>
      <c r="C296" t="str">
        <f>INDEX(TextData!B:B,MATCH(B296,TextData!A:A))</f>
        <v>バブルブロウ+</v>
      </c>
      <c r="D296">
        <v>3</v>
      </c>
      <c r="E296" t="str">
        <f>INDEX(Define!X:X,MATCH(D296,Define!W:W))</f>
        <v>理術</v>
      </c>
      <c r="F296">
        <v>301</v>
      </c>
      <c r="G296" t="str">
        <f>INDEX([1]Animations!B:B,MATCH(F296,[1]Animations!A:A))</f>
        <v>MakerEffect/IceOne1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403070</v>
      </c>
      <c r="B297">
        <v>403070</v>
      </c>
      <c r="C297" t="str">
        <f>INDEX(TextData!B:B,MATCH(B297,TextData!A:A))</f>
        <v>アクアミラージュ+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403080</v>
      </c>
      <c r="B298">
        <v>403080</v>
      </c>
      <c r="C298" t="str">
        <f>INDEX(TextData!B:B,MATCH(B298,TextData!A:A))</f>
        <v>フロストシールド+</v>
      </c>
      <c r="D298">
        <v>4</v>
      </c>
      <c r="E298" t="str">
        <f>INDEX(Define!X:X,MATCH(D298,Define!W:W))</f>
        <v>精神</v>
      </c>
      <c r="F298">
        <v>51</v>
      </c>
      <c r="G298" t="str">
        <f>INDEX([1]Animations!B:B,MATCH(F298,[1]Animations!A:A))</f>
        <v>NA_Effekseer/NA_aura_001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404010</v>
      </c>
      <c r="B299">
        <v>404010</v>
      </c>
      <c r="C299" t="str">
        <f>INDEX(TextData!B:B,MATCH(B299,TextData!A:A))</f>
        <v>セイントレーザー+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404020</v>
      </c>
      <c r="B300">
        <v>404020</v>
      </c>
      <c r="C300" t="str">
        <f>INDEX(TextData!B:B,MATCH(B300,TextData!A:A))</f>
        <v>ペネトレイト+</v>
      </c>
      <c r="D300">
        <v>1</v>
      </c>
      <c r="E300" t="str">
        <f>INDEX(Define!X:X,MATCH(D300,Define!W:W))</f>
        <v>元素</v>
      </c>
      <c r="F300">
        <v>401</v>
      </c>
      <c r="G300" t="str">
        <f>INDEX([1]Animations!B:B,MATCH(F300,[1]Animations!A:A))</f>
        <v>MakerEffect/LightOne1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404030</v>
      </c>
      <c r="B301">
        <v>404030</v>
      </c>
      <c r="C301" t="str">
        <f>INDEX(TextData!B:B,MATCH(B301,TextData!A:A))</f>
        <v>ヒーリング+</v>
      </c>
      <c r="D301">
        <v>2</v>
      </c>
      <c r="E301" t="str">
        <f>INDEX(Define!X:X,MATCH(D301,Define!W:W))</f>
        <v>光</v>
      </c>
      <c r="F301">
        <v>21</v>
      </c>
      <c r="G301" t="str">
        <f>INDEX([1]Animations!B:B,MATCH(F301,[1]Animations!A:A))</f>
        <v>tktk01/Magic2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404040</v>
      </c>
      <c r="B302">
        <v>404040</v>
      </c>
      <c r="C302" t="str">
        <f>INDEX(TextData!B:B,MATCH(B302,TextData!A:A))</f>
        <v>リザイアフォトン+</v>
      </c>
      <c r="D302">
        <v>2</v>
      </c>
      <c r="E302" t="str">
        <f>INDEX(Define!X:X,MATCH(D302,Define!W:W))</f>
        <v>光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404050</v>
      </c>
      <c r="B303">
        <v>404050</v>
      </c>
      <c r="C303" t="str">
        <f>INDEX(TextData!B:B,MATCH(B303,TextData!A:A))</f>
        <v>べネディクション+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404060</v>
      </c>
      <c r="B304">
        <v>404060</v>
      </c>
      <c r="C304" t="str">
        <f>INDEX(TextData!B:B,MATCH(B304,TextData!A:A))</f>
        <v>ホーリーグレイス+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404070</v>
      </c>
      <c r="B305">
        <v>404070</v>
      </c>
      <c r="C305" t="str">
        <f>INDEX(TextData!B:B,MATCH(B305,TextData!A:A))</f>
        <v>キュアエール+</v>
      </c>
      <c r="D305">
        <v>2</v>
      </c>
      <c r="E305" t="str">
        <f>INDEX(Define!X:X,MATCH(D305,Define!W:W))</f>
        <v>光</v>
      </c>
      <c r="F305">
        <v>21</v>
      </c>
      <c r="G305" t="str">
        <f>INDEX([1]Animations!B:B,MATCH(F305,[1]Animations!A:A))</f>
        <v>tktk01/Magic2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404080</v>
      </c>
      <c r="B306">
        <v>404080</v>
      </c>
      <c r="C306" t="str">
        <f>INDEX(TextData!B:B,MATCH(B306,TextData!A:A))</f>
        <v>ラインバリア+</v>
      </c>
      <c r="D306">
        <v>2</v>
      </c>
      <c r="E306" t="str">
        <f>INDEX(Define!X:X,MATCH(D306,Define!W:W))</f>
        <v>光</v>
      </c>
      <c r="F306">
        <v>51</v>
      </c>
      <c r="G306" t="str">
        <f>INDEX([1]Animations!B:B,MATCH(F306,[1]Animations!A:A))</f>
        <v>NA_Effekseer/NA_aura_001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405010</v>
      </c>
      <c r="B307">
        <v>405010</v>
      </c>
      <c r="C307" t="str">
        <f>INDEX(TextData!B:B,MATCH(B307,TextData!A:A))</f>
        <v>ダークプリズン+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405020</v>
      </c>
      <c r="B308">
        <v>405020</v>
      </c>
      <c r="C308" t="str">
        <f>INDEX(TextData!B:B,MATCH(B308,TextData!A:A))</f>
        <v>ユーサネイジア+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3</v>
      </c>
      <c r="I308" t="str">
        <f>INDEX(Define!B:B,MATCH(H308,Define!A:A))</f>
        <v>全体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405030</v>
      </c>
      <c r="B309">
        <v>405030</v>
      </c>
      <c r="C309" t="str">
        <f>INDEX(TextData!B:B,MATCH(B309,TextData!A:A))</f>
        <v>ドレインヒール+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405040</v>
      </c>
      <c r="B310">
        <v>405040</v>
      </c>
      <c r="C310" t="str">
        <f>INDEX(TextData!B:B,MATCH(B310,TextData!A:A))</f>
        <v>アビサルデスペア+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405050</v>
      </c>
      <c r="B311">
        <v>405050</v>
      </c>
      <c r="C311" t="str">
        <f>INDEX(TextData!B:B,MATCH(B311,TextData!A:A))</f>
        <v>ディプラヴィティ+</v>
      </c>
      <c r="D311">
        <v>3</v>
      </c>
      <c r="E311" t="str">
        <f>INDEX(Define!X:X,MATCH(D311,Define!W:W))</f>
        <v>理術</v>
      </c>
      <c r="F311">
        <v>501</v>
      </c>
      <c r="G311" t="str">
        <f>INDEX([1]Animations!B:B,MATCH(F311,[1]Animations!A:A))</f>
        <v>MakerEffect/DarknessOne1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405060</v>
      </c>
      <c r="B312">
        <v>405060</v>
      </c>
      <c r="C312" t="str">
        <f>INDEX(TextData!B:B,MATCH(B312,TextData!A:A))</f>
        <v>ダークネス+</v>
      </c>
      <c r="D312">
        <v>3</v>
      </c>
      <c r="E312" t="str">
        <f>INDEX(Define!X:X,MATCH(D312,Define!W:W))</f>
        <v>理術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405070</v>
      </c>
      <c r="B313">
        <v>405070</v>
      </c>
      <c r="C313" t="str">
        <f>INDEX(TextData!B:B,MATCH(B313,TextData!A:A))</f>
        <v>シェイディークラウド+</v>
      </c>
      <c r="D313">
        <v>5</v>
      </c>
      <c r="E313" t="str">
        <f>INDEX(Define!X:X,MATCH(D313,Define!W:W))</f>
        <v>超次元</v>
      </c>
      <c r="F313">
        <v>61</v>
      </c>
      <c r="G313" t="str">
        <f>INDEX([1]Animations!B:B,MATCH(F313,[1]Animations!A:A))</f>
        <v>NA_Effekseer/NA_aura_002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405080</v>
      </c>
      <c r="B314">
        <v>405080</v>
      </c>
      <c r="C314" t="str">
        <f>INDEX(TextData!B:B,MATCH(B314,TextData!A:A))</f>
        <v>ポイズンブロウ+</v>
      </c>
      <c r="D314">
        <v>5</v>
      </c>
      <c r="E314" t="str">
        <f>INDEX(Define!X:X,MATCH(D314,Define!W:W))</f>
        <v>超次元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411010</v>
      </c>
      <c r="B315">
        <v>411010</v>
      </c>
      <c r="C315" t="str">
        <f>INDEX(TextData!B:B,MATCH(B315,TextData!A:A))</f>
        <v>ウルフソウル+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411020</v>
      </c>
      <c r="B316">
        <v>411020</v>
      </c>
      <c r="C316" t="str">
        <f>INDEX(TextData!B:B,MATCH(B316,TextData!A:A))</f>
        <v>プリディカメント+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411030</v>
      </c>
      <c r="B317">
        <v>411030</v>
      </c>
      <c r="C317" t="str">
        <f>INDEX(TextData!B:B,MATCH(B317,TextData!A:A))</f>
        <v>アサルトシフト+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411040</v>
      </c>
      <c r="B318">
        <v>411040</v>
      </c>
      <c r="C318" t="str">
        <f>INDEX(TextData!B:B,MATCH(B318,TextData!A:A))</f>
        <v>アクティブギフト+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411050</v>
      </c>
      <c r="B319">
        <v>411050</v>
      </c>
      <c r="C319" t="str">
        <f>INDEX(TextData!B:B,MATCH(B319,TextData!A:A))</f>
        <v>イグナイテッド+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411060</v>
      </c>
      <c r="B320">
        <v>411060</v>
      </c>
      <c r="C320" t="str">
        <f>INDEX(TextData!B:B,MATCH(B320,TextData!A:A))</f>
        <v>ライジングファイア+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411070</v>
      </c>
      <c r="B321">
        <v>411070</v>
      </c>
      <c r="C321" t="str">
        <f>INDEX(TextData!B:B,MATCH(B321,TextData!A:A))</f>
        <v>ルージュバック+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411080</v>
      </c>
      <c r="B322">
        <v>411080</v>
      </c>
      <c r="C322" t="str">
        <f>INDEX(TextData!B:B,MATCH(B322,TextData!A:A))</f>
        <v>パワーエール+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411090</v>
      </c>
      <c r="B323">
        <v>411090</v>
      </c>
      <c r="C323" t="str">
        <f>INDEX(TextData!B:B,MATCH(B323,TextData!A:A))</f>
        <v>スレイプニル+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412010</v>
      </c>
      <c r="B324">
        <v>412010</v>
      </c>
      <c r="C324" t="str">
        <f>INDEX(TextData!B:B,MATCH(B324,TextData!A:A))</f>
        <v>エクステンション+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412020</v>
      </c>
      <c r="B325">
        <v>412020</v>
      </c>
      <c r="C325" t="str">
        <f>INDEX(TextData!B:B,MATCH(B325,TextData!A:A))</f>
        <v>ヘブンリーラック+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412030</v>
      </c>
      <c r="B326">
        <v>412030</v>
      </c>
      <c r="C326" t="str">
        <f>INDEX(TextData!B:B,MATCH(B326,TextData!A:A))</f>
        <v>スウィフトカレント+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412040</v>
      </c>
      <c r="B327">
        <v>412040</v>
      </c>
      <c r="C327" t="str">
        <f>INDEX(TextData!B:B,MATCH(B327,TextData!A:A))</f>
        <v>イヴェイドオール+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412050</v>
      </c>
      <c r="B328">
        <v>412050</v>
      </c>
      <c r="C328" t="str">
        <f>INDEX(TextData!B:B,MATCH(B328,TextData!A:A))</f>
        <v>クイックムーブ+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412060</v>
      </c>
      <c r="B329">
        <v>412060</v>
      </c>
      <c r="C329" t="str">
        <f>INDEX(TextData!B:B,MATCH(B329,TextData!A:A))</f>
        <v>チェイスマジック+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412070</v>
      </c>
      <c r="B330">
        <v>412070</v>
      </c>
      <c r="C330" t="str">
        <f>INDEX(TextData!B:B,MATCH(B330,TextData!A:A))</f>
        <v>ソーサリーコネクト+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412080</v>
      </c>
      <c r="B331">
        <v>412080</v>
      </c>
      <c r="C331" t="str">
        <f>INDEX(TextData!B:B,MATCH(B331,TextData!A:A))</f>
        <v>ウィンドライズ+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412090</v>
      </c>
      <c r="B332">
        <v>412090</v>
      </c>
      <c r="C332" t="str">
        <f>INDEX(TextData!B:B,MATCH(B332,TextData!A:A))</f>
        <v>アウトオブオーダー+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413010</v>
      </c>
      <c r="B333">
        <v>413010</v>
      </c>
      <c r="C333" t="str">
        <f>INDEX(TextData!B:B,MATCH(B333,TextData!A:A))</f>
        <v>アーマーコード+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413020</v>
      </c>
      <c r="B334">
        <v>413020</v>
      </c>
      <c r="C334" t="str">
        <f>INDEX(TextData!B:B,MATCH(B334,TextData!A:A))</f>
        <v>クイックバリア+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413030</v>
      </c>
      <c r="B335">
        <v>413030</v>
      </c>
      <c r="C335" t="str">
        <f>INDEX(TextData!B:B,MATCH(B335,TextData!A:A))</f>
        <v>クイックキュア+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413040</v>
      </c>
      <c r="B336">
        <v>413040</v>
      </c>
      <c r="C336" t="str">
        <f>INDEX(TextData!B:B,MATCH(B336,TextData!A:A))</f>
        <v>セルフシールド+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413050</v>
      </c>
      <c r="B337">
        <v>413050</v>
      </c>
      <c r="C337" t="str">
        <f>INDEX(TextData!B:B,MATCH(B337,TextData!A:A))</f>
        <v>パッシブジャミング+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413060</v>
      </c>
      <c r="B338">
        <v>413060</v>
      </c>
      <c r="C338" t="str">
        <f>INDEX(TextData!B:B,MATCH(B338,TextData!A:A))</f>
        <v>サプライカバー+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413070</v>
      </c>
      <c r="B339">
        <v>413070</v>
      </c>
      <c r="C339" t="str">
        <f>INDEX(TextData!B:B,MATCH(B339,TextData!A:A))</f>
        <v>アシッドラッシュ+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413080</v>
      </c>
      <c r="B340">
        <v>413080</v>
      </c>
      <c r="C340" t="str">
        <f>INDEX(TextData!B:B,MATCH(B340,TextData!A:A))</f>
        <v>ライフスティール+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413090</v>
      </c>
      <c r="B341">
        <v>413090</v>
      </c>
      <c r="C341" t="str">
        <f>INDEX(TextData!B:B,MATCH(B341,TextData!A:A))</f>
        <v>アイスセイバー+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414010</v>
      </c>
      <c r="B342">
        <v>414010</v>
      </c>
      <c r="C342" t="str">
        <f>INDEX(TextData!B:B,MATCH(B342,TextData!A:A))</f>
        <v>ディバインシールド+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414020</v>
      </c>
      <c r="B343">
        <v>414020</v>
      </c>
      <c r="C343" t="str">
        <f>INDEX(TextData!B:B,MATCH(B343,TextData!A:A))</f>
        <v>ライフディバイド+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414030</v>
      </c>
      <c r="B344">
        <v>414030</v>
      </c>
      <c r="C344" t="str">
        <f>INDEX(TextData!B:B,MATCH(B344,TextData!A:A))</f>
        <v>エイミングスコープ+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414040</v>
      </c>
      <c r="B345">
        <v>414040</v>
      </c>
      <c r="C345" t="str">
        <f>INDEX(TextData!B:B,MATCH(B345,TextData!A:A))</f>
        <v>リジェネレーション+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414050</v>
      </c>
      <c r="B346">
        <v>414050</v>
      </c>
      <c r="C346" t="str">
        <f>INDEX(TextData!B:B,MATCH(B346,TextData!A:A))</f>
        <v>ホープフルアイリス+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414060</v>
      </c>
      <c r="B347">
        <v>414060</v>
      </c>
      <c r="C347" t="str">
        <f>INDEX(TextData!B:B,MATCH(B347,TextData!A:A))</f>
        <v>パッシブサプライ+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414070</v>
      </c>
      <c r="B348">
        <v>414070</v>
      </c>
      <c r="C348" t="str">
        <f>INDEX(TextData!B:B,MATCH(B348,TextData!A:A))</f>
        <v>ホーミングクルセイド+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414080</v>
      </c>
      <c r="B349">
        <v>414080</v>
      </c>
      <c r="C349" t="str">
        <f>INDEX(TextData!B:B,MATCH(B349,TextData!A:A))</f>
        <v>クイックヒール+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414090</v>
      </c>
      <c r="B350">
        <v>414090</v>
      </c>
      <c r="C350" t="str">
        <f>INDEX(TextData!B:B,MATCH(B350,TextData!A:A))</f>
        <v>リレイズ+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415010</v>
      </c>
      <c r="B351">
        <v>415010</v>
      </c>
      <c r="C351" t="str">
        <f>INDEX(TextData!B:B,MATCH(B351,TextData!A:A))</f>
        <v>イーグルアイ+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415020</v>
      </c>
      <c r="B352">
        <v>415020</v>
      </c>
      <c r="C352" t="str">
        <f>INDEX(TextData!B:B,MATCH(B352,TextData!A:A))</f>
        <v>ネヴァーエンド+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415030</v>
      </c>
      <c r="B353">
        <v>415030</v>
      </c>
      <c r="C353" t="str">
        <f>INDEX(TextData!B:B,MATCH(B353,TextData!A:A))</f>
        <v>グレイブアクト+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415040</v>
      </c>
      <c r="B354">
        <v>415040</v>
      </c>
      <c r="C354" t="str">
        <f>INDEX(TextData!B:B,MATCH(B354,TextData!A:A))</f>
        <v>スカルグラッジ+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415050</v>
      </c>
      <c r="B355">
        <v>415050</v>
      </c>
      <c r="C355" t="str">
        <f>INDEX(TextData!B:B,MATCH(B355,TextData!A:A))</f>
        <v>ネガティブドレイン+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415060</v>
      </c>
      <c r="B356">
        <v>415060</v>
      </c>
      <c r="C356" t="str">
        <f>INDEX(TextData!B:B,MATCH(B356,TextData!A:A))</f>
        <v>アンデッドペイン+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415070</v>
      </c>
      <c r="B357">
        <v>415070</v>
      </c>
      <c r="C357" t="str">
        <f>INDEX(TextData!B:B,MATCH(B357,TextData!A:A))</f>
        <v>ジャックポッド+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415080</v>
      </c>
      <c r="B358">
        <v>415080</v>
      </c>
      <c r="C358" t="str">
        <f>INDEX(TextData!B:B,MATCH(B358,TextData!A:A))</f>
        <v>ヒールハント+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415090</v>
      </c>
      <c r="B359">
        <v>415090</v>
      </c>
      <c r="C359" t="str">
        <f>INDEX(TextData!B:B,MATCH(B359,TextData!A:A))</f>
        <v>クイックカース+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501010</v>
      </c>
      <c r="B360">
        <v>501010</v>
      </c>
      <c r="C360" t="str">
        <f>INDEX(TextData!B:B,MATCH(B360,TextData!A:A))</f>
        <v>火傷耐性+20%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501020</v>
      </c>
      <c r="B361">
        <v>501020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501030</v>
      </c>
      <c r="B362">
        <v>501030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501040</v>
      </c>
      <c r="B363">
        <v>501040</v>
      </c>
      <c r="C363" t="str">
        <f>INDEX(TextData!B:B,MATCH(B363,TextData!A:A))</f>
        <v>ATK+2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501110</v>
      </c>
      <c r="B364">
        <v>501110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501120</v>
      </c>
      <c r="B365">
        <v>501120</v>
      </c>
      <c r="C365" t="str">
        <f>INDEX(TextData!B:B,MATCH(B365,TextData!A:A))</f>
        <v>命中率+10%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501130</v>
      </c>
      <c r="B366">
        <v>501130</v>
      </c>
      <c r="C366" t="str">
        <f>INDEX(TextData!B:B,MATCH(B366,TextData!A:A))</f>
        <v>SPD+2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502010</v>
      </c>
      <c r="B367">
        <v>502010</v>
      </c>
      <c r="C367" t="str">
        <f>INDEX(TextData!B:B,MATCH(B367,TextData!A:A))</f>
        <v>DEF+1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502020</v>
      </c>
      <c r="B368">
        <v>502020</v>
      </c>
      <c r="C368" t="str">
        <f>INDEX(TextData!B:B,MATCH(B368,TextData!A:A))</f>
        <v>SPD+1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2</v>
      </c>
      <c r="N368" t="str">
        <f>INDEX(Define!E:E,MATCH(M368,Define!D:D))</f>
        <v>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502030</v>
      </c>
      <c r="B369">
        <v>502030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2</v>
      </c>
      <c r="N369" t="str">
        <f>INDEX(Define!E:E,MATCH(M369,Define!D:D))</f>
        <v>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502040</v>
      </c>
      <c r="B370">
        <v>502040</v>
      </c>
      <c r="C370" t="str">
        <f>INDEX(TextData!B:B,MATCH(B370,TextData!A:A))</f>
        <v>回避率+5%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502110</v>
      </c>
      <c r="B371">
        <v>502110</v>
      </c>
      <c r="C371" t="str">
        <f>INDEX(TextData!B:B,MATCH(B371,TextData!A:A))</f>
        <v>会心ダメージ率+25%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502120</v>
      </c>
      <c r="B372">
        <v>502120</v>
      </c>
      <c r="C372" t="str">
        <f>INDEX(TextData!B:B,MATCH(B372,TextData!A:A))</f>
        <v>命中率+5%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502121</v>
      </c>
      <c r="B373">
        <v>502121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502130</v>
      </c>
      <c r="B374">
        <v>502130</v>
      </c>
      <c r="C374" t="str">
        <f>INDEX(TextData!B:B,MATCH(B374,TextData!A:A))</f>
        <v>SPD+2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503010</v>
      </c>
      <c r="B375">
        <v>503010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503020</v>
      </c>
      <c r="B376">
        <v>503020</v>
      </c>
      <c r="C376" t="str">
        <f>INDEX(TextData!B:B,MATCH(B376,TextData!A:A))</f>
        <v>凍結耐性+20%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503030</v>
      </c>
      <c r="B377">
        <v>503030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503040</v>
      </c>
      <c r="B378">
        <v>503040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503110</v>
      </c>
      <c r="B379">
        <v>503110</v>
      </c>
      <c r="C379" t="str">
        <f>INDEX(TextData!B:B,MATCH(B379,TextData!A:A))</f>
        <v>DEF+2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503120</v>
      </c>
      <c r="B380">
        <v>503120</v>
      </c>
      <c r="C380" t="str">
        <f>INDEX(TextData!B:B,MATCH(B380,TextData!A:A))</f>
        <v>ATK+2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503130</v>
      </c>
      <c r="B381">
        <v>503130</v>
      </c>
      <c r="C381" t="str">
        <f>INDEX(TextData!B:B,MATCH(B381,TextData!A:A))</f>
        <v>ダメージ軽減効果無視+10%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504010</v>
      </c>
      <c r="B382">
        <v>504010</v>
      </c>
      <c r="C382" t="str">
        <f>INDEX(TextData!B:B,MATCH(B382,TextData!A:A))</f>
        <v>Hp回復効果+2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504020</v>
      </c>
      <c r="B383">
        <v>504020</v>
      </c>
      <c r="C383" t="str">
        <f>INDEX(TextData!B:B,MATCH(B383,TextData!A:A))</f>
        <v>SPD+1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504030</v>
      </c>
      <c r="B384">
        <v>504030</v>
      </c>
      <c r="C384" t="str">
        <f>INDEX(TextData!B:B,MATCH(B384,TextData!A:A))</f>
        <v>命中率+5%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504040</v>
      </c>
      <c r="B385">
        <v>504040</v>
      </c>
      <c r="C385" t="str">
        <f>INDEX(TextData!B:B,MATCH(B385,TextData!A:A))</f>
        <v>最大HP+2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504110</v>
      </c>
      <c r="B386">
        <v>504110</v>
      </c>
      <c r="C386" t="str">
        <f>INDEX(TextData!B:B,MATCH(B386,TextData!A:A))</f>
        <v>命中率+10%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504120</v>
      </c>
      <c r="B387">
        <v>504120</v>
      </c>
      <c r="C387" t="str">
        <f>INDEX(TextData!B:B,MATCH(B387,TextData!A:A))</f>
        <v>最大HP+2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504130</v>
      </c>
      <c r="B388">
        <v>504130</v>
      </c>
      <c r="C388" t="str">
        <f>INDEX(TextData!B:B,MATCH(B388,TextData!A:A))</f>
        <v>ダメージ軽減効果無視+10%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505010</v>
      </c>
      <c r="B389">
        <v>505010</v>
      </c>
      <c r="C389" t="str">
        <f>INDEX(TextData!B:B,MATCH(B389,TextData!A:A))</f>
        <v>回避率+5%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5</v>
      </c>
      <c r="N389" t="str">
        <f>INDEX(Define!E:E,MATCH(M389,Define!D:D))</f>
        <v>闇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505020</v>
      </c>
      <c r="B390">
        <v>505020</v>
      </c>
      <c r="C390" t="str">
        <f>INDEX(TextData!B:B,MATCH(B390,TextData!A:A))</f>
        <v>SPD+1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505030</v>
      </c>
      <c r="B391">
        <v>505030</v>
      </c>
      <c r="C391" t="str">
        <f>INDEX(TextData!B:B,MATCH(B391,TextData!A:A))</f>
        <v>最大HP+2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505040</v>
      </c>
      <c r="B392">
        <v>505040</v>
      </c>
      <c r="C392" t="str">
        <f>INDEX(TextData!B:B,MATCH(B392,TextData!A:A))</f>
        <v>ATK+1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505110</v>
      </c>
      <c r="B393">
        <v>505110</v>
      </c>
      <c r="C393" t="str">
        <f>INDEX(TextData!B:B,MATCH(B393,TextData!A:A))</f>
        <v>命中率+5%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505111</v>
      </c>
      <c r="B394">
        <v>505111</v>
      </c>
      <c r="C394" t="str">
        <f>INDEX(TextData!B:B,MATCH(B394,TextData!A:A))</f>
        <v>回避率+5%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505120</v>
      </c>
      <c r="B395">
        <v>505120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505121</v>
      </c>
      <c r="B396">
        <v>505121</v>
      </c>
      <c r="C396" t="str">
        <f>INDEX(TextData!B:B,MATCH(B396,TextData!A:A))</f>
        <v>SPD+1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505130</v>
      </c>
      <c r="B397">
        <v>505130</v>
      </c>
      <c r="C397" t="str">
        <f>INDEX(TextData!B:B,MATCH(B397,TextData!A:A))</f>
        <v>SPD+2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506010</v>
      </c>
      <c r="B398">
        <v>506010</v>
      </c>
      <c r="C398" t="str">
        <f>INDEX(TextData!B:B,MATCH(B398,TextData!A:A))</f>
        <v>最大HP+3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6</v>
      </c>
      <c r="N398" t="str">
        <f>INDEX(Define!E:E,MATCH(M398,Define!D:D))</f>
        <v>無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506011</v>
      </c>
      <c r="B399">
        <v>506011</v>
      </c>
      <c r="C399" t="str">
        <f>INDEX(TextData!B:B,MATCH(B399,TextData!A:A))</f>
        <v>DEF+1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6</v>
      </c>
      <c r="N399" t="str">
        <f>INDEX(Define!E:E,MATCH(M399,Define!D:D))</f>
        <v>無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506012</v>
      </c>
      <c r="B400">
        <v>506012</v>
      </c>
      <c r="C400" t="str">
        <f>INDEX(TextData!B:B,MATCH(B400,TextData!A:A))</f>
        <v>SPD+1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6</v>
      </c>
      <c r="N400" t="str">
        <f>INDEX(Define!E:E,MATCH(M400,Define!D:D))</f>
        <v>無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506013</v>
      </c>
      <c r="B401">
        <v>506013</v>
      </c>
      <c r="C401" t="str">
        <f>INDEX(TextData!B:B,MATCH(B401,TextData!A:A))</f>
        <v>EXP+20%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506020</v>
      </c>
      <c r="B402">
        <v>506020</v>
      </c>
      <c r="C402" t="str">
        <f>INDEX(TextData!B:B,MATCH(B402,TextData!A:A))</f>
        <v>炎属性耐性+20%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506030</v>
      </c>
      <c r="B403">
        <v>506030</v>
      </c>
      <c r="C403" t="str">
        <f>INDEX(TextData!B:B,MATCH(B403,TextData!A:A))</f>
        <v>雷属性耐性+20%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506040</v>
      </c>
      <c r="B404">
        <v>506040</v>
      </c>
      <c r="C404" t="str">
        <f>INDEX(TextData!B:B,MATCH(B404,TextData!A:A))</f>
        <v>氷属性耐性+20%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506050</v>
      </c>
      <c r="B405">
        <v>506050</v>
      </c>
      <c r="C405" t="str">
        <f>INDEX(TextData!B:B,MATCH(B405,TextData!A:A))</f>
        <v>光属性耐性+20%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506060</v>
      </c>
      <c r="B406">
        <v>506060</v>
      </c>
      <c r="C406" t="str">
        <f>INDEX(TextData!B:B,MATCH(B406,TextData!A:A))</f>
        <v>闇属性耐性+20%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507010</v>
      </c>
      <c r="B407">
        <v>507010</v>
      </c>
      <c r="C407" t="str">
        <f>INDEX(TextData!B:B,MATCH(B407,TextData!A:A))</f>
        <v>獲得Exp+30%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507020</v>
      </c>
      <c r="B408">
        <v>507020</v>
      </c>
      <c r="C408" t="str">
        <f>INDEX(TextData!B:B,MATCH(B408,TextData!A:A))</f>
        <v>ATK⇔DEF交換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</sheetData>
  <autoFilter ref="F1:F31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6"/>
  <sheetViews>
    <sheetView zoomScale="110" zoomScaleNormal="110" topLeftCell="A10" workbookViewId="0">
      <selection activeCell="D17" sqref="D17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8">
      <c r="A139">
        <v>12090</v>
      </c>
      <c r="B139" t="str">
        <f>INDEX(TextData!B:B,MATCH(A139,TextData!A:A))</f>
        <v>アウトオブオーダー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12100</v>
      </c>
      <c r="B140" t="str">
        <f>INDEX(TextData!B:B,MATCH(A140,TextData!A:A))</f>
        <v>ワンスパニッシュ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">
        <v>33</v>
      </c>
    </row>
    <row r="141" spans="1:9">
      <c r="A141">
        <v>12110</v>
      </c>
      <c r="B141" t="str">
        <f>INDEX(TextData!B:B,MATCH(A141,TextData!A:A))</f>
        <v>コンセントレイト</v>
      </c>
      <c r="C141">
        <v>3040</v>
      </c>
      <c r="D141" t="str">
        <f>INDEX(Define!Q:Q,MATCH(C141,Define!P:P))</f>
        <v>次の行動まで有効なステート付与</v>
      </c>
      <c r="E141">
        <v>1080</v>
      </c>
      <c r="F141">
        <v>1</v>
      </c>
      <c r="G141">
        <v>20</v>
      </c>
      <c r="H141">
        <v>100</v>
      </c>
      <c r="I141" t="s">
        <v>28</v>
      </c>
    </row>
    <row r="142" spans="1:9">
      <c r="A142">
        <v>12110</v>
      </c>
      <c r="B142" t="str">
        <f>INDEX(TextData!B:B,MATCH(A142,TextData!A:A))</f>
        <v>コンセントレイト</v>
      </c>
      <c r="C142">
        <v>3040</v>
      </c>
      <c r="D142" t="str">
        <f>INDEX(Define!Q:Q,MATCH(C142,Define!P:P))</f>
        <v>次の行動まで有効なステート付与</v>
      </c>
      <c r="E142">
        <v>1090</v>
      </c>
      <c r="F142">
        <v>1</v>
      </c>
      <c r="G142">
        <v>20</v>
      </c>
      <c r="H142">
        <v>100</v>
      </c>
      <c r="I142" t="s">
        <v>29</v>
      </c>
    </row>
    <row r="143" spans="1:9">
      <c r="A143">
        <v>12120</v>
      </c>
      <c r="B143" t="str">
        <f>INDEX(TextData!B:B,MATCH(A143,TextData!A:A))</f>
        <v>パリィ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8">
      <c r="A144">
        <v>12130</v>
      </c>
      <c r="B144" t="str">
        <f>INDEX(TextData!B:B,MATCH(A144,TextData!A:A))</f>
        <v>チェイスマジック</v>
      </c>
      <c r="C144">
        <v>1010</v>
      </c>
      <c r="D144" t="str">
        <f>INDEX(Define!Q:Q,MATCH(C144,Define!P:P))</f>
        <v>Hpダメージ</v>
      </c>
      <c r="E144">
        <v>100</v>
      </c>
      <c r="F144">
        <v>0</v>
      </c>
      <c r="G144">
        <v>0</v>
      </c>
      <c r="H144">
        <v>100</v>
      </c>
    </row>
    <row r="145" spans="1:8">
      <c r="A145">
        <v>12140</v>
      </c>
      <c r="B145" t="str">
        <f>INDEX(TextData!B:B,MATCH(A145,TextData!A:A))</f>
        <v>ウィンドライズ</v>
      </c>
      <c r="C145">
        <v>1010</v>
      </c>
      <c r="D145" t="str">
        <f>INDEX(Define!Q:Q,MATCH(C145,Define!P:P))</f>
        <v>Hpダメージ</v>
      </c>
      <c r="E145">
        <v>100</v>
      </c>
      <c r="F145">
        <v>0</v>
      </c>
      <c r="G145">
        <v>0</v>
      </c>
      <c r="H145">
        <v>100</v>
      </c>
    </row>
    <row r="146" spans="1:8">
      <c r="A146">
        <v>12510</v>
      </c>
      <c r="B146" t="str">
        <f>INDEX(TextData!B:B,MATCH(A146,TextData!A:A))</f>
        <v>アクトスタンス</v>
      </c>
      <c r="C146">
        <v>5020</v>
      </c>
      <c r="D146" t="str">
        <f>INDEX(Define!Q:Q,MATCH(C146,Define!P:P))</f>
        <v>Ap回復</v>
      </c>
      <c r="E146">
        <v>200</v>
      </c>
      <c r="F146">
        <v>0</v>
      </c>
      <c r="G146">
        <v>0</v>
      </c>
      <c r="H146">
        <v>100</v>
      </c>
    </row>
    <row r="147" spans="1:9">
      <c r="A147">
        <v>12510</v>
      </c>
      <c r="B147" t="str">
        <f>INDEX(TextData!B:B,MATCH(A147,TextData!A:A))</f>
        <v>アクトスタンス</v>
      </c>
      <c r="C147">
        <v>3010</v>
      </c>
      <c r="D147" t="str">
        <f>INDEX(Define!Q:Q,MATCH(C147,Define!P:P))</f>
        <v>ステート付与</v>
      </c>
      <c r="E147">
        <v>1041</v>
      </c>
      <c r="F147">
        <v>1</v>
      </c>
      <c r="G147">
        <v>8</v>
      </c>
      <c r="H147">
        <v>100</v>
      </c>
      <c r="I147" t="s">
        <v>43</v>
      </c>
    </row>
    <row r="148" spans="1:9">
      <c r="A148">
        <v>12910</v>
      </c>
      <c r="B148" t="str">
        <f>INDEX(TextData!B:B,MATCH(A148,TextData!A:A))</f>
        <v>コンセントレイト</v>
      </c>
      <c r="C148">
        <v>3010</v>
      </c>
      <c r="D148" t="str">
        <f>INDEX(Define!Q:Q,MATCH(C148,Define!P:P))</f>
        <v>ステート付与</v>
      </c>
      <c r="E148">
        <v>1080</v>
      </c>
      <c r="F148">
        <v>999</v>
      </c>
      <c r="G148">
        <v>10</v>
      </c>
      <c r="H148">
        <v>100</v>
      </c>
      <c r="I148" t="s">
        <v>28</v>
      </c>
    </row>
    <row r="149" spans="1:9">
      <c r="A149">
        <v>12910</v>
      </c>
      <c r="B149" t="str">
        <f>INDEX(TextData!B:B,MATCH(A149,TextData!A:A))</f>
        <v>コンセントレイト</v>
      </c>
      <c r="C149">
        <v>3010</v>
      </c>
      <c r="D149" t="str">
        <f>INDEX(Define!Q:Q,MATCH(C149,Define!P:P))</f>
        <v>ステート付与</v>
      </c>
      <c r="E149">
        <v>1090</v>
      </c>
      <c r="F149">
        <v>999</v>
      </c>
      <c r="G149">
        <v>10</v>
      </c>
      <c r="H149">
        <v>100</v>
      </c>
      <c r="I149" t="s">
        <v>29</v>
      </c>
    </row>
    <row r="150" spans="1:9">
      <c r="A150">
        <v>12930</v>
      </c>
      <c r="B150" t="str">
        <f>INDEX(TextData!B:B,MATCH(A150,TextData!A:A))</f>
        <v>スウィフトカレント</v>
      </c>
      <c r="C150">
        <v>3010</v>
      </c>
      <c r="D150" t="str">
        <f>INDEX(Define!Q:Q,MATCH(C150,Define!P:P))</f>
        <v>ステート付与</v>
      </c>
      <c r="E150">
        <v>1060</v>
      </c>
      <c r="F150">
        <v>999</v>
      </c>
      <c r="G150">
        <v>5</v>
      </c>
      <c r="H150">
        <v>100</v>
      </c>
      <c r="I150" t="s">
        <v>52</v>
      </c>
    </row>
    <row r="151" spans="1:9">
      <c r="A151">
        <v>12940</v>
      </c>
      <c r="B151" t="str">
        <f>INDEX(TextData!B:B,MATCH(A151,TextData!A:A))</f>
        <v>イヴェイドオール</v>
      </c>
      <c r="C151">
        <v>3010</v>
      </c>
      <c r="D151" t="str">
        <f>INDEX(Define!Q:Q,MATCH(C151,Define!P:P))</f>
        <v>ステート付与</v>
      </c>
      <c r="E151">
        <v>1092</v>
      </c>
      <c r="F151">
        <v>999</v>
      </c>
      <c r="G151">
        <v>5</v>
      </c>
      <c r="H151">
        <v>100</v>
      </c>
      <c r="I151" t="s">
        <v>29</v>
      </c>
    </row>
    <row r="152" spans="1:9">
      <c r="A152">
        <v>13010</v>
      </c>
      <c r="B152" t="str">
        <f>INDEX(TextData!B:B,MATCH(A152,TextData!A:A))</f>
        <v>ヘビィカバー</v>
      </c>
      <c r="C152">
        <v>3010</v>
      </c>
      <c r="D152" t="str">
        <f>INDEX(Define!Q:Q,MATCH(C152,Define!P:P))</f>
        <v>ステート付与</v>
      </c>
      <c r="E152">
        <v>2430</v>
      </c>
      <c r="F152">
        <v>1</v>
      </c>
      <c r="G152">
        <v>0</v>
      </c>
      <c r="H152">
        <v>100</v>
      </c>
      <c r="I152" t="s">
        <v>51</v>
      </c>
    </row>
    <row r="153" spans="1:8">
      <c r="A153">
        <v>13010</v>
      </c>
      <c r="B153" t="str">
        <f>INDEX(TextData!B:B,MATCH(A153,TextData!A:A))</f>
        <v>ヘビィカバー</v>
      </c>
      <c r="C153">
        <v>7010</v>
      </c>
      <c r="D153" t="str">
        <f>INDEX(Define!Q:Q,MATCH(C153,Define!P:P))</f>
        <v>行動後スキル</v>
      </c>
      <c r="E153">
        <v>13011</v>
      </c>
      <c r="F153">
        <v>0</v>
      </c>
      <c r="G153">
        <v>1</v>
      </c>
      <c r="H153">
        <v>100</v>
      </c>
    </row>
    <row r="154" spans="1:9">
      <c r="A154">
        <v>13011</v>
      </c>
      <c r="B154" t="str">
        <f>INDEX(TextData!B:B,MATCH(A154,TextData!A:A))</f>
        <v>ヘビィカバー</v>
      </c>
      <c r="C154">
        <v>3010</v>
      </c>
      <c r="D154" t="str">
        <f>INDEX(Define!Q:Q,MATCH(C154,Define!P:P))</f>
        <v>ステート付与</v>
      </c>
      <c r="E154">
        <v>1100</v>
      </c>
      <c r="F154">
        <v>1</v>
      </c>
      <c r="G154">
        <v>75</v>
      </c>
      <c r="H154">
        <v>100</v>
      </c>
      <c r="I154" t="s">
        <v>40</v>
      </c>
    </row>
    <row r="155" spans="1:9">
      <c r="A155">
        <v>13020</v>
      </c>
      <c r="B155" t="str">
        <f>INDEX(TextData!B:B,MATCH(A155,TextData!A:A))</f>
        <v>アイシクルエッジ</v>
      </c>
      <c r="C155">
        <v>3010</v>
      </c>
      <c r="D155" t="str">
        <f>INDEX(Define!Q:Q,MATCH(C155,Define!P:P))</f>
        <v>ステート付与</v>
      </c>
      <c r="E155">
        <v>2140</v>
      </c>
      <c r="F155">
        <v>1</v>
      </c>
      <c r="G155">
        <v>25</v>
      </c>
      <c r="H155">
        <v>100</v>
      </c>
      <c r="I155" t="s">
        <v>31</v>
      </c>
    </row>
    <row r="156" spans="1:8">
      <c r="A156">
        <v>13030</v>
      </c>
      <c r="B156" t="str">
        <f>INDEX(TextData!B:B,MATCH(A156,TextData!A:A))</f>
        <v>カウンターマジック</v>
      </c>
      <c r="C156">
        <v>1010</v>
      </c>
      <c r="D156" t="str">
        <f>INDEX(Define!Q:Q,MATCH(C156,Define!P:P))</f>
        <v>Hpダメージ</v>
      </c>
      <c r="E156">
        <v>100</v>
      </c>
      <c r="F156">
        <v>0</v>
      </c>
      <c r="G156">
        <v>0</v>
      </c>
      <c r="H156">
        <v>100</v>
      </c>
    </row>
    <row r="157" spans="1:9">
      <c r="A157">
        <v>13040</v>
      </c>
      <c r="B157" t="str">
        <f>INDEX(TextData!B:B,MATCH(A157,TextData!A:A))</f>
        <v>アーマーコード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2</v>
      </c>
      <c r="H157">
        <v>100</v>
      </c>
      <c r="I157" t="s">
        <v>37</v>
      </c>
    </row>
    <row r="158" spans="1:8">
      <c r="A158">
        <v>13050</v>
      </c>
      <c r="B158" t="str">
        <f>INDEX(TextData!B:B,MATCH(A158,TextData!A:A))</f>
        <v>キュアフリーズ</v>
      </c>
      <c r="C158">
        <v>3020</v>
      </c>
      <c r="D158" t="str">
        <f>INDEX(Define!Q:Q,MATCH(C158,Define!P:P))</f>
        <v>ステート解除</v>
      </c>
      <c r="E158">
        <v>2140</v>
      </c>
      <c r="F158">
        <v>0</v>
      </c>
      <c r="G158">
        <v>0</v>
      </c>
      <c r="H158">
        <v>100</v>
      </c>
    </row>
    <row r="159" spans="1:8">
      <c r="A159">
        <v>13050</v>
      </c>
      <c r="B159" t="str">
        <f>INDEX(TextData!B:B,MATCH(A159,TextData!A:A))</f>
        <v>キュアフリーズ</v>
      </c>
      <c r="C159">
        <v>2010</v>
      </c>
      <c r="D159" t="str">
        <f>INDEX(Define!Q:Q,MATCH(C159,Define!P:P))</f>
        <v>Hp回復</v>
      </c>
      <c r="E159">
        <v>10</v>
      </c>
      <c r="F159">
        <v>0</v>
      </c>
      <c r="G159">
        <v>1</v>
      </c>
      <c r="H159">
        <v>100</v>
      </c>
    </row>
    <row r="160" spans="1:8">
      <c r="A160">
        <v>13070</v>
      </c>
      <c r="B160" t="str">
        <f>INDEX(TextData!B:B,MATCH(A160,TextData!A:A))</f>
        <v>アシッドラッシュ</v>
      </c>
      <c r="C160">
        <v>5050</v>
      </c>
      <c r="D160" t="str">
        <f>INDEX(Define!Q:Q,MATCH(C160,Define!P:P))</f>
        <v>APダメージ</v>
      </c>
      <c r="E160">
        <v>100</v>
      </c>
      <c r="F160">
        <v>0</v>
      </c>
      <c r="G160">
        <v>0</v>
      </c>
      <c r="H160">
        <v>100</v>
      </c>
    </row>
    <row r="161" spans="1:9">
      <c r="A161">
        <v>13090</v>
      </c>
      <c r="B161" t="str">
        <f>INDEX(TextData!B:B,MATCH(A161,TextData!A:A))</f>
        <v>アイスセイバー</v>
      </c>
      <c r="C161">
        <v>3010</v>
      </c>
      <c r="D161" t="str">
        <f>INDEX(Define!Q:Q,MATCH(C161,Define!P:P))</f>
        <v>ステート付与</v>
      </c>
      <c r="E161">
        <v>2140</v>
      </c>
      <c r="F161">
        <v>1</v>
      </c>
      <c r="G161">
        <v>25</v>
      </c>
      <c r="H161">
        <v>100</v>
      </c>
      <c r="I161" t="s">
        <v>31</v>
      </c>
    </row>
    <row r="162" spans="1:9">
      <c r="A162">
        <v>13110</v>
      </c>
      <c r="B162" t="str">
        <f>INDEX(TextData!B:B,MATCH(A162,TextData!A:A))</f>
        <v>ガーディアン</v>
      </c>
      <c r="C162">
        <v>3010</v>
      </c>
      <c r="D162" t="str">
        <f>INDEX(Define!Q:Q,MATCH(C162,Define!P:P))</f>
        <v>ステート付与</v>
      </c>
      <c r="E162">
        <v>1052</v>
      </c>
      <c r="F162">
        <v>2</v>
      </c>
      <c r="G162">
        <v>20</v>
      </c>
      <c r="H162">
        <v>100</v>
      </c>
      <c r="I162" t="s">
        <v>37</v>
      </c>
    </row>
    <row r="163" spans="1:9">
      <c r="A163">
        <v>13120</v>
      </c>
      <c r="B163" t="str">
        <f>INDEX(TextData!B:B,MATCH(A163,TextData!A:A))</f>
        <v>ライフセーブ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0</v>
      </c>
      <c r="H163">
        <v>100</v>
      </c>
      <c r="I163" t="s">
        <v>53</v>
      </c>
    </row>
    <row r="164" spans="1:9">
      <c r="A164">
        <v>13130</v>
      </c>
      <c r="B164" t="str">
        <f>INDEX(TextData!B:B,MATCH(A164,TextData!A:A))</f>
        <v>ライフスティール</v>
      </c>
      <c r="C164">
        <v>3010</v>
      </c>
      <c r="D164" t="str">
        <f>INDEX(Define!Q:Q,MATCH(C164,Define!P:P))</f>
        <v>ステート付与</v>
      </c>
      <c r="E164">
        <v>2060</v>
      </c>
      <c r="F164">
        <v>1</v>
      </c>
      <c r="G164">
        <v>25</v>
      </c>
      <c r="H164">
        <v>100</v>
      </c>
      <c r="I164" t="s">
        <v>54</v>
      </c>
    </row>
    <row r="165" spans="1:9">
      <c r="A165">
        <v>13140</v>
      </c>
      <c r="B165" t="str">
        <f>INDEX(TextData!B:B,MATCH(A165,TextData!A:A))</f>
        <v>クイックバリア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25</v>
      </c>
      <c r="H165">
        <v>100</v>
      </c>
      <c r="I165" t="s">
        <v>40</v>
      </c>
    </row>
    <row r="166" spans="1:9">
      <c r="A166">
        <v>13210</v>
      </c>
      <c r="B166" t="str">
        <f>INDEX(TextData!B:B,MATCH(A166,TextData!A:A))</f>
        <v>ルミナスカバー</v>
      </c>
      <c r="C166">
        <v>3010</v>
      </c>
      <c r="D166" t="str">
        <f>INDEX(Define!Q:Q,MATCH(C166,Define!P:P))</f>
        <v>ステート付与</v>
      </c>
      <c r="E166">
        <v>2430</v>
      </c>
      <c r="F166">
        <v>1</v>
      </c>
      <c r="G166">
        <v>0</v>
      </c>
      <c r="H166">
        <v>100</v>
      </c>
      <c r="I166" t="s">
        <v>51</v>
      </c>
    </row>
    <row r="167" spans="1:8">
      <c r="A167">
        <v>13210</v>
      </c>
      <c r="B167" t="str">
        <f>INDEX(TextData!B:B,MATCH(A167,TextData!A:A))</f>
        <v>ルミナスカバー</v>
      </c>
      <c r="C167">
        <v>7010</v>
      </c>
      <c r="D167" t="str">
        <f>INDEX(Define!Q:Q,MATCH(C167,Define!P:P))</f>
        <v>行動後スキル</v>
      </c>
      <c r="E167">
        <v>13211</v>
      </c>
      <c r="F167">
        <v>0</v>
      </c>
      <c r="G167">
        <v>1</v>
      </c>
      <c r="H167">
        <v>100</v>
      </c>
    </row>
    <row r="168" spans="1:9">
      <c r="A168">
        <v>13211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13510</v>
      </c>
      <c r="B169" t="str">
        <f>INDEX(TextData!B:B,MATCH(A169,TextData!A:A))</f>
        <v>デコイプラス</v>
      </c>
      <c r="C169">
        <v>3010</v>
      </c>
      <c r="D169" t="str">
        <f>INDEX(Define!Q:Q,MATCH(C169,Define!P:P))</f>
        <v>ステート付与</v>
      </c>
      <c r="E169">
        <v>2130</v>
      </c>
      <c r="F169">
        <v>1</v>
      </c>
      <c r="G169">
        <v>25</v>
      </c>
      <c r="H169">
        <v>100</v>
      </c>
      <c r="I169" t="s">
        <v>38</v>
      </c>
    </row>
    <row r="170" spans="1:8">
      <c r="A170">
        <v>13510</v>
      </c>
      <c r="B170" t="str">
        <f>INDEX(TextData!B:B,MATCH(A170,TextData!A:A))</f>
        <v>デコイプラス</v>
      </c>
      <c r="C170">
        <v>7010</v>
      </c>
      <c r="D170" t="str">
        <f>INDEX(Define!Q:Q,MATCH(C170,Define!P:P))</f>
        <v>行動後スキル</v>
      </c>
      <c r="E170">
        <v>13111</v>
      </c>
      <c r="F170">
        <v>0</v>
      </c>
      <c r="G170">
        <v>0</v>
      </c>
      <c r="H170">
        <v>100</v>
      </c>
    </row>
    <row r="171" spans="1:9">
      <c r="A171">
        <v>13511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1050</v>
      </c>
      <c r="F171">
        <v>1</v>
      </c>
      <c r="G171">
        <v>2</v>
      </c>
      <c r="H171">
        <v>100</v>
      </c>
      <c r="I171" t="s">
        <v>37</v>
      </c>
    </row>
    <row r="172" spans="1:9">
      <c r="A172">
        <v>13520</v>
      </c>
      <c r="B172" t="str">
        <f>INDEX(TextData!B:B,MATCH(A172,TextData!A:A))</f>
        <v>アフターシールド</v>
      </c>
      <c r="C172">
        <v>3010</v>
      </c>
      <c r="D172" t="str">
        <f>INDEX(Define!Q:Q,MATCH(C172,Define!P:P))</f>
        <v>ステート付与</v>
      </c>
      <c r="E172">
        <v>1052</v>
      </c>
      <c r="F172">
        <v>1</v>
      </c>
      <c r="G172">
        <v>20</v>
      </c>
      <c r="H172">
        <v>100</v>
      </c>
      <c r="I172" t="s">
        <v>37</v>
      </c>
    </row>
    <row r="173" spans="1:9">
      <c r="A173">
        <v>13530</v>
      </c>
      <c r="B173" t="str">
        <f>INDEX(TextData!B:B,MATCH(A173,TextData!A:A))</f>
        <v>カバープラス</v>
      </c>
      <c r="C173">
        <v>3010</v>
      </c>
      <c r="D173" t="str">
        <f>INDEX(Define!Q:Q,MATCH(C173,Define!P:P))</f>
        <v>ステート付与</v>
      </c>
      <c r="E173">
        <v>1100</v>
      </c>
      <c r="F173">
        <v>1</v>
      </c>
      <c r="G173">
        <v>15</v>
      </c>
      <c r="H173">
        <v>100</v>
      </c>
      <c r="I173" t="s">
        <v>40</v>
      </c>
    </row>
    <row r="174" spans="1:8">
      <c r="A174">
        <v>13930</v>
      </c>
      <c r="B174" t="str">
        <f>INDEX(TextData!B:B,MATCH(A174,TextData!A:A))</f>
        <v>クイックキュア</v>
      </c>
      <c r="C174">
        <v>3030</v>
      </c>
      <c r="D174" t="str">
        <f>INDEX(Define!Q:Q,MATCH(C174,Define!P:P))</f>
        <v>Abnormalステート解除</v>
      </c>
      <c r="E174">
        <v>0</v>
      </c>
      <c r="F174">
        <v>0</v>
      </c>
      <c r="G174">
        <v>0</v>
      </c>
      <c r="H174">
        <v>100</v>
      </c>
    </row>
    <row r="175" spans="1:9">
      <c r="A175">
        <v>13940</v>
      </c>
      <c r="B175" t="str">
        <f>INDEX(TextData!B:B,MATCH(A175,TextData!A:A))</f>
        <v>セルフシールド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13950</v>
      </c>
      <c r="B176" t="str">
        <f>INDEX(TextData!B:B,MATCH(A176,TextData!A:A))</f>
        <v>パッシブジャミング</v>
      </c>
      <c r="C176">
        <v>3010</v>
      </c>
      <c r="D176" t="str">
        <f>INDEX(Define!Q:Q,MATCH(C176,Define!P:P))</f>
        <v>ステート付与</v>
      </c>
      <c r="E176">
        <v>2090</v>
      </c>
      <c r="F176">
        <v>3</v>
      </c>
      <c r="G176">
        <v>0</v>
      </c>
      <c r="H176">
        <v>100</v>
      </c>
      <c r="I176" t="s">
        <v>55</v>
      </c>
    </row>
    <row r="177" spans="1:8">
      <c r="A177">
        <v>14010</v>
      </c>
      <c r="B177" t="str">
        <f>INDEX(TextData!B:B,MATCH(A177,TextData!A:A))</f>
        <v>ファーストエイド</v>
      </c>
      <c r="C177">
        <v>2010</v>
      </c>
      <c r="D177" t="str">
        <f>INDEX(Define!Q:Q,MATCH(C177,Define!P:P))</f>
        <v>Hp回復</v>
      </c>
      <c r="E177">
        <v>5</v>
      </c>
      <c r="F177">
        <v>0</v>
      </c>
      <c r="G177">
        <v>0</v>
      </c>
      <c r="H177">
        <v>100</v>
      </c>
    </row>
    <row r="178" spans="1:8">
      <c r="A178">
        <v>14020</v>
      </c>
      <c r="B178" t="str">
        <f>INDEX(TextData!B:B,MATCH(A178,TextData!A:A))</f>
        <v>クイックヒール</v>
      </c>
      <c r="C178">
        <v>2010</v>
      </c>
      <c r="D178" t="str">
        <f>INDEX(Define!Q:Q,MATCH(C178,Define!P:P))</f>
        <v>Hp回復</v>
      </c>
      <c r="E178">
        <v>5</v>
      </c>
      <c r="F178">
        <v>0</v>
      </c>
      <c r="G178">
        <v>0</v>
      </c>
      <c r="H178">
        <v>100</v>
      </c>
    </row>
    <row r="179" spans="1:9">
      <c r="A179">
        <v>14030</v>
      </c>
      <c r="B179" t="str">
        <f>INDEX(TextData!B:B,MATCH(A179,TextData!A:A))</f>
        <v>ガードバインド</v>
      </c>
      <c r="C179">
        <v>3010</v>
      </c>
      <c r="D179" t="str">
        <f>INDEX(Define!Q:Q,MATCH(C179,Define!P:P))</f>
        <v>ステート付与</v>
      </c>
      <c r="E179">
        <v>2500</v>
      </c>
      <c r="F179">
        <v>1</v>
      </c>
      <c r="G179">
        <v>100</v>
      </c>
      <c r="H179">
        <v>100</v>
      </c>
      <c r="I179" t="s">
        <v>56</v>
      </c>
    </row>
    <row r="180" spans="1:9">
      <c r="A180">
        <v>14040</v>
      </c>
      <c r="B180" t="str">
        <f>INDEX(TextData!B:B,MATCH(A180,TextData!A:A))</f>
        <v>ホープフルアイリス</v>
      </c>
      <c r="C180">
        <v>3010</v>
      </c>
      <c r="D180" t="str">
        <f>INDEX(Define!Q:Q,MATCH(C180,Define!P:P))</f>
        <v>ステート付与</v>
      </c>
      <c r="E180">
        <v>1020</v>
      </c>
      <c r="F180">
        <v>999</v>
      </c>
      <c r="G180">
        <v>5</v>
      </c>
      <c r="H180">
        <v>100</v>
      </c>
      <c r="I180" t="s">
        <v>48</v>
      </c>
    </row>
    <row r="181" spans="1:8">
      <c r="A181">
        <v>14050</v>
      </c>
      <c r="B181" t="str">
        <f>INDEX(TextData!B:B,MATCH(A181,TextData!A:A))</f>
        <v>キュアパッシブ</v>
      </c>
      <c r="C181">
        <v>3020</v>
      </c>
      <c r="D181" t="str">
        <f>INDEX(Define!Q:Q,MATCH(C181,Define!P:P))</f>
        <v>ステート解除</v>
      </c>
      <c r="E181">
        <v>2090</v>
      </c>
      <c r="F181">
        <v>0</v>
      </c>
      <c r="G181">
        <v>0</v>
      </c>
      <c r="H181">
        <v>100</v>
      </c>
    </row>
    <row r="182" spans="1:8">
      <c r="A182">
        <v>14050</v>
      </c>
      <c r="B182" t="str">
        <f>INDEX(TextData!B:B,MATCH(A182,TextData!A:A))</f>
        <v>キュアパッシブ</v>
      </c>
      <c r="C182">
        <v>2010</v>
      </c>
      <c r="D182" t="str">
        <f>INDEX(Define!Q:Q,MATCH(C182,Define!P:P))</f>
        <v>Hp回復</v>
      </c>
      <c r="E182">
        <v>10</v>
      </c>
      <c r="F182">
        <v>0</v>
      </c>
      <c r="G182">
        <v>1</v>
      </c>
      <c r="H182">
        <v>100</v>
      </c>
    </row>
    <row r="183" spans="1:8">
      <c r="A183">
        <v>14060</v>
      </c>
      <c r="B183" t="str">
        <f>INDEX(TextData!B:B,MATCH(A183,TextData!A:A))</f>
        <v>パッシブサプライ</v>
      </c>
      <c r="C183">
        <v>4020</v>
      </c>
      <c r="D183" t="str">
        <f>INDEX(Define!Q:Q,MATCH(C183,Define!P:P))</f>
        <v>Ct回復</v>
      </c>
      <c r="E183">
        <v>1</v>
      </c>
      <c r="F183">
        <v>0</v>
      </c>
      <c r="G183">
        <v>0</v>
      </c>
      <c r="H183">
        <v>100</v>
      </c>
    </row>
    <row r="184" spans="1:9">
      <c r="A184">
        <v>14070</v>
      </c>
      <c r="B184" t="str">
        <f>INDEX(TextData!B:B,MATCH(A184,TextData!A:A))</f>
        <v>ホーミングクルセイド</v>
      </c>
      <c r="C184">
        <v>3010</v>
      </c>
      <c r="D184" t="str">
        <f>INDEX(Define!Q:Q,MATCH(C184,Define!P:P))</f>
        <v>ステート付与</v>
      </c>
      <c r="E184">
        <v>2240</v>
      </c>
      <c r="F184">
        <v>3</v>
      </c>
      <c r="G184">
        <v>0</v>
      </c>
      <c r="H184">
        <v>100</v>
      </c>
      <c r="I184" t="s">
        <v>57</v>
      </c>
    </row>
    <row r="185" spans="1:9">
      <c r="A185">
        <v>14090</v>
      </c>
      <c r="B185" t="str">
        <f>INDEX(TextData!B:B,MATCH(A185,TextData!A:A))</f>
        <v>リレイズ</v>
      </c>
      <c r="C185">
        <v>3010</v>
      </c>
      <c r="D185" t="str">
        <f>INDEX(Define!Q:Q,MATCH(C185,Define!P:P))</f>
        <v>ステート付与</v>
      </c>
      <c r="E185">
        <v>2450</v>
      </c>
      <c r="F185">
        <v>1</v>
      </c>
      <c r="G185">
        <v>1</v>
      </c>
      <c r="H185">
        <v>100</v>
      </c>
      <c r="I185" t="s">
        <v>53</v>
      </c>
    </row>
    <row r="186" spans="1:8">
      <c r="A186">
        <v>14100</v>
      </c>
      <c r="B186" t="str">
        <f>INDEX(TextData!B:B,MATCH(A186,TextData!A:A))</f>
        <v>ファストヒール</v>
      </c>
      <c r="C186">
        <v>2010</v>
      </c>
      <c r="D186" t="str">
        <f>INDEX(Define!Q:Q,MATCH(C186,Define!P:P))</f>
        <v>Hp回復</v>
      </c>
      <c r="E186">
        <v>3</v>
      </c>
      <c r="F186">
        <v>0</v>
      </c>
      <c r="G186">
        <v>0</v>
      </c>
      <c r="H186">
        <v>100</v>
      </c>
    </row>
    <row r="187" spans="1:8">
      <c r="A187">
        <v>14110</v>
      </c>
      <c r="B187" t="str">
        <f>INDEX(TextData!B:B,MATCH(A187,TextData!A:A))</f>
        <v>リフレッシュ</v>
      </c>
      <c r="C187">
        <v>3060</v>
      </c>
      <c r="D187" t="str">
        <f>INDEX(Define!Q:Q,MATCH(C187,Define!P:P))</f>
        <v>デバフステート解除</v>
      </c>
      <c r="E187">
        <v>0</v>
      </c>
      <c r="F187">
        <v>0</v>
      </c>
      <c r="G187">
        <v>0</v>
      </c>
      <c r="H187">
        <v>100</v>
      </c>
    </row>
    <row r="188" spans="1:9">
      <c r="A188">
        <v>14120</v>
      </c>
      <c r="B188" t="str">
        <f>INDEX(TextData!B:B,MATCH(A188,TextData!A:A))</f>
        <v>ファストメディック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10</v>
      </c>
      <c r="H188">
        <v>100</v>
      </c>
      <c r="I188" t="s">
        <v>58</v>
      </c>
    </row>
    <row r="189" spans="1:9">
      <c r="A189">
        <v>14130</v>
      </c>
      <c r="B189" t="str">
        <f>INDEX(TextData!B:B,MATCH(A189,TextData!A:A))</f>
        <v>ディバインシールド</v>
      </c>
      <c r="C189">
        <v>3010</v>
      </c>
      <c r="D189" t="str">
        <f>INDEX(Define!Q:Q,MATCH(C189,Define!P:P))</f>
        <v>ステート付与</v>
      </c>
      <c r="E189">
        <v>2180</v>
      </c>
      <c r="F189">
        <v>1</v>
      </c>
      <c r="G189">
        <v>0</v>
      </c>
      <c r="H189">
        <v>100</v>
      </c>
      <c r="I189" t="s">
        <v>59</v>
      </c>
    </row>
    <row r="190" spans="1:8">
      <c r="A190">
        <v>14140</v>
      </c>
      <c r="B190" t="str">
        <f>INDEX(TextData!B:B,MATCH(A190,TextData!A:A))</f>
        <v>ライフディバイド</v>
      </c>
      <c r="C190">
        <v>2040</v>
      </c>
      <c r="D190" t="str">
        <f>INDEX(Define!Q:Q,MATCH(C190,Define!P:P))</f>
        <v>Hpを分け与える</v>
      </c>
      <c r="E190">
        <v>25</v>
      </c>
      <c r="F190">
        <v>0</v>
      </c>
      <c r="G190">
        <v>1</v>
      </c>
      <c r="H190">
        <v>100</v>
      </c>
    </row>
    <row r="191" spans="1:9">
      <c r="A191">
        <v>14930</v>
      </c>
      <c r="B191" t="str">
        <f>INDEX(TextData!B:B,MATCH(A191,TextData!A:A))</f>
        <v>エイミングスコープ</v>
      </c>
      <c r="C191">
        <v>3010</v>
      </c>
      <c r="D191" t="str">
        <f>INDEX(Define!Q:Q,MATCH(C191,Define!P:P))</f>
        <v>ステート付与</v>
      </c>
      <c r="E191">
        <v>1081</v>
      </c>
      <c r="F191">
        <v>999</v>
      </c>
      <c r="G191">
        <v>5</v>
      </c>
      <c r="H191">
        <v>100</v>
      </c>
      <c r="I191" t="s">
        <v>28</v>
      </c>
    </row>
    <row r="192" spans="1:9">
      <c r="A192">
        <v>14940</v>
      </c>
      <c r="B192" t="str">
        <f>INDEX(TextData!B:B,MATCH(A192,TextData!A:A))</f>
        <v>リジェネレーション</v>
      </c>
      <c r="C192">
        <v>3010</v>
      </c>
      <c r="D192" t="str">
        <f>INDEX(Define!Q:Q,MATCH(C192,Define!P:P))</f>
        <v>ステート付与</v>
      </c>
      <c r="E192">
        <v>2040</v>
      </c>
      <c r="F192">
        <v>999</v>
      </c>
      <c r="G192">
        <v>2</v>
      </c>
      <c r="H192">
        <v>100</v>
      </c>
      <c r="I192" t="s">
        <v>58</v>
      </c>
    </row>
    <row r="193" spans="1:9">
      <c r="A193">
        <v>15010</v>
      </c>
      <c r="B193" t="str">
        <f>INDEX(TextData!B:B,MATCH(A193,TextData!A:A))</f>
        <v>ワンスパニッシュ</v>
      </c>
      <c r="C193">
        <v>3010</v>
      </c>
      <c r="D193" t="str">
        <f>INDEX(Define!Q:Q,MATCH(C193,Define!P:P))</f>
        <v>ステート付与</v>
      </c>
      <c r="E193">
        <v>2050</v>
      </c>
      <c r="F193">
        <v>1</v>
      </c>
      <c r="G193">
        <v>0</v>
      </c>
      <c r="H193">
        <v>100</v>
      </c>
      <c r="I193" t="s">
        <v>33</v>
      </c>
    </row>
    <row r="194" spans="1:9">
      <c r="A194">
        <v>15020</v>
      </c>
      <c r="B194" t="str">
        <f>INDEX(TextData!B:B,MATCH(A194,TextData!A:A))</f>
        <v>クイックカース</v>
      </c>
      <c r="C194">
        <v>3010</v>
      </c>
      <c r="D194" t="str">
        <f>INDEX(Define!Q:Q,MATCH(C194,Define!P:P))</f>
        <v>ステート付与</v>
      </c>
      <c r="E194">
        <v>1043</v>
      </c>
      <c r="F194">
        <v>1</v>
      </c>
      <c r="G194">
        <v>20</v>
      </c>
      <c r="H194">
        <v>100</v>
      </c>
      <c r="I194" t="s">
        <v>60</v>
      </c>
    </row>
    <row r="195" spans="1:8">
      <c r="A195">
        <v>15030</v>
      </c>
      <c r="B195" t="str">
        <f>INDEX(TextData!B:B,MATCH(A195,TextData!A:A))</f>
        <v>バイタリティ</v>
      </c>
      <c r="C195">
        <v>3010</v>
      </c>
      <c r="D195" t="str">
        <f>INDEX(Define!Q:Q,MATCH(C195,Define!P:P))</f>
        <v>ステート付与</v>
      </c>
      <c r="E195">
        <v>2290</v>
      </c>
      <c r="F195">
        <v>1</v>
      </c>
      <c r="G195">
        <v>50</v>
      </c>
      <c r="H195">
        <v>100</v>
      </c>
    </row>
    <row r="196" spans="1:9">
      <c r="A196">
        <v>15040</v>
      </c>
      <c r="B196" t="str">
        <f>INDEX(TextData!B:B,MATCH(A196,TextData!A:A))</f>
        <v>ネガティブドレイン</v>
      </c>
      <c r="C196">
        <v>3010</v>
      </c>
      <c r="D196" t="str">
        <f>INDEX(Define!Q:Q,MATCH(C196,Define!P:P))</f>
        <v>ステート付与</v>
      </c>
      <c r="E196">
        <v>2060</v>
      </c>
      <c r="F196">
        <v>0</v>
      </c>
      <c r="G196">
        <v>15</v>
      </c>
      <c r="H196">
        <v>100</v>
      </c>
      <c r="I196" t="s">
        <v>54</v>
      </c>
    </row>
    <row r="197" spans="1:8">
      <c r="A197">
        <v>15050</v>
      </c>
      <c r="B197" t="str">
        <f>INDEX(TextData!B:B,MATCH(A197,TextData!A:A))</f>
        <v>キュアシェイド</v>
      </c>
      <c r="C197">
        <v>3020</v>
      </c>
      <c r="D197" t="str">
        <f>INDEX(Define!Q:Q,MATCH(C197,Define!P:P))</f>
        <v>ステート解除</v>
      </c>
      <c r="E197">
        <v>2020</v>
      </c>
      <c r="F197">
        <v>0</v>
      </c>
      <c r="G197">
        <v>0</v>
      </c>
      <c r="H197">
        <v>100</v>
      </c>
    </row>
    <row r="198" spans="1:8">
      <c r="A198">
        <v>15050</v>
      </c>
      <c r="B198" t="str">
        <f>INDEX(TextData!B:B,MATCH(A198,TextData!A:A))</f>
        <v>キュアシェイド</v>
      </c>
      <c r="C198">
        <v>2010</v>
      </c>
      <c r="D198" t="str">
        <f>INDEX(Define!Q:Q,MATCH(C198,Define!P:P))</f>
        <v>Hp回復</v>
      </c>
      <c r="E198">
        <v>10</v>
      </c>
      <c r="F198">
        <v>0</v>
      </c>
      <c r="G198">
        <v>1</v>
      </c>
      <c r="H198">
        <v>100</v>
      </c>
    </row>
    <row r="199" spans="1:9">
      <c r="A199">
        <v>15060</v>
      </c>
      <c r="B199" t="str">
        <f>INDEX(TextData!B:B,MATCH(A199,TextData!A:A))</f>
        <v>アンデッドペイン</v>
      </c>
      <c r="C199">
        <v>3010</v>
      </c>
      <c r="D199" t="str">
        <f>INDEX(Define!Q:Q,MATCH(C199,Define!P:P))</f>
        <v>ステート付与</v>
      </c>
      <c r="E199">
        <v>2270</v>
      </c>
      <c r="F199">
        <v>0</v>
      </c>
      <c r="G199">
        <v>7</v>
      </c>
      <c r="H199">
        <v>100</v>
      </c>
      <c r="I199" t="s">
        <v>45</v>
      </c>
    </row>
    <row r="200" spans="1:9">
      <c r="A200">
        <v>15070</v>
      </c>
      <c r="B200" t="str">
        <f>INDEX(TextData!B:B,MATCH(A200,TextData!A:A))</f>
        <v>ジャックポッド</v>
      </c>
      <c r="C200">
        <v>3010</v>
      </c>
      <c r="D200" t="str">
        <f>INDEX(Define!Q:Q,MATCH(C200,Define!P:P))</f>
        <v>ステート付与</v>
      </c>
      <c r="E200">
        <v>1070</v>
      </c>
      <c r="F200">
        <v>1</v>
      </c>
      <c r="G200">
        <v>50</v>
      </c>
      <c r="H200">
        <v>100</v>
      </c>
      <c r="I200" t="s">
        <v>25</v>
      </c>
    </row>
    <row r="201" spans="1:9">
      <c r="A201">
        <v>15070</v>
      </c>
      <c r="B201" t="str">
        <f>INDEX(TextData!B:B,MATCH(A201,TextData!A:A))</f>
        <v>ジャックポッド</v>
      </c>
      <c r="C201">
        <v>3010</v>
      </c>
      <c r="D201" t="str">
        <f>INDEX(Define!Q:Q,MATCH(C201,Define!P:P))</f>
        <v>ステート付与</v>
      </c>
      <c r="E201">
        <v>1082</v>
      </c>
      <c r="F201">
        <v>1</v>
      </c>
      <c r="G201">
        <v>50</v>
      </c>
      <c r="H201">
        <v>100</v>
      </c>
      <c r="I201" t="s">
        <v>42</v>
      </c>
    </row>
    <row r="202" spans="1:8">
      <c r="A202">
        <v>15080</v>
      </c>
      <c r="B202" t="str">
        <f>INDEX(TextData!B:B,MATCH(A202,TextData!A:A))</f>
        <v>ヒールハント</v>
      </c>
      <c r="C202">
        <v>1100</v>
      </c>
      <c r="D202" t="str">
        <f>INDEX(Define!Q:Q,MATCH(C202,Define!P:P))</f>
        <v>Hp貫通ダメージ、Param2でKind指定可</v>
      </c>
      <c r="E202">
        <v>100</v>
      </c>
      <c r="F202">
        <v>0</v>
      </c>
      <c r="G202">
        <v>30</v>
      </c>
      <c r="H202">
        <v>100</v>
      </c>
    </row>
    <row r="203" spans="1:9">
      <c r="A203">
        <v>15110</v>
      </c>
      <c r="B203" t="str">
        <f>INDEX(TextData!B:B,MATCH(A203,TextData!A:A))</f>
        <v>フォーカサイト</v>
      </c>
      <c r="C203">
        <v>3010</v>
      </c>
      <c r="D203" t="str">
        <f>INDEX(Define!Q:Q,MATCH(C203,Define!P:P))</f>
        <v>ステート付与</v>
      </c>
      <c r="E203">
        <v>2240</v>
      </c>
      <c r="F203">
        <v>1</v>
      </c>
      <c r="G203">
        <v>0</v>
      </c>
      <c r="H203">
        <v>100</v>
      </c>
      <c r="I203" t="s">
        <v>49</v>
      </c>
    </row>
    <row r="204" spans="1:8">
      <c r="A204">
        <v>15120</v>
      </c>
      <c r="B204" t="str">
        <f>INDEX(TextData!B:B,MATCH(A204,TextData!A:A))</f>
        <v>ガードハント</v>
      </c>
      <c r="C204">
        <v>1100</v>
      </c>
      <c r="D204" t="str">
        <f>INDEX(Define!Q:Q,MATCH(C204,Define!P:P))</f>
        <v>Hp貫通ダメージ、Param2でKind指定可</v>
      </c>
      <c r="E204">
        <v>100</v>
      </c>
      <c r="F204">
        <v>0</v>
      </c>
      <c r="G204">
        <v>30</v>
      </c>
      <c r="H204">
        <v>100</v>
      </c>
    </row>
    <row r="205" spans="1:9">
      <c r="A205">
        <v>15130</v>
      </c>
      <c r="B205" t="str">
        <f>INDEX(TextData!B:B,MATCH(A205,TextData!A:A))</f>
        <v>リヴェンジャー</v>
      </c>
      <c r="C205">
        <v>3010</v>
      </c>
      <c r="D205" t="str">
        <f>INDEX(Define!Q:Q,MATCH(C205,Define!P:P))</f>
        <v>ステート付与</v>
      </c>
      <c r="E205">
        <v>1040</v>
      </c>
      <c r="F205">
        <v>2</v>
      </c>
      <c r="G205">
        <v>4</v>
      </c>
      <c r="H205">
        <v>100</v>
      </c>
      <c r="I205" t="s">
        <v>49</v>
      </c>
    </row>
    <row r="206" spans="1:9">
      <c r="A206">
        <v>15130</v>
      </c>
      <c r="B206" t="str">
        <f>INDEX(TextData!B:B,MATCH(A206,TextData!A:A))</f>
        <v>リヴェンジャー</v>
      </c>
      <c r="C206">
        <v>3010</v>
      </c>
      <c r="D206" t="str">
        <f>INDEX(Define!Q:Q,MATCH(C206,Define!P:P))</f>
        <v>ステート付与</v>
      </c>
      <c r="E206">
        <v>1050</v>
      </c>
      <c r="F206">
        <v>2</v>
      </c>
      <c r="G206">
        <v>4</v>
      </c>
      <c r="H206">
        <v>100</v>
      </c>
      <c r="I206" t="s">
        <v>37</v>
      </c>
    </row>
    <row r="207" spans="1:9">
      <c r="A207">
        <v>15140</v>
      </c>
      <c r="B207" t="str">
        <f>INDEX(TextData!B:B,MATCH(A207,TextData!A:A))</f>
        <v>ソーサリーコネクト</v>
      </c>
      <c r="C207">
        <v>3010</v>
      </c>
      <c r="D207" t="str">
        <f>INDEX(Define!Q:Q,MATCH(C207,Define!P:P))</f>
        <v>ステート付与</v>
      </c>
      <c r="E207">
        <v>1040</v>
      </c>
      <c r="F207">
        <v>1</v>
      </c>
      <c r="G207">
        <v>8</v>
      </c>
      <c r="H207">
        <v>100</v>
      </c>
      <c r="I207" t="s">
        <v>49</v>
      </c>
    </row>
    <row r="208" spans="1:8">
      <c r="A208">
        <v>15140</v>
      </c>
      <c r="B208" t="str">
        <f>INDEX(TextData!B:B,MATCH(A208,TextData!A:A))</f>
        <v>ソーサリーコネクト</v>
      </c>
      <c r="C208">
        <v>7010</v>
      </c>
      <c r="D208" t="str">
        <f>INDEX(Define!Q:Q,MATCH(C208,Define!P:P))</f>
        <v>行動後スキル</v>
      </c>
      <c r="E208">
        <v>12071</v>
      </c>
      <c r="F208">
        <v>0</v>
      </c>
      <c r="G208">
        <v>0</v>
      </c>
      <c r="H208">
        <v>100</v>
      </c>
    </row>
    <row r="209" spans="1:9">
      <c r="A209">
        <v>15141</v>
      </c>
      <c r="B209" t="str">
        <f>INDEX(TextData!B:B,MATCH(A209,TextData!A:A))</f>
        <v>ソーサリーコネクト</v>
      </c>
      <c r="C209">
        <v>3010</v>
      </c>
      <c r="D209" t="str">
        <f>INDEX(Define!Q:Q,MATCH(C209,Define!P:P))</f>
        <v>ステート付与</v>
      </c>
      <c r="E209">
        <v>1041</v>
      </c>
      <c r="F209">
        <v>1</v>
      </c>
      <c r="G209">
        <v>8</v>
      </c>
      <c r="H209">
        <v>100</v>
      </c>
      <c r="I209" t="s">
        <v>43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8">
      <c r="A345">
        <v>310040</v>
      </c>
      <c r="B345" t="str">
        <f>INDEX(TextData!B:B,MATCH(A345,TextData!A:A))</f>
        <v>レイピッドブースト</v>
      </c>
      <c r="C345">
        <v>5020</v>
      </c>
      <c r="D345" t="str">
        <f>INDEX(Define!Q:Q,MATCH(C345,Define!P:P))</f>
        <v>Ap回復</v>
      </c>
      <c r="E345">
        <v>100</v>
      </c>
      <c r="F345">
        <v>0</v>
      </c>
      <c r="G345">
        <v>0</v>
      </c>
      <c r="H345">
        <v>100</v>
      </c>
    </row>
    <row r="346" spans="1:8">
      <c r="A346">
        <v>310050</v>
      </c>
      <c r="B346" t="str">
        <f>INDEX(TextData!B:B,MATCH(A346,TextData!A:A))</f>
        <v>黄金の守護精霊</v>
      </c>
      <c r="C346">
        <v>40010</v>
      </c>
      <c r="D346" t="str">
        <f>INDEX(Define!Q:Q,MATCH(C346,Define!P:P))</f>
        <v>アイテム入手</v>
      </c>
      <c r="E346">
        <v>30</v>
      </c>
      <c r="F346">
        <v>-1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9">
      <c r="A352">
        <v>310110</v>
      </c>
      <c r="B352" t="str">
        <f>INDEX(TextData!B:B,MATCH(A352,TextData!A:A))</f>
        <v>ファーストトリック</v>
      </c>
      <c r="C352">
        <v>3010</v>
      </c>
      <c r="D352" t="str">
        <f>INDEX(Define!Q:Q,MATCH(C352,Define!P:P))</f>
        <v>ステート付与</v>
      </c>
      <c r="E352">
        <v>2360</v>
      </c>
      <c r="F352">
        <v>1</v>
      </c>
      <c r="G352">
        <v>10</v>
      </c>
      <c r="H352">
        <v>100</v>
      </c>
      <c r="I352" t="s">
        <v>67</v>
      </c>
    </row>
    <row r="353" spans="1:8">
      <c r="A353">
        <v>310130</v>
      </c>
      <c r="B353" t="str">
        <f>INDEX(TextData!B:B,MATCH(A353,TextData!A:A))</f>
        <v>ヒールユニット</v>
      </c>
      <c r="C353">
        <v>2010</v>
      </c>
      <c r="D353" t="str">
        <f>INDEX(Define!Q:Q,MATCH(C353,Define!P:P))</f>
        <v>Hp回復</v>
      </c>
      <c r="E353">
        <v>1</v>
      </c>
      <c r="F353">
        <v>0</v>
      </c>
      <c r="G353">
        <v>0</v>
      </c>
      <c r="H353">
        <v>100</v>
      </c>
    </row>
    <row r="354" spans="1:8">
      <c r="A354">
        <v>320010</v>
      </c>
      <c r="B354" t="str">
        <f>INDEX(TextData!B:B,MATCH(A354,TextData!A:A))</f>
        <v>訓練所Lv1</v>
      </c>
      <c r="C354">
        <v>40030</v>
      </c>
      <c r="D354" t="str">
        <f>INDEX(Define!Q:Q,MATCH(C354,Define!P:P))</f>
        <v>Eｘｐ入手</v>
      </c>
      <c r="E354">
        <v>25</v>
      </c>
      <c r="F354">
        <v>0</v>
      </c>
      <c r="G354">
        <v>0</v>
      </c>
      <c r="H354">
        <v>100</v>
      </c>
    </row>
    <row r="355" spans="1:8">
      <c r="A355">
        <v>320011</v>
      </c>
      <c r="B355" t="str">
        <f>INDEX(TextData!B:B,MATCH(A355,TextData!A:A))</f>
        <v>訓練所Lv2</v>
      </c>
      <c r="C355">
        <v>40030</v>
      </c>
      <c r="D355" t="str">
        <f>INDEX(Define!Q:Q,MATCH(C355,Define!P:P))</f>
        <v>Eｘｐ入手</v>
      </c>
      <c r="E355">
        <v>50</v>
      </c>
      <c r="F355">
        <v>0</v>
      </c>
      <c r="G355">
        <v>0</v>
      </c>
      <c r="H355">
        <v>100</v>
      </c>
    </row>
    <row r="356" spans="1:8">
      <c r="A356">
        <v>320012</v>
      </c>
      <c r="B356" t="str">
        <f>INDEX(TextData!B:B,MATCH(A356,TextData!A:A))</f>
        <v>訓練所Lv3</v>
      </c>
      <c r="C356">
        <v>40030</v>
      </c>
      <c r="D356" t="str">
        <f>INDEX(Define!Q:Q,MATCH(C356,Define!P:P))</f>
        <v>Eｘｐ入手</v>
      </c>
      <c r="E356">
        <v>75</v>
      </c>
      <c r="F356">
        <v>0</v>
      </c>
      <c r="G356">
        <v>0</v>
      </c>
      <c r="H356">
        <v>100</v>
      </c>
    </row>
    <row r="357" spans="1:8">
      <c r="A357">
        <v>320020</v>
      </c>
      <c r="B357" t="str">
        <f>INDEX(TextData!B:B,MATCH(A357,TextData!A:A))</f>
        <v>研究施設Lv1</v>
      </c>
      <c r="C357">
        <v>40040</v>
      </c>
      <c r="D357" t="str">
        <f>INDEX(Define!Q:Q,MATCH(C357,Define!P:P))</f>
        <v>Nu入手</v>
      </c>
      <c r="E357">
        <v>2</v>
      </c>
      <c r="F357">
        <v>0</v>
      </c>
      <c r="G357">
        <v>0</v>
      </c>
      <c r="H357">
        <v>100</v>
      </c>
    </row>
    <row r="358" spans="1:8">
      <c r="A358">
        <v>320021</v>
      </c>
      <c r="B358" t="str">
        <f>INDEX(TextData!B:B,MATCH(A358,TextData!A:A))</f>
        <v>研究施設Lv2</v>
      </c>
      <c r="C358">
        <v>40040</v>
      </c>
      <c r="D358" t="str">
        <f>INDEX(Define!Q:Q,MATCH(C358,Define!P:P))</f>
        <v>Nu入手</v>
      </c>
      <c r="E358">
        <v>4</v>
      </c>
      <c r="F358">
        <v>0</v>
      </c>
      <c r="G358">
        <v>0</v>
      </c>
      <c r="H358">
        <v>100</v>
      </c>
    </row>
    <row r="359" spans="1:8">
      <c r="A359">
        <v>320022</v>
      </c>
      <c r="B359" t="str">
        <f>INDEX(TextData!B:B,MATCH(A359,TextData!A:A))</f>
        <v>研究施設Lv3</v>
      </c>
      <c r="C359">
        <v>40040</v>
      </c>
      <c r="D359" t="str">
        <f>INDEX(Define!Q:Q,MATCH(C359,Define!P:P))</f>
        <v>Nu入手</v>
      </c>
      <c r="E359">
        <v>6</v>
      </c>
      <c r="F359">
        <v>0</v>
      </c>
      <c r="G359">
        <v>0</v>
      </c>
      <c r="H359">
        <v>100</v>
      </c>
    </row>
    <row r="360" spans="1:8">
      <c r="A360">
        <v>320030</v>
      </c>
      <c r="B360" t="str">
        <f>INDEX(TextData!B:B,MATCH(A360,TextData!A:A))</f>
        <v>資料館Lv1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320031</v>
      </c>
      <c r="B361" t="str">
        <f>INDEX(TextData!B:B,MATCH(A361,TextData!A:A))</f>
        <v>資料館Lv2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320032</v>
      </c>
      <c r="B362" t="str">
        <f>INDEX(TextData!B:B,MATCH(A362,TextData!A:A))</f>
        <v>資料館Lv3</v>
      </c>
      <c r="C362">
        <v>40020</v>
      </c>
      <c r="D362" t="str">
        <f>INDEX(Define!Q:Q,MATCH(C362,Define!P:P))</f>
        <v>獲得Eｘｐ％アップ</v>
      </c>
      <c r="E362">
        <v>0</v>
      </c>
      <c r="F362">
        <v>50</v>
      </c>
      <c r="G362">
        <v>0</v>
      </c>
      <c r="H362">
        <v>100</v>
      </c>
    </row>
    <row r="363" spans="1:8">
      <c r="A363">
        <v>320040</v>
      </c>
      <c r="B363" t="str">
        <f>INDEX(TextData!B:B,MATCH(A363,TextData!A:A))</f>
        <v>潜伏技術Lv1</v>
      </c>
      <c r="C363">
        <v>40060</v>
      </c>
      <c r="D363" t="str">
        <f>INDEX(Define!Q:Q,MATCH(C363,Define!P:P))</f>
        <v>ステージ探索猶予アップ</v>
      </c>
      <c r="E363">
        <v>10</v>
      </c>
      <c r="F363">
        <v>0</v>
      </c>
      <c r="G363">
        <v>0</v>
      </c>
      <c r="H363">
        <v>100</v>
      </c>
    </row>
    <row r="364" spans="1:8">
      <c r="A364">
        <v>321010</v>
      </c>
      <c r="B364" t="str">
        <f>INDEX(TextData!B:B,MATCH(A364,TextData!A:A))</f>
        <v>炎の祭壇</v>
      </c>
      <c r="C364">
        <v>40050</v>
      </c>
      <c r="D364" t="str">
        <f>INDEX(Define!Q:Q,MATCH(C364,Define!P:P))</f>
        <v>属性適正アップ</v>
      </c>
      <c r="E364">
        <v>1</v>
      </c>
      <c r="F364">
        <v>1</v>
      </c>
      <c r="G364">
        <v>0</v>
      </c>
      <c r="H364">
        <v>100</v>
      </c>
    </row>
    <row r="365" spans="1:8">
      <c r="A365">
        <v>321020</v>
      </c>
      <c r="B365" t="str">
        <f>INDEX(TextData!B:B,MATCH(A365,TextData!A:A))</f>
        <v>稲妻の祭壇</v>
      </c>
      <c r="C365">
        <v>40050</v>
      </c>
      <c r="D365" t="str">
        <f>INDEX(Define!Q:Q,MATCH(C365,Define!P:P))</f>
        <v>属性適正アップ</v>
      </c>
      <c r="E365">
        <v>2</v>
      </c>
      <c r="F365">
        <v>1</v>
      </c>
      <c r="G365">
        <v>0</v>
      </c>
      <c r="H365">
        <v>100</v>
      </c>
    </row>
    <row r="366" spans="1:8">
      <c r="A366">
        <v>321030</v>
      </c>
      <c r="B366" t="str">
        <f>INDEX(TextData!B:B,MATCH(A366,TextData!A:A))</f>
        <v>蒼の祭壇</v>
      </c>
      <c r="C366">
        <v>40050</v>
      </c>
      <c r="D366" t="str">
        <f>INDEX(Define!Q:Q,MATCH(C366,Define!P:P))</f>
        <v>属性適正アップ</v>
      </c>
      <c r="E366">
        <v>3</v>
      </c>
      <c r="F366">
        <v>1</v>
      </c>
      <c r="G366">
        <v>0</v>
      </c>
      <c r="H366">
        <v>100</v>
      </c>
    </row>
    <row r="367" spans="1:8">
      <c r="A367">
        <v>321040</v>
      </c>
      <c r="B367" t="str">
        <f>INDEX(TextData!B:B,MATCH(A367,TextData!A:A))</f>
        <v>光の祭壇</v>
      </c>
      <c r="C367">
        <v>40050</v>
      </c>
      <c r="D367" t="str">
        <f>INDEX(Define!Q:Q,MATCH(C367,Define!P:P))</f>
        <v>属性適正アップ</v>
      </c>
      <c r="E367">
        <v>4</v>
      </c>
      <c r="F367">
        <v>1</v>
      </c>
      <c r="G367">
        <v>0</v>
      </c>
      <c r="H367">
        <v>100</v>
      </c>
    </row>
    <row r="368" spans="1:8">
      <c r="A368">
        <v>321050</v>
      </c>
      <c r="B368" t="str">
        <f>INDEX(TextData!B:B,MATCH(A368,TextData!A:A))</f>
        <v>月の祭壇</v>
      </c>
      <c r="C368">
        <v>40050</v>
      </c>
      <c r="D368" t="str">
        <f>INDEX(Define!Q:Q,MATCH(C368,Define!P:P))</f>
        <v>属性適正アップ</v>
      </c>
      <c r="E368">
        <v>5</v>
      </c>
      <c r="F368">
        <v>1</v>
      </c>
      <c r="G368">
        <v>0</v>
      </c>
      <c r="H368">
        <v>100</v>
      </c>
    </row>
    <row r="369" spans="1:9">
      <c r="A369">
        <v>322010</v>
      </c>
      <c r="B369" t="str">
        <f>INDEX(TextData!B:B,MATCH(A369,TextData!A:A))</f>
        <v>食糧庫Lv1</v>
      </c>
      <c r="C369">
        <v>3010</v>
      </c>
      <c r="D369" t="str">
        <f>INDEX(Define!Q:Q,MATCH(C369,Define!P:P))</f>
        <v>ステート付与</v>
      </c>
      <c r="E369">
        <v>1020</v>
      </c>
      <c r="F369">
        <v>999</v>
      </c>
      <c r="G369">
        <v>5</v>
      </c>
      <c r="H369">
        <v>100</v>
      </c>
      <c r="I369" t="s">
        <v>48</v>
      </c>
    </row>
    <row r="370" spans="1:9">
      <c r="A370">
        <v>322020</v>
      </c>
      <c r="B370" t="str">
        <f>INDEX(TextData!B:B,MATCH(A370,TextData!A:A))</f>
        <v>攻撃技術Lv1</v>
      </c>
      <c r="C370">
        <v>3010</v>
      </c>
      <c r="D370" t="str">
        <f>INDEX(Define!Q:Q,MATCH(C370,Define!P:P))</f>
        <v>ステート付与</v>
      </c>
      <c r="E370">
        <v>1040</v>
      </c>
      <c r="F370">
        <v>999</v>
      </c>
      <c r="G370">
        <v>2</v>
      </c>
      <c r="H370">
        <v>100</v>
      </c>
      <c r="I370" t="s">
        <v>49</v>
      </c>
    </row>
    <row r="371" spans="1:9">
      <c r="A371">
        <v>322030</v>
      </c>
      <c r="B371" t="str">
        <f>INDEX(TextData!B:B,MATCH(A371,TextData!A:A))</f>
        <v>防御技術Lv1</v>
      </c>
      <c r="C371">
        <v>3010</v>
      </c>
      <c r="D371" t="str">
        <f>INDEX(Define!Q:Q,MATCH(C371,Define!P:P))</f>
        <v>ステート付与</v>
      </c>
      <c r="E371">
        <v>1050</v>
      </c>
      <c r="F371">
        <v>999</v>
      </c>
      <c r="G371">
        <v>2</v>
      </c>
      <c r="H371">
        <v>100</v>
      </c>
      <c r="I371" t="s">
        <v>37</v>
      </c>
    </row>
    <row r="372" spans="1:9">
      <c r="A372">
        <v>322040</v>
      </c>
      <c r="B372" t="str">
        <f>INDEX(TextData!B:B,MATCH(A372,TextData!A:A))</f>
        <v>詠唱技術Lv1</v>
      </c>
      <c r="C372">
        <v>3010</v>
      </c>
      <c r="D372" t="str">
        <f>INDEX(Define!Q:Q,MATCH(C372,Define!P:P))</f>
        <v>ステート付与</v>
      </c>
      <c r="E372">
        <v>1060</v>
      </c>
      <c r="F372">
        <v>999</v>
      </c>
      <c r="G372">
        <v>2</v>
      </c>
      <c r="H372">
        <v>100</v>
      </c>
      <c r="I372" t="s">
        <v>52</v>
      </c>
    </row>
    <row r="373" spans="1:8">
      <c r="A373">
        <v>401020</v>
      </c>
      <c r="B373" t="str">
        <f>INDEX(TextData!B:B,MATCH(A373,TextData!A:A))</f>
        <v>バーンストーム+</v>
      </c>
      <c r="C373">
        <v>6010</v>
      </c>
      <c r="D373" t="str">
        <f>INDEX(Define!Q:Q,MATCH(C373,Define!P:P))</f>
        <v>FeatureのParam1を指定値に上書き</v>
      </c>
      <c r="E373">
        <v>1020</v>
      </c>
      <c r="F373">
        <v>0</v>
      </c>
      <c r="G373">
        <v>250</v>
      </c>
      <c r="H373">
        <v>100</v>
      </c>
    </row>
    <row r="374" spans="1:8">
      <c r="A374">
        <v>401030</v>
      </c>
      <c r="B374" t="str">
        <f>INDEX(TextData!B:B,MATCH(A374,TextData!A:A))</f>
        <v>ヒートスタンプ+</v>
      </c>
      <c r="C374">
        <v>6010</v>
      </c>
      <c r="D374" t="str">
        <f>INDEX(Define!Q:Q,MATCH(C374,Define!P:P))</f>
        <v>FeatureのParam1を指定値に上書き</v>
      </c>
      <c r="E374">
        <v>1030</v>
      </c>
      <c r="F374">
        <v>0</v>
      </c>
      <c r="G374">
        <v>2</v>
      </c>
      <c r="H374">
        <v>100</v>
      </c>
    </row>
    <row r="375" spans="1:8">
      <c r="A375">
        <v>401040</v>
      </c>
      <c r="B375" t="str">
        <f>INDEX(TextData!B:B,MATCH(A375,TextData!A:A))</f>
        <v>ソードアダプト+</v>
      </c>
      <c r="C375">
        <v>6010</v>
      </c>
      <c r="D375" t="str">
        <f>INDEX(Define!Q:Q,MATCH(C375,Define!P:P))</f>
        <v>FeatureのParam1を指定値に上書き</v>
      </c>
      <c r="E375">
        <v>1040</v>
      </c>
      <c r="F375">
        <v>0</v>
      </c>
      <c r="G375">
        <v>15</v>
      </c>
      <c r="H375">
        <v>100</v>
      </c>
    </row>
    <row r="376" spans="1:8">
      <c r="A376">
        <v>401050</v>
      </c>
      <c r="B376" t="str">
        <f>INDEX(TextData!B:B,MATCH(A376,TextData!A:A))</f>
        <v>フレイムレイン+</v>
      </c>
      <c r="C376">
        <v>6010</v>
      </c>
      <c r="D376" t="str">
        <f>INDEX(Define!Q:Q,MATCH(C376,Define!P:P))</f>
        <v>FeatureのParam1を指定値に上書き</v>
      </c>
      <c r="E376">
        <v>1050</v>
      </c>
      <c r="F376">
        <v>0</v>
      </c>
      <c r="G376">
        <v>60</v>
      </c>
      <c r="H376">
        <v>100</v>
      </c>
    </row>
    <row r="377" spans="1:8">
      <c r="A377">
        <v>401060</v>
      </c>
      <c r="B377" t="str">
        <f>INDEX(TextData!B:B,MATCH(A377,TextData!A:A))</f>
        <v>イクスティンクション+</v>
      </c>
      <c r="C377">
        <v>6010</v>
      </c>
      <c r="D377" t="str">
        <f>INDEX(Define!Q:Q,MATCH(C377,Define!P:P))</f>
        <v>FeatureのParam1を指定値に上書き</v>
      </c>
      <c r="E377">
        <v>1060</v>
      </c>
      <c r="F377">
        <v>0</v>
      </c>
      <c r="G377">
        <v>400</v>
      </c>
      <c r="H377">
        <v>100</v>
      </c>
    </row>
    <row r="378" spans="1:8">
      <c r="A378">
        <v>401070</v>
      </c>
      <c r="B378" t="str">
        <f>INDEX(TextData!B:B,MATCH(A378,TextData!A:A))</f>
        <v>バーニングソウル+</v>
      </c>
      <c r="C378">
        <v>6080</v>
      </c>
      <c r="D378" t="str">
        <f>INDEX(Define!Q:Q,MATCH(C378,Define!P:P))</f>
        <v>指定魔法のCTリセット値を変更する</v>
      </c>
      <c r="E378">
        <v>1070</v>
      </c>
      <c r="F378">
        <v>0</v>
      </c>
      <c r="G378">
        <v>2</v>
      </c>
      <c r="H378">
        <v>100</v>
      </c>
    </row>
    <row r="379" spans="1:8">
      <c r="A379">
        <v>401080</v>
      </c>
      <c r="B379" t="str">
        <f>INDEX(TextData!B:B,MATCH(A379,TextData!A:A))</f>
        <v>レイジングバウンサー+</v>
      </c>
      <c r="C379">
        <v>6030</v>
      </c>
      <c r="D379" t="str">
        <f>INDEX(Define!Q:Q,MATCH(C379,Define!P:P))</f>
        <v>FeatureのParam3を指定値に上書き</v>
      </c>
      <c r="E379">
        <v>1080</v>
      </c>
      <c r="F379">
        <v>0</v>
      </c>
      <c r="G379">
        <v>45</v>
      </c>
      <c r="H379">
        <v>100</v>
      </c>
    </row>
    <row r="380" spans="1:8">
      <c r="A380">
        <v>402010</v>
      </c>
      <c r="B380" t="str">
        <f>INDEX(TextData!B:B,MATCH(A380,TextData!A:A))</f>
        <v>ディスチャージ+</v>
      </c>
      <c r="C380">
        <v>6010</v>
      </c>
      <c r="D380" t="str">
        <f>INDEX(Define!Q:Q,MATCH(C380,Define!P:P))</f>
        <v>FeatureのParam1を指定値に上書き</v>
      </c>
      <c r="E380">
        <v>2010</v>
      </c>
      <c r="F380">
        <v>0</v>
      </c>
      <c r="G380">
        <v>250</v>
      </c>
      <c r="H380">
        <v>100</v>
      </c>
    </row>
    <row r="381" spans="1:8">
      <c r="A381">
        <v>402020</v>
      </c>
      <c r="B381" t="str">
        <f>INDEX(TextData!B:B,MATCH(A381,TextData!A:A))</f>
        <v>イベイドコード+</v>
      </c>
      <c r="C381">
        <v>6030</v>
      </c>
      <c r="D381" t="str">
        <f>INDEX(Define!Q:Q,MATCH(C381,Define!P:P))</f>
        <v>FeatureのParam3を指定値に上書き</v>
      </c>
      <c r="E381">
        <v>2020</v>
      </c>
      <c r="F381">
        <v>0</v>
      </c>
      <c r="G381">
        <v>25</v>
      </c>
      <c r="H381">
        <v>100</v>
      </c>
    </row>
    <row r="382" spans="1:8">
      <c r="A382">
        <v>402030</v>
      </c>
      <c r="B382" t="str">
        <f>INDEX(TextData!B:B,MATCH(A382,TextData!A:A))</f>
        <v>ショックインパルス+</v>
      </c>
      <c r="C382">
        <v>6080</v>
      </c>
      <c r="D382" t="str">
        <f>INDEX(Define!Q:Q,MATCH(C382,Define!P:P))</f>
        <v>指定魔法のCTリセット値を変更する</v>
      </c>
      <c r="E382">
        <v>2030</v>
      </c>
      <c r="F382">
        <v>0</v>
      </c>
      <c r="G382">
        <v>2</v>
      </c>
      <c r="H382">
        <v>100</v>
      </c>
    </row>
    <row r="383" spans="1:8">
      <c r="A383">
        <v>402040</v>
      </c>
      <c r="B383" t="str">
        <f>INDEX(TextData!B:B,MATCH(A383,TextData!A:A))</f>
        <v>トラストチェイン+</v>
      </c>
      <c r="C383">
        <v>6010</v>
      </c>
      <c r="D383" t="str">
        <f>INDEX(Define!Q:Q,MATCH(C383,Define!P:P))</f>
        <v>FeatureのParam1を指定値に上書き</v>
      </c>
      <c r="E383">
        <v>2040</v>
      </c>
      <c r="F383">
        <v>0</v>
      </c>
      <c r="G383">
        <v>400</v>
      </c>
      <c r="H383">
        <v>100</v>
      </c>
    </row>
    <row r="384" spans="1:8">
      <c r="A384">
        <v>402050</v>
      </c>
      <c r="B384" t="str">
        <f>INDEX(TextData!B:B,MATCH(A384,TextData!A:A))</f>
        <v>スペルバニシング+</v>
      </c>
      <c r="C384">
        <v>6080</v>
      </c>
      <c r="D384" t="str">
        <f>INDEX(Define!Q:Q,MATCH(C384,Define!P:P))</f>
        <v>指定魔法のCTリセット値を変更する</v>
      </c>
      <c r="E384">
        <v>2050</v>
      </c>
      <c r="F384">
        <v>0</v>
      </c>
      <c r="G384">
        <v>1</v>
      </c>
      <c r="H384">
        <v>100</v>
      </c>
    </row>
    <row r="385" spans="1:8">
      <c r="A385">
        <v>402060</v>
      </c>
      <c r="B385" t="str">
        <f>INDEX(TextData!B:B,MATCH(A385,TextData!A:A))</f>
        <v>アーテニーストライク+</v>
      </c>
      <c r="C385">
        <v>6010</v>
      </c>
      <c r="D385" t="str">
        <f>INDEX(Define!Q:Q,MATCH(C385,Define!P:P))</f>
        <v>FeatureのParam1を指定値に上書き</v>
      </c>
      <c r="E385">
        <v>2060</v>
      </c>
      <c r="F385">
        <v>0</v>
      </c>
      <c r="G385">
        <v>250</v>
      </c>
      <c r="H385">
        <v>100</v>
      </c>
    </row>
    <row r="386" spans="1:8">
      <c r="A386">
        <v>402070</v>
      </c>
      <c r="B386" t="str">
        <f>INDEX(TextData!B:B,MATCH(A386,TextData!A:A))</f>
        <v>コンセントレイト+</v>
      </c>
      <c r="C386">
        <v>6030</v>
      </c>
      <c r="D386" t="str">
        <f>INDEX(Define!Q:Q,MATCH(C386,Define!P:P))</f>
        <v>FeatureのParam3を指定値に上書き</v>
      </c>
      <c r="E386">
        <v>2070</v>
      </c>
      <c r="F386">
        <v>0</v>
      </c>
      <c r="G386">
        <v>40</v>
      </c>
      <c r="H386">
        <v>100</v>
      </c>
    </row>
    <row r="387" spans="1:8">
      <c r="A387">
        <v>402080</v>
      </c>
      <c r="B387" t="str">
        <f>INDEX(TextData!B:B,MATCH(A387,TextData!A:A))</f>
        <v>ディレイマジック+</v>
      </c>
      <c r="C387">
        <v>6010</v>
      </c>
      <c r="D387" t="str">
        <f>INDEX(Define!Q:Q,MATCH(C387,Define!P:P))</f>
        <v>FeatureのParam1を指定値に上書き</v>
      </c>
      <c r="E387">
        <v>2080</v>
      </c>
      <c r="F387">
        <v>1</v>
      </c>
      <c r="G387">
        <v>2</v>
      </c>
      <c r="H387">
        <v>100</v>
      </c>
    </row>
    <row r="388" spans="1:8">
      <c r="A388">
        <v>403010</v>
      </c>
      <c r="B388" t="str">
        <f>INDEX(TextData!B:B,MATCH(A388,TextData!A:A))</f>
        <v>アイスブレイド+</v>
      </c>
      <c r="C388">
        <v>6010</v>
      </c>
      <c r="D388" t="str">
        <f>INDEX(Define!Q:Q,MATCH(C388,Define!P:P))</f>
        <v>FeatureのParam1を指定値に上書き</v>
      </c>
      <c r="E388">
        <v>3010</v>
      </c>
      <c r="F388">
        <v>0</v>
      </c>
      <c r="G388">
        <v>250</v>
      </c>
      <c r="H388">
        <v>100</v>
      </c>
    </row>
    <row r="389" spans="1:8">
      <c r="A389">
        <v>403020</v>
      </c>
      <c r="B389" t="str">
        <f>INDEX(TextData!B:B,MATCH(A389,TextData!A:A))</f>
        <v>カウンターオーラ+</v>
      </c>
      <c r="C389">
        <v>6030</v>
      </c>
      <c r="D389" t="str">
        <f>INDEX(Define!Q:Q,MATCH(C389,Define!P:P))</f>
        <v>FeatureのParam3を指定値に上書き</v>
      </c>
      <c r="E389">
        <v>3020</v>
      </c>
      <c r="F389">
        <v>0</v>
      </c>
      <c r="G389">
        <v>40</v>
      </c>
      <c r="H389">
        <v>100</v>
      </c>
    </row>
    <row r="390" spans="1:8">
      <c r="A390">
        <v>403030</v>
      </c>
      <c r="B390" t="str">
        <f>INDEX(TextData!B:B,MATCH(A390,TextData!A:A))</f>
        <v>ラインプロテクト+</v>
      </c>
      <c r="C390">
        <v>6030</v>
      </c>
      <c r="D390" t="str">
        <f>INDEX(Define!Q:Q,MATCH(C390,Define!P:P))</f>
        <v>FeatureのParam3を指定値に上書き</v>
      </c>
      <c r="E390">
        <v>3030</v>
      </c>
      <c r="F390">
        <v>0</v>
      </c>
      <c r="G390">
        <v>20</v>
      </c>
      <c r="H390">
        <v>100</v>
      </c>
    </row>
    <row r="391" spans="1:8">
      <c r="A391">
        <v>403040</v>
      </c>
      <c r="B391" t="str">
        <f>INDEX(TextData!B:B,MATCH(A391,TextData!A:A))</f>
        <v>エスコートソール+</v>
      </c>
      <c r="C391">
        <v>6030</v>
      </c>
      <c r="D391" t="str">
        <f>INDEX(Define!Q:Q,MATCH(C391,Define!P:P))</f>
        <v>FeatureのParam3を指定値に上書き</v>
      </c>
      <c r="E391">
        <v>3040</v>
      </c>
      <c r="F391">
        <v>0</v>
      </c>
      <c r="G391">
        <v>40</v>
      </c>
      <c r="H391">
        <v>100</v>
      </c>
    </row>
    <row r="392" spans="1:8">
      <c r="A392">
        <v>403050</v>
      </c>
      <c r="B392" t="str">
        <f>INDEX(TextData!B:B,MATCH(A392,TextData!A:A))</f>
        <v>ディープフリーズ+</v>
      </c>
      <c r="C392">
        <v>6030</v>
      </c>
      <c r="D392" t="str">
        <f>INDEX(Define!Q:Q,MATCH(C392,Define!P:P))</f>
        <v>FeatureのParam3を指定値に上書き</v>
      </c>
      <c r="E392">
        <v>3050</v>
      </c>
      <c r="F392">
        <v>0</v>
      </c>
      <c r="G392">
        <v>40</v>
      </c>
      <c r="H392">
        <v>100</v>
      </c>
    </row>
    <row r="393" spans="1:8">
      <c r="A393">
        <v>403060</v>
      </c>
      <c r="B393" t="str">
        <f>INDEX(TextData!B:B,MATCH(A393,TextData!A:A))</f>
        <v>バブルブロウ+</v>
      </c>
      <c r="C393">
        <v>6030</v>
      </c>
      <c r="D393" t="str">
        <f>INDEX(Define!Q:Q,MATCH(C393,Define!P:P))</f>
        <v>FeatureのParam3を指定値に上書き</v>
      </c>
      <c r="E393">
        <v>3060</v>
      </c>
      <c r="F393">
        <v>1</v>
      </c>
      <c r="G393">
        <v>12</v>
      </c>
      <c r="H393">
        <v>100</v>
      </c>
    </row>
    <row r="394" spans="1:8">
      <c r="A394">
        <v>403070</v>
      </c>
      <c r="B394" t="str">
        <f>INDEX(TextData!B:B,MATCH(A394,TextData!A:A))</f>
        <v>アクアミラージュ+</v>
      </c>
      <c r="C394">
        <v>6020</v>
      </c>
      <c r="D394" t="str">
        <f>INDEX(Define!Q:Q,MATCH(C394,Define!P:P))</f>
        <v>FeatureのParam2を指定値に上書き</v>
      </c>
      <c r="E394">
        <v>3070</v>
      </c>
      <c r="F394">
        <v>0</v>
      </c>
      <c r="G394">
        <v>2</v>
      </c>
      <c r="H394">
        <v>100</v>
      </c>
    </row>
    <row r="395" spans="1:8">
      <c r="A395">
        <v>403080</v>
      </c>
      <c r="B395" t="str">
        <f>INDEX(TextData!B:B,MATCH(A395,TextData!A:A))</f>
        <v>フロストシールド+</v>
      </c>
      <c r="C395">
        <v>6030</v>
      </c>
      <c r="D395" t="str">
        <f>INDEX(Define!Q:Q,MATCH(C395,Define!P:P))</f>
        <v>FeatureのParam3を指定値に上書き</v>
      </c>
      <c r="E395">
        <v>3080</v>
      </c>
      <c r="F395">
        <v>0</v>
      </c>
      <c r="G395">
        <v>30</v>
      </c>
      <c r="H395">
        <v>100</v>
      </c>
    </row>
    <row r="396" spans="1:8">
      <c r="A396">
        <v>404010</v>
      </c>
      <c r="B396" t="str">
        <f>INDEX(TextData!B:B,MATCH(A396,TextData!A:A))</f>
        <v>セイントレーザー+</v>
      </c>
      <c r="C396">
        <v>6010</v>
      </c>
      <c r="D396" t="str">
        <f>INDEX(Define!Q:Q,MATCH(C396,Define!P:P))</f>
        <v>FeatureのParam1を指定値に上書き</v>
      </c>
      <c r="E396">
        <v>4010</v>
      </c>
      <c r="F396">
        <v>0</v>
      </c>
      <c r="G396">
        <v>250</v>
      </c>
      <c r="H396">
        <v>100</v>
      </c>
    </row>
    <row r="397" spans="1:8">
      <c r="A397">
        <v>404020</v>
      </c>
      <c r="B397" t="str">
        <f>INDEX(TextData!B:B,MATCH(A397,TextData!A:A))</f>
        <v>ペネトレイト+</v>
      </c>
      <c r="C397">
        <v>6010</v>
      </c>
      <c r="D397" t="str">
        <f>INDEX(Define!Q:Q,MATCH(C397,Define!P:P))</f>
        <v>FeatureのParam1を指定値に上書き</v>
      </c>
      <c r="E397">
        <v>4020</v>
      </c>
      <c r="F397">
        <v>0</v>
      </c>
      <c r="G397">
        <v>250</v>
      </c>
      <c r="H397">
        <v>100</v>
      </c>
    </row>
    <row r="398" spans="1:8">
      <c r="A398">
        <v>404030</v>
      </c>
      <c r="B398" t="str">
        <f>INDEX(TextData!B:B,MATCH(A398,TextData!A:A))</f>
        <v>ヒーリング+</v>
      </c>
      <c r="C398">
        <v>6210</v>
      </c>
      <c r="D398" t="str">
        <f>INDEX(Define!Q:Q,MATCH(C398,Define!P:P))</f>
        <v>指定魔法の対象を変更（強化限定）</v>
      </c>
      <c r="E398">
        <v>4030</v>
      </c>
      <c r="F398">
        <v>0</v>
      </c>
      <c r="G398">
        <v>31</v>
      </c>
      <c r="H398">
        <v>100</v>
      </c>
    </row>
    <row r="399" spans="1:8">
      <c r="A399">
        <v>404040</v>
      </c>
      <c r="B399" t="str">
        <f>INDEX(TextData!B:B,MATCH(A399,TextData!A:A))</f>
        <v>リザイアフォトン+</v>
      </c>
      <c r="C399">
        <v>6030</v>
      </c>
      <c r="D399" t="str">
        <f>INDEX(Define!Q:Q,MATCH(C399,Define!P:P))</f>
        <v>FeatureのParam3を指定値に上書き</v>
      </c>
      <c r="E399">
        <v>4040</v>
      </c>
      <c r="F399">
        <v>1</v>
      </c>
      <c r="G399">
        <v>30</v>
      </c>
      <c r="H399">
        <v>100</v>
      </c>
    </row>
    <row r="400" spans="1:8">
      <c r="A400">
        <v>404050</v>
      </c>
      <c r="B400" t="str">
        <f>INDEX(TextData!B:B,MATCH(A400,TextData!A:A))</f>
        <v>べネディクション+</v>
      </c>
      <c r="C400">
        <v>6080</v>
      </c>
      <c r="D400" t="str">
        <f>INDEX(Define!Q:Q,MATCH(C400,Define!P:P))</f>
        <v>指定魔法のCTリセット値を変更する</v>
      </c>
      <c r="E400">
        <v>4050</v>
      </c>
      <c r="F400">
        <v>0</v>
      </c>
      <c r="G400">
        <v>2</v>
      </c>
      <c r="H400">
        <v>100</v>
      </c>
    </row>
    <row r="401" spans="1:8">
      <c r="A401">
        <v>404060</v>
      </c>
      <c r="B401" t="str">
        <f>INDEX(TextData!B:B,MATCH(A401,TextData!A:A))</f>
        <v>ホーリーグレイス+</v>
      </c>
      <c r="C401">
        <v>6080</v>
      </c>
      <c r="D401" t="str">
        <f>INDEX(Define!Q:Q,MATCH(C401,Define!P:P))</f>
        <v>指定魔法のCTリセット値を変更する</v>
      </c>
      <c r="E401">
        <v>4060</v>
      </c>
      <c r="F401">
        <v>0</v>
      </c>
      <c r="G401">
        <v>5</v>
      </c>
      <c r="H401">
        <v>100</v>
      </c>
    </row>
    <row r="402" spans="1:8">
      <c r="A402">
        <v>404070</v>
      </c>
      <c r="B402" t="str">
        <f>INDEX(TextData!B:B,MATCH(A402,TextData!A:A))</f>
        <v>キュアエール+</v>
      </c>
      <c r="C402">
        <v>6030</v>
      </c>
      <c r="D402" t="str">
        <f>INDEX(Define!Q:Q,MATCH(C402,Define!P:P))</f>
        <v>FeatureのParam3を指定値に上書き</v>
      </c>
      <c r="E402">
        <v>4070</v>
      </c>
      <c r="F402">
        <v>0</v>
      </c>
      <c r="G402">
        <v>25</v>
      </c>
      <c r="H402">
        <v>100</v>
      </c>
    </row>
    <row r="403" spans="1:8">
      <c r="A403">
        <v>404080</v>
      </c>
      <c r="B403" t="str">
        <f>INDEX(TextData!B:B,MATCH(A403,TextData!A:A))</f>
        <v>ラインバリア+</v>
      </c>
      <c r="C403">
        <v>6080</v>
      </c>
      <c r="D403" t="str">
        <f>INDEX(Define!Q:Q,MATCH(C403,Define!P:P))</f>
        <v>指定魔法のCTリセット値を変更する</v>
      </c>
      <c r="E403">
        <v>4080</v>
      </c>
      <c r="F403">
        <v>0</v>
      </c>
      <c r="G403">
        <v>3</v>
      </c>
      <c r="H403">
        <v>100</v>
      </c>
    </row>
    <row r="404" spans="1:8">
      <c r="A404">
        <v>405010</v>
      </c>
      <c r="B404" t="str">
        <f>INDEX(TextData!B:B,MATCH(A404,TextData!A:A))</f>
        <v>ダークプリズン+</v>
      </c>
      <c r="C404">
        <v>6010</v>
      </c>
      <c r="D404" t="str">
        <f>INDEX(Define!Q:Q,MATCH(C404,Define!P:P))</f>
        <v>FeatureのParam1を指定値に上書き</v>
      </c>
      <c r="E404">
        <v>5010</v>
      </c>
      <c r="F404">
        <v>0</v>
      </c>
      <c r="G404">
        <v>250</v>
      </c>
      <c r="H404">
        <v>100</v>
      </c>
    </row>
    <row r="405" spans="1:8">
      <c r="A405">
        <v>405020</v>
      </c>
      <c r="B405" t="str">
        <f>INDEX(TextData!B:B,MATCH(A405,TextData!A:A))</f>
        <v>ユーサネイジア+</v>
      </c>
      <c r="C405">
        <v>6010</v>
      </c>
      <c r="D405" t="str">
        <f>INDEX(Define!Q:Q,MATCH(C405,Define!P:P))</f>
        <v>FeatureのParam1を指定値に上書き</v>
      </c>
      <c r="E405">
        <v>5020</v>
      </c>
      <c r="F405">
        <v>0</v>
      </c>
      <c r="G405">
        <v>200</v>
      </c>
      <c r="H405">
        <v>100</v>
      </c>
    </row>
    <row r="406" spans="1:8">
      <c r="A406">
        <v>405030</v>
      </c>
      <c r="B406" t="str">
        <f>INDEX(TextData!B:B,MATCH(A406,TextData!A:A))</f>
        <v>ドレインヒール+</v>
      </c>
      <c r="C406">
        <v>6030</v>
      </c>
      <c r="D406" t="str">
        <f>INDEX(Define!Q:Q,MATCH(C406,Define!P:P))</f>
        <v>FeatureのParam3を指定値に上書き</v>
      </c>
      <c r="E406">
        <v>5030</v>
      </c>
      <c r="F406">
        <v>0</v>
      </c>
      <c r="G406">
        <v>100</v>
      </c>
      <c r="H406">
        <v>100</v>
      </c>
    </row>
    <row r="407" spans="1:8">
      <c r="A407">
        <v>405040</v>
      </c>
      <c r="B407" t="str">
        <f>INDEX(TextData!B:B,MATCH(A407,TextData!A:A))</f>
        <v>アビサルデスペア+</v>
      </c>
      <c r="C407">
        <v>6020</v>
      </c>
      <c r="D407" t="str">
        <f>INDEX(Define!Q:Q,MATCH(C407,Define!P:P))</f>
        <v>FeatureのParam2を指定値に上書き</v>
      </c>
      <c r="E407">
        <v>5040</v>
      </c>
      <c r="F407">
        <v>0</v>
      </c>
      <c r="G407">
        <v>5</v>
      </c>
      <c r="H407">
        <v>100</v>
      </c>
    </row>
    <row r="408" spans="1:8">
      <c r="A408">
        <v>405050</v>
      </c>
      <c r="B408" t="str">
        <f>INDEX(TextData!B:B,MATCH(A408,TextData!A:A))</f>
        <v>ディプラヴィティ+</v>
      </c>
      <c r="C408">
        <v>6030</v>
      </c>
      <c r="D408" t="str">
        <f>INDEX(Define!Q:Q,MATCH(C408,Define!P:P))</f>
        <v>FeatureのParam3を指定値に上書き</v>
      </c>
      <c r="E408">
        <v>5050</v>
      </c>
      <c r="F408">
        <v>0</v>
      </c>
      <c r="G408">
        <v>3</v>
      </c>
      <c r="H408">
        <v>100</v>
      </c>
    </row>
    <row r="409" spans="1:8">
      <c r="A409">
        <v>405060</v>
      </c>
      <c r="B409" t="str">
        <f>INDEX(TextData!B:B,MATCH(A409,TextData!A:A))</f>
        <v>ダークネス+</v>
      </c>
      <c r="C409">
        <v>6030</v>
      </c>
      <c r="D409" t="str">
        <f>INDEX(Define!Q:Q,MATCH(C409,Define!P:P))</f>
        <v>FeatureのParam3を指定値に上書き</v>
      </c>
      <c r="E409">
        <v>5060</v>
      </c>
      <c r="F409">
        <v>0</v>
      </c>
      <c r="G409">
        <v>50</v>
      </c>
      <c r="H409">
        <v>100</v>
      </c>
    </row>
    <row r="410" spans="1:8">
      <c r="A410">
        <v>405070</v>
      </c>
      <c r="B410" t="str">
        <f>INDEX(TextData!B:B,MATCH(A410,TextData!A:A))</f>
        <v>シェイディークラウド+</v>
      </c>
      <c r="C410">
        <v>6030</v>
      </c>
      <c r="D410" t="str">
        <f>INDEX(Define!Q:Q,MATCH(C410,Define!P:P))</f>
        <v>FeatureのParam3を指定値に上書き</v>
      </c>
      <c r="E410">
        <v>5070</v>
      </c>
      <c r="F410">
        <v>0</v>
      </c>
      <c r="G410">
        <v>12</v>
      </c>
      <c r="H410">
        <v>100</v>
      </c>
    </row>
    <row r="411" spans="1:8">
      <c r="A411">
        <v>405080</v>
      </c>
      <c r="B411" t="str">
        <f>INDEX(TextData!B:B,MATCH(A411,TextData!A:A))</f>
        <v>ポイズンブロウ+</v>
      </c>
      <c r="C411">
        <v>6030</v>
      </c>
      <c r="D411" t="str">
        <f>INDEX(Define!Q:Q,MATCH(C411,Define!P:P))</f>
        <v>FeatureのParam3を指定値に上書き</v>
      </c>
      <c r="E411">
        <v>5080</v>
      </c>
      <c r="F411">
        <v>0</v>
      </c>
      <c r="G411">
        <v>20</v>
      </c>
      <c r="H411">
        <v>100</v>
      </c>
    </row>
    <row r="412" spans="1:8">
      <c r="A412">
        <v>411010</v>
      </c>
      <c r="B412" t="str">
        <f>INDEX(TextData!B:B,MATCH(A412,TextData!A:A))</f>
        <v>ウルフソウル+</v>
      </c>
      <c r="C412">
        <v>6030</v>
      </c>
      <c r="D412" t="str">
        <f>INDEX(Define!Q:Q,MATCH(C412,Define!P:P))</f>
        <v>FeatureのParam3を指定値に上書き</v>
      </c>
      <c r="E412">
        <v>11010</v>
      </c>
      <c r="F412">
        <v>0</v>
      </c>
      <c r="G412">
        <v>8</v>
      </c>
      <c r="H412">
        <v>100</v>
      </c>
    </row>
    <row r="413" spans="1:8">
      <c r="A413">
        <v>411020</v>
      </c>
      <c r="B413" t="str">
        <f>INDEX(TextData!B:B,MATCH(A413,TextData!A:A))</f>
        <v>プリディカメント+</v>
      </c>
      <c r="C413">
        <v>6030</v>
      </c>
      <c r="D413" t="str">
        <f>INDEX(Define!Q:Q,MATCH(C413,Define!P:P))</f>
        <v>FeatureのParam3を指定値に上書き</v>
      </c>
      <c r="E413">
        <v>11020</v>
      </c>
      <c r="F413">
        <v>0</v>
      </c>
      <c r="G413">
        <v>16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0</v>
      </c>
      <c r="G414">
        <v>8</v>
      </c>
      <c r="H414">
        <v>100</v>
      </c>
    </row>
    <row r="415" spans="1:8">
      <c r="A415">
        <v>411030</v>
      </c>
      <c r="B415" t="str">
        <f>INDEX(TextData!B:B,MATCH(A415,TextData!A:A))</f>
        <v>アサルトシフト+</v>
      </c>
      <c r="C415">
        <v>6030</v>
      </c>
      <c r="D415" t="str">
        <f>INDEX(Define!Q:Q,MATCH(C415,Define!P:P))</f>
        <v>FeatureのParam3を指定値に上書き</v>
      </c>
      <c r="E415">
        <v>11030</v>
      </c>
      <c r="F415">
        <v>1</v>
      </c>
      <c r="G415">
        <v>8</v>
      </c>
      <c r="H415">
        <v>100</v>
      </c>
    </row>
    <row r="416" spans="1:8">
      <c r="A416">
        <v>411040</v>
      </c>
      <c r="B416" t="str">
        <f>INDEX(TextData!B:B,MATCH(A416,TextData!A:A))</f>
        <v>アクティブギフト+</v>
      </c>
      <c r="C416">
        <v>6080</v>
      </c>
      <c r="D416" t="str">
        <f>INDEX(Define!Q:Q,MATCH(C416,Define!P:P))</f>
        <v>指定魔法のCTリセット値を変更する</v>
      </c>
      <c r="E416">
        <v>11040</v>
      </c>
      <c r="F416">
        <v>0</v>
      </c>
      <c r="G416">
        <v>3</v>
      </c>
      <c r="H416">
        <v>100</v>
      </c>
    </row>
    <row r="417" spans="1:8">
      <c r="A417">
        <v>411050</v>
      </c>
      <c r="B417" t="str">
        <f>INDEX(TextData!B:B,MATCH(A417,TextData!A:A))</f>
        <v>イグナイテッド+</v>
      </c>
      <c r="C417">
        <v>6010</v>
      </c>
      <c r="D417" t="str">
        <f>INDEX(Define!Q:Q,MATCH(C417,Define!P:P))</f>
        <v>FeatureのParam1を指定値に上書き</v>
      </c>
      <c r="E417">
        <v>11050</v>
      </c>
      <c r="F417">
        <v>0</v>
      </c>
      <c r="G417">
        <v>6</v>
      </c>
      <c r="H417">
        <v>100</v>
      </c>
    </row>
    <row r="418" spans="1:8">
      <c r="A418">
        <v>411060</v>
      </c>
      <c r="B418" t="str">
        <f>INDEX(TextData!B:B,MATCH(A418,TextData!A:A))</f>
        <v>ライジングファイア+</v>
      </c>
      <c r="C418">
        <v>6010</v>
      </c>
      <c r="D418" t="str">
        <f>INDEX(Define!Q:Q,MATCH(C418,Define!P:P))</f>
        <v>FeatureのParam1を指定値に上書き</v>
      </c>
      <c r="E418">
        <v>11060</v>
      </c>
      <c r="F418">
        <v>0</v>
      </c>
      <c r="G418">
        <v>2</v>
      </c>
      <c r="H418">
        <v>100</v>
      </c>
    </row>
    <row r="419" spans="1:8">
      <c r="A419">
        <v>411070</v>
      </c>
      <c r="B419" t="str">
        <f>INDEX(TextData!B:B,MATCH(A419,TextData!A:A))</f>
        <v>ルージュバック+</v>
      </c>
      <c r="C419">
        <v>6030</v>
      </c>
      <c r="D419" t="str">
        <f>INDEX(Define!Q:Q,MATCH(C419,Define!P:P))</f>
        <v>FeatureのParam3を指定値に上書き</v>
      </c>
      <c r="E419">
        <v>11070</v>
      </c>
      <c r="F419">
        <v>0</v>
      </c>
      <c r="G419">
        <v>4</v>
      </c>
      <c r="H419">
        <v>100</v>
      </c>
    </row>
    <row r="420" spans="1:8">
      <c r="A420">
        <v>411080</v>
      </c>
      <c r="B420" t="str">
        <f>INDEX(TextData!B:B,MATCH(A420,TextData!A:A))</f>
        <v>パワーエール+</v>
      </c>
      <c r="C420">
        <v>6030</v>
      </c>
      <c r="D420" t="str">
        <f>INDEX(Define!Q:Q,MATCH(C420,Define!P:P))</f>
        <v>FeatureのParam3を指定値に上書き</v>
      </c>
      <c r="E420">
        <v>11080</v>
      </c>
      <c r="F420">
        <v>0</v>
      </c>
      <c r="G420">
        <v>8</v>
      </c>
      <c r="H420">
        <v>100</v>
      </c>
    </row>
    <row r="421" spans="1:8">
      <c r="A421">
        <v>411090</v>
      </c>
      <c r="B421" t="str">
        <f>INDEX(TextData!B:B,MATCH(A421,TextData!A:A))</f>
        <v>スレイプニル+</v>
      </c>
      <c r="C421">
        <v>6030</v>
      </c>
      <c r="D421" t="str">
        <f>INDEX(Define!Q:Q,MATCH(C421,Define!P:P))</f>
        <v>FeatureのParam3を指定値に上書き</v>
      </c>
      <c r="E421">
        <v>11090</v>
      </c>
      <c r="F421">
        <v>0</v>
      </c>
      <c r="G421">
        <v>25</v>
      </c>
      <c r="H421">
        <v>100</v>
      </c>
    </row>
    <row r="422" spans="1:8">
      <c r="A422">
        <v>412010</v>
      </c>
      <c r="B422" t="str">
        <f>INDEX(TextData!B:B,MATCH(A422,TextData!A:A))</f>
        <v>エクステンション+</v>
      </c>
      <c r="C422">
        <v>6210</v>
      </c>
      <c r="D422" t="str">
        <f>INDEX(Define!Q:Q,MATCH(C422,Define!P:P))</f>
        <v>指定魔法の対象を変更（強化限定）</v>
      </c>
      <c r="E422">
        <v>12010</v>
      </c>
      <c r="F422">
        <v>0</v>
      </c>
      <c r="G422">
        <v>31</v>
      </c>
      <c r="H422">
        <v>100</v>
      </c>
    </row>
    <row r="423" spans="1:8">
      <c r="A423">
        <v>412020</v>
      </c>
      <c r="B423" t="str">
        <f>INDEX(TextData!B:B,MATCH(A423,TextData!A:A))</f>
        <v>ヘブンリーラック+</v>
      </c>
      <c r="C423">
        <v>6030</v>
      </c>
      <c r="D423" t="str">
        <f>INDEX(Define!Q:Q,MATCH(C423,Define!P:P))</f>
        <v>FeatureのParam3を指定値に上書き</v>
      </c>
      <c r="E423">
        <v>12020</v>
      </c>
      <c r="F423">
        <v>0</v>
      </c>
      <c r="G423">
        <v>20</v>
      </c>
      <c r="H423">
        <v>100</v>
      </c>
    </row>
    <row r="424" spans="1:8">
      <c r="A424">
        <v>412030</v>
      </c>
      <c r="B424" t="str">
        <f>INDEX(TextData!B:B,MATCH(A424,TextData!A:A))</f>
        <v>スウィフトカレント+</v>
      </c>
      <c r="C424">
        <v>6030</v>
      </c>
      <c r="D424" t="str">
        <f>INDEX(Define!Q:Q,MATCH(C424,Define!P:P))</f>
        <v>FeatureのParam3を指定値に上書き</v>
      </c>
      <c r="E424">
        <v>12030</v>
      </c>
      <c r="F424">
        <v>0</v>
      </c>
      <c r="G424">
        <v>10</v>
      </c>
      <c r="H424">
        <v>100</v>
      </c>
    </row>
    <row r="425" spans="1:8">
      <c r="A425">
        <v>412040</v>
      </c>
      <c r="B425" t="str">
        <f>INDEX(TextData!B:B,MATCH(A425,TextData!A:A))</f>
        <v>イヴェイドオール+</v>
      </c>
      <c r="C425">
        <v>6030</v>
      </c>
      <c r="D425" t="str">
        <f>INDEX(Define!Q:Q,MATCH(C425,Define!P:P))</f>
        <v>FeatureのParam3を指定値に上書き</v>
      </c>
      <c r="E425">
        <v>12040</v>
      </c>
      <c r="F425">
        <v>0</v>
      </c>
      <c r="G425">
        <v>10</v>
      </c>
      <c r="H425">
        <v>100</v>
      </c>
    </row>
    <row r="426" spans="1:8">
      <c r="A426">
        <v>412050</v>
      </c>
      <c r="B426" t="str">
        <f>INDEX(TextData!B:B,MATCH(A426,TextData!A:A))</f>
        <v>クイックムーブ+</v>
      </c>
      <c r="C426">
        <v>6010</v>
      </c>
      <c r="D426" t="str">
        <f>INDEX(Define!Q:Q,MATCH(C426,Define!P:P))</f>
        <v>FeatureのParam1を指定値に上書き</v>
      </c>
      <c r="E426">
        <v>12050</v>
      </c>
      <c r="F426">
        <v>0</v>
      </c>
      <c r="G426">
        <v>400</v>
      </c>
      <c r="H426">
        <v>100</v>
      </c>
    </row>
    <row r="427" spans="1:8">
      <c r="A427">
        <v>412060</v>
      </c>
      <c r="B427" t="str">
        <f>INDEX(TextData!B:B,MATCH(A427,TextData!A:A))</f>
        <v>チェイスマジック+</v>
      </c>
      <c r="C427">
        <v>6010</v>
      </c>
      <c r="D427" t="str">
        <f>INDEX(Define!Q:Q,MATCH(C427,Define!P:P))</f>
        <v>FeatureのParam1を指定値に上書き</v>
      </c>
      <c r="E427">
        <v>12060</v>
      </c>
      <c r="F427">
        <v>0</v>
      </c>
      <c r="G427">
        <v>300</v>
      </c>
      <c r="H427">
        <v>100</v>
      </c>
    </row>
    <row r="428" spans="1:8">
      <c r="A428">
        <v>412070</v>
      </c>
      <c r="B428" t="str">
        <f>INDEX(TextData!B:B,MATCH(A428,TextData!A:A))</f>
        <v>ソーサリーコネクト+</v>
      </c>
      <c r="C428">
        <v>6030</v>
      </c>
      <c r="D428" t="str">
        <f>INDEX(Define!Q:Q,MATCH(C428,Define!P:P))</f>
        <v>FeatureのParam3を指定値に上書き</v>
      </c>
      <c r="E428">
        <v>12070</v>
      </c>
      <c r="F428">
        <v>0</v>
      </c>
      <c r="G428">
        <v>16</v>
      </c>
      <c r="H428">
        <v>100</v>
      </c>
    </row>
    <row r="429" spans="1:8">
      <c r="A429">
        <v>412080</v>
      </c>
      <c r="B429" t="str">
        <f>INDEX(TextData!B:B,MATCH(A429,TextData!A:A))</f>
        <v>ウィンドライズ+</v>
      </c>
      <c r="C429">
        <v>6010</v>
      </c>
      <c r="D429" t="str">
        <f>INDEX(Define!Q:Q,MATCH(C429,Define!P:P))</f>
        <v>FeatureのParam1を指定値に上書き</v>
      </c>
      <c r="E429">
        <v>12080</v>
      </c>
      <c r="F429">
        <v>0</v>
      </c>
      <c r="G429">
        <v>300</v>
      </c>
      <c r="H429">
        <v>100</v>
      </c>
    </row>
    <row r="430" spans="1:8">
      <c r="A430">
        <v>412090</v>
      </c>
      <c r="B430" t="str">
        <f>INDEX(TextData!B:B,MATCH(A430,TextData!A:A))</f>
        <v>アウトオブオーダー+</v>
      </c>
      <c r="C430">
        <v>6010</v>
      </c>
      <c r="D430" t="str">
        <f>INDEX(Define!Q:Q,MATCH(C430,Define!P:P))</f>
        <v>FeatureのParam1を指定値に上書き</v>
      </c>
      <c r="E430">
        <v>12090</v>
      </c>
      <c r="F430">
        <v>0</v>
      </c>
      <c r="G430">
        <v>400</v>
      </c>
      <c r="H430">
        <v>100</v>
      </c>
    </row>
    <row r="431" spans="1:8">
      <c r="A431">
        <v>413010</v>
      </c>
      <c r="B431" t="str">
        <f>INDEX(TextData!B:B,MATCH(A431,TextData!A:A))</f>
        <v>アーマーコード+</v>
      </c>
      <c r="C431">
        <v>6030</v>
      </c>
      <c r="D431" t="str">
        <f>INDEX(Define!Q:Q,MATCH(C431,Define!P:P))</f>
        <v>FeatureのParam3を指定値に上書き</v>
      </c>
      <c r="E431">
        <v>13010</v>
      </c>
      <c r="F431">
        <v>0</v>
      </c>
      <c r="G431">
        <v>8</v>
      </c>
      <c r="H431">
        <v>100</v>
      </c>
    </row>
    <row r="432" spans="1:8">
      <c r="A432">
        <v>413020</v>
      </c>
      <c r="B432" t="str">
        <f>INDEX(TextData!B:B,MATCH(A432,TextData!A:A))</f>
        <v>クイックバリア+</v>
      </c>
      <c r="C432">
        <v>6030</v>
      </c>
      <c r="D432" t="str">
        <f>INDEX(Define!Q:Q,MATCH(C432,Define!P:P))</f>
        <v>FeatureのParam3を指定値に上書き</v>
      </c>
      <c r="E432">
        <v>13020</v>
      </c>
      <c r="F432">
        <v>0</v>
      </c>
      <c r="G432">
        <v>50</v>
      </c>
      <c r="H432">
        <v>100</v>
      </c>
    </row>
    <row r="433" spans="1:8">
      <c r="A433">
        <v>413030</v>
      </c>
      <c r="B433" t="str">
        <f>INDEX(TextData!B:B,MATCH(A433,TextData!A:A))</f>
        <v>クイックキュア+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1</v>
      </c>
      <c r="H433">
        <v>100</v>
      </c>
    </row>
    <row r="434" spans="1:8">
      <c r="A434">
        <v>413040</v>
      </c>
      <c r="B434" t="str">
        <f>INDEX(TextData!B:B,MATCH(A434,TextData!A:A))</f>
        <v>セルフシールド+</v>
      </c>
      <c r="C434">
        <v>6030</v>
      </c>
      <c r="D434" t="str">
        <f>INDEX(Define!Q:Q,MATCH(C434,Define!P:P))</f>
        <v>FeatureのParam3を指定値に上書き</v>
      </c>
      <c r="E434">
        <v>13040</v>
      </c>
      <c r="F434">
        <v>0</v>
      </c>
      <c r="G434">
        <v>50</v>
      </c>
      <c r="H434">
        <v>100</v>
      </c>
    </row>
    <row r="435" spans="1:8">
      <c r="A435">
        <v>413050</v>
      </c>
      <c r="B435" t="str">
        <f>INDEX(TextData!B:B,MATCH(A435,TextData!A:A))</f>
        <v>パッシブジャミング+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413060</v>
      </c>
      <c r="B436" t="str">
        <f>INDEX(TextData!B:B,MATCH(A436,TextData!A:A))</f>
        <v>サプライカバー+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1</v>
      </c>
      <c r="H436">
        <v>100</v>
      </c>
    </row>
    <row r="437" spans="1:8">
      <c r="A437">
        <v>413070</v>
      </c>
      <c r="B437" t="str">
        <f>INDEX(TextData!B:B,MATCH(A437,TextData!A:A))</f>
        <v>アシッドラッシュ+</v>
      </c>
      <c r="C437">
        <v>6010</v>
      </c>
      <c r="D437" t="str">
        <f>INDEX(Define!Q:Q,MATCH(C437,Define!P:P))</f>
        <v>FeatureのParam1を指定値に上書き</v>
      </c>
      <c r="E437">
        <v>13070</v>
      </c>
      <c r="F437">
        <v>0</v>
      </c>
      <c r="G437">
        <v>400</v>
      </c>
      <c r="H437">
        <v>100</v>
      </c>
    </row>
    <row r="438" spans="1:8">
      <c r="A438">
        <v>413080</v>
      </c>
      <c r="B438" t="str">
        <f>INDEX(TextData!B:B,MATCH(A438,TextData!A:A))</f>
        <v>ライフスティール+</v>
      </c>
      <c r="C438">
        <v>6030</v>
      </c>
      <c r="D438" t="str">
        <f>INDEX(Define!Q:Q,MATCH(C438,Define!P:P))</f>
        <v>FeatureのParam3を指定値に上書き</v>
      </c>
      <c r="E438">
        <v>13080</v>
      </c>
      <c r="F438">
        <v>0</v>
      </c>
      <c r="G438">
        <v>50</v>
      </c>
      <c r="H438">
        <v>100</v>
      </c>
    </row>
    <row r="439" spans="1:8">
      <c r="A439">
        <v>413090</v>
      </c>
      <c r="B439" t="str">
        <f>INDEX(TextData!B:B,MATCH(A439,TextData!A:A))</f>
        <v>アイスセイバー+</v>
      </c>
      <c r="C439">
        <v>6030</v>
      </c>
      <c r="D439" t="str">
        <f>INDEX(Define!Q:Q,MATCH(C439,Define!P:P))</f>
        <v>FeatureのParam3を指定値に上書き</v>
      </c>
      <c r="E439">
        <v>13090</v>
      </c>
      <c r="F439">
        <v>0</v>
      </c>
      <c r="G439">
        <v>50</v>
      </c>
      <c r="H439">
        <v>100</v>
      </c>
    </row>
    <row r="440" spans="1:8">
      <c r="A440">
        <v>414010</v>
      </c>
      <c r="B440" t="str">
        <f>INDEX(TextData!B:B,MATCH(A440,TextData!A:A))</f>
        <v>ディバインシールド+</v>
      </c>
      <c r="C440">
        <v>6020</v>
      </c>
      <c r="D440" t="str">
        <f>INDEX(Define!Q:Q,MATCH(C440,Define!P:P))</f>
        <v>FeatureのParam2を指定値に上書き</v>
      </c>
      <c r="E440">
        <v>14010</v>
      </c>
      <c r="F440">
        <v>0</v>
      </c>
      <c r="G440">
        <v>2</v>
      </c>
      <c r="H440">
        <v>100</v>
      </c>
    </row>
    <row r="441" spans="1:8">
      <c r="A441">
        <v>414020</v>
      </c>
      <c r="B441" t="str">
        <f>INDEX(TextData!B:B,MATCH(A441,TextData!A:A))</f>
        <v>ライフディバイド+</v>
      </c>
      <c r="C441">
        <v>6010</v>
      </c>
      <c r="D441" t="str">
        <f>INDEX(Define!Q:Q,MATCH(C441,Define!P:P))</f>
        <v>FeatureのParam1を指定値に上書き</v>
      </c>
      <c r="E441">
        <v>14020</v>
      </c>
      <c r="F441">
        <v>0</v>
      </c>
      <c r="G441">
        <v>50</v>
      </c>
      <c r="H441">
        <v>100</v>
      </c>
    </row>
    <row r="442" spans="1:8">
      <c r="A442">
        <v>414030</v>
      </c>
      <c r="B442" t="str">
        <f>INDEX(TextData!B:B,MATCH(A442,TextData!A:A))</f>
        <v>エイミングスコープ+</v>
      </c>
      <c r="C442">
        <v>6030</v>
      </c>
      <c r="D442" t="str">
        <f>INDEX(Define!Q:Q,MATCH(C442,Define!P:P))</f>
        <v>FeatureのParam3を指定値に上書き</v>
      </c>
      <c r="E442">
        <v>14030</v>
      </c>
      <c r="F442">
        <v>0</v>
      </c>
      <c r="G442">
        <v>10</v>
      </c>
      <c r="H442">
        <v>100</v>
      </c>
    </row>
    <row r="443" spans="1:8">
      <c r="A443">
        <v>414040</v>
      </c>
      <c r="B443" t="str">
        <f>INDEX(TextData!B:B,MATCH(A443,TextData!A:A))</f>
        <v>リジェネレーション+</v>
      </c>
      <c r="C443">
        <v>6030</v>
      </c>
      <c r="D443" t="str">
        <f>INDEX(Define!Q:Q,MATCH(C443,Define!P:P))</f>
        <v>FeatureのParam3を指定値に上書き</v>
      </c>
      <c r="E443">
        <v>14040</v>
      </c>
      <c r="F443">
        <v>0</v>
      </c>
      <c r="G443">
        <v>10</v>
      </c>
      <c r="H443">
        <v>100</v>
      </c>
    </row>
    <row r="444" spans="1:8">
      <c r="A444">
        <v>414050</v>
      </c>
      <c r="B444" t="str">
        <f>INDEX(TextData!B:B,MATCH(A444,TextData!A:A))</f>
        <v>ホープフルアイリス+</v>
      </c>
      <c r="C444">
        <v>6030</v>
      </c>
      <c r="D444" t="str">
        <f>INDEX(Define!Q:Q,MATCH(C444,Define!P:P))</f>
        <v>FeatureのParam3を指定値に上書き</v>
      </c>
      <c r="E444">
        <v>14050</v>
      </c>
      <c r="F444">
        <v>0</v>
      </c>
      <c r="G444">
        <v>15</v>
      </c>
      <c r="H444">
        <v>100</v>
      </c>
    </row>
    <row r="445" spans="1:8">
      <c r="A445">
        <v>414060</v>
      </c>
      <c r="B445" t="str">
        <f>INDEX(TextData!B:B,MATCH(A445,TextData!A:A))</f>
        <v>パッシブサプライ+</v>
      </c>
      <c r="C445">
        <v>6010</v>
      </c>
      <c r="D445" t="str">
        <f>INDEX(Define!Q:Q,MATCH(C445,Define!P:P))</f>
        <v>FeatureのParam1を指定値に上書き</v>
      </c>
      <c r="E445">
        <v>14060</v>
      </c>
      <c r="F445">
        <v>1</v>
      </c>
      <c r="G445">
        <v>2</v>
      </c>
      <c r="H445">
        <v>100</v>
      </c>
    </row>
    <row r="446" spans="1:8">
      <c r="A446">
        <v>414070</v>
      </c>
      <c r="B446" t="str">
        <f>INDEX(TextData!B:B,MATCH(A446,TextData!A:A))</f>
        <v>ホーミングクルセイド+</v>
      </c>
      <c r="C446">
        <v>6020</v>
      </c>
      <c r="D446" t="str">
        <f>INDEX(Define!Q:Q,MATCH(C446,Define!P:P))</f>
        <v>FeatureのParam2を指定値に上書き</v>
      </c>
      <c r="E446">
        <v>14070</v>
      </c>
      <c r="F446">
        <v>0</v>
      </c>
      <c r="G446">
        <v>5</v>
      </c>
      <c r="H446">
        <v>100</v>
      </c>
    </row>
    <row r="447" spans="1:8">
      <c r="A447">
        <v>414080</v>
      </c>
      <c r="B447" t="str">
        <f>INDEX(TextData!B:B,MATCH(A447,TextData!A:A))</f>
        <v>クイックヒール+</v>
      </c>
      <c r="C447">
        <v>6010</v>
      </c>
      <c r="D447" t="str">
        <f>INDEX(Define!Q:Q,MATCH(C447,Define!P:P))</f>
        <v>FeatureのParam1を指定値に上書き</v>
      </c>
      <c r="E447">
        <v>14080</v>
      </c>
      <c r="F447">
        <v>0</v>
      </c>
      <c r="G447">
        <v>15</v>
      </c>
      <c r="H447">
        <v>100</v>
      </c>
    </row>
    <row r="448" spans="1:8">
      <c r="A448">
        <v>414090</v>
      </c>
      <c r="B448" t="str">
        <f>INDEX(TextData!B:B,MATCH(A448,TextData!A:A))</f>
        <v>リレイズ+</v>
      </c>
      <c r="C448">
        <v>6080</v>
      </c>
      <c r="D448" t="str">
        <f>INDEX(Define!Q:Q,MATCH(C448,Define!P:P))</f>
        <v>指定魔法のCTリセット値を変更する</v>
      </c>
      <c r="E448">
        <v>14090</v>
      </c>
      <c r="F448">
        <v>0</v>
      </c>
      <c r="G448">
        <v>4</v>
      </c>
      <c r="H448">
        <v>100</v>
      </c>
    </row>
    <row r="449" spans="1:8">
      <c r="A449">
        <v>415010</v>
      </c>
      <c r="B449" t="str">
        <f>INDEX(TextData!B:B,MATCH(A449,TextData!A:A))</f>
        <v>イーグルアイ+</v>
      </c>
      <c r="C449">
        <v>6030</v>
      </c>
      <c r="D449" t="str">
        <f>INDEX(Define!Q:Q,MATCH(C449,Define!P:P))</f>
        <v>FeatureのParam3を指定値に上書き</v>
      </c>
      <c r="E449">
        <v>15010</v>
      </c>
      <c r="F449">
        <v>0</v>
      </c>
      <c r="G449">
        <v>25</v>
      </c>
      <c r="H449">
        <v>100</v>
      </c>
    </row>
    <row r="450" spans="1:8">
      <c r="A450">
        <v>415020</v>
      </c>
      <c r="B450" t="str">
        <f>INDEX(TextData!B:B,MATCH(A450,TextData!A:A))</f>
        <v>ネヴァーエンド+</v>
      </c>
      <c r="C450">
        <v>6030</v>
      </c>
      <c r="D450" t="str">
        <f>INDEX(Define!Q:Q,MATCH(C450,Define!P:P))</f>
        <v>FeatureのParam3を指定値に上書き</v>
      </c>
      <c r="E450">
        <v>15020</v>
      </c>
      <c r="F450">
        <v>0</v>
      </c>
      <c r="G450">
        <v>50</v>
      </c>
      <c r="H450">
        <v>100</v>
      </c>
    </row>
    <row r="451" spans="1:8">
      <c r="A451">
        <v>415030</v>
      </c>
      <c r="B451" t="str">
        <f>INDEX(TextData!B:B,MATCH(A451,TextData!A:A))</f>
        <v>グレイブアクト+</v>
      </c>
      <c r="C451">
        <v>6010</v>
      </c>
      <c r="D451" t="str">
        <f>INDEX(Define!Q:Q,MATCH(C451,Define!P:P))</f>
        <v>FeatureのParam1を指定値に上書き</v>
      </c>
      <c r="E451">
        <v>15030</v>
      </c>
      <c r="F451">
        <v>0</v>
      </c>
      <c r="G451">
        <v>2</v>
      </c>
      <c r="H451">
        <v>100</v>
      </c>
    </row>
    <row r="452" spans="1:8">
      <c r="A452">
        <v>415040</v>
      </c>
      <c r="B452" t="str">
        <f>INDEX(TextData!B:B,MATCH(A452,TextData!A:A))</f>
        <v>スカルグラッジ+</v>
      </c>
      <c r="C452">
        <v>6030</v>
      </c>
      <c r="D452" t="str">
        <f>INDEX(Define!Q:Q,MATCH(C452,Define!P:P))</f>
        <v>FeatureのParam3を指定値に上書き</v>
      </c>
      <c r="E452">
        <v>15040</v>
      </c>
      <c r="F452">
        <v>0</v>
      </c>
      <c r="G452">
        <v>10</v>
      </c>
      <c r="H452">
        <v>100</v>
      </c>
    </row>
    <row r="453" spans="1:8">
      <c r="A453">
        <v>415050</v>
      </c>
      <c r="B453" t="str">
        <f>INDEX(TextData!B:B,MATCH(A453,TextData!A:A))</f>
        <v>ネガティブドレイン+</v>
      </c>
      <c r="C453">
        <v>6030</v>
      </c>
      <c r="D453" t="str">
        <f>INDEX(Define!Q:Q,MATCH(C453,Define!P:P))</f>
        <v>FeatureのParam3を指定値に上書き</v>
      </c>
      <c r="E453">
        <v>15050</v>
      </c>
      <c r="F453">
        <v>0</v>
      </c>
      <c r="G453">
        <v>25</v>
      </c>
      <c r="H453">
        <v>100</v>
      </c>
    </row>
    <row r="454" spans="1:8">
      <c r="A454">
        <v>415060</v>
      </c>
      <c r="B454" t="str">
        <f>INDEX(TextData!B:B,MATCH(A454,TextData!A:A))</f>
        <v>アンデッドペイン+</v>
      </c>
      <c r="C454">
        <v>6030</v>
      </c>
      <c r="D454" t="str">
        <f>INDEX(Define!Q:Q,MATCH(C454,Define!P:P))</f>
        <v>FeatureのParam3を指定値に上書き</v>
      </c>
      <c r="E454">
        <v>15060</v>
      </c>
      <c r="F454">
        <v>0</v>
      </c>
      <c r="G454">
        <v>15</v>
      </c>
      <c r="H454">
        <v>100</v>
      </c>
    </row>
    <row r="455" spans="1:8">
      <c r="A455">
        <v>415070</v>
      </c>
      <c r="B455" t="str">
        <f>INDEX(TextData!B:B,MATCH(A455,TextData!A:A))</f>
        <v>ジャックポッド+</v>
      </c>
      <c r="C455">
        <v>6030</v>
      </c>
      <c r="D455" t="str">
        <f>INDEX(Define!Q:Q,MATCH(C455,Define!P:P))</f>
        <v>FeatureのParam3を指定値に上書き</v>
      </c>
      <c r="E455">
        <v>15070</v>
      </c>
      <c r="F455">
        <v>0</v>
      </c>
      <c r="G455">
        <v>75</v>
      </c>
      <c r="H455">
        <v>100</v>
      </c>
    </row>
    <row r="456" spans="1:8">
      <c r="A456">
        <v>415080</v>
      </c>
      <c r="B456" t="str">
        <f>INDEX(TextData!B:B,MATCH(A456,TextData!A:A))</f>
        <v>ヒールハント+</v>
      </c>
      <c r="C456">
        <v>6030</v>
      </c>
      <c r="D456" t="str">
        <f>INDEX(Define!Q:Q,MATCH(C456,Define!P:P))</f>
        <v>FeatureのParam3を指定値に上書き</v>
      </c>
      <c r="E456">
        <v>15080</v>
      </c>
      <c r="F456">
        <v>0</v>
      </c>
      <c r="G456">
        <v>50</v>
      </c>
      <c r="H456">
        <v>100</v>
      </c>
    </row>
    <row r="457" spans="1:8">
      <c r="A457">
        <v>415090</v>
      </c>
      <c r="B457" t="str">
        <f>INDEX(TextData!B:B,MATCH(A457,TextData!A:A))</f>
        <v>クイックカース+</v>
      </c>
      <c r="C457">
        <v>6030</v>
      </c>
      <c r="D457" t="str">
        <f>INDEX(Define!Q:Q,MATCH(C457,Define!P:P))</f>
        <v>FeatureのParam3を指定値に上書き</v>
      </c>
      <c r="E457">
        <v>15090</v>
      </c>
      <c r="F457">
        <v>0</v>
      </c>
      <c r="G457">
        <v>35</v>
      </c>
      <c r="H457">
        <v>100</v>
      </c>
    </row>
    <row r="458" spans="1:8">
      <c r="A458">
        <v>501010</v>
      </c>
      <c r="B458" t="str">
        <f>INDEX(TextData!B:B,MATCH(A458,TextData!A:A))</f>
        <v>火傷耐性+20%</v>
      </c>
      <c r="C458">
        <v>3010</v>
      </c>
      <c r="D458" t="str">
        <f>INDEX(Define!Q:Q,MATCH(C458,Define!P:P))</f>
        <v>ステート付与</v>
      </c>
      <c r="E458">
        <v>1210</v>
      </c>
      <c r="F458">
        <v>999</v>
      </c>
      <c r="G458">
        <v>20</v>
      </c>
      <c r="H458">
        <v>100</v>
      </c>
    </row>
    <row r="459" spans="1:8">
      <c r="A459">
        <v>501020</v>
      </c>
      <c r="B459" t="str">
        <f>INDEX(TextData!B:B,MATCH(A459,TextData!A:A))</f>
        <v>命中率+5%</v>
      </c>
      <c r="C459">
        <v>14010</v>
      </c>
      <c r="D459" t="str">
        <f>INDEX(Define!Q:Q,MATCH(C459,Define!P:P))</f>
        <v>Param1のステータスをParam3アップ</v>
      </c>
      <c r="E459">
        <v>11</v>
      </c>
      <c r="F459">
        <v>0</v>
      </c>
      <c r="G459">
        <v>5</v>
      </c>
      <c r="H459">
        <v>100</v>
      </c>
    </row>
    <row r="460" spans="1:8">
      <c r="A460">
        <v>501030</v>
      </c>
      <c r="B460" t="str">
        <f>INDEX(TextData!B:B,MATCH(A460,TextData!A:A))</f>
        <v>最大HP+2</v>
      </c>
      <c r="C460">
        <v>14010</v>
      </c>
      <c r="D460" t="str">
        <f>INDEX(Define!Q:Q,MATCH(C460,Define!P:P))</f>
        <v>Param1のステータスをParam3アップ</v>
      </c>
      <c r="E460">
        <v>0</v>
      </c>
      <c r="F460">
        <v>0</v>
      </c>
      <c r="G460">
        <v>2</v>
      </c>
      <c r="H460">
        <v>100</v>
      </c>
    </row>
    <row r="461" spans="1:8">
      <c r="A461">
        <v>501040</v>
      </c>
      <c r="B461" t="str">
        <f>INDEX(TextData!B:B,MATCH(A461,TextData!A:A))</f>
        <v>ATK+2</v>
      </c>
      <c r="C461">
        <v>14010</v>
      </c>
      <c r="D461" t="str">
        <f>INDEX(Define!Q:Q,MATCH(C461,Define!P:P))</f>
        <v>Param1のステータスをParam3アップ</v>
      </c>
      <c r="E461">
        <v>2</v>
      </c>
      <c r="F461">
        <v>0</v>
      </c>
      <c r="G461">
        <v>2</v>
      </c>
      <c r="H461">
        <v>100</v>
      </c>
    </row>
    <row r="462" spans="1:8">
      <c r="A462">
        <v>501110</v>
      </c>
      <c r="B462" t="str">
        <f>INDEX(TextData!B:B,MATCH(A462,TextData!A:A))</f>
        <v>DEF+2</v>
      </c>
      <c r="C462">
        <v>14010</v>
      </c>
      <c r="D462" t="str">
        <f>INDEX(Define!Q:Q,MATCH(C462,Define!P:P))</f>
        <v>Param1のステータスをParam3アップ</v>
      </c>
      <c r="E462">
        <v>3</v>
      </c>
      <c r="F462">
        <v>0</v>
      </c>
      <c r="G462">
        <v>2</v>
      </c>
      <c r="H462">
        <v>100</v>
      </c>
    </row>
    <row r="463" spans="1:8">
      <c r="A463">
        <v>501120</v>
      </c>
      <c r="B463" t="str">
        <f>INDEX(TextData!B:B,MATCH(A463,TextData!A:A))</f>
        <v>命中率+10%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10</v>
      </c>
      <c r="H463">
        <v>100</v>
      </c>
    </row>
    <row r="464" spans="1:8">
      <c r="A464">
        <v>501130</v>
      </c>
      <c r="B464" t="str">
        <f>INDEX(TextData!B:B,MATCH(A464,TextData!A:A))</f>
        <v>SPD+2</v>
      </c>
      <c r="C464">
        <v>14010</v>
      </c>
      <c r="D464" t="str">
        <f>INDEX(Define!Q:Q,MATCH(C464,Define!P:P))</f>
        <v>Param1のステータスをParam3アップ</v>
      </c>
      <c r="E464">
        <v>4</v>
      </c>
      <c r="F464">
        <v>0</v>
      </c>
      <c r="G464">
        <v>2</v>
      </c>
      <c r="H464">
        <v>100</v>
      </c>
    </row>
    <row r="465" spans="1:8">
      <c r="A465">
        <v>502010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502020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502030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502040</v>
      </c>
      <c r="B468" t="str">
        <f>INDEX(TextData!B:B,MATCH(A468,TextData!A:A))</f>
        <v>回避率+5%</v>
      </c>
      <c r="C468">
        <v>14010</v>
      </c>
      <c r="D468" t="str">
        <f>INDEX(Define!Q:Q,MATCH(C468,Define!P:P))</f>
        <v>Param1のステータスをParam3アップ</v>
      </c>
      <c r="E468">
        <v>12</v>
      </c>
      <c r="F468">
        <v>0</v>
      </c>
      <c r="G468">
        <v>5</v>
      </c>
      <c r="H468">
        <v>100</v>
      </c>
    </row>
    <row r="469" spans="1:8">
      <c r="A469">
        <v>502110</v>
      </c>
      <c r="B469" t="str">
        <f>INDEX(TextData!B:B,MATCH(A469,TextData!A:A))</f>
        <v>会心ダメージ率+25%</v>
      </c>
      <c r="C469">
        <v>3010</v>
      </c>
      <c r="D469" t="str">
        <f>INDEX(Define!Q:Q,MATCH(C469,Define!P:P))</f>
        <v>ステート付与</v>
      </c>
      <c r="E469">
        <v>1074</v>
      </c>
      <c r="F469">
        <v>999</v>
      </c>
      <c r="G469">
        <v>25</v>
      </c>
      <c r="H469">
        <v>100</v>
      </c>
    </row>
    <row r="470" spans="1:8">
      <c r="A470">
        <v>502120</v>
      </c>
      <c r="B470" t="str">
        <f>INDEX(TextData!B:B,MATCH(A470,TextData!A:A))</f>
        <v>命中率+5%</v>
      </c>
      <c r="C470">
        <v>14010</v>
      </c>
      <c r="D470" t="str">
        <f>INDEX(Define!Q:Q,MATCH(C470,Define!P:P))</f>
        <v>Param1のステータスをParam3アップ</v>
      </c>
      <c r="E470">
        <v>11</v>
      </c>
      <c r="F470">
        <v>0</v>
      </c>
      <c r="G470">
        <v>5</v>
      </c>
      <c r="H470">
        <v>100</v>
      </c>
    </row>
    <row r="471" spans="1:8">
      <c r="A471">
        <v>502121</v>
      </c>
      <c r="B471" t="str">
        <f>INDEX(TextData!B:B,MATCH(A471,TextData!A:A))</f>
        <v>回避率+5%</v>
      </c>
      <c r="C471">
        <v>14010</v>
      </c>
      <c r="D471" t="str">
        <f>INDEX(Define!Q:Q,MATCH(C471,Define!P:P))</f>
        <v>Param1のステータスをParam3アップ</v>
      </c>
      <c r="E471">
        <v>12</v>
      </c>
      <c r="F471">
        <v>0</v>
      </c>
      <c r="G471">
        <v>5</v>
      </c>
      <c r="H471">
        <v>100</v>
      </c>
    </row>
    <row r="472" spans="1:8">
      <c r="A472">
        <v>502130</v>
      </c>
      <c r="B472" t="str">
        <f>INDEX(TextData!B:B,MATCH(A472,TextData!A:A))</f>
        <v>SPD+2</v>
      </c>
      <c r="C472">
        <v>14010</v>
      </c>
      <c r="D472" t="str">
        <f>INDEX(Define!Q:Q,MATCH(C472,Define!P:P))</f>
        <v>Param1のステータスをParam3アップ</v>
      </c>
      <c r="E472">
        <v>4</v>
      </c>
      <c r="F472">
        <v>0</v>
      </c>
      <c r="G472">
        <v>2</v>
      </c>
      <c r="H472">
        <v>100</v>
      </c>
    </row>
    <row r="473" spans="1:8">
      <c r="A473">
        <v>503010</v>
      </c>
      <c r="B473" t="str">
        <f>INDEX(TextData!B:B,MATCH(A473,TextData!A:A))</f>
        <v>DEF+1</v>
      </c>
      <c r="C473">
        <v>14010</v>
      </c>
      <c r="D473" t="str">
        <f>INDEX(Define!Q:Q,MATCH(C473,Define!P:P))</f>
        <v>Param1のステータスをParam3アップ</v>
      </c>
      <c r="E473">
        <v>3</v>
      </c>
      <c r="F473">
        <v>0</v>
      </c>
      <c r="G473">
        <v>1</v>
      </c>
      <c r="H473">
        <v>100</v>
      </c>
    </row>
    <row r="474" spans="1:8">
      <c r="A474">
        <v>503020</v>
      </c>
      <c r="B474" t="str">
        <f>INDEX(TextData!B:B,MATCH(A474,TextData!A:A))</f>
        <v>凍結耐性+20%</v>
      </c>
      <c r="C474">
        <v>3010</v>
      </c>
      <c r="D474" t="str">
        <f>INDEX(Define!Q:Q,MATCH(C474,Define!P:P))</f>
        <v>ステート付与</v>
      </c>
      <c r="E474">
        <v>1220</v>
      </c>
      <c r="F474">
        <v>999</v>
      </c>
      <c r="G474">
        <v>20</v>
      </c>
      <c r="H474">
        <v>100</v>
      </c>
    </row>
    <row r="475" spans="1:8">
      <c r="A475">
        <v>503030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503040</v>
      </c>
      <c r="B476" t="str">
        <f>INDEX(TextData!B:B,MATCH(A476,TextData!A:A))</f>
        <v>DEF+2</v>
      </c>
      <c r="C476">
        <v>14010</v>
      </c>
      <c r="D476" t="str">
        <f>INDEX(Define!Q:Q,MATCH(C476,Define!P:P))</f>
        <v>Param1のステータスをParam3アップ</v>
      </c>
      <c r="E476">
        <v>3</v>
      </c>
      <c r="F476">
        <v>0</v>
      </c>
      <c r="G476">
        <v>2</v>
      </c>
      <c r="H476">
        <v>100</v>
      </c>
    </row>
    <row r="477" spans="1:8">
      <c r="A477">
        <v>503110</v>
      </c>
      <c r="B477" t="str">
        <f>INDEX(TextData!B:B,MATCH(A477,TextData!A:A))</f>
        <v>DEF+2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2</v>
      </c>
      <c r="H477">
        <v>100</v>
      </c>
    </row>
    <row r="478" spans="1:8">
      <c r="A478">
        <v>503120</v>
      </c>
      <c r="B478" t="str">
        <f>INDEX(TextData!B:B,MATCH(A478,TextData!A:A))</f>
        <v>ATK+2</v>
      </c>
      <c r="C478">
        <v>14010</v>
      </c>
      <c r="D478" t="str">
        <f>INDEX(Define!Q:Q,MATCH(C478,Define!P:P))</f>
        <v>Param1のステータスをParam3アップ</v>
      </c>
      <c r="E478">
        <v>2</v>
      </c>
      <c r="F478">
        <v>0</v>
      </c>
      <c r="G478">
        <v>2</v>
      </c>
      <c r="H478">
        <v>100</v>
      </c>
    </row>
    <row r="479" spans="1:8">
      <c r="A479">
        <v>503130</v>
      </c>
      <c r="B479" t="str">
        <f>INDEX(TextData!B:B,MATCH(A479,TextData!A:A))</f>
        <v>ダメージ軽減効果無視+10%</v>
      </c>
      <c r="C479">
        <v>3010</v>
      </c>
      <c r="D479" t="str">
        <f>INDEX(Define!Q:Q,MATCH(C479,Define!P:P))</f>
        <v>ステート付与</v>
      </c>
      <c r="E479">
        <v>2500</v>
      </c>
      <c r="F479">
        <v>999</v>
      </c>
      <c r="G479">
        <v>10</v>
      </c>
      <c r="H479">
        <v>100</v>
      </c>
    </row>
    <row r="480" spans="1:8">
      <c r="A480">
        <v>504010</v>
      </c>
      <c r="B480" t="str">
        <f>INDEX(TextData!B:B,MATCH(A480,TextData!A:A))</f>
        <v>Hp回復効果+2</v>
      </c>
      <c r="C480">
        <v>3010</v>
      </c>
      <c r="D480" t="str">
        <f>INDEX(Define!Q:Q,MATCH(C480,Define!P:P))</f>
        <v>ステート付与</v>
      </c>
      <c r="E480">
        <v>2460</v>
      </c>
      <c r="F480">
        <v>999</v>
      </c>
      <c r="G480">
        <v>2</v>
      </c>
      <c r="H480">
        <v>100</v>
      </c>
    </row>
    <row r="481" spans="1:8">
      <c r="A481">
        <v>504020</v>
      </c>
      <c r="B481" t="str">
        <f>INDEX(TextData!B:B,MATCH(A481,TextData!A:A))</f>
        <v>SPD+1</v>
      </c>
      <c r="C481">
        <v>14010</v>
      </c>
      <c r="D481" t="str">
        <f>INDEX(Define!Q:Q,MATCH(C481,Define!P:P))</f>
        <v>Param1のステータスをParam3アップ</v>
      </c>
      <c r="E481">
        <v>4</v>
      </c>
      <c r="F481">
        <v>0</v>
      </c>
      <c r="G481">
        <v>1</v>
      </c>
      <c r="H481">
        <v>100</v>
      </c>
    </row>
    <row r="482" spans="1:8">
      <c r="A482">
        <v>504030</v>
      </c>
      <c r="B482" t="str">
        <f>INDEX(TextData!B:B,MATCH(A482,TextData!A:A))</f>
        <v>命中率+5%</v>
      </c>
      <c r="C482">
        <v>14010</v>
      </c>
      <c r="D482" t="str">
        <f>INDEX(Define!Q:Q,MATCH(C482,Define!P:P))</f>
        <v>Param1のステータスをParam3アップ</v>
      </c>
      <c r="E482">
        <v>11</v>
      </c>
      <c r="F482">
        <v>0</v>
      </c>
      <c r="G482">
        <v>5</v>
      </c>
      <c r="H482">
        <v>100</v>
      </c>
    </row>
    <row r="483" spans="1:8">
      <c r="A483">
        <v>504040</v>
      </c>
      <c r="B483" t="str">
        <f>INDEX(TextData!B:B,MATCH(A483,TextData!A:A))</f>
        <v>最大HP+2</v>
      </c>
      <c r="C483">
        <v>14010</v>
      </c>
      <c r="D483" t="str">
        <f>INDEX(Define!Q:Q,MATCH(C483,Define!P:P))</f>
        <v>Param1のステータスをParam3アップ</v>
      </c>
      <c r="E483">
        <v>0</v>
      </c>
      <c r="F483">
        <v>0</v>
      </c>
      <c r="G483">
        <v>2</v>
      </c>
      <c r="H483">
        <v>100</v>
      </c>
    </row>
    <row r="484" spans="1:8">
      <c r="A484">
        <v>504110</v>
      </c>
      <c r="B484" t="str">
        <f>INDEX(TextData!B:B,MATCH(A484,TextData!A:A))</f>
        <v>命中率+10%</v>
      </c>
      <c r="C484">
        <v>14010</v>
      </c>
      <c r="D484" t="str">
        <f>INDEX(Define!Q:Q,MATCH(C484,Define!P:P))</f>
        <v>Param1のステータスをParam3アップ</v>
      </c>
      <c r="E484">
        <v>11</v>
      </c>
      <c r="F484">
        <v>0</v>
      </c>
      <c r="G484">
        <v>10</v>
      </c>
      <c r="H484">
        <v>100</v>
      </c>
    </row>
    <row r="485" spans="1:8">
      <c r="A485">
        <v>504120</v>
      </c>
      <c r="B485" t="str">
        <f>INDEX(TextData!B:B,MATCH(A485,TextData!A:A))</f>
        <v>最大HP+2</v>
      </c>
      <c r="C485">
        <v>14010</v>
      </c>
      <c r="D485" t="str">
        <f>INDEX(Define!Q:Q,MATCH(C485,Define!P:P))</f>
        <v>Param1のステータスをParam3アップ</v>
      </c>
      <c r="E485">
        <v>0</v>
      </c>
      <c r="F485">
        <v>0</v>
      </c>
      <c r="G485">
        <v>2</v>
      </c>
      <c r="H485">
        <v>100</v>
      </c>
    </row>
    <row r="486" spans="1:8">
      <c r="A486">
        <v>504130</v>
      </c>
      <c r="B486" t="str">
        <f>INDEX(TextData!B:B,MATCH(A486,TextData!A:A))</f>
        <v>ダメージ軽減効果無視+10%</v>
      </c>
      <c r="C486">
        <v>3010</v>
      </c>
      <c r="D486" t="str">
        <f>INDEX(Define!Q:Q,MATCH(C486,Define!P:P))</f>
        <v>ステート付与</v>
      </c>
      <c r="E486">
        <v>2500</v>
      </c>
      <c r="F486">
        <v>999</v>
      </c>
      <c r="G486">
        <v>10</v>
      </c>
      <c r="H486">
        <v>100</v>
      </c>
    </row>
    <row r="487" spans="1:8">
      <c r="A487">
        <v>505010</v>
      </c>
      <c r="B487" t="str">
        <f>INDEX(TextData!B:B,MATCH(A487,TextData!A:A))</f>
        <v>回避率+5%</v>
      </c>
      <c r="C487">
        <v>14010</v>
      </c>
      <c r="D487" t="str">
        <f>INDEX(Define!Q:Q,MATCH(C487,Define!P:P))</f>
        <v>Param1のステータスをParam3アップ</v>
      </c>
      <c r="E487">
        <v>12</v>
      </c>
      <c r="F487">
        <v>0</v>
      </c>
      <c r="G487">
        <v>5</v>
      </c>
      <c r="H487">
        <v>100</v>
      </c>
    </row>
    <row r="488" spans="1:8">
      <c r="A488">
        <v>505020</v>
      </c>
      <c r="B488" t="str">
        <f>INDEX(TextData!B:B,MATCH(A488,TextData!A:A))</f>
        <v>SPD+1</v>
      </c>
      <c r="C488">
        <v>14010</v>
      </c>
      <c r="D488" t="str">
        <f>INDEX(Define!Q:Q,MATCH(C488,Define!P:P))</f>
        <v>Param1のステータスをParam3アップ</v>
      </c>
      <c r="E488">
        <v>4</v>
      </c>
      <c r="F488">
        <v>0</v>
      </c>
      <c r="G488">
        <v>1</v>
      </c>
      <c r="H488">
        <v>100</v>
      </c>
    </row>
    <row r="489" spans="1:8">
      <c r="A489">
        <v>505030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505040</v>
      </c>
      <c r="B490" t="str">
        <f>INDEX(TextData!B:B,MATCH(A490,TextData!A:A))</f>
        <v>ATK+1</v>
      </c>
      <c r="C490">
        <v>14010</v>
      </c>
      <c r="D490" t="str">
        <f>INDEX(Define!Q:Q,MATCH(C490,Define!P:P))</f>
        <v>Param1のステータスをParam3アップ</v>
      </c>
      <c r="E490">
        <v>2</v>
      </c>
      <c r="F490">
        <v>0</v>
      </c>
      <c r="G490">
        <v>1</v>
      </c>
      <c r="H490">
        <v>100</v>
      </c>
    </row>
    <row r="491" spans="1:8">
      <c r="A491">
        <v>505110</v>
      </c>
      <c r="B491" t="str">
        <f>INDEX(TextData!B:B,MATCH(A491,TextData!A:A))</f>
        <v>命中率+5%</v>
      </c>
      <c r="C491">
        <v>14010</v>
      </c>
      <c r="D491" t="str">
        <f>INDEX(Define!Q:Q,MATCH(C491,Define!P:P))</f>
        <v>Param1のステータスをParam3アップ</v>
      </c>
      <c r="E491">
        <v>11</v>
      </c>
      <c r="F491">
        <v>0</v>
      </c>
      <c r="G491">
        <v>5</v>
      </c>
      <c r="H491">
        <v>100</v>
      </c>
    </row>
    <row r="492" spans="1:8">
      <c r="A492">
        <v>505111</v>
      </c>
      <c r="B492" t="str">
        <f>INDEX(TextData!B:B,MATCH(A492,TextData!A:A))</f>
        <v>回避率+5%</v>
      </c>
      <c r="C492">
        <v>14010</v>
      </c>
      <c r="D492" t="str">
        <f>INDEX(Define!Q:Q,MATCH(C492,Define!P:P))</f>
        <v>Param1のステータスをParam3アップ</v>
      </c>
      <c r="E492">
        <v>12</v>
      </c>
      <c r="F492">
        <v>0</v>
      </c>
      <c r="G492">
        <v>5</v>
      </c>
      <c r="H492">
        <v>100</v>
      </c>
    </row>
    <row r="493" spans="1:8">
      <c r="A493">
        <v>505120</v>
      </c>
      <c r="B493" t="str">
        <f>INDEX(TextData!B:B,MATCH(A493,TextData!A:A))</f>
        <v>ATK+1</v>
      </c>
      <c r="C493">
        <v>14010</v>
      </c>
      <c r="D493" t="str">
        <f>INDEX(Define!Q:Q,MATCH(C493,Define!P:P))</f>
        <v>Param1のステータスをParam3アップ</v>
      </c>
      <c r="E493">
        <v>2</v>
      </c>
      <c r="F493">
        <v>0</v>
      </c>
      <c r="G493">
        <v>1</v>
      </c>
      <c r="H493">
        <v>100</v>
      </c>
    </row>
    <row r="494" spans="1:8">
      <c r="A494">
        <v>505121</v>
      </c>
      <c r="B494" t="str">
        <f>INDEX(TextData!B:B,MATCH(A494,TextData!A:A))</f>
        <v>SPD+1</v>
      </c>
      <c r="C494">
        <v>14010</v>
      </c>
      <c r="D494" t="str">
        <f>INDEX(Define!Q:Q,MATCH(C494,Define!P:P))</f>
        <v>Param1のステータスをParam3アップ</v>
      </c>
      <c r="E494">
        <v>4</v>
      </c>
      <c r="F494">
        <v>0</v>
      </c>
      <c r="G494">
        <v>1</v>
      </c>
      <c r="H494">
        <v>100</v>
      </c>
    </row>
    <row r="495" spans="1:8">
      <c r="A495">
        <v>505130</v>
      </c>
      <c r="B495" t="str">
        <f>INDEX(TextData!B:B,MATCH(A495,TextData!A:A))</f>
        <v>SPD+2</v>
      </c>
      <c r="C495">
        <v>14010</v>
      </c>
      <c r="D495" t="str">
        <f>INDEX(Define!Q:Q,MATCH(C495,Define!P:P))</f>
        <v>Param1のステータスをParam3アップ</v>
      </c>
      <c r="E495">
        <v>4</v>
      </c>
      <c r="F495">
        <v>0</v>
      </c>
      <c r="G495">
        <v>1</v>
      </c>
      <c r="H495">
        <v>100</v>
      </c>
    </row>
    <row r="496" spans="1:8">
      <c r="A496">
        <v>506010</v>
      </c>
      <c r="B496" t="str">
        <f>INDEX(TextData!B:B,MATCH(A496,TextData!A:A))</f>
        <v>最大HP+3</v>
      </c>
      <c r="C496">
        <v>14010</v>
      </c>
      <c r="D496" t="str">
        <f>INDEX(Define!Q:Q,MATCH(C496,Define!P:P))</f>
        <v>Param1のステータスをParam3アップ</v>
      </c>
      <c r="E496">
        <v>0</v>
      </c>
      <c r="F496">
        <v>0</v>
      </c>
      <c r="G496">
        <v>3</v>
      </c>
      <c r="H496">
        <v>100</v>
      </c>
    </row>
    <row r="497" spans="1:8">
      <c r="A497">
        <v>506011</v>
      </c>
      <c r="B497" t="str">
        <f>INDEX(TextData!B:B,MATCH(A497,TextData!A:A))</f>
        <v>DEF+1</v>
      </c>
      <c r="C497">
        <v>14010</v>
      </c>
      <c r="D497" t="str">
        <f>INDEX(Define!Q:Q,MATCH(C497,Define!P:P))</f>
        <v>Param1のステータスをParam3アップ</v>
      </c>
      <c r="E497">
        <v>3</v>
      </c>
      <c r="F497">
        <v>0</v>
      </c>
      <c r="G497">
        <v>1</v>
      </c>
      <c r="H497">
        <v>100</v>
      </c>
    </row>
    <row r="498" spans="1:8">
      <c r="A498">
        <v>506012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506013</v>
      </c>
      <c r="B499" t="str">
        <f>INDEX(TextData!B:B,MATCH(A499,TextData!A:A))</f>
        <v>EXP+20%</v>
      </c>
      <c r="C499">
        <v>40020</v>
      </c>
      <c r="D499" t="str">
        <f>INDEX(Define!Q:Q,MATCH(C499,Define!P:P))</f>
        <v>獲得Eｘｐ％アップ</v>
      </c>
      <c r="E499">
        <v>20</v>
      </c>
      <c r="F499">
        <v>0</v>
      </c>
      <c r="G499">
        <v>0</v>
      </c>
      <c r="H499">
        <v>100</v>
      </c>
    </row>
    <row r="500" spans="1:8">
      <c r="A500">
        <v>506020</v>
      </c>
      <c r="B500" t="str">
        <f>INDEX(TextData!B:B,MATCH(A500,TextData!A:A))</f>
        <v>炎属性耐性+20%</v>
      </c>
      <c r="C500">
        <v>3010</v>
      </c>
      <c r="D500" t="str">
        <f>INDEX(Define!Q:Q,MATCH(C500,Define!P:P))</f>
        <v>ステート付与</v>
      </c>
      <c r="E500">
        <v>1310</v>
      </c>
      <c r="F500">
        <v>0</v>
      </c>
      <c r="G500">
        <v>20</v>
      </c>
      <c r="H500">
        <v>100</v>
      </c>
    </row>
    <row r="501" spans="1:8">
      <c r="A501">
        <v>506030</v>
      </c>
      <c r="B501" t="str">
        <f>INDEX(TextData!B:B,MATCH(A501,TextData!A:A))</f>
        <v>雷属性耐性+20%</v>
      </c>
      <c r="C501">
        <v>3010</v>
      </c>
      <c r="D501" t="str">
        <f>INDEX(Define!Q:Q,MATCH(C501,Define!P:P))</f>
        <v>ステート付与</v>
      </c>
      <c r="E501">
        <v>1320</v>
      </c>
      <c r="F501">
        <v>0</v>
      </c>
      <c r="G501">
        <v>20</v>
      </c>
      <c r="H501">
        <v>100</v>
      </c>
    </row>
    <row r="502" spans="1:8">
      <c r="A502">
        <v>506040</v>
      </c>
      <c r="B502" t="str">
        <f>INDEX(TextData!B:B,MATCH(A502,TextData!A:A))</f>
        <v>氷属性耐性+20%</v>
      </c>
      <c r="C502">
        <v>3010</v>
      </c>
      <c r="D502" t="str">
        <f>INDEX(Define!Q:Q,MATCH(C502,Define!P:P))</f>
        <v>ステート付与</v>
      </c>
      <c r="E502">
        <v>1330</v>
      </c>
      <c r="F502">
        <v>0</v>
      </c>
      <c r="G502">
        <v>20</v>
      </c>
      <c r="H502">
        <v>100</v>
      </c>
    </row>
    <row r="503" spans="1:8">
      <c r="A503">
        <v>506050</v>
      </c>
      <c r="B503" t="str">
        <f>INDEX(TextData!B:B,MATCH(A503,TextData!A:A))</f>
        <v>光属性耐性+20%</v>
      </c>
      <c r="C503">
        <v>3010</v>
      </c>
      <c r="D503" t="str">
        <f>INDEX(Define!Q:Q,MATCH(C503,Define!P:P))</f>
        <v>ステート付与</v>
      </c>
      <c r="E503">
        <v>1340</v>
      </c>
      <c r="F503">
        <v>0</v>
      </c>
      <c r="G503">
        <v>20</v>
      </c>
      <c r="H503">
        <v>100</v>
      </c>
    </row>
    <row r="504" spans="1:8">
      <c r="A504">
        <v>506060</v>
      </c>
      <c r="B504" t="str">
        <f>INDEX(TextData!B:B,MATCH(A504,TextData!A:A))</f>
        <v>闇属性耐性+20%</v>
      </c>
      <c r="C504">
        <v>3010</v>
      </c>
      <c r="D504" t="str">
        <f>INDEX(Define!Q:Q,MATCH(C504,Define!P:P))</f>
        <v>ステート付与</v>
      </c>
      <c r="E504">
        <v>1350</v>
      </c>
      <c r="F504">
        <v>0</v>
      </c>
      <c r="G504">
        <v>20</v>
      </c>
      <c r="H504">
        <v>100</v>
      </c>
    </row>
    <row r="505" spans="1:8">
      <c r="A505">
        <v>507010</v>
      </c>
      <c r="B505" t="str">
        <f>INDEX(TextData!B:B,MATCH(A505,TextData!A:A))</f>
        <v>獲得Exp+30%</v>
      </c>
      <c r="C505">
        <v>40020</v>
      </c>
      <c r="D505" t="str">
        <f>INDEX(Define!Q:Q,MATCH(C505,Define!P:P))</f>
        <v>獲得Eｘｐ％アップ</v>
      </c>
      <c r="E505">
        <v>30</v>
      </c>
      <c r="F505">
        <v>0</v>
      </c>
      <c r="G505">
        <v>0</v>
      </c>
      <c r="H505">
        <v>100</v>
      </c>
    </row>
    <row r="506" spans="1:8">
      <c r="A506">
        <v>507020</v>
      </c>
      <c r="B506" t="str">
        <f>INDEX(TextData!B:B,MATCH(A506,TextData!A:A))</f>
        <v>ATK⇔DEF交換</v>
      </c>
      <c r="C506">
        <v>14080</v>
      </c>
      <c r="D506" t="str">
        <f>INDEX(Define!Q:Q,MATCH(C506,Define!P:P))</f>
        <v>Param1とParam2のステータス値を交換する</v>
      </c>
      <c r="E506">
        <v>2</v>
      </c>
      <c r="F506">
        <v>3</v>
      </c>
      <c r="G506">
        <v>0</v>
      </c>
      <c r="H50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9"/>
  <sheetViews>
    <sheetView zoomScale="115" zoomScaleNormal="115" topLeftCell="A85" workbookViewId="0">
      <selection activeCell="A104" sqref="A10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13140</v>
      </c>
      <c r="B60" t="str">
        <f>INDEX(TextData!B:B,MATCH(A60,TextData!A:A))</f>
        <v>クイックバリア</v>
      </c>
      <c r="C60">
        <v>12060</v>
      </c>
      <c r="D60" t="str">
        <f>INDEX(Define!V:V,MATCH(C60,Define!U:U))</f>
        <v>味方が攻撃を受ける。Param2で対象指定</v>
      </c>
      <c r="E60">
        <v>31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1</v>
      </c>
    </row>
    <row r="70" spans="1:8">
      <c r="A70">
        <v>14010</v>
      </c>
      <c r="B70" t="str">
        <f>INDEX(TextData!B:B,MATCH(A70,TextData!A:A))</f>
        <v>ファーストエイド</v>
      </c>
      <c r="C70">
        <v>11011</v>
      </c>
      <c r="D70" t="str">
        <f>INDEX(Define!V:V,MATCH(C70,Define!U:U))</f>
        <v>Period中使用回数が〇以下</v>
      </c>
      <c r="E70">
        <v>0</v>
      </c>
      <c r="F70">
        <v>5</v>
      </c>
      <c r="G70">
        <v>0</v>
      </c>
      <c r="H70">
        <v>0</v>
      </c>
    </row>
    <row r="71" spans="1:8">
      <c r="A71">
        <v>14020</v>
      </c>
      <c r="B71" t="str">
        <f>INDEX(TextData!B:B,MATCH(A71,TextData!A:A))</f>
        <v>クイックヒール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14020</v>
      </c>
      <c r="B72" t="str">
        <f>INDEX(TextData!B:B,MATCH(A72,TextData!A:A))</f>
        <v>クイックヒール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14020</v>
      </c>
      <c r="B73" t="str">
        <f>INDEX(TextData!B:B,MATCH(A73,TextData!A:A))</f>
        <v>クイックヒール</v>
      </c>
      <c r="C73">
        <v>11011</v>
      </c>
      <c r="D73" t="str">
        <f>INDEX(Define!V:V,MATCH(C73,Define!U:U))</f>
        <v>Period中使用回数が〇以下</v>
      </c>
      <c r="E73">
        <v>0</v>
      </c>
      <c r="F73">
        <v>5</v>
      </c>
      <c r="G73">
        <v>0</v>
      </c>
      <c r="H73">
        <v>0</v>
      </c>
    </row>
    <row r="74" spans="1:8">
      <c r="A74">
        <v>14030</v>
      </c>
      <c r="B74" t="str">
        <f>INDEX(TextData!B:B,MATCH(A74,TextData!A:A))</f>
        <v>ガードバインド</v>
      </c>
      <c r="C74">
        <v>15010</v>
      </c>
      <c r="D74" t="str">
        <f>INDEX(Define!V:V,MATCH(C74,Define!U:U))</f>
        <v>自身が攻撃タイプの行動をしようとしている</v>
      </c>
      <c r="E74">
        <v>21</v>
      </c>
      <c r="F74">
        <v>0</v>
      </c>
      <c r="G74">
        <v>0</v>
      </c>
      <c r="H74">
        <v>0</v>
      </c>
    </row>
    <row r="75" spans="1:8">
      <c r="A75">
        <v>14040</v>
      </c>
      <c r="B75" t="str">
        <f>INDEX(TextData!B:B,MATCH(A75,TextData!A:A))</f>
        <v>ホープフルアイリス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14050</v>
      </c>
      <c r="B76" t="str">
        <f>INDEX(TextData!B:B,MATCH(A76,TextData!A:A))</f>
        <v>キュアパッシブ</v>
      </c>
      <c r="C76">
        <v>12064</v>
      </c>
      <c r="D76" t="str">
        <f>INDEX(Define!V:V,MATCH(C76,Define!U:U))</f>
        <v>味方が状態異常を受ける。Param2で対象指定。Param3でState指定</v>
      </c>
      <c r="E76">
        <v>11</v>
      </c>
      <c r="F76">
        <v>0</v>
      </c>
      <c r="G76">
        <v>0</v>
      </c>
      <c r="H76">
        <v>2090</v>
      </c>
    </row>
    <row r="77" spans="1:8">
      <c r="A77">
        <v>14060</v>
      </c>
      <c r="B77" t="str">
        <f>INDEX(TextData!B:B,MATCH(A77,TextData!A:A))</f>
        <v>パッシブサプライ</v>
      </c>
      <c r="C77">
        <v>12066</v>
      </c>
      <c r="D77" t="str">
        <f>INDEX(Define!V:V,MATCH(C77,Define!U:U))</f>
        <v>自身がパッシブを受ける</v>
      </c>
      <c r="E77">
        <v>61</v>
      </c>
      <c r="F77">
        <v>0</v>
      </c>
      <c r="G77">
        <v>0</v>
      </c>
      <c r="H77">
        <v>1</v>
      </c>
    </row>
    <row r="78" spans="1:8">
      <c r="A78">
        <v>14060</v>
      </c>
      <c r="B78" t="str">
        <f>INDEX(TextData!B:B,MATCH(A78,TextData!A:A))</f>
        <v>パッシブサプライ</v>
      </c>
      <c r="C78">
        <v>11020</v>
      </c>
      <c r="D78" t="str">
        <f>INDEX(Define!V:V,MATCH(C78,Define!U:U))</f>
        <v>ターン中使用回数が〇回に満たない</v>
      </c>
      <c r="E78">
        <v>61</v>
      </c>
      <c r="F78">
        <v>1</v>
      </c>
      <c r="G78">
        <v>0</v>
      </c>
      <c r="H78">
        <v>0</v>
      </c>
    </row>
    <row r="79" spans="1:8">
      <c r="A79">
        <v>14070</v>
      </c>
      <c r="B79" t="str">
        <f>INDEX(TextData!B:B,MATCH(A79,TextData!A:A))</f>
        <v>ホーミングクルセイド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14090</v>
      </c>
      <c r="B80" t="str">
        <f>INDEX(TextData!B:B,MATCH(A80,TextData!A:A))</f>
        <v>リレイズ</v>
      </c>
      <c r="C80">
        <v>20050</v>
      </c>
      <c r="D80" t="str">
        <f>INDEX(Define!V:V,MATCH(C80,Define!U:U))</f>
        <v>自身が戦闘不能になる</v>
      </c>
      <c r="E80">
        <v>31</v>
      </c>
      <c r="F80">
        <v>0</v>
      </c>
      <c r="G80">
        <v>0</v>
      </c>
      <c r="H80">
        <v>0</v>
      </c>
    </row>
    <row r="81" spans="1:8">
      <c r="A81">
        <v>14100</v>
      </c>
      <c r="B81" t="str">
        <f>INDEX(TextData!B:B,MATCH(A81,TextData!A:A))</f>
        <v>ファストヒール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14110</v>
      </c>
      <c r="B82" t="str">
        <f>INDEX(TextData!B:B,MATCH(A82,TextData!A:A))</f>
        <v>リフレッシュ</v>
      </c>
      <c r="C82">
        <v>12064</v>
      </c>
      <c r="D82" t="str">
        <f>INDEX(Define!V:V,MATCH(C82,Define!U:U))</f>
        <v>味方が状態異常を受ける。Param2で対象指定。Param3でState指定</v>
      </c>
      <c r="E82">
        <v>61</v>
      </c>
      <c r="F82">
        <v>0</v>
      </c>
      <c r="G82">
        <v>0</v>
      </c>
      <c r="H82">
        <v>0</v>
      </c>
    </row>
    <row r="83" spans="1:8">
      <c r="A83">
        <v>14120</v>
      </c>
      <c r="B83" t="str">
        <f>INDEX(TextData!B:B,MATCH(A83,TextData!A:A))</f>
        <v>ファストメディック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14130</v>
      </c>
      <c r="B84" t="str">
        <f>INDEX(TextData!B:B,MATCH(A84,TextData!A:A))</f>
        <v>ディバインシールド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14140</v>
      </c>
      <c r="B85" t="str">
        <f>INDEX(TextData!B:B,MATCH(A85,TextData!A:A))</f>
        <v>ライフディバイド</v>
      </c>
      <c r="C85">
        <v>12040</v>
      </c>
      <c r="D85" t="str">
        <f>INDEX(Define!V:V,MATCH(C85,Define!U:U))</f>
        <v>攻撃を受けた対象のHpがParam1%以下 Param2==1で生存判定しない</v>
      </c>
      <c r="E85">
        <v>11</v>
      </c>
      <c r="F85">
        <v>100</v>
      </c>
      <c r="G85">
        <v>0</v>
      </c>
      <c r="H85">
        <v>1</v>
      </c>
    </row>
    <row r="86" spans="1:8">
      <c r="A86">
        <v>14140</v>
      </c>
      <c r="B86" t="str">
        <f>INDEX(TextData!B:B,MATCH(A86,TextData!A:A))</f>
        <v>ライフディバイド</v>
      </c>
      <c r="C86">
        <v>1020</v>
      </c>
      <c r="D86" t="str">
        <f>INDEX(Define!V:V,MATCH(C86,Define!U:U))</f>
        <v>自身のHpが〇%以上</v>
      </c>
      <c r="E86">
        <v>11</v>
      </c>
      <c r="F86">
        <v>25</v>
      </c>
      <c r="G86">
        <v>0</v>
      </c>
      <c r="H86">
        <v>1</v>
      </c>
    </row>
    <row r="87" spans="1:8">
      <c r="A87">
        <v>14140</v>
      </c>
      <c r="B87" t="str">
        <f>INDEX(TextData!B:B,MATCH(A87,TextData!A:A))</f>
        <v>ライフディバイド</v>
      </c>
      <c r="C87">
        <v>9120</v>
      </c>
      <c r="D87" t="str">
        <f>INDEX(Define!V:V,MATCH(C87,Define!U:U))</f>
        <v>自身を対象にしない</v>
      </c>
      <c r="E87">
        <v>11</v>
      </c>
      <c r="F87">
        <v>0</v>
      </c>
      <c r="G87">
        <v>0</v>
      </c>
      <c r="H87">
        <v>0</v>
      </c>
    </row>
    <row r="88" spans="1:8">
      <c r="A88">
        <v>14930</v>
      </c>
      <c r="B88" t="str">
        <f>INDEX(TextData!B:B,MATCH(A88,TextData!A:A))</f>
        <v>エイミングスコープ</v>
      </c>
      <c r="C88">
        <v>0</v>
      </c>
      <c r="D88" t="str">
        <f>INDEX(Define!V:V,MATCH(C88,Define!U:U))</f>
        <v>なし</v>
      </c>
      <c r="E88">
        <v>1</v>
      </c>
      <c r="F88">
        <v>0</v>
      </c>
      <c r="G88">
        <v>0</v>
      </c>
      <c r="H88">
        <v>0</v>
      </c>
    </row>
    <row r="89" spans="1:8">
      <c r="A89">
        <v>14940</v>
      </c>
      <c r="B89" t="str">
        <f>INDEX(TextData!B:B,MATCH(A89,TextData!A:A))</f>
        <v>リジェネレーション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15010</v>
      </c>
      <c r="B90" t="str">
        <f>INDEX(TextData!B:B,MATCH(A90,TextData!A:A))</f>
        <v>ワンスパニッシュ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4</v>
      </c>
      <c r="H90">
        <v>1</v>
      </c>
    </row>
    <row r="91" spans="1:8">
      <c r="A91">
        <v>15010</v>
      </c>
      <c r="B91" t="str">
        <f>INDEX(TextData!B:B,MATCH(A91,TextData!A:A))</f>
        <v>ワンスパニッシュ</v>
      </c>
      <c r="C91">
        <v>11010</v>
      </c>
      <c r="D91" t="str">
        <f>INDEX(Define!V:V,MATCH(C91,Define!U:U))</f>
        <v>バトル中使用回数が〇以下</v>
      </c>
      <c r="E91">
        <v>31</v>
      </c>
      <c r="F91">
        <v>1</v>
      </c>
      <c r="G91">
        <v>0</v>
      </c>
      <c r="H91">
        <v>0</v>
      </c>
    </row>
    <row r="92" spans="1:8">
      <c r="A92">
        <v>15020</v>
      </c>
      <c r="B92" t="str">
        <f>INDEX(TextData!B:B,MATCH(A92,TextData!A:A))</f>
        <v>クイックカース</v>
      </c>
      <c r="C92">
        <v>12060</v>
      </c>
      <c r="D92" t="str">
        <f>INDEX(Define!V:V,MATCH(C92,Define!U:U))</f>
        <v>味方が攻撃を受ける。Param2で対象指定</v>
      </c>
      <c r="E92">
        <v>31</v>
      </c>
      <c r="F92">
        <v>0</v>
      </c>
      <c r="G92">
        <v>0</v>
      </c>
      <c r="H92">
        <v>0</v>
      </c>
    </row>
    <row r="93" spans="1:8">
      <c r="A93">
        <v>15030</v>
      </c>
      <c r="B93" t="str">
        <f>INDEX(TextData!B:B,MATCH(A93,TextData!A:A))</f>
        <v>バイタリティ</v>
      </c>
      <c r="C93">
        <v>15010</v>
      </c>
      <c r="D93" t="str">
        <f>INDEX(Define!V:V,MATCH(C93,Define!U:U))</f>
        <v>自身が攻撃タイプの行動をしようとしている</v>
      </c>
      <c r="E93">
        <v>21</v>
      </c>
      <c r="F93">
        <v>0</v>
      </c>
      <c r="G93">
        <v>0</v>
      </c>
      <c r="H93">
        <v>1</v>
      </c>
    </row>
    <row r="94" spans="1:8">
      <c r="A94">
        <v>15030</v>
      </c>
      <c r="B94" t="str">
        <f>INDEX(TextData!B:B,MATCH(A94,TextData!A:A))</f>
        <v>バイタリティ</v>
      </c>
      <c r="C94">
        <v>1020</v>
      </c>
      <c r="D94" t="str">
        <f>INDEX(Define!V:V,MATCH(C94,Define!U:U))</f>
        <v>自身のHpが〇%以上</v>
      </c>
      <c r="E94">
        <v>21</v>
      </c>
      <c r="F94">
        <v>100</v>
      </c>
      <c r="G94">
        <v>0</v>
      </c>
      <c r="H94">
        <v>0</v>
      </c>
    </row>
    <row r="95" spans="1:8">
      <c r="A95">
        <v>15040</v>
      </c>
      <c r="B95" t="str">
        <f>INDEX(TextData!B:B,MATCH(A95,TextData!A:A))</f>
        <v>ネガティブドレイン</v>
      </c>
      <c r="C95">
        <v>1010</v>
      </c>
      <c r="D95" t="str">
        <f>INDEX(Define!V:V,MATCH(C95,Define!U:U))</f>
        <v>自身のHpが〇%以下</v>
      </c>
      <c r="E95">
        <v>61</v>
      </c>
      <c r="F95">
        <v>50</v>
      </c>
      <c r="G95">
        <v>0</v>
      </c>
      <c r="H95">
        <v>0</v>
      </c>
    </row>
    <row r="96" spans="1:8">
      <c r="A96">
        <v>15050</v>
      </c>
      <c r="B96" t="str">
        <f>INDEX(TextData!B:B,MATCH(A96,TextData!A:A))</f>
        <v>キュアシェイド</v>
      </c>
      <c r="C96">
        <v>12064</v>
      </c>
      <c r="D96" t="str">
        <f>INDEX(Define!V:V,MATCH(C96,Define!U:U))</f>
        <v>味方が状態異常を受ける。Param2で対象指定。Param3でState指定</v>
      </c>
      <c r="E96">
        <v>11</v>
      </c>
      <c r="F96">
        <v>0</v>
      </c>
      <c r="G96">
        <v>0</v>
      </c>
      <c r="H96">
        <v>2020</v>
      </c>
    </row>
    <row r="97" spans="1:8">
      <c r="A97">
        <v>15060</v>
      </c>
      <c r="B97" t="str">
        <f>INDEX(TextData!B:B,MATCH(A97,TextData!A:A))</f>
        <v>アンデッドペイン</v>
      </c>
      <c r="C97">
        <v>0</v>
      </c>
      <c r="D97" t="str">
        <f>INDEX(Define!V:V,MATCH(C97,Define!U:U))</f>
        <v>なし</v>
      </c>
      <c r="E97">
        <v>1</v>
      </c>
      <c r="F97">
        <v>0</v>
      </c>
      <c r="G97">
        <v>0</v>
      </c>
      <c r="H97">
        <v>0</v>
      </c>
    </row>
    <row r="98" spans="1:8">
      <c r="A98">
        <v>15070</v>
      </c>
      <c r="B98" t="str">
        <f>INDEX(TextData!B:B,MATCH(A98,TextData!A:A))</f>
        <v>ジャックポッド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15080</v>
      </c>
      <c r="B99" t="str">
        <f>INDEX(TextData!B:B,MATCH(A99,TextData!A:A))</f>
        <v>ヒールハント</v>
      </c>
      <c r="C99">
        <v>12082</v>
      </c>
      <c r="D99" t="str">
        <f>INDEX(Define!V:V,MATCH(C99,Define!U:U))</f>
        <v>相手が回復をする</v>
      </c>
      <c r="E99">
        <v>61</v>
      </c>
      <c r="F99">
        <v>0</v>
      </c>
      <c r="G99">
        <v>0</v>
      </c>
      <c r="H99">
        <v>0</v>
      </c>
    </row>
    <row r="100" spans="1:8">
      <c r="A100">
        <v>15110</v>
      </c>
      <c r="B100" t="str">
        <f>INDEX(TextData!B:B,MATCH(A100,TextData!A:A))</f>
        <v>フォーカサイト</v>
      </c>
      <c r="C100">
        <v>15011</v>
      </c>
      <c r="D100" t="str">
        <f>INDEX(Define!V:V,MATCH(C100,Define!U:U))</f>
        <v>味方が攻撃タイプの行動をしようとしている</v>
      </c>
      <c r="E100">
        <v>23</v>
      </c>
      <c r="F100">
        <v>0</v>
      </c>
      <c r="G100">
        <v>0</v>
      </c>
      <c r="H100">
        <v>0</v>
      </c>
    </row>
    <row r="101" spans="1:8">
      <c r="A101">
        <v>15120</v>
      </c>
      <c r="B101" t="str">
        <f>INDEX(TextData!B:B,MATCH(A101,TextData!A:A))</f>
        <v>ガードハント</v>
      </c>
      <c r="C101">
        <v>12011</v>
      </c>
      <c r="D101" t="str">
        <f>INDEX(Define!V:V,MATCH(C101,Define!U:U))</f>
        <v>かばう成立後かばった対象</v>
      </c>
      <c r="E101">
        <v>41</v>
      </c>
      <c r="F101">
        <v>0</v>
      </c>
      <c r="G101">
        <v>13</v>
      </c>
      <c r="H101">
        <v>0</v>
      </c>
    </row>
    <row r="102" spans="1:8">
      <c r="A102">
        <v>15130</v>
      </c>
      <c r="B102" t="str">
        <f>INDEX(TextData!B:B,MATCH(A102,TextData!A:A))</f>
        <v>リヴェンジャー</v>
      </c>
      <c r="C102">
        <v>12060</v>
      </c>
      <c r="D102" t="str">
        <f>INDEX(Define!V:V,MATCH(C102,Define!U:U))</f>
        <v>味方が攻撃を受ける。Param2で対象指定</v>
      </c>
      <c r="E102">
        <v>11</v>
      </c>
      <c r="F102">
        <v>0</v>
      </c>
      <c r="G102">
        <v>4</v>
      </c>
      <c r="H102">
        <v>0</v>
      </c>
    </row>
    <row r="103" spans="1:8">
      <c r="A103">
        <v>15140</v>
      </c>
      <c r="B103" t="str">
        <f>INDEX(TextData!B:B,MATCH(A103,TextData!A:A))</f>
        <v>ソーサリーコネクト</v>
      </c>
      <c r="C103">
        <v>15011</v>
      </c>
      <c r="D103" t="str">
        <f>INDEX(Define!V:V,MATCH(C103,Define!U:U))</f>
        <v>味方が攻撃タイプの行動をしようとしている</v>
      </c>
      <c r="E103">
        <v>23</v>
      </c>
      <c r="F103">
        <v>0</v>
      </c>
      <c r="G103">
        <v>0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レイピッドブースト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黄金の守護精霊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310110</v>
      </c>
      <c r="B189" t="str">
        <f>INDEX(TextData!B:B,MATCH(A189,TextData!A:A))</f>
        <v>ファーストトリック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310130</v>
      </c>
      <c r="B190" t="str">
        <f>INDEX(TextData!B:B,MATCH(A190,TextData!A:A))</f>
        <v>ヒールユニット</v>
      </c>
      <c r="C190">
        <v>40010</v>
      </c>
      <c r="D190" t="str">
        <f>INDEX(Define!V:V,MATCH(C190,Define!U:U))</f>
        <v>ダンジョンで移動する param2%turncount == param1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320010</v>
      </c>
      <c r="B191" t="str">
        <f>INDEX(TextData!B:B,MATCH(A191,TextData!A:A))</f>
        <v>訓練所Lv1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320011</v>
      </c>
      <c r="B192" t="str">
        <f>INDEX(TextData!B:B,MATCH(A192,TextData!A:A))</f>
        <v>訓練所Lv2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320012</v>
      </c>
      <c r="B193" t="str">
        <f>INDEX(TextData!B:B,MATCH(A193,TextData!A:A))</f>
        <v>訓練所Lv3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320020</v>
      </c>
      <c r="B194" t="str">
        <f>INDEX(TextData!B:B,MATCH(A194,TextData!A:A))</f>
        <v>研究施設Lv1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320021</v>
      </c>
      <c r="B195" t="str">
        <f>INDEX(TextData!B:B,MATCH(A195,TextData!A:A))</f>
        <v>研究施設Lv2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320022</v>
      </c>
      <c r="B196" t="str">
        <f>INDEX(TextData!B:B,MATCH(A196,TextData!A:A))</f>
        <v>研究施設Lv3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320030</v>
      </c>
      <c r="B197" t="str">
        <f>INDEX(TextData!B:B,MATCH(A197,TextData!A:A))</f>
        <v>資料館Lv1</v>
      </c>
      <c r="C197">
        <v>14420</v>
      </c>
      <c r="D197" t="str">
        <f>INDEX(Define!V:V,MATCH(C197,Define!U:U))</f>
        <v>Lvが〇以下</v>
      </c>
      <c r="E197">
        <v>1</v>
      </c>
      <c r="F197">
        <v>10</v>
      </c>
      <c r="G197">
        <v>0</v>
      </c>
      <c r="H197">
        <v>0</v>
      </c>
    </row>
    <row r="198" spans="1:8">
      <c r="A198">
        <v>320031</v>
      </c>
      <c r="B198" t="str">
        <f>INDEX(TextData!B:B,MATCH(A198,TextData!A:A))</f>
        <v>資料館Lv2</v>
      </c>
      <c r="C198">
        <v>14420</v>
      </c>
      <c r="D198" t="str">
        <f>INDEX(Define!V:V,MATCH(C198,Define!U:U))</f>
        <v>Lvが〇以下</v>
      </c>
      <c r="E198">
        <v>1</v>
      </c>
      <c r="F198">
        <v>15</v>
      </c>
      <c r="G198">
        <v>0</v>
      </c>
      <c r="H198">
        <v>0</v>
      </c>
    </row>
    <row r="199" spans="1:8">
      <c r="A199">
        <v>320032</v>
      </c>
      <c r="B199" t="str">
        <f>INDEX(TextData!B:B,MATCH(A199,TextData!A:A))</f>
        <v>資料館Lv3</v>
      </c>
      <c r="C199">
        <v>14420</v>
      </c>
      <c r="D199" t="str">
        <f>INDEX(Define!V:V,MATCH(C199,Define!U:U))</f>
        <v>Lvが〇以下</v>
      </c>
      <c r="E199">
        <v>1</v>
      </c>
      <c r="F199">
        <v>20</v>
      </c>
      <c r="G199">
        <v>0</v>
      </c>
      <c r="H199">
        <v>0</v>
      </c>
    </row>
    <row r="200" spans="1:8">
      <c r="A200">
        <v>320040</v>
      </c>
      <c r="B200" t="str">
        <f>INDEX(TextData!B:B,MATCH(A200,TextData!A:A))</f>
        <v>潜伏技術Lv1</v>
      </c>
      <c r="C200">
        <v>40030</v>
      </c>
      <c r="D200" t="str">
        <f>INDEX(Define!V:V,MATCH(C200,Define!U:U))</f>
        <v>ダンジョン開始時</v>
      </c>
      <c r="E200">
        <v>1</v>
      </c>
      <c r="F200">
        <v>0</v>
      </c>
      <c r="G200">
        <v>0</v>
      </c>
      <c r="H200">
        <v>0</v>
      </c>
    </row>
    <row r="201" spans="1:8">
      <c r="A201">
        <v>321010</v>
      </c>
      <c r="B201" t="str">
        <f>INDEX(TextData!B:B,MATCH(A201,TextData!A:A))</f>
        <v>炎の祭壇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321020</v>
      </c>
      <c r="B202" t="str">
        <f>INDEX(TextData!B:B,MATCH(A202,TextData!A:A))</f>
        <v>稲妻の祭壇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321030</v>
      </c>
      <c r="B203" t="str">
        <f>INDEX(TextData!B:B,MATCH(A203,TextData!A:A))</f>
        <v>蒼の祭壇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321040</v>
      </c>
      <c r="B204" t="str">
        <f>INDEX(TextData!B:B,MATCH(A204,TextData!A:A))</f>
        <v>光の祭壇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321050</v>
      </c>
      <c r="B205" t="str">
        <f>INDEX(TextData!B:B,MATCH(A205,TextData!A:A))</f>
        <v>月の祭壇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322010</v>
      </c>
      <c r="B206" t="str">
        <f>INDEX(TextData!B:B,MATCH(A206,TextData!A:A))</f>
        <v>食糧庫Lv1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322020</v>
      </c>
      <c r="B207" t="str">
        <f>INDEX(TextData!B:B,MATCH(A207,TextData!A:A))</f>
        <v>攻撃技術Lv1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322030</v>
      </c>
      <c r="B208" t="str">
        <f>INDEX(TextData!B:B,MATCH(A208,TextData!A:A))</f>
        <v>防御技術Lv1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322040</v>
      </c>
      <c r="B209" t="str">
        <f>INDEX(TextData!B:B,MATCH(A209,TextData!A:A))</f>
        <v>詠唱技術Lv1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</sheetData>
  <autoFilter ref="E1:E209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0"/>
  <sheetViews>
    <sheetView tabSelected="1" zoomScale="110" zoomScaleNormal="110" topLeftCell="A10" workbookViewId="0">
      <selection activeCell="C12" sqref="C12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12090</v>
      </c>
      <c r="B102" t="s">
        <v>441</v>
      </c>
      <c r="C102" s="3" t="s">
        <v>442</v>
      </c>
      <c r="F102" t="s">
        <v>443</v>
      </c>
      <c r="G102" s="3" t="s">
        <v>444</v>
      </c>
    </row>
    <row r="103" customFormat="1" ht="39" spans="1:7">
      <c r="A103">
        <v>12100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12110</v>
      </c>
      <c r="B104" t="s">
        <v>153</v>
      </c>
      <c r="C104" s="3" t="s">
        <v>449</v>
      </c>
      <c r="F104" t="s">
        <v>155</v>
      </c>
      <c r="G104" s="3" t="s">
        <v>450</v>
      </c>
    </row>
    <row r="105" customFormat="1" ht="26" spans="1:7">
      <c r="A105">
        <v>12120</v>
      </c>
      <c r="B105" t="s">
        <v>451</v>
      </c>
      <c r="C105" s="3" t="s">
        <v>452</v>
      </c>
      <c r="F105" t="s">
        <v>453</v>
      </c>
      <c r="G105" s="3" t="s">
        <v>454</v>
      </c>
    </row>
    <row r="106" ht="26" spans="1:7">
      <c r="A106">
        <v>12130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12140</v>
      </c>
      <c r="B107" t="s">
        <v>459</v>
      </c>
      <c r="C107" s="3" t="s">
        <v>460</v>
      </c>
      <c r="F107" t="s">
        <v>461</v>
      </c>
      <c r="G107" s="3" t="s">
        <v>462</v>
      </c>
    </row>
    <row r="108" customFormat="1" ht="39" spans="1:7">
      <c r="A108">
        <v>12510</v>
      </c>
      <c r="B108" t="s">
        <v>463</v>
      </c>
      <c r="C108" s="3" t="s">
        <v>464</v>
      </c>
      <c r="F108" t="s">
        <v>465</v>
      </c>
      <c r="G108" s="3" t="s">
        <v>466</v>
      </c>
    </row>
    <row r="109" spans="1:7">
      <c r="A109">
        <v>12910</v>
      </c>
      <c r="B109" t="s">
        <v>153</v>
      </c>
      <c r="C109" s="3" t="s">
        <v>467</v>
      </c>
      <c r="F109" t="s">
        <v>155</v>
      </c>
      <c r="G109" s="3" t="s">
        <v>468</v>
      </c>
    </row>
    <row r="110" ht="26" spans="1:7">
      <c r="A110">
        <v>12930</v>
      </c>
      <c r="B110" t="s">
        <v>469</v>
      </c>
      <c r="C110" s="3" t="s">
        <v>470</v>
      </c>
      <c r="F110" t="s">
        <v>471</v>
      </c>
      <c r="G110" s="3" t="s">
        <v>472</v>
      </c>
    </row>
    <row r="111" ht="39" spans="1:7">
      <c r="A111">
        <v>12940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13010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13020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26" spans="1:7">
      <c r="A114">
        <v>13030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13040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13050</v>
      </c>
      <c r="B116" t="s">
        <v>493</v>
      </c>
      <c r="C116" s="4" t="s">
        <v>494</v>
      </c>
      <c r="F116" t="s">
        <v>495</v>
      </c>
      <c r="G116" s="3" t="s">
        <v>437</v>
      </c>
    </row>
    <row r="117" ht="26" spans="1:7">
      <c r="A117">
        <v>13070</v>
      </c>
      <c r="B117" t="s">
        <v>496</v>
      </c>
      <c r="C117" s="3" t="s">
        <v>497</v>
      </c>
      <c r="F117" t="s">
        <v>498</v>
      </c>
      <c r="G117" s="3" t="s">
        <v>499</v>
      </c>
    </row>
    <row r="118" ht="52" spans="1:7">
      <c r="A118">
        <v>13090</v>
      </c>
      <c r="B118" t="s">
        <v>500</v>
      </c>
      <c r="C118" s="3" t="s">
        <v>501</v>
      </c>
      <c r="F118" t="s">
        <v>502</v>
      </c>
      <c r="G118" s="3" t="s">
        <v>503</v>
      </c>
    </row>
    <row r="119" customFormat="1" ht="26" spans="1:7">
      <c r="A119">
        <v>13110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39" spans="1:7">
      <c r="A120">
        <v>13120</v>
      </c>
      <c r="B120" t="s">
        <v>508</v>
      </c>
      <c r="C120" s="3" t="s">
        <v>509</v>
      </c>
      <c r="F120" t="s">
        <v>510</v>
      </c>
      <c r="G120" s="3" t="s">
        <v>511</v>
      </c>
    </row>
    <row r="121" ht="26" spans="1:7">
      <c r="A121">
        <v>13130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13140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39" spans="1:7">
      <c r="A128">
        <v>13930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26" spans="1:7">
      <c r="A129">
        <v>13940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39" spans="1:7">
      <c r="A130">
        <v>13950</v>
      </c>
      <c r="B130" t="s">
        <v>544</v>
      </c>
      <c r="C130" s="3" t="s">
        <v>545</v>
      </c>
      <c r="F130" t="s">
        <v>546</v>
      </c>
      <c r="G130" s="3" t="s">
        <v>547</v>
      </c>
    </row>
    <row r="131" customFormat="1" ht="39" spans="1:7">
      <c r="A131">
        <v>14010</v>
      </c>
      <c r="B131" t="s">
        <v>548</v>
      </c>
      <c r="C131" s="3" t="s">
        <v>549</v>
      </c>
      <c r="F131" t="s">
        <v>550</v>
      </c>
      <c r="G131" s="3" t="s">
        <v>551</v>
      </c>
    </row>
    <row r="132" ht="39" spans="1:7">
      <c r="A132">
        <v>14020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26" spans="1:7">
      <c r="A133">
        <v>14030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14040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14050</v>
      </c>
      <c r="B135" t="s">
        <v>564</v>
      </c>
      <c r="C135" s="4" t="s">
        <v>565</v>
      </c>
      <c r="F135" t="s">
        <v>566</v>
      </c>
      <c r="G135" s="3" t="s">
        <v>563</v>
      </c>
    </row>
    <row r="136" ht="39" spans="1:7">
      <c r="A136">
        <v>14060</v>
      </c>
      <c r="B136" t="s">
        <v>567</v>
      </c>
      <c r="C136" s="3" t="s">
        <v>568</v>
      </c>
      <c r="F136" t="s">
        <v>569</v>
      </c>
      <c r="G136" s="3" t="s">
        <v>570</v>
      </c>
    </row>
    <row r="137" ht="39" spans="1:7">
      <c r="A137">
        <v>14070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14090</v>
      </c>
      <c r="B138" t="s">
        <v>575</v>
      </c>
      <c r="C138" s="3" t="s">
        <v>576</v>
      </c>
      <c r="D138" t="s">
        <v>577</v>
      </c>
      <c r="F138" t="s">
        <v>578</v>
      </c>
      <c r="G138" s="3" t="s">
        <v>579</v>
      </c>
    </row>
    <row r="139" customFormat="1" ht="26" spans="1:7">
      <c r="A139">
        <v>14100</v>
      </c>
      <c r="B139" t="s">
        <v>580</v>
      </c>
      <c r="C139" s="3" t="s">
        <v>581</v>
      </c>
      <c r="F139" t="s">
        <v>582</v>
      </c>
      <c r="G139" s="3" t="s">
        <v>583</v>
      </c>
    </row>
    <row r="140" customFormat="1" ht="26" spans="1:7">
      <c r="A140">
        <v>14110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14120</v>
      </c>
      <c r="B141" t="s">
        <v>588</v>
      </c>
      <c r="C141" s="3" t="s">
        <v>589</v>
      </c>
      <c r="F141" t="s">
        <v>590</v>
      </c>
      <c r="G141" s="3" t="s">
        <v>591</v>
      </c>
    </row>
    <row r="142" ht="39" spans="1:7">
      <c r="A142">
        <v>14130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14140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26" spans="1:7">
      <c r="A144">
        <v>14930</v>
      </c>
      <c r="B144" t="s">
        <v>600</v>
      </c>
      <c r="C144" s="3" t="s">
        <v>601</v>
      </c>
      <c r="F144" t="s">
        <v>602</v>
      </c>
      <c r="G144" s="3" t="s">
        <v>603</v>
      </c>
    </row>
    <row r="145" spans="1:7">
      <c r="A145">
        <v>14940</v>
      </c>
      <c r="B145" t="s">
        <v>604</v>
      </c>
      <c r="C145" t="s">
        <v>605</v>
      </c>
      <c r="F145" t="s">
        <v>606</v>
      </c>
      <c r="G145" t="s">
        <v>607</v>
      </c>
    </row>
    <row r="146" customFormat="1" ht="39" spans="1:7">
      <c r="A146">
        <v>15010</v>
      </c>
      <c r="B146" t="s">
        <v>445</v>
      </c>
      <c r="C146" s="3" t="s">
        <v>446</v>
      </c>
      <c r="F146" t="s">
        <v>447</v>
      </c>
      <c r="G146" s="3" t="s">
        <v>448</v>
      </c>
    </row>
    <row r="147" ht="26" spans="1:7">
      <c r="A147">
        <v>15020</v>
      </c>
      <c r="B147" t="s">
        <v>608</v>
      </c>
      <c r="C147" s="3" t="s">
        <v>609</v>
      </c>
      <c r="F147" t="s">
        <v>610</v>
      </c>
      <c r="G147" s="3" t="s">
        <v>611</v>
      </c>
    </row>
    <row r="148" ht="26" spans="1:7">
      <c r="A148">
        <v>15030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15040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15050</v>
      </c>
      <c r="B150" t="s">
        <v>620</v>
      </c>
      <c r="C150" s="4" t="s">
        <v>621</v>
      </c>
      <c r="F150" t="s">
        <v>622</v>
      </c>
      <c r="G150" s="3" t="s">
        <v>619</v>
      </c>
    </row>
    <row r="151" ht="26" spans="1:7">
      <c r="A151">
        <v>15060</v>
      </c>
      <c r="B151" t="s">
        <v>623</v>
      </c>
      <c r="C151" s="3" t="s">
        <v>624</v>
      </c>
      <c r="F151" t="s">
        <v>625</v>
      </c>
      <c r="G151" s="3" t="s">
        <v>626</v>
      </c>
    </row>
    <row r="152" ht="39" spans="1:7">
      <c r="A152">
        <v>15070</v>
      </c>
      <c r="B152" t="s">
        <v>627</v>
      </c>
      <c r="C152" s="3" t="s">
        <v>628</v>
      </c>
      <c r="D152" t="s">
        <v>629</v>
      </c>
      <c r="F152" t="s">
        <v>630</v>
      </c>
      <c r="G152" s="3" t="s">
        <v>631</v>
      </c>
    </row>
    <row r="153" ht="39" spans="1:7">
      <c r="A153">
        <v>15080</v>
      </c>
      <c r="B153" t="s">
        <v>632</v>
      </c>
      <c r="C153" s="3" t="s">
        <v>633</v>
      </c>
      <c r="F153" t="s">
        <v>634</v>
      </c>
      <c r="G153" s="3" t="s">
        <v>635</v>
      </c>
    </row>
    <row r="154" customFormat="1" ht="26" spans="1:7">
      <c r="A154">
        <v>15110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39" spans="1:7">
      <c r="A155">
        <v>15120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15130</v>
      </c>
      <c r="B156" t="s">
        <v>644</v>
      </c>
      <c r="C156" s="3" t="s">
        <v>645</v>
      </c>
      <c r="F156" t="s">
        <v>646</v>
      </c>
      <c r="G156" s="3" t="s">
        <v>647</v>
      </c>
    </row>
    <row r="157" ht="39" spans="1:7">
      <c r="A157">
        <v>15140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65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39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26" spans="1:7">
      <c r="A216">
        <v>300010</v>
      </c>
      <c r="B216" t="s">
        <v>861</v>
      </c>
      <c r="C216" s="3" t="s">
        <v>862</v>
      </c>
      <c r="F216" t="s">
        <v>861</v>
      </c>
      <c r="G216" s="3" t="s">
        <v>862</v>
      </c>
    </row>
    <row r="217" ht="26" spans="1:7">
      <c r="A217">
        <v>300020</v>
      </c>
      <c r="B217" t="s">
        <v>863</v>
      </c>
      <c r="C217" s="3" t="s">
        <v>864</v>
      </c>
      <c r="F217" t="s">
        <v>863</v>
      </c>
      <c r="G217" s="3" t="s">
        <v>864</v>
      </c>
    </row>
    <row r="218" ht="26" spans="1:7">
      <c r="A218">
        <v>300030</v>
      </c>
      <c r="B218" t="s">
        <v>865</v>
      </c>
      <c r="C218" s="3" t="s">
        <v>866</v>
      </c>
      <c r="F218" t="s">
        <v>865</v>
      </c>
      <c r="G218" s="3" t="s">
        <v>866</v>
      </c>
    </row>
    <row r="219" ht="26" spans="1:7">
      <c r="A219">
        <v>300040</v>
      </c>
      <c r="B219" t="s">
        <v>867</v>
      </c>
      <c r="C219" s="3" t="s">
        <v>868</v>
      </c>
      <c r="F219" t="s">
        <v>867</v>
      </c>
      <c r="G219" s="3" t="s">
        <v>868</v>
      </c>
    </row>
    <row r="220" ht="26" spans="1:7">
      <c r="A220">
        <v>300050</v>
      </c>
      <c r="B220" t="s">
        <v>869</v>
      </c>
      <c r="C220" s="3" t="s">
        <v>870</v>
      </c>
      <c r="F220" t="s">
        <v>869</v>
      </c>
      <c r="G220" s="3" t="s">
        <v>870</v>
      </c>
    </row>
    <row r="221" ht="26" spans="1:7">
      <c r="A221">
        <v>300130</v>
      </c>
      <c r="B221" t="s">
        <v>871</v>
      </c>
      <c r="C221" s="3" t="s">
        <v>872</v>
      </c>
      <c r="F221" t="s">
        <v>871</v>
      </c>
      <c r="G221" s="3" t="s">
        <v>872</v>
      </c>
    </row>
    <row r="222" ht="26" spans="1:7">
      <c r="A222">
        <v>300140</v>
      </c>
      <c r="B222" t="s">
        <v>873</v>
      </c>
      <c r="C222" s="3" t="s">
        <v>874</v>
      </c>
      <c r="F222" t="s">
        <v>873</v>
      </c>
      <c r="G222" s="3" t="s">
        <v>874</v>
      </c>
    </row>
    <row r="223" ht="26" spans="1:7">
      <c r="A223">
        <v>300210</v>
      </c>
      <c r="B223" t="s">
        <v>875</v>
      </c>
      <c r="C223" s="3" t="s">
        <v>876</v>
      </c>
      <c r="F223" t="s">
        <v>875</v>
      </c>
      <c r="G223" s="3" t="s">
        <v>876</v>
      </c>
    </row>
    <row r="224" ht="26" spans="1:7">
      <c r="A224">
        <v>300220</v>
      </c>
      <c r="B224" t="s">
        <v>877</v>
      </c>
      <c r="C224" s="3" t="s">
        <v>878</v>
      </c>
      <c r="F224" t="s">
        <v>877</v>
      </c>
      <c r="G224" s="3" t="s">
        <v>878</v>
      </c>
    </row>
    <row r="225" ht="39" spans="1:7">
      <c r="A225">
        <v>300230</v>
      </c>
      <c r="B225" t="s">
        <v>879</v>
      </c>
      <c r="C225" s="3" t="s">
        <v>880</v>
      </c>
      <c r="F225" t="s">
        <v>879</v>
      </c>
      <c r="G225" s="3" t="s">
        <v>880</v>
      </c>
    </row>
    <row r="226" ht="26" spans="1:7">
      <c r="A226">
        <v>301010</v>
      </c>
      <c r="B226" t="s">
        <v>881</v>
      </c>
      <c r="C226" s="3" t="s">
        <v>882</v>
      </c>
      <c r="F226" t="s">
        <v>881</v>
      </c>
      <c r="G226" s="3" t="s">
        <v>882</v>
      </c>
    </row>
    <row r="227" ht="26" spans="1:7">
      <c r="A227">
        <v>301020</v>
      </c>
      <c r="B227" t="s">
        <v>883</v>
      </c>
      <c r="C227" s="3" t="s">
        <v>884</v>
      </c>
      <c r="F227" t="s">
        <v>883</v>
      </c>
      <c r="G227" s="3" t="s">
        <v>884</v>
      </c>
    </row>
    <row r="228" ht="26" spans="1:7">
      <c r="A228">
        <v>301030</v>
      </c>
      <c r="B228" t="s">
        <v>885</v>
      </c>
      <c r="C228" s="3" t="s">
        <v>886</v>
      </c>
      <c r="F228" t="s">
        <v>885</v>
      </c>
      <c r="G228" s="3" t="s">
        <v>886</v>
      </c>
    </row>
    <row r="229" ht="52" spans="1:7">
      <c r="A229">
        <v>301040</v>
      </c>
      <c r="B229" t="s">
        <v>887</v>
      </c>
      <c r="C229" s="3" t="s">
        <v>888</v>
      </c>
      <c r="F229" t="s">
        <v>887</v>
      </c>
      <c r="G229" s="3" t="s">
        <v>888</v>
      </c>
    </row>
    <row r="230" ht="26" spans="1:7">
      <c r="A230">
        <v>301050</v>
      </c>
      <c r="B230" t="s">
        <v>889</v>
      </c>
      <c r="C230" s="3" t="s">
        <v>890</v>
      </c>
      <c r="F230" t="s">
        <v>889</v>
      </c>
      <c r="G230" s="3" t="s">
        <v>890</v>
      </c>
    </row>
    <row r="231" ht="39" spans="1:7">
      <c r="A231">
        <v>301060</v>
      </c>
      <c r="B231" t="s">
        <v>891</v>
      </c>
      <c r="C231" s="3" t="s">
        <v>892</v>
      </c>
      <c r="F231" t="s">
        <v>891</v>
      </c>
      <c r="G231" s="3" t="s">
        <v>892</v>
      </c>
    </row>
    <row r="232" ht="26" spans="1:7">
      <c r="A232">
        <v>301070</v>
      </c>
      <c r="B232" t="s">
        <v>893</v>
      </c>
      <c r="C232" s="3" t="s">
        <v>862</v>
      </c>
      <c r="F232" t="s">
        <v>893</v>
      </c>
      <c r="G232" s="3" t="s">
        <v>862</v>
      </c>
    </row>
    <row r="233" ht="39" spans="1:7">
      <c r="A233">
        <v>301080</v>
      </c>
      <c r="B233" t="s">
        <v>894</v>
      </c>
      <c r="C233" s="3" t="s">
        <v>895</v>
      </c>
      <c r="F233" t="s">
        <v>894</v>
      </c>
      <c r="G233" s="3" t="s">
        <v>895</v>
      </c>
    </row>
    <row r="234" ht="39" spans="1:7">
      <c r="A234">
        <v>301090</v>
      </c>
      <c r="B234" t="s">
        <v>896</v>
      </c>
      <c r="C234" s="3" t="s">
        <v>897</v>
      </c>
      <c r="F234" t="s">
        <v>896</v>
      </c>
      <c r="G234" s="3" t="s">
        <v>897</v>
      </c>
    </row>
    <row r="235" ht="26" spans="1:7">
      <c r="A235">
        <v>301100</v>
      </c>
      <c r="B235" t="s">
        <v>898</v>
      </c>
      <c r="C235" s="3" t="s">
        <v>899</v>
      </c>
      <c r="F235" t="s">
        <v>898</v>
      </c>
      <c r="G235" s="3" t="s">
        <v>899</v>
      </c>
    </row>
    <row r="236" ht="26" spans="1:7">
      <c r="A236">
        <v>310010</v>
      </c>
      <c r="B236" t="s">
        <v>900</v>
      </c>
      <c r="C236" s="3" t="s">
        <v>581</v>
      </c>
      <c r="F236" t="s">
        <v>901</v>
      </c>
      <c r="G236" s="3" t="s">
        <v>902</v>
      </c>
    </row>
    <row r="237" customFormat="1" ht="26" spans="1:7">
      <c r="A237">
        <v>310020</v>
      </c>
      <c r="B237" t="s">
        <v>903</v>
      </c>
      <c r="C237" s="3" t="s">
        <v>904</v>
      </c>
      <c r="F237" t="s">
        <v>905</v>
      </c>
      <c r="G237" s="3" t="s">
        <v>906</v>
      </c>
    </row>
    <row r="238" customFormat="1" spans="1:7">
      <c r="A238">
        <v>310030</v>
      </c>
      <c r="B238" t="s">
        <v>907</v>
      </c>
      <c r="C238" s="3" t="s">
        <v>908</v>
      </c>
      <c r="F238" t="s">
        <v>909</v>
      </c>
      <c r="G238" s="3" t="s">
        <v>910</v>
      </c>
    </row>
    <row r="239" customFormat="1" ht="26" spans="1:7">
      <c r="A239">
        <v>310040</v>
      </c>
      <c r="B239" t="s">
        <v>911</v>
      </c>
      <c r="C239" s="3" t="s">
        <v>912</v>
      </c>
      <c r="F239" t="s">
        <v>913</v>
      </c>
      <c r="G239" s="3" t="s">
        <v>914</v>
      </c>
    </row>
    <row r="240" customFormat="1" ht="26" spans="1:7">
      <c r="A240">
        <v>310050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ht="26" spans="1:7">
      <c r="A241">
        <v>310060</v>
      </c>
      <c r="B241" t="s">
        <v>919</v>
      </c>
      <c r="C241" s="3" t="s">
        <v>866</v>
      </c>
      <c r="F241" t="s">
        <v>920</v>
      </c>
      <c r="G241" s="3" t="s">
        <v>921</v>
      </c>
    </row>
    <row r="242" customFormat="1" ht="26" spans="1:7">
      <c r="A242">
        <v>310070</v>
      </c>
      <c r="B242" t="s">
        <v>922</v>
      </c>
      <c r="C242" s="3" t="s">
        <v>868</v>
      </c>
      <c r="F242" t="s">
        <v>923</v>
      </c>
      <c r="G242" s="3" t="s">
        <v>924</v>
      </c>
    </row>
    <row r="243" customFormat="1" ht="26" spans="1:7">
      <c r="A243">
        <v>310080</v>
      </c>
      <c r="B243" t="s">
        <v>925</v>
      </c>
      <c r="C243" s="3" t="s">
        <v>870</v>
      </c>
      <c r="F243" t="s">
        <v>368</v>
      </c>
      <c r="G243" s="3" t="s">
        <v>926</v>
      </c>
    </row>
    <row r="244" customFormat="1" spans="1:7">
      <c r="A244">
        <v>310090</v>
      </c>
      <c r="B244" t="s">
        <v>682</v>
      </c>
      <c r="C244" s="4" t="s">
        <v>927</v>
      </c>
      <c r="F244" t="s">
        <v>684</v>
      </c>
      <c r="G244" s="4" t="s">
        <v>928</v>
      </c>
    </row>
    <row r="245" customFormat="1" ht="39" spans="1:7">
      <c r="A245">
        <v>310100</v>
      </c>
      <c r="B245" t="s">
        <v>929</v>
      </c>
      <c r="C245" s="3" t="s">
        <v>930</v>
      </c>
      <c r="F245" t="s">
        <v>931</v>
      </c>
      <c r="G245" s="3" t="s">
        <v>930</v>
      </c>
    </row>
    <row r="246" customFormat="1" ht="26" spans="1:7">
      <c r="A246">
        <v>310110</v>
      </c>
      <c r="B246" t="s">
        <v>932</v>
      </c>
      <c r="C246" s="3" t="s">
        <v>933</v>
      </c>
      <c r="F246" t="s">
        <v>934</v>
      </c>
      <c r="G246" s="3" t="s">
        <v>933</v>
      </c>
    </row>
    <row r="247" customFormat="1" ht="52" spans="1:7">
      <c r="A247">
        <v>310130</v>
      </c>
      <c r="B247" t="s">
        <v>935</v>
      </c>
      <c r="C247" s="3" t="s">
        <v>936</v>
      </c>
      <c r="F247" t="s">
        <v>937</v>
      </c>
      <c r="G247" s="3" t="s">
        <v>938</v>
      </c>
    </row>
    <row r="248" customFormat="1" ht="26" spans="1:7">
      <c r="A248">
        <v>320010</v>
      </c>
      <c r="B248" t="s">
        <v>939</v>
      </c>
      <c r="C248" s="3" t="s">
        <v>940</v>
      </c>
      <c r="F248" t="s">
        <v>939</v>
      </c>
      <c r="G248" s="3" t="s">
        <v>940</v>
      </c>
    </row>
    <row r="249" customFormat="1" ht="26" spans="1:7">
      <c r="A249">
        <v>320011</v>
      </c>
      <c r="B249" t="s">
        <v>941</v>
      </c>
      <c r="C249" s="3" t="s">
        <v>942</v>
      </c>
      <c r="F249" t="s">
        <v>941</v>
      </c>
      <c r="G249" s="3" t="s">
        <v>942</v>
      </c>
    </row>
    <row r="250" customFormat="1" ht="26" spans="1:7">
      <c r="A250">
        <v>320012</v>
      </c>
      <c r="B250" t="s">
        <v>943</v>
      </c>
      <c r="C250" s="3" t="s">
        <v>944</v>
      </c>
      <c r="F250" t="s">
        <v>943</v>
      </c>
      <c r="G250" s="3" t="s">
        <v>944</v>
      </c>
    </row>
    <row r="251" customFormat="1" ht="26" spans="1:7">
      <c r="A251">
        <v>320020</v>
      </c>
      <c r="B251" t="s">
        <v>945</v>
      </c>
      <c r="C251" s="3" t="s">
        <v>946</v>
      </c>
      <c r="F251" t="s">
        <v>945</v>
      </c>
      <c r="G251" s="3" t="s">
        <v>946</v>
      </c>
    </row>
    <row r="252" customFormat="1" ht="26" spans="1:7">
      <c r="A252">
        <v>320021</v>
      </c>
      <c r="B252" t="s">
        <v>947</v>
      </c>
      <c r="C252" s="3" t="s">
        <v>948</v>
      </c>
      <c r="F252" t="s">
        <v>947</v>
      </c>
      <c r="G252" s="3" t="s">
        <v>948</v>
      </c>
    </row>
    <row r="253" customFormat="1" ht="26" spans="1:7">
      <c r="A253">
        <v>320022</v>
      </c>
      <c r="B253" t="s">
        <v>949</v>
      </c>
      <c r="C253" s="3" t="s">
        <v>950</v>
      </c>
      <c r="F253" t="s">
        <v>949</v>
      </c>
      <c r="G253" s="3" t="s">
        <v>950</v>
      </c>
    </row>
    <row r="254" customFormat="1" ht="26" spans="1:7">
      <c r="A254">
        <v>320030</v>
      </c>
      <c r="B254" t="s">
        <v>951</v>
      </c>
      <c r="C254" s="3" t="s">
        <v>952</v>
      </c>
      <c r="F254" t="s">
        <v>951</v>
      </c>
      <c r="G254" s="3" t="s">
        <v>952</v>
      </c>
    </row>
    <row r="255" customFormat="1" ht="26" spans="1:7">
      <c r="A255">
        <v>320031</v>
      </c>
      <c r="B255" t="s">
        <v>953</v>
      </c>
      <c r="C255" s="3" t="s">
        <v>954</v>
      </c>
      <c r="F255" t="s">
        <v>953</v>
      </c>
      <c r="G255" s="3" t="s">
        <v>954</v>
      </c>
    </row>
    <row r="256" customFormat="1" ht="26" spans="1:7">
      <c r="A256">
        <v>320032</v>
      </c>
      <c r="B256" t="s">
        <v>955</v>
      </c>
      <c r="C256" s="3" t="s">
        <v>956</v>
      </c>
      <c r="F256" t="s">
        <v>955</v>
      </c>
      <c r="G256" s="3" t="s">
        <v>956</v>
      </c>
    </row>
    <row r="257" customFormat="1" spans="1:7">
      <c r="A257">
        <v>320040</v>
      </c>
      <c r="B257" t="s">
        <v>957</v>
      </c>
      <c r="C257" s="3" t="s">
        <v>958</v>
      </c>
      <c r="F257" t="s">
        <v>957</v>
      </c>
      <c r="G257" s="3" t="s">
        <v>958</v>
      </c>
    </row>
    <row r="258" customFormat="1" spans="1:7">
      <c r="A258">
        <v>321010</v>
      </c>
      <c r="B258" t="s">
        <v>959</v>
      </c>
      <c r="C258" t="s">
        <v>960</v>
      </c>
      <c r="F258" t="s">
        <v>959</v>
      </c>
      <c r="G258" t="s">
        <v>960</v>
      </c>
    </row>
    <row r="259" customFormat="1" spans="1:7">
      <c r="A259">
        <v>321020</v>
      </c>
      <c r="B259" t="s">
        <v>961</v>
      </c>
      <c r="C259" t="s">
        <v>962</v>
      </c>
      <c r="F259" t="s">
        <v>961</v>
      </c>
      <c r="G259" t="s">
        <v>962</v>
      </c>
    </row>
    <row r="260" customFormat="1" spans="1:7">
      <c r="A260">
        <v>321030</v>
      </c>
      <c r="B260" t="s">
        <v>963</v>
      </c>
      <c r="C260" t="s">
        <v>964</v>
      </c>
      <c r="F260" t="s">
        <v>963</v>
      </c>
      <c r="G260" t="s">
        <v>964</v>
      </c>
    </row>
    <row r="261" customFormat="1" spans="1:7">
      <c r="A261">
        <v>321040</v>
      </c>
      <c r="B261" t="s">
        <v>965</v>
      </c>
      <c r="C261" t="s">
        <v>966</v>
      </c>
      <c r="F261" t="s">
        <v>965</v>
      </c>
      <c r="G261" t="s">
        <v>966</v>
      </c>
    </row>
    <row r="262" customFormat="1" spans="1:7">
      <c r="A262">
        <v>321050</v>
      </c>
      <c r="B262" t="s">
        <v>967</v>
      </c>
      <c r="C262" t="s">
        <v>968</v>
      </c>
      <c r="F262" t="s">
        <v>967</v>
      </c>
      <c r="G262" t="s">
        <v>968</v>
      </c>
    </row>
    <row r="263" customFormat="1" spans="1:7">
      <c r="A263">
        <v>322010</v>
      </c>
      <c r="B263" t="s">
        <v>969</v>
      </c>
      <c r="C263" t="s">
        <v>970</v>
      </c>
      <c r="F263" t="s">
        <v>969</v>
      </c>
      <c r="G263" t="s">
        <v>970</v>
      </c>
    </row>
    <row r="264" customFormat="1" spans="1:7">
      <c r="A264">
        <v>322020</v>
      </c>
      <c r="B264" t="s">
        <v>971</v>
      </c>
      <c r="C264" t="s">
        <v>972</v>
      </c>
      <c r="F264" t="s">
        <v>971</v>
      </c>
      <c r="G264" t="s">
        <v>972</v>
      </c>
    </row>
    <row r="265" customFormat="1" spans="1:7">
      <c r="A265">
        <v>322030</v>
      </c>
      <c r="B265" t="s">
        <v>973</v>
      </c>
      <c r="C265" t="s">
        <v>974</v>
      </c>
      <c r="F265" t="s">
        <v>973</v>
      </c>
      <c r="G265" t="s">
        <v>974</v>
      </c>
    </row>
    <row r="266" customFormat="1" spans="1:7">
      <c r="A266">
        <v>322040</v>
      </c>
      <c r="B266" t="s">
        <v>975</v>
      </c>
      <c r="C266" t="s">
        <v>976</v>
      </c>
      <c r="F266" t="s">
        <v>975</v>
      </c>
      <c r="G266" t="s">
        <v>976</v>
      </c>
    </row>
    <row r="267" spans="1:7">
      <c r="A267">
        <v>401010</v>
      </c>
      <c r="B267" t="s">
        <v>977</v>
      </c>
      <c r="C267" s="3" t="s">
        <v>978</v>
      </c>
      <c r="F267" t="s">
        <v>977</v>
      </c>
      <c r="G267" s="3" t="s">
        <v>978</v>
      </c>
    </row>
    <row r="268" spans="1:7">
      <c r="A268">
        <v>401020</v>
      </c>
      <c r="B268" t="s">
        <v>979</v>
      </c>
      <c r="C268" s="3" t="s">
        <v>978</v>
      </c>
      <c r="F268" t="s">
        <v>979</v>
      </c>
      <c r="G268" s="3" t="s">
        <v>978</v>
      </c>
    </row>
    <row r="269" spans="1:7">
      <c r="A269">
        <v>401030</v>
      </c>
      <c r="B269" t="s">
        <v>980</v>
      </c>
      <c r="C269" s="3" t="s">
        <v>981</v>
      </c>
      <c r="F269" t="s">
        <v>980</v>
      </c>
      <c r="G269" s="3" t="s">
        <v>981</v>
      </c>
    </row>
    <row r="270" spans="1:7">
      <c r="A270">
        <v>401040</v>
      </c>
      <c r="B270" t="s">
        <v>982</v>
      </c>
      <c r="C270" t="s">
        <v>983</v>
      </c>
      <c r="F270" t="s">
        <v>982</v>
      </c>
      <c r="G270" t="s">
        <v>983</v>
      </c>
    </row>
    <row r="271" spans="1:7">
      <c r="A271">
        <v>401050</v>
      </c>
      <c r="B271" t="s">
        <v>984</v>
      </c>
      <c r="C271" s="3" t="s">
        <v>978</v>
      </c>
      <c r="F271" t="s">
        <v>984</v>
      </c>
      <c r="G271" s="3" t="s">
        <v>978</v>
      </c>
    </row>
    <row r="272" spans="1:7">
      <c r="A272">
        <v>401060</v>
      </c>
      <c r="B272" t="s">
        <v>985</v>
      </c>
      <c r="C272" s="3" t="s">
        <v>978</v>
      </c>
      <c r="F272" t="s">
        <v>985</v>
      </c>
      <c r="G272" s="3" t="s">
        <v>978</v>
      </c>
    </row>
    <row r="273" spans="1:7">
      <c r="A273">
        <v>401070</v>
      </c>
      <c r="B273" t="s">
        <v>986</v>
      </c>
      <c r="C273" s="3" t="s">
        <v>987</v>
      </c>
      <c r="F273" t="s">
        <v>986</v>
      </c>
      <c r="G273" s="3" t="s">
        <v>987</v>
      </c>
    </row>
    <row r="274" spans="1:7">
      <c r="A274">
        <v>401080</v>
      </c>
      <c r="B274" t="s">
        <v>988</v>
      </c>
      <c r="C274" s="3" t="s">
        <v>989</v>
      </c>
      <c r="F274" t="s">
        <v>988</v>
      </c>
      <c r="G274" s="3" t="s">
        <v>989</v>
      </c>
    </row>
    <row r="275" spans="1:7">
      <c r="A275">
        <v>402010</v>
      </c>
      <c r="B275" t="s">
        <v>990</v>
      </c>
      <c r="C275" s="3" t="s">
        <v>978</v>
      </c>
      <c r="F275" t="s">
        <v>990</v>
      </c>
      <c r="G275" s="3" t="s">
        <v>978</v>
      </c>
    </row>
    <row r="276" spans="1:7">
      <c r="A276">
        <v>402020</v>
      </c>
      <c r="B276" t="s">
        <v>991</v>
      </c>
      <c r="C276" t="s">
        <v>992</v>
      </c>
      <c r="F276" t="s">
        <v>991</v>
      </c>
      <c r="G276" t="s">
        <v>992</v>
      </c>
    </row>
    <row r="277" spans="1:7">
      <c r="A277">
        <v>402030</v>
      </c>
      <c r="B277" t="s">
        <v>993</v>
      </c>
      <c r="C277" s="3" t="s">
        <v>987</v>
      </c>
      <c r="F277" t="s">
        <v>993</v>
      </c>
      <c r="G277" s="3" t="s">
        <v>987</v>
      </c>
    </row>
    <row r="278" spans="1:7">
      <c r="A278">
        <v>402040</v>
      </c>
      <c r="B278" t="s">
        <v>994</v>
      </c>
      <c r="C278" s="4" t="s">
        <v>995</v>
      </c>
      <c r="F278" t="s">
        <v>994</v>
      </c>
      <c r="G278" s="4" t="s">
        <v>995</v>
      </c>
    </row>
    <row r="279" spans="1:7">
      <c r="A279">
        <v>402050</v>
      </c>
      <c r="B279" t="s">
        <v>996</v>
      </c>
      <c r="C279" s="3" t="s">
        <v>987</v>
      </c>
      <c r="F279" t="s">
        <v>996</v>
      </c>
      <c r="G279" s="3" t="s">
        <v>987</v>
      </c>
    </row>
    <row r="280" spans="1:7">
      <c r="A280">
        <v>402060</v>
      </c>
      <c r="B280" t="s">
        <v>997</v>
      </c>
      <c r="C280" s="3" t="s">
        <v>978</v>
      </c>
      <c r="F280" t="s">
        <v>997</v>
      </c>
      <c r="G280" s="3" t="s">
        <v>978</v>
      </c>
    </row>
    <row r="281" spans="1:7">
      <c r="A281">
        <v>402070</v>
      </c>
      <c r="B281" t="s">
        <v>998</v>
      </c>
      <c r="C281" s="3" t="s">
        <v>999</v>
      </c>
      <c r="F281" t="s">
        <v>998</v>
      </c>
      <c r="G281" s="3" t="s">
        <v>999</v>
      </c>
    </row>
    <row r="282" spans="1:7">
      <c r="A282">
        <v>402080</v>
      </c>
      <c r="B282" t="s">
        <v>1000</v>
      </c>
      <c r="C282" s="3" t="s">
        <v>1001</v>
      </c>
      <c r="F282" t="s">
        <v>1000</v>
      </c>
      <c r="G282" s="3" t="s">
        <v>1001</v>
      </c>
    </row>
    <row r="283" spans="1:7">
      <c r="A283">
        <v>403010</v>
      </c>
      <c r="B283" t="s">
        <v>1002</v>
      </c>
      <c r="C283" s="3" t="s">
        <v>978</v>
      </c>
      <c r="F283" t="s">
        <v>1002</v>
      </c>
      <c r="G283" s="3" t="s">
        <v>978</v>
      </c>
    </row>
    <row r="284" spans="1:7">
      <c r="A284">
        <v>403020</v>
      </c>
      <c r="B284" t="s">
        <v>1003</v>
      </c>
      <c r="C284" s="3" t="s">
        <v>1004</v>
      </c>
      <c r="F284" t="s">
        <v>1003</v>
      </c>
      <c r="G284" s="3" t="s">
        <v>1004</v>
      </c>
    </row>
    <row r="285" spans="1:7">
      <c r="A285">
        <v>403030</v>
      </c>
      <c r="B285" t="s">
        <v>1005</v>
      </c>
      <c r="C285" s="4" t="s">
        <v>1006</v>
      </c>
      <c r="F285" t="s">
        <v>1005</v>
      </c>
      <c r="G285" s="4" t="s">
        <v>1006</v>
      </c>
    </row>
    <row r="286" spans="1:7">
      <c r="A286">
        <v>403040</v>
      </c>
      <c r="B286" t="s">
        <v>1007</v>
      </c>
      <c r="C286" s="3" t="s">
        <v>1008</v>
      </c>
      <c r="F286" t="s">
        <v>1007</v>
      </c>
      <c r="G286" s="3" t="s">
        <v>1008</v>
      </c>
    </row>
    <row r="287" spans="1:7">
      <c r="A287">
        <v>403050</v>
      </c>
      <c r="B287" t="s">
        <v>1009</v>
      </c>
      <c r="C287" s="3" t="s">
        <v>1010</v>
      </c>
      <c r="F287" t="s">
        <v>1009</v>
      </c>
      <c r="G287" s="3" t="s">
        <v>1010</v>
      </c>
    </row>
    <row r="288" spans="1:7">
      <c r="A288">
        <v>403060</v>
      </c>
      <c r="B288" t="s">
        <v>1011</v>
      </c>
      <c r="C288" s="4" t="s">
        <v>1012</v>
      </c>
      <c r="F288" t="s">
        <v>1011</v>
      </c>
      <c r="G288" s="4" t="s">
        <v>1012</v>
      </c>
    </row>
    <row r="289" spans="1:7">
      <c r="A289">
        <v>403070</v>
      </c>
      <c r="B289" t="s">
        <v>1013</v>
      </c>
      <c r="C289" s="4" t="s">
        <v>1014</v>
      </c>
      <c r="F289" t="s">
        <v>1013</v>
      </c>
      <c r="G289" s="4" t="s">
        <v>1014</v>
      </c>
    </row>
    <row r="290" spans="1:7">
      <c r="A290">
        <v>403080</v>
      </c>
      <c r="B290" t="s">
        <v>1015</v>
      </c>
      <c r="C290" s="3" t="s">
        <v>1016</v>
      </c>
      <c r="F290" t="s">
        <v>1015</v>
      </c>
      <c r="G290" s="3" t="s">
        <v>1016</v>
      </c>
    </row>
    <row r="291" spans="1:7">
      <c r="A291">
        <v>404010</v>
      </c>
      <c r="B291" t="s">
        <v>1017</v>
      </c>
      <c r="C291" s="3" t="s">
        <v>978</v>
      </c>
      <c r="F291" t="s">
        <v>1017</v>
      </c>
      <c r="G291" s="3" t="s">
        <v>978</v>
      </c>
    </row>
    <row r="292" spans="1:7">
      <c r="A292">
        <v>404020</v>
      </c>
      <c r="B292" t="s">
        <v>1018</v>
      </c>
      <c r="C292" s="3" t="s">
        <v>978</v>
      </c>
      <c r="F292" t="s">
        <v>1018</v>
      </c>
      <c r="G292" s="3" t="s">
        <v>978</v>
      </c>
    </row>
    <row r="293" spans="1:7">
      <c r="A293">
        <v>404030</v>
      </c>
      <c r="B293" t="s">
        <v>1019</v>
      </c>
      <c r="C293" s="3" t="s">
        <v>1020</v>
      </c>
      <c r="F293" t="s">
        <v>1019</v>
      </c>
      <c r="G293" s="3" t="s">
        <v>1020</v>
      </c>
    </row>
    <row r="294" spans="1:7">
      <c r="A294">
        <v>404040</v>
      </c>
      <c r="B294" t="s">
        <v>1021</v>
      </c>
      <c r="C294" s="3" t="s">
        <v>1022</v>
      </c>
      <c r="F294" t="s">
        <v>1021</v>
      </c>
      <c r="G294" s="3" t="s">
        <v>1022</v>
      </c>
    </row>
    <row r="295" spans="1:7">
      <c r="A295">
        <v>404050</v>
      </c>
      <c r="B295" t="s">
        <v>1023</v>
      </c>
      <c r="C295" s="4" t="s">
        <v>1024</v>
      </c>
      <c r="F295" t="s">
        <v>1023</v>
      </c>
      <c r="G295" s="4" t="s">
        <v>1024</v>
      </c>
    </row>
    <row r="296" spans="1:7">
      <c r="A296">
        <v>404060</v>
      </c>
      <c r="B296" t="s">
        <v>1025</v>
      </c>
      <c r="C296" s="3" t="s">
        <v>987</v>
      </c>
      <c r="F296" t="s">
        <v>1025</v>
      </c>
      <c r="G296" s="3" t="s">
        <v>987</v>
      </c>
    </row>
    <row r="297" spans="1:7">
      <c r="A297">
        <v>404070</v>
      </c>
      <c r="B297" t="s">
        <v>1026</v>
      </c>
      <c r="C297" s="3" t="s">
        <v>1027</v>
      </c>
      <c r="F297" t="s">
        <v>1026</v>
      </c>
      <c r="G297" s="3" t="s">
        <v>1027</v>
      </c>
    </row>
    <row r="298" spans="1:7">
      <c r="A298">
        <v>404080</v>
      </c>
      <c r="B298" t="s">
        <v>1028</v>
      </c>
      <c r="C298" s="3" t="s">
        <v>987</v>
      </c>
      <c r="F298" t="s">
        <v>1028</v>
      </c>
      <c r="G298" s="3" t="s">
        <v>987</v>
      </c>
    </row>
    <row r="299" spans="1:7">
      <c r="A299">
        <v>405010</v>
      </c>
      <c r="B299" t="s">
        <v>1029</v>
      </c>
      <c r="C299" s="3" t="s">
        <v>978</v>
      </c>
      <c r="F299" t="s">
        <v>1029</v>
      </c>
      <c r="G299" s="3" t="s">
        <v>978</v>
      </c>
    </row>
    <row r="300" spans="1:7">
      <c r="A300">
        <v>405020</v>
      </c>
      <c r="B300" t="s">
        <v>1030</v>
      </c>
      <c r="C300" s="3" t="s">
        <v>978</v>
      </c>
      <c r="F300" t="s">
        <v>1030</v>
      </c>
      <c r="G300" s="3" t="s">
        <v>978</v>
      </c>
    </row>
    <row r="301" spans="1:7">
      <c r="A301">
        <v>405030</v>
      </c>
      <c r="B301" t="s">
        <v>1031</v>
      </c>
      <c r="C301" s="3" t="s">
        <v>1022</v>
      </c>
      <c r="F301" t="s">
        <v>1031</v>
      </c>
      <c r="G301" s="3" t="s">
        <v>1022</v>
      </c>
    </row>
    <row r="302" spans="1:7">
      <c r="A302">
        <v>405040</v>
      </c>
      <c r="B302" t="s">
        <v>1032</v>
      </c>
      <c r="C302" s="3" t="s">
        <v>1033</v>
      </c>
      <c r="F302" t="s">
        <v>1032</v>
      </c>
      <c r="G302" s="3" t="s">
        <v>1033</v>
      </c>
    </row>
    <row r="303" spans="1:7">
      <c r="A303">
        <v>405050</v>
      </c>
      <c r="B303" t="s">
        <v>1034</v>
      </c>
      <c r="C303" s="3" t="s">
        <v>1001</v>
      </c>
      <c r="F303" t="s">
        <v>1034</v>
      </c>
      <c r="G303" s="3" t="s">
        <v>1001</v>
      </c>
    </row>
    <row r="304" spans="1:7">
      <c r="A304">
        <v>405060</v>
      </c>
      <c r="B304" t="s">
        <v>1035</v>
      </c>
      <c r="C304" s="3" t="s">
        <v>1036</v>
      </c>
      <c r="F304" t="s">
        <v>1035</v>
      </c>
      <c r="G304" s="3" t="s">
        <v>1036</v>
      </c>
    </row>
    <row r="305" spans="1:7">
      <c r="A305">
        <v>405070</v>
      </c>
      <c r="B305" t="s">
        <v>1037</v>
      </c>
      <c r="C305" s="4" t="s">
        <v>1038</v>
      </c>
      <c r="F305" t="s">
        <v>1037</v>
      </c>
      <c r="G305" s="4" t="s">
        <v>1038</v>
      </c>
    </row>
    <row r="306" spans="1:7">
      <c r="A306">
        <v>405080</v>
      </c>
      <c r="B306" t="s">
        <v>1039</v>
      </c>
      <c r="C306" s="3" t="s">
        <v>1040</v>
      </c>
      <c r="F306" t="s">
        <v>1039</v>
      </c>
      <c r="G306" s="3" t="s">
        <v>1040</v>
      </c>
    </row>
    <row r="307" spans="1:7">
      <c r="A307">
        <v>411010</v>
      </c>
      <c r="B307" t="s">
        <v>1041</v>
      </c>
      <c r="C307" s="4" t="s">
        <v>1042</v>
      </c>
      <c r="F307" t="s">
        <v>1041</v>
      </c>
      <c r="G307" s="4" t="s">
        <v>1042</v>
      </c>
    </row>
    <row r="308" spans="1:7">
      <c r="A308">
        <v>411020</v>
      </c>
      <c r="B308" t="s">
        <v>1043</v>
      </c>
      <c r="C308" s="4" t="s">
        <v>1042</v>
      </c>
      <c r="F308" t="s">
        <v>1043</v>
      </c>
      <c r="G308" s="4" t="s">
        <v>1042</v>
      </c>
    </row>
    <row r="309" spans="1:7">
      <c r="A309">
        <v>411030</v>
      </c>
      <c r="B309" t="s">
        <v>1044</v>
      </c>
      <c r="C309" s="4" t="s">
        <v>1045</v>
      </c>
      <c r="F309" t="s">
        <v>1044</v>
      </c>
      <c r="G309" s="4" t="s">
        <v>1045</v>
      </c>
    </row>
    <row r="310" spans="1:7">
      <c r="A310">
        <v>411040</v>
      </c>
      <c r="B310" t="s">
        <v>1046</v>
      </c>
      <c r="C310" s="4" t="s">
        <v>987</v>
      </c>
      <c r="F310" t="s">
        <v>1046</v>
      </c>
      <c r="G310" s="4" t="s">
        <v>987</v>
      </c>
    </row>
    <row r="311" spans="1:7">
      <c r="A311">
        <v>411050</v>
      </c>
      <c r="B311" t="s">
        <v>1047</v>
      </c>
      <c r="C311" s="4" t="s">
        <v>1024</v>
      </c>
      <c r="F311" t="s">
        <v>1047</v>
      </c>
      <c r="G311" s="4" t="s">
        <v>1024</v>
      </c>
    </row>
    <row r="312" spans="1:7">
      <c r="A312">
        <v>411060</v>
      </c>
      <c r="B312" t="s">
        <v>1048</v>
      </c>
      <c r="C312" s="4" t="s">
        <v>1024</v>
      </c>
      <c r="F312" t="s">
        <v>1048</v>
      </c>
      <c r="G312" s="4" t="s">
        <v>1024</v>
      </c>
    </row>
    <row r="313" spans="1:7">
      <c r="A313">
        <v>411070</v>
      </c>
      <c r="B313" t="s">
        <v>1049</v>
      </c>
      <c r="C313" s="4" t="s">
        <v>1042</v>
      </c>
      <c r="F313" t="s">
        <v>1049</v>
      </c>
      <c r="G313" s="4" t="s">
        <v>1042</v>
      </c>
    </row>
    <row r="314" spans="1:7">
      <c r="A314">
        <v>411080</v>
      </c>
      <c r="B314" t="s">
        <v>1050</v>
      </c>
      <c r="C314" s="4" t="s">
        <v>1042</v>
      </c>
      <c r="F314" t="s">
        <v>1050</v>
      </c>
      <c r="G314" s="4" t="s">
        <v>1042</v>
      </c>
    </row>
    <row r="315" spans="1:7">
      <c r="A315">
        <v>411090</v>
      </c>
      <c r="B315" t="s">
        <v>1051</v>
      </c>
      <c r="C315" s="4" t="s">
        <v>1052</v>
      </c>
      <c r="F315" t="s">
        <v>1051</v>
      </c>
      <c r="G315" s="4" t="s">
        <v>1052</v>
      </c>
    </row>
    <row r="316" spans="1:7">
      <c r="A316">
        <v>412010</v>
      </c>
      <c r="B316" t="s">
        <v>1053</v>
      </c>
      <c r="C316" t="s">
        <v>1054</v>
      </c>
      <c r="F316" t="s">
        <v>1053</v>
      </c>
      <c r="G316" t="s">
        <v>1054</v>
      </c>
    </row>
    <row r="317" spans="1:7">
      <c r="A317">
        <v>412020</v>
      </c>
      <c r="B317" t="s">
        <v>1055</v>
      </c>
      <c r="C317" s="4" t="s">
        <v>992</v>
      </c>
      <c r="F317" t="s">
        <v>1055</v>
      </c>
      <c r="G317" s="4" t="s">
        <v>992</v>
      </c>
    </row>
    <row r="318" spans="1:7">
      <c r="A318">
        <v>412030</v>
      </c>
      <c r="B318" t="s">
        <v>1056</v>
      </c>
      <c r="C318" s="4" t="s">
        <v>1057</v>
      </c>
      <c r="F318" t="s">
        <v>1056</v>
      </c>
      <c r="G318" s="4" t="s">
        <v>1057</v>
      </c>
    </row>
    <row r="319" spans="1:7">
      <c r="A319">
        <v>412040</v>
      </c>
      <c r="B319" t="s">
        <v>1058</v>
      </c>
      <c r="C319" s="4" t="s">
        <v>1059</v>
      </c>
      <c r="F319" t="s">
        <v>1058</v>
      </c>
      <c r="G319" s="4" t="s">
        <v>1059</v>
      </c>
    </row>
    <row r="320" spans="1:7">
      <c r="A320">
        <v>412050</v>
      </c>
      <c r="B320" t="s">
        <v>1060</v>
      </c>
      <c r="C320" s="4" t="s">
        <v>995</v>
      </c>
      <c r="F320" t="s">
        <v>1060</v>
      </c>
      <c r="G320" s="4" t="s">
        <v>995</v>
      </c>
    </row>
    <row r="321" spans="1:7">
      <c r="A321">
        <v>412060</v>
      </c>
      <c r="B321" t="s">
        <v>1061</v>
      </c>
      <c r="C321" s="3" t="s">
        <v>978</v>
      </c>
      <c r="F321" t="s">
        <v>1061</v>
      </c>
      <c r="G321" s="3" t="s">
        <v>978</v>
      </c>
    </row>
    <row r="322" spans="1:7">
      <c r="A322">
        <v>412070</v>
      </c>
      <c r="B322" t="s">
        <v>1062</v>
      </c>
      <c r="C322" s="4" t="s">
        <v>1042</v>
      </c>
      <c r="F322" t="s">
        <v>1062</v>
      </c>
      <c r="G322" s="4" t="s">
        <v>1042</v>
      </c>
    </row>
    <row r="323" spans="1:7">
      <c r="A323">
        <v>412080</v>
      </c>
      <c r="B323" t="s">
        <v>1063</v>
      </c>
      <c r="C323" s="3" t="s">
        <v>978</v>
      </c>
      <c r="F323" t="s">
        <v>1063</v>
      </c>
      <c r="G323" s="3" t="s">
        <v>978</v>
      </c>
    </row>
    <row r="324" spans="1:7">
      <c r="A324">
        <v>412090</v>
      </c>
      <c r="B324" t="s">
        <v>1064</v>
      </c>
      <c r="C324" s="4" t="s">
        <v>1065</v>
      </c>
      <c r="F324" t="s">
        <v>1064</v>
      </c>
      <c r="G324" s="4" t="s">
        <v>1065</v>
      </c>
    </row>
    <row r="325" spans="1:7">
      <c r="A325">
        <v>413010</v>
      </c>
      <c r="B325" t="s">
        <v>1066</v>
      </c>
      <c r="C325" s="4" t="s">
        <v>1006</v>
      </c>
      <c r="F325" t="s">
        <v>1066</v>
      </c>
      <c r="G325" s="4" t="s">
        <v>1006</v>
      </c>
    </row>
    <row r="326" spans="1:7">
      <c r="A326">
        <v>413020</v>
      </c>
      <c r="B326" t="s">
        <v>1067</v>
      </c>
      <c r="C326" s="3" t="s">
        <v>1008</v>
      </c>
      <c r="F326" t="s">
        <v>1067</v>
      </c>
      <c r="G326" s="3" t="s">
        <v>1008</v>
      </c>
    </row>
    <row r="327" spans="1:7">
      <c r="A327">
        <v>413030</v>
      </c>
      <c r="B327" t="s">
        <v>1068</v>
      </c>
      <c r="C327" s="3" t="s">
        <v>987</v>
      </c>
      <c r="F327" t="s">
        <v>1068</v>
      </c>
      <c r="G327" s="3" t="s">
        <v>987</v>
      </c>
    </row>
    <row r="328" spans="1:7">
      <c r="A328">
        <v>413040</v>
      </c>
      <c r="B328" t="s">
        <v>1069</v>
      </c>
      <c r="C328" s="3" t="s">
        <v>1008</v>
      </c>
      <c r="F328" t="s">
        <v>1069</v>
      </c>
      <c r="G328" s="3" t="s">
        <v>1008</v>
      </c>
    </row>
    <row r="329" spans="1:7">
      <c r="A329">
        <v>413050</v>
      </c>
      <c r="B329" t="s">
        <v>1070</v>
      </c>
      <c r="C329" s="3" t="s">
        <v>987</v>
      </c>
      <c r="F329" t="s">
        <v>1070</v>
      </c>
      <c r="G329" s="3" t="s">
        <v>987</v>
      </c>
    </row>
    <row r="330" spans="1:7">
      <c r="A330">
        <v>413060</v>
      </c>
      <c r="B330" t="s">
        <v>1071</v>
      </c>
      <c r="C330" s="3" t="s">
        <v>987</v>
      </c>
      <c r="F330" t="s">
        <v>1071</v>
      </c>
      <c r="G330" s="3" t="s">
        <v>987</v>
      </c>
    </row>
    <row r="331" spans="1:7">
      <c r="A331">
        <v>413070</v>
      </c>
      <c r="B331" t="s">
        <v>1072</v>
      </c>
      <c r="C331" s="4" t="s">
        <v>1073</v>
      </c>
      <c r="F331" t="s">
        <v>1072</v>
      </c>
      <c r="G331" s="4" t="s">
        <v>1073</v>
      </c>
    </row>
    <row r="332" spans="1:7">
      <c r="A332">
        <v>413080</v>
      </c>
      <c r="B332" t="s">
        <v>1074</v>
      </c>
      <c r="C332" s="3" t="s">
        <v>1022</v>
      </c>
      <c r="F332" t="s">
        <v>1074</v>
      </c>
      <c r="G332" s="3" t="s">
        <v>1022</v>
      </c>
    </row>
    <row r="333" spans="1:7">
      <c r="A333">
        <v>413090</v>
      </c>
      <c r="B333" t="s">
        <v>1075</v>
      </c>
      <c r="C333" s="3" t="s">
        <v>1076</v>
      </c>
      <c r="F333" t="s">
        <v>1075</v>
      </c>
      <c r="G333" s="3" t="s">
        <v>1076</v>
      </c>
    </row>
    <row r="334" spans="1:7">
      <c r="A334">
        <v>414010</v>
      </c>
      <c r="B334" t="s">
        <v>1077</v>
      </c>
      <c r="C334" s="3" t="s">
        <v>1078</v>
      </c>
      <c r="F334" t="s">
        <v>1077</v>
      </c>
      <c r="G334" s="3" t="s">
        <v>1078</v>
      </c>
    </row>
    <row r="335" spans="1:7">
      <c r="A335">
        <v>414020</v>
      </c>
      <c r="B335" t="s">
        <v>1079</v>
      </c>
      <c r="C335" s="3" t="s">
        <v>1080</v>
      </c>
      <c r="F335" t="s">
        <v>1079</v>
      </c>
      <c r="G335" s="3" t="s">
        <v>1080</v>
      </c>
    </row>
    <row r="336" spans="1:7">
      <c r="A336">
        <v>414030</v>
      </c>
      <c r="B336" t="s">
        <v>1081</v>
      </c>
      <c r="C336" s="3" t="s">
        <v>999</v>
      </c>
      <c r="F336" t="s">
        <v>1081</v>
      </c>
      <c r="G336" s="3" t="s">
        <v>999</v>
      </c>
    </row>
    <row r="337" spans="1:7">
      <c r="A337">
        <v>414040</v>
      </c>
      <c r="B337" t="s">
        <v>1082</v>
      </c>
      <c r="C337" s="3" t="s">
        <v>1027</v>
      </c>
      <c r="F337" t="s">
        <v>1082</v>
      </c>
      <c r="G337" s="3" t="s">
        <v>1027</v>
      </c>
    </row>
    <row r="338" spans="1:7">
      <c r="A338">
        <v>414050</v>
      </c>
      <c r="B338" t="s">
        <v>1083</v>
      </c>
      <c r="C338" s="3" t="s">
        <v>1084</v>
      </c>
      <c r="F338" t="s">
        <v>1083</v>
      </c>
      <c r="G338" s="3" t="s">
        <v>1084</v>
      </c>
    </row>
    <row r="339" spans="1:7">
      <c r="A339">
        <v>414060</v>
      </c>
      <c r="B339" t="s">
        <v>1085</v>
      </c>
      <c r="C339" s="4" t="s">
        <v>1024</v>
      </c>
      <c r="F339" t="s">
        <v>1085</v>
      </c>
      <c r="G339" s="4" t="s">
        <v>1024</v>
      </c>
    </row>
    <row r="340" spans="1:7">
      <c r="A340">
        <v>414070</v>
      </c>
      <c r="B340" t="s">
        <v>1086</v>
      </c>
      <c r="C340" s="4" t="s">
        <v>1087</v>
      </c>
      <c r="F340" t="s">
        <v>1086</v>
      </c>
      <c r="G340" s="4" t="s">
        <v>1087</v>
      </c>
    </row>
    <row r="341" spans="1:7">
      <c r="A341">
        <v>414080</v>
      </c>
      <c r="B341" t="s">
        <v>1088</v>
      </c>
      <c r="C341" s="3" t="s">
        <v>1027</v>
      </c>
      <c r="F341" t="s">
        <v>1088</v>
      </c>
      <c r="G341" s="3" t="s">
        <v>1027</v>
      </c>
    </row>
    <row r="342" spans="1:7">
      <c r="A342">
        <v>414090</v>
      </c>
      <c r="B342" t="s">
        <v>1089</v>
      </c>
      <c r="C342" s="3" t="s">
        <v>987</v>
      </c>
      <c r="F342" t="s">
        <v>1089</v>
      </c>
      <c r="G342" s="3" t="s">
        <v>987</v>
      </c>
    </row>
    <row r="343" spans="1:7">
      <c r="A343">
        <v>415010</v>
      </c>
      <c r="B343" t="s">
        <v>1090</v>
      </c>
      <c r="C343" s="3" t="s">
        <v>1091</v>
      </c>
      <c r="F343" t="s">
        <v>1090</v>
      </c>
      <c r="G343" s="3" t="s">
        <v>1091</v>
      </c>
    </row>
    <row r="344" spans="1:7">
      <c r="A344">
        <v>415020</v>
      </c>
      <c r="B344" t="s">
        <v>1092</v>
      </c>
      <c r="C344" s="3" t="s">
        <v>1091</v>
      </c>
      <c r="F344" t="s">
        <v>1092</v>
      </c>
      <c r="G344" s="3" t="s">
        <v>1091</v>
      </c>
    </row>
    <row r="345" spans="1:7">
      <c r="A345">
        <v>415030</v>
      </c>
      <c r="B345" t="s">
        <v>1093</v>
      </c>
      <c r="C345" s="4" t="s">
        <v>1024</v>
      </c>
      <c r="F345" t="s">
        <v>1093</v>
      </c>
      <c r="G345" s="4" t="s">
        <v>1024</v>
      </c>
    </row>
    <row r="346" spans="1:7">
      <c r="A346">
        <v>415040</v>
      </c>
      <c r="B346" t="s">
        <v>1094</v>
      </c>
      <c r="C346" s="4" t="s">
        <v>1095</v>
      </c>
      <c r="F346" t="s">
        <v>1094</v>
      </c>
      <c r="G346" s="4" t="s">
        <v>1095</v>
      </c>
    </row>
    <row r="347" spans="1:7">
      <c r="A347">
        <v>415050</v>
      </c>
      <c r="B347" t="s">
        <v>1096</v>
      </c>
      <c r="C347" s="3" t="s">
        <v>1022</v>
      </c>
      <c r="F347" t="s">
        <v>1096</v>
      </c>
      <c r="G347" s="3" t="s">
        <v>1022</v>
      </c>
    </row>
    <row r="348" spans="1:7">
      <c r="A348">
        <v>415060</v>
      </c>
      <c r="B348" t="s">
        <v>1097</v>
      </c>
      <c r="C348" s="3" t="s">
        <v>1022</v>
      </c>
      <c r="F348" t="s">
        <v>1097</v>
      </c>
      <c r="G348" s="3" t="s">
        <v>1022</v>
      </c>
    </row>
    <row r="349" spans="1:7">
      <c r="A349">
        <v>415070</v>
      </c>
      <c r="B349" t="s">
        <v>1098</v>
      </c>
      <c r="C349" s="3" t="s">
        <v>1091</v>
      </c>
      <c r="F349" t="s">
        <v>1098</v>
      </c>
      <c r="G349" s="3" t="s">
        <v>1091</v>
      </c>
    </row>
    <row r="350" spans="1:7">
      <c r="A350">
        <v>415080</v>
      </c>
      <c r="B350" t="s">
        <v>1099</v>
      </c>
      <c r="C350" s="3" t="s">
        <v>1100</v>
      </c>
      <c r="F350" t="s">
        <v>1099</v>
      </c>
      <c r="G350" s="3" t="s">
        <v>1100</v>
      </c>
    </row>
    <row r="351" spans="1:7">
      <c r="A351">
        <v>415090</v>
      </c>
      <c r="B351" t="s">
        <v>1101</v>
      </c>
      <c r="C351" s="3" t="s">
        <v>1102</v>
      </c>
      <c r="F351" t="s">
        <v>1101</v>
      </c>
      <c r="G351" s="3" t="s">
        <v>1102</v>
      </c>
    </row>
    <row r="352" customFormat="1" spans="1:7">
      <c r="A352">
        <v>501010</v>
      </c>
      <c r="B352" t="s">
        <v>1103</v>
      </c>
      <c r="C352" t="s">
        <v>1104</v>
      </c>
      <c r="F352" t="s">
        <v>1105</v>
      </c>
      <c r="G352" t="s">
        <v>1106</v>
      </c>
    </row>
    <row r="353" spans="1:7">
      <c r="A353">
        <v>501020</v>
      </c>
      <c r="B353" t="s">
        <v>1107</v>
      </c>
      <c r="C353" t="s">
        <v>1108</v>
      </c>
      <c r="F353" t="s">
        <v>1109</v>
      </c>
      <c r="G353" t="s">
        <v>1110</v>
      </c>
    </row>
    <row r="354" customFormat="1" spans="1:7">
      <c r="A354">
        <v>501030</v>
      </c>
      <c r="B354" t="s">
        <v>1111</v>
      </c>
      <c r="C354" t="s">
        <v>1112</v>
      </c>
      <c r="F354" t="s">
        <v>1113</v>
      </c>
      <c r="G354" t="s">
        <v>1114</v>
      </c>
    </row>
    <row r="355" customFormat="1" spans="1:7">
      <c r="A355">
        <v>501040</v>
      </c>
      <c r="B355" t="s">
        <v>1115</v>
      </c>
      <c r="C355" t="s">
        <v>972</v>
      </c>
      <c r="F355" t="s">
        <v>1115</v>
      </c>
      <c r="G355" t="s">
        <v>1116</v>
      </c>
    </row>
    <row r="356" customFormat="1" spans="1:7">
      <c r="A356">
        <v>501110</v>
      </c>
      <c r="B356" t="s">
        <v>1117</v>
      </c>
      <c r="C356" t="s">
        <v>974</v>
      </c>
      <c r="F356" t="s">
        <v>1117</v>
      </c>
      <c r="G356" t="s">
        <v>1118</v>
      </c>
    </row>
    <row r="357" customFormat="1" spans="1:7">
      <c r="A357">
        <v>501120</v>
      </c>
      <c r="B357" t="s">
        <v>1119</v>
      </c>
      <c r="C357" t="s">
        <v>1108</v>
      </c>
      <c r="F357" t="s">
        <v>1120</v>
      </c>
      <c r="G357" t="s">
        <v>1110</v>
      </c>
    </row>
    <row r="358" customFormat="1" spans="1:7">
      <c r="A358">
        <v>501130</v>
      </c>
      <c r="B358" t="s">
        <v>1121</v>
      </c>
      <c r="C358" t="s">
        <v>976</v>
      </c>
      <c r="F358" t="s">
        <v>1121</v>
      </c>
      <c r="G358" t="s">
        <v>1122</v>
      </c>
    </row>
    <row r="359" customFormat="1" spans="1:7">
      <c r="A359">
        <v>502010</v>
      </c>
      <c r="B359" t="s">
        <v>1123</v>
      </c>
      <c r="C359" t="s">
        <v>974</v>
      </c>
      <c r="F359" t="s">
        <v>1123</v>
      </c>
      <c r="G359" t="s">
        <v>1118</v>
      </c>
    </row>
    <row r="360" customFormat="1" spans="1:7">
      <c r="A360">
        <v>502020</v>
      </c>
      <c r="B360" t="s">
        <v>1124</v>
      </c>
      <c r="C360" t="s">
        <v>976</v>
      </c>
      <c r="F360" t="s">
        <v>1124</v>
      </c>
      <c r="G360" t="s">
        <v>1122</v>
      </c>
    </row>
    <row r="361" customFormat="1" spans="1:7">
      <c r="A361">
        <v>502030</v>
      </c>
      <c r="B361" t="s">
        <v>1124</v>
      </c>
      <c r="C361" t="s">
        <v>976</v>
      </c>
      <c r="F361" t="s">
        <v>1124</v>
      </c>
      <c r="G361" t="s">
        <v>1122</v>
      </c>
    </row>
    <row r="362" customFormat="1" spans="1:7">
      <c r="A362">
        <v>502040</v>
      </c>
      <c r="B362" t="s">
        <v>1125</v>
      </c>
      <c r="C362" t="s">
        <v>1126</v>
      </c>
      <c r="F362" t="s">
        <v>1127</v>
      </c>
      <c r="G362" t="s">
        <v>1128</v>
      </c>
    </row>
    <row r="363" customFormat="1" spans="1:7">
      <c r="A363">
        <v>502110</v>
      </c>
      <c r="B363" t="s">
        <v>1129</v>
      </c>
      <c r="C363" t="s">
        <v>1130</v>
      </c>
      <c r="F363" t="s">
        <v>1131</v>
      </c>
      <c r="G363" t="s">
        <v>1132</v>
      </c>
    </row>
    <row r="364" customFormat="1" spans="1:7">
      <c r="A364">
        <v>502120</v>
      </c>
      <c r="B364" t="s">
        <v>1107</v>
      </c>
      <c r="C364" t="s">
        <v>1108</v>
      </c>
      <c r="F364" t="s">
        <v>1109</v>
      </c>
      <c r="G364" t="s">
        <v>1110</v>
      </c>
    </row>
    <row r="365" customFormat="1" spans="1:7">
      <c r="A365">
        <v>502121</v>
      </c>
      <c r="B365" t="s">
        <v>1125</v>
      </c>
      <c r="C365" t="s">
        <v>1126</v>
      </c>
      <c r="F365" t="s">
        <v>1127</v>
      </c>
      <c r="G365" t="s">
        <v>1128</v>
      </c>
    </row>
    <row r="366" customFormat="1" spans="1:7">
      <c r="A366">
        <v>502130</v>
      </c>
      <c r="B366" t="s">
        <v>1121</v>
      </c>
      <c r="C366" t="s">
        <v>976</v>
      </c>
      <c r="F366" t="s">
        <v>1121</v>
      </c>
      <c r="G366" t="s">
        <v>1122</v>
      </c>
    </row>
    <row r="367" customFormat="1" spans="1:7">
      <c r="A367">
        <v>503010</v>
      </c>
      <c r="B367" t="s">
        <v>1123</v>
      </c>
      <c r="C367" t="s">
        <v>974</v>
      </c>
      <c r="F367" t="s">
        <v>1123</v>
      </c>
      <c r="G367" t="s">
        <v>1118</v>
      </c>
    </row>
    <row r="368" customFormat="1" spans="1:7">
      <c r="A368">
        <v>503020</v>
      </c>
      <c r="B368" t="s">
        <v>1133</v>
      </c>
      <c r="C368" t="s">
        <v>1134</v>
      </c>
      <c r="F368" t="s">
        <v>1135</v>
      </c>
      <c r="G368" t="s">
        <v>1136</v>
      </c>
    </row>
    <row r="369" customFormat="1" spans="1:7">
      <c r="A369">
        <v>503030</v>
      </c>
      <c r="B369" t="s">
        <v>1111</v>
      </c>
      <c r="C369" t="s">
        <v>1112</v>
      </c>
      <c r="F369" t="s">
        <v>1113</v>
      </c>
      <c r="G369" t="s">
        <v>1114</v>
      </c>
    </row>
    <row r="370" customFormat="1" spans="1:7">
      <c r="A370">
        <v>503040</v>
      </c>
      <c r="B370" t="s">
        <v>1117</v>
      </c>
      <c r="C370" t="s">
        <v>974</v>
      </c>
      <c r="F370" t="s">
        <v>1117</v>
      </c>
      <c r="G370" t="s">
        <v>1118</v>
      </c>
    </row>
    <row r="371" customFormat="1" spans="1:7">
      <c r="A371">
        <v>503110</v>
      </c>
      <c r="B371" t="s">
        <v>1117</v>
      </c>
      <c r="C371" t="s">
        <v>974</v>
      </c>
      <c r="F371" t="s">
        <v>1117</v>
      </c>
      <c r="G371" t="s">
        <v>1118</v>
      </c>
    </row>
    <row r="372" customFormat="1" spans="1:7">
      <c r="A372">
        <v>503120</v>
      </c>
      <c r="B372" t="s">
        <v>1115</v>
      </c>
      <c r="C372" t="s">
        <v>972</v>
      </c>
      <c r="F372" t="s">
        <v>1115</v>
      </c>
      <c r="G372" t="s">
        <v>1116</v>
      </c>
    </row>
    <row r="373" customFormat="1" spans="1:7">
      <c r="A373">
        <v>503130</v>
      </c>
      <c r="B373" t="s">
        <v>1137</v>
      </c>
      <c r="C373" t="s">
        <v>1138</v>
      </c>
      <c r="F373" t="s">
        <v>1139</v>
      </c>
      <c r="G373" t="s">
        <v>1140</v>
      </c>
    </row>
    <row r="374" spans="1:7">
      <c r="A374">
        <v>504010</v>
      </c>
      <c r="B374" t="s">
        <v>1141</v>
      </c>
      <c r="C374" t="s">
        <v>1142</v>
      </c>
      <c r="F374" t="s">
        <v>1143</v>
      </c>
      <c r="G374" t="s">
        <v>1144</v>
      </c>
    </row>
    <row r="375" spans="1:7">
      <c r="A375">
        <v>504020</v>
      </c>
      <c r="B375" t="s">
        <v>1124</v>
      </c>
      <c r="C375" t="s">
        <v>976</v>
      </c>
      <c r="F375" t="s">
        <v>1124</v>
      </c>
      <c r="G375" t="s">
        <v>1122</v>
      </c>
    </row>
    <row r="376" spans="1:7">
      <c r="A376">
        <v>504030</v>
      </c>
      <c r="B376" t="s">
        <v>1107</v>
      </c>
      <c r="C376" t="s">
        <v>1108</v>
      </c>
      <c r="F376" t="s">
        <v>1109</v>
      </c>
      <c r="G376" t="s">
        <v>1110</v>
      </c>
    </row>
    <row r="377" customFormat="1" spans="1:7">
      <c r="A377">
        <v>504040</v>
      </c>
      <c r="B377" t="s">
        <v>1111</v>
      </c>
      <c r="C377" t="s">
        <v>1112</v>
      </c>
      <c r="F377" t="s">
        <v>1113</v>
      </c>
      <c r="G377" t="s">
        <v>1114</v>
      </c>
    </row>
    <row r="378" customFormat="1" spans="1:7">
      <c r="A378">
        <v>504110</v>
      </c>
      <c r="B378" t="s">
        <v>1119</v>
      </c>
      <c r="C378" t="s">
        <v>1108</v>
      </c>
      <c r="F378" t="s">
        <v>1120</v>
      </c>
      <c r="G378" t="s">
        <v>1110</v>
      </c>
    </row>
    <row r="379" customFormat="1" spans="1:7">
      <c r="A379">
        <v>504120</v>
      </c>
      <c r="B379" t="s">
        <v>1111</v>
      </c>
      <c r="C379" t="s">
        <v>1112</v>
      </c>
      <c r="F379" t="s">
        <v>1113</v>
      </c>
      <c r="G379" t="s">
        <v>1114</v>
      </c>
    </row>
    <row r="380" customFormat="1" spans="1:7">
      <c r="A380">
        <v>504130</v>
      </c>
      <c r="B380" t="s">
        <v>1137</v>
      </c>
      <c r="C380" t="s">
        <v>1138</v>
      </c>
      <c r="F380" t="s">
        <v>1139</v>
      </c>
      <c r="G380" t="s">
        <v>1140</v>
      </c>
    </row>
    <row r="381" spans="1:7">
      <c r="A381">
        <v>505010</v>
      </c>
      <c r="B381" t="s">
        <v>1125</v>
      </c>
      <c r="C381" t="s">
        <v>1126</v>
      </c>
      <c r="F381" t="s">
        <v>1127</v>
      </c>
      <c r="G381" t="s">
        <v>1128</v>
      </c>
    </row>
    <row r="382" spans="1:7">
      <c r="A382">
        <v>505020</v>
      </c>
      <c r="B382" t="s">
        <v>1124</v>
      </c>
      <c r="C382" t="s">
        <v>976</v>
      </c>
      <c r="F382" t="s">
        <v>1124</v>
      </c>
      <c r="G382" t="s">
        <v>1122</v>
      </c>
    </row>
    <row r="383" spans="1:7">
      <c r="A383">
        <v>505030</v>
      </c>
      <c r="B383" t="s">
        <v>1111</v>
      </c>
      <c r="C383" t="s">
        <v>1112</v>
      </c>
      <c r="F383" t="s">
        <v>1113</v>
      </c>
      <c r="G383" t="s">
        <v>1114</v>
      </c>
    </row>
    <row r="384" customFormat="1" spans="1:7">
      <c r="A384">
        <v>505040</v>
      </c>
      <c r="B384" t="s">
        <v>1145</v>
      </c>
      <c r="C384" t="s">
        <v>972</v>
      </c>
      <c r="F384" t="s">
        <v>1145</v>
      </c>
      <c r="G384" t="s">
        <v>1116</v>
      </c>
    </row>
    <row r="385" customFormat="1" spans="1:7">
      <c r="A385">
        <v>505110</v>
      </c>
      <c r="B385" t="s">
        <v>1107</v>
      </c>
      <c r="C385" t="s">
        <v>1108</v>
      </c>
      <c r="F385" t="s">
        <v>1109</v>
      </c>
      <c r="G385" t="s">
        <v>1110</v>
      </c>
    </row>
    <row r="386" customFormat="1" spans="1:7">
      <c r="A386">
        <v>505111</v>
      </c>
      <c r="B386" t="s">
        <v>1125</v>
      </c>
      <c r="C386" t="s">
        <v>1126</v>
      </c>
      <c r="F386" t="s">
        <v>1127</v>
      </c>
      <c r="G386" t="s">
        <v>1128</v>
      </c>
    </row>
    <row r="387" customFormat="1" spans="1:7">
      <c r="A387">
        <v>505120</v>
      </c>
      <c r="B387" t="s">
        <v>1145</v>
      </c>
      <c r="C387" t="s">
        <v>972</v>
      </c>
      <c r="F387" t="s">
        <v>1145</v>
      </c>
      <c r="G387" t="s">
        <v>1116</v>
      </c>
    </row>
    <row r="388" customFormat="1" spans="1:7">
      <c r="A388">
        <v>505121</v>
      </c>
      <c r="B388" t="s">
        <v>1124</v>
      </c>
      <c r="C388" t="s">
        <v>976</v>
      </c>
      <c r="F388" t="s">
        <v>1124</v>
      </c>
      <c r="G388" t="s">
        <v>1122</v>
      </c>
    </row>
    <row r="389" customFormat="1" spans="1:7">
      <c r="A389">
        <v>505130</v>
      </c>
      <c r="B389" t="s">
        <v>1121</v>
      </c>
      <c r="C389" t="s">
        <v>976</v>
      </c>
      <c r="F389" t="s">
        <v>1121</v>
      </c>
      <c r="G389" t="s">
        <v>1122</v>
      </c>
    </row>
    <row r="390" customFormat="1" spans="1:7">
      <c r="A390">
        <v>506010</v>
      </c>
      <c r="B390" t="s">
        <v>1146</v>
      </c>
      <c r="C390" t="s">
        <v>1112</v>
      </c>
      <c r="F390" t="s">
        <v>1147</v>
      </c>
      <c r="G390" t="s">
        <v>1114</v>
      </c>
    </row>
    <row r="391" customFormat="1" spans="1:7">
      <c r="A391">
        <v>506011</v>
      </c>
      <c r="B391" t="s">
        <v>1123</v>
      </c>
      <c r="C391" t="s">
        <v>974</v>
      </c>
      <c r="F391" t="s">
        <v>1123</v>
      </c>
      <c r="G391" t="s">
        <v>1118</v>
      </c>
    </row>
    <row r="392" customFormat="1" spans="1:7">
      <c r="A392">
        <v>506012</v>
      </c>
      <c r="B392" t="s">
        <v>1124</v>
      </c>
      <c r="C392" t="s">
        <v>976</v>
      </c>
      <c r="F392" t="s">
        <v>1124</v>
      </c>
      <c r="G392" t="s">
        <v>1122</v>
      </c>
    </row>
    <row r="393" customFormat="1" spans="1:7">
      <c r="A393">
        <v>506013</v>
      </c>
      <c r="B393" t="s">
        <v>1148</v>
      </c>
      <c r="C393" s="4" t="s">
        <v>1149</v>
      </c>
      <c r="F393" t="s">
        <v>1148</v>
      </c>
      <c r="G393" s="4" t="s">
        <v>1150</v>
      </c>
    </row>
    <row r="394" customFormat="1" spans="1:7">
      <c r="A394">
        <v>506020</v>
      </c>
      <c r="B394" t="s">
        <v>1151</v>
      </c>
      <c r="C394" t="s">
        <v>1152</v>
      </c>
      <c r="F394" t="s">
        <v>1153</v>
      </c>
      <c r="G394" t="s">
        <v>1154</v>
      </c>
    </row>
    <row r="395" customFormat="1" spans="1:7">
      <c r="A395">
        <v>506030</v>
      </c>
      <c r="B395" t="s">
        <v>1155</v>
      </c>
      <c r="C395" t="s">
        <v>1156</v>
      </c>
      <c r="F395" t="s">
        <v>1157</v>
      </c>
      <c r="G395" t="s">
        <v>1158</v>
      </c>
    </row>
    <row r="396" customFormat="1" spans="1:7">
      <c r="A396">
        <v>506040</v>
      </c>
      <c r="B396" t="s">
        <v>1159</v>
      </c>
      <c r="C396" t="s">
        <v>1160</v>
      </c>
      <c r="F396" t="s">
        <v>1161</v>
      </c>
      <c r="G396" t="s">
        <v>1162</v>
      </c>
    </row>
    <row r="397" customFormat="1" spans="1:7">
      <c r="A397">
        <v>506050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506060</v>
      </c>
      <c r="B398" t="s">
        <v>1167</v>
      </c>
      <c r="C398" t="s">
        <v>1168</v>
      </c>
      <c r="F398" t="s">
        <v>1169</v>
      </c>
      <c r="G398" t="s">
        <v>1170</v>
      </c>
    </row>
    <row r="399" spans="1:7">
      <c r="A399">
        <v>507010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ht="26" spans="1:7">
      <c r="A400">
        <v>507020</v>
      </c>
      <c r="B400" t="s">
        <v>1175</v>
      </c>
      <c r="C400" s="3" t="s">
        <v>1176</v>
      </c>
      <c r="F400" t="s">
        <v>1177</v>
      </c>
      <c r="G400" s="3" t="s">
        <v>1178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1179</v>
      </c>
      <c r="P1" t="s">
        <v>1180</v>
      </c>
      <c r="S1" t="s">
        <v>1181</v>
      </c>
      <c r="U1" t="s">
        <v>1182</v>
      </c>
      <c r="W1" t="s">
        <v>1183</v>
      </c>
      <c r="Y1" t="s">
        <v>69</v>
      </c>
    </row>
    <row r="2" spans="1:29">
      <c r="A2">
        <v>0</v>
      </c>
      <c r="B2" t="s">
        <v>1184</v>
      </c>
      <c r="D2">
        <v>0</v>
      </c>
      <c r="E2" t="s">
        <v>1184</v>
      </c>
      <c r="G2">
        <v>0</v>
      </c>
      <c r="H2" t="s">
        <v>1184</v>
      </c>
      <c r="J2">
        <v>0</v>
      </c>
      <c r="K2" t="s">
        <v>1184</v>
      </c>
      <c r="M2">
        <v>0</v>
      </c>
      <c r="N2" t="s">
        <v>1184</v>
      </c>
      <c r="P2">
        <v>0</v>
      </c>
      <c r="Q2" t="s">
        <v>1185</v>
      </c>
      <c r="U2">
        <v>0</v>
      </c>
      <c r="V2" t="s">
        <v>1184</v>
      </c>
      <c r="W2">
        <v>0</v>
      </c>
      <c r="X2" t="s">
        <v>1184</v>
      </c>
      <c r="Y2">
        <v>-1</v>
      </c>
      <c r="Z2" t="s">
        <v>1184</v>
      </c>
      <c r="AB2">
        <v>301</v>
      </c>
      <c r="AC2" t="s">
        <v>1186</v>
      </c>
    </row>
    <row r="3" spans="1:29">
      <c r="A3">
        <v>1</v>
      </c>
      <c r="B3" t="s">
        <v>18</v>
      </c>
      <c r="D3">
        <v>1</v>
      </c>
      <c r="E3" t="s">
        <v>1187</v>
      </c>
      <c r="G3">
        <v>1</v>
      </c>
      <c r="H3" t="s">
        <v>1188</v>
      </c>
      <c r="J3">
        <v>1</v>
      </c>
      <c r="K3" t="s">
        <v>1189</v>
      </c>
      <c r="M3">
        <v>1</v>
      </c>
      <c r="N3" t="s">
        <v>18</v>
      </c>
      <c r="P3">
        <v>1010</v>
      </c>
      <c r="Q3" t="s">
        <v>1190</v>
      </c>
      <c r="U3">
        <v>1010</v>
      </c>
      <c r="V3" t="s">
        <v>1191</v>
      </c>
      <c r="W3">
        <v>1</v>
      </c>
      <c r="X3" t="s">
        <v>1192</v>
      </c>
      <c r="Y3">
        <v>1</v>
      </c>
      <c r="Z3" t="s">
        <v>1193</v>
      </c>
      <c r="AB3">
        <v>302</v>
      </c>
      <c r="AC3" t="s">
        <v>1194</v>
      </c>
    </row>
    <row r="4" spans="1:29">
      <c r="A4">
        <v>2</v>
      </c>
      <c r="B4" t="s">
        <v>1195</v>
      </c>
      <c r="D4">
        <v>2</v>
      </c>
      <c r="E4" t="s">
        <v>1196</v>
      </c>
      <c r="G4">
        <v>2</v>
      </c>
      <c r="H4" t="s">
        <v>1197</v>
      </c>
      <c r="J4">
        <v>2</v>
      </c>
      <c r="K4" t="s">
        <v>1198</v>
      </c>
      <c r="M4">
        <v>2</v>
      </c>
      <c r="N4" t="s">
        <v>1195</v>
      </c>
      <c r="P4">
        <v>1020</v>
      </c>
      <c r="Q4" t="s">
        <v>1199</v>
      </c>
      <c r="U4">
        <v>1020</v>
      </c>
      <c r="V4" t="s">
        <v>1200</v>
      </c>
      <c r="W4">
        <v>2</v>
      </c>
      <c r="X4" t="s">
        <v>1201</v>
      </c>
      <c r="Y4">
        <v>11</v>
      </c>
      <c r="Z4" t="s">
        <v>1202</v>
      </c>
      <c r="AB4" s="2">
        <v>303</v>
      </c>
      <c r="AC4" s="2" t="s">
        <v>1203</v>
      </c>
    </row>
    <row r="5" spans="1:29">
      <c r="A5">
        <v>3</v>
      </c>
      <c r="B5" t="s">
        <v>1204</v>
      </c>
      <c r="D5">
        <v>3</v>
      </c>
      <c r="E5" t="s">
        <v>1205</v>
      </c>
      <c r="G5">
        <v>3</v>
      </c>
      <c r="H5" t="s">
        <v>1206</v>
      </c>
      <c r="J5">
        <v>3</v>
      </c>
      <c r="K5" t="s">
        <v>1207</v>
      </c>
      <c r="M5">
        <v>3</v>
      </c>
      <c r="N5" t="s">
        <v>1204</v>
      </c>
      <c r="P5">
        <v>1030</v>
      </c>
      <c r="Q5" t="s">
        <v>1208</v>
      </c>
      <c r="U5">
        <v>1030</v>
      </c>
      <c r="V5" t="s">
        <v>1209</v>
      </c>
      <c r="W5">
        <v>3</v>
      </c>
      <c r="X5" t="s">
        <v>1210</v>
      </c>
      <c r="Y5">
        <v>21</v>
      </c>
      <c r="Z5" t="s">
        <v>1211</v>
      </c>
      <c r="AB5">
        <v>304</v>
      </c>
      <c r="AC5" t="s">
        <v>1212</v>
      </c>
    </row>
    <row r="6" spans="4:29">
      <c r="D6">
        <v>4</v>
      </c>
      <c r="E6" t="s">
        <v>1201</v>
      </c>
      <c r="G6">
        <v>4</v>
      </c>
      <c r="H6" t="s">
        <v>78</v>
      </c>
      <c r="J6">
        <v>4</v>
      </c>
      <c r="K6" t="s">
        <v>1213</v>
      </c>
      <c r="M6">
        <v>4</v>
      </c>
      <c r="N6" t="s">
        <v>1213</v>
      </c>
      <c r="P6">
        <v>1040</v>
      </c>
      <c r="Q6" t="s">
        <v>1214</v>
      </c>
      <c r="U6">
        <v>1040</v>
      </c>
      <c r="V6" t="s">
        <v>1215</v>
      </c>
      <c r="W6">
        <v>4</v>
      </c>
      <c r="X6" t="s">
        <v>1216</v>
      </c>
      <c r="Y6">
        <v>22</v>
      </c>
      <c r="Z6" t="s">
        <v>1217</v>
      </c>
      <c r="AB6">
        <v>305</v>
      </c>
      <c r="AC6" t="s">
        <v>1218</v>
      </c>
    </row>
    <row r="7" spans="4:29">
      <c r="D7">
        <v>5</v>
      </c>
      <c r="E7" t="s">
        <v>1219</v>
      </c>
      <c r="G7">
        <v>5</v>
      </c>
      <c r="H7" t="s">
        <v>1220</v>
      </c>
      <c r="J7">
        <v>6</v>
      </c>
      <c r="K7" t="s">
        <v>1221</v>
      </c>
      <c r="M7">
        <v>5</v>
      </c>
      <c r="N7" t="s">
        <v>1222</v>
      </c>
      <c r="P7">
        <v>1050</v>
      </c>
      <c r="Q7" t="s">
        <v>1223</v>
      </c>
      <c r="U7">
        <v>1050</v>
      </c>
      <c r="V7" t="s">
        <v>1224</v>
      </c>
      <c r="W7">
        <v>5</v>
      </c>
      <c r="X7" t="s">
        <v>1225</v>
      </c>
      <c r="Y7">
        <v>23</v>
      </c>
      <c r="Z7" t="s">
        <v>1226</v>
      </c>
      <c r="AB7">
        <v>306</v>
      </c>
      <c r="AC7" t="s">
        <v>1227</v>
      </c>
    </row>
    <row r="8" spans="4:29">
      <c r="D8">
        <v>6</v>
      </c>
      <c r="E8" t="s">
        <v>1228</v>
      </c>
      <c r="G8">
        <v>6</v>
      </c>
      <c r="H8" t="s">
        <v>1229</v>
      </c>
      <c r="J8">
        <v>7</v>
      </c>
      <c r="K8" t="s">
        <v>1230</v>
      </c>
      <c r="M8">
        <v>6</v>
      </c>
      <c r="N8" t="s">
        <v>1231</v>
      </c>
      <c r="P8">
        <v>1060</v>
      </c>
      <c r="Q8" t="s">
        <v>1232</v>
      </c>
      <c r="U8">
        <v>1060</v>
      </c>
      <c r="V8" t="s">
        <v>1233</v>
      </c>
      <c r="W8">
        <v>6</v>
      </c>
      <c r="X8" t="s">
        <v>1234</v>
      </c>
      <c r="Y8">
        <v>31</v>
      </c>
      <c r="Z8" t="s">
        <v>1235</v>
      </c>
      <c r="AB8">
        <v>307</v>
      </c>
      <c r="AC8" t="s">
        <v>1236</v>
      </c>
    </row>
    <row r="9" spans="7:29">
      <c r="G9">
        <v>7</v>
      </c>
      <c r="H9" t="s">
        <v>1237</v>
      </c>
      <c r="J9">
        <v>11</v>
      </c>
      <c r="K9" t="s">
        <v>1238</v>
      </c>
      <c r="M9">
        <v>11</v>
      </c>
      <c r="N9" t="s">
        <v>1239</v>
      </c>
      <c r="P9">
        <v>1070</v>
      </c>
      <c r="Q9" t="s">
        <v>1240</v>
      </c>
      <c r="U9">
        <v>1130</v>
      </c>
      <c r="V9" t="s">
        <v>1241</v>
      </c>
      <c r="W9">
        <v>7</v>
      </c>
      <c r="X9" t="s">
        <v>1242</v>
      </c>
      <c r="Y9">
        <v>41</v>
      </c>
      <c r="Z9" t="s">
        <v>1243</v>
      </c>
      <c r="AB9">
        <v>308</v>
      </c>
      <c r="AC9" t="s">
        <v>1244</v>
      </c>
    </row>
    <row r="10" spans="7:29">
      <c r="G10">
        <v>8</v>
      </c>
      <c r="H10" t="s">
        <v>1245</v>
      </c>
      <c r="J10">
        <v>101</v>
      </c>
      <c r="K10" t="s">
        <v>1246</v>
      </c>
      <c r="M10">
        <v>12</v>
      </c>
      <c r="N10" s="1" t="s">
        <v>1247</v>
      </c>
      <c r="P10">
        <v>1080</v>
      </c>
      <c r="Q10" t="s">
        <v>1248</v>
      </c>
      <c r="U10">
        <v>1140</v>
      </c>
      <c r="V10" t="s">
        <v>1249</v>
      </c>
      <c r="W10">
        <v>10</v>
      </c>
      <c r="X10" t="s">
        <v>1250</v>
      </c>
      <c r="Y10">
        <v>42</v>
      </c>
      <c r="Z10" t="s">
        <v>1251</v>
      </c>
      <c r="AB10">
        <v>309</v>
      </c>
      <c r="AC10" t="s">
        <v>1252</v>
      </c>
    </row>
    <row r="11" spans="7:29">
      <c r="G11">
        <v>9</v>
      </c>
      <c r="H11" t="s">
        <v>1253</v>
      </c>
      <c r="M11">
        <v>13</v>
      </c>
      <c r="N11" s="1" t="s">
        <v>1254</v>
      </c>
      <c r="P11">
        <v>1090</v>
      </c>
      <c r="Q11" t="s">
        <v>1255</v>
      </c>
      <c r="U11">
        <v>1150</v>
      </c>
      <c r="V11" t="s">
        <v>1256</v>
      </c>
      <c r="W11">
        <v>11</v>
      </c>
      <c r="X11" t="s">
        <v>78</v>
      </c>
      <c r="Y11">
        <v>51</v>
      </c>
      <c r="Z11" t="s">
        <v>1257</v>
      </c>
      <c r="AB11">
        <v>310</v>
      </c>
      <c r="AC11" t="s">
        <v>1258</v>
      </c>
    </row>
    <row r="12" spans="7:29">
      <c r="G12">
        <v>11</v>
      </c>
      <c r="H12" t="s">
        <v>1259</v>
      </c>
      <c r="M12">
        <v>21</v>
      </c>
      <c r="N12" t="s">
        <v>1260</v>
      </c>
      <c r="P12">
        <v>1100</v>
      </c>
      <c r="Q12" t="s">
        <v>1261</v>
      </c>
      <c r="U12">
        <v>1160</v>
      </c>
      <c r="V12" t="s">
        <v>1262</v>
      </c>
      <c r="W12">
        <v>99</v>
      </c>
      <c r="X12" t="s">
        <v>1263</v>
      </c>
      <c r="Y12">
        <v>61</v>
      </c>
      <c r="Z12" t="s">
        <v>1264</v>
      </c>
      <c r="AB12">
        <v>311</v>
      </c>
      <c r="AC12" t="s">
        <v>1265</v>
      </c>
    </row>
    <row r="13" spans="7:29">
      <c r="G13">
        <v>12</v>
      </c>
      <c r="H13" t="s">
        <v>1266</v>
      </c>
      <c r="M13">
        <v>31</v>
      </c>
      <c r="N13" t="s">
        <v>1267</v>
      </c>
      <c r="P13">
        <v>1110</v>
      </c>
      <c r="Q13" t="s">
        <v>1268</v>
      </c>
      <c r="U13">
        <v>2010</v>
      </c>
      <c r="V13" t="s">
        <v>1269</v>
      </c>
      <c r="W13" t="s">
        <v>1270</v>
      </c>
      <c r="Y13">
        <v>101</v>
      </c>
      <c r="Z13" t="s">
        <v>1271</v>
      </c>
      <c r="AB13">
        <v>401</v>
      </c>
      <c r="AC13" t="s">
        <v>1272</v>
      </c>
    </row>
    <row r="14" spans="13:29">
      <c r="M14">
        <v>32</v>
      </c>
      <c r="N14" t="s">
        <v>1273</v>
      </c>
      <c r="P14">
        <v>1120</v>
      </c>
      <c r="Q14" t="s">
        <v>1274</v>
      </c>
      <c r="U14">
        <v>3010</v>
      </c>
      <c r="V14" t="s">
        <v>1275</v>
      </c>
      <c r="AB14">
        <v>402</v>
      </c>
      <c r="AC14" t="s">
        <v>1276</v>
      </c>
    </row>
    <row r="15" spans="13:29">
      <c r="M15">
        <v>41</v>
      </c>
      <c r="N15" t="s">
        <v>1277</v>
      </c>
      <c r="P15">
        <v>1130</v>
      </c>
      <c r="Q15" t="s">
        <v>1278</v>
      </c>
      <c r="U15">
        <v>3020</v>
      </c>
      <c r="V15" t="s">
        <v>1279</v>
      </c>
      <c r="AB15">
        <v>403</v>
      </c>
      <c r="AC15" t="s">
        <v>1280</v>
      </c>
    </row>
    <row r="16" spans="16:29">
      <c r="P16">
        <v>2010</v>
      </c>
      <c r="Q16" t="s">
        <v>1281</v>
      </c>
      <c r="U16">
        <v>3030</v>
      </c>
      <c r="V16" t="s">
        <v>1282</v>
      </c>
      <c r="AB16">
        <v>404</v>
      </c>
      <c r="AC16" t="s">
        <v>1283</v>
      </c>
    </row>
    <row r="17" spans="16:29">
      <c r="P17">
        <v>2011</v>
      </c>
      <c r="Q17" t="s">
        <v>1284</v>
      </c>
      <c r="U17">
        <v>3040</v>
      </c>
      <c r="V17" t="s">
        <v>1285</v>
      </c>
      <c r="AB17">
        <v>501</v>
      </c>
      <c r="AC17" t="s">
        <v>1286</v>
      </c>
    </row>
    <row r="18" spans="16:29">
      <c r="P18">
        <v>2020</v>
      </c>
      <c r="Q18" t="s">
        <v>1287</v>
      </c>
      <c r="U18">
        <v>3050</v>
      </c>
      <c r="V18" t="s">
        <v>1288</v>
      </c>
      <c r="AB18">
        <v>502</v>
      </c>
      <c r="AC18" t="s">
        <v>1289</v>
      </c>
    </row>
    <row r="19" spans="16:29">
      <c r="P19">
        <v>2030</v>
      </c>
      <c r="Q19" t="s">
        <v>1290</v>
      </c>
      <c r="U19">
        <v>3060</v>
      </c>
      <c r="V19" t="s">
        <v>1291</v>
      </c>
      <c r="AB19">
        <v>503</v>
      </c>
      <c r="AC19" t="s">
        <v>1292</v>
      </c>
    </row>
    <row r="20" spans="16:29">
      <c r="P20">
        <v>2040</v>
      </c>
      <c r="Q20" t="s">
        <v>1293</v>
      </c>
      <c r="U20">
        <v>4010</v>
      </c>
      <c r="V20" t="s">
        <v>1294</v>
      </c>
      <c r="AB20">
        <v>504</v>
      </c>
      <c r="AC20" t="s">
        <v>1295</v>
      </c>
    </row>
    <row r="21" spans="16:29">
      <c r="P21">
        <v>2110</v>
      </c>
      <c r="Q21" t="s">
        <v>1296</v>
      </c>
      <c r="U21">
        <v>4020</v>
      </c>
      <c r="V21" t="s">
        <v>1297</v>
      </c>
      <c r="AB21">
        <v>505</v>
      </c>
      <c r="AC21" t="s">
        <v>1298</v>
      </c>
    </row>
    <row r="22" spans="16:29">
      <c r="P22">
        <v>2120</v>
      </c>
      <c r="Q22" t="s">
        <v>1299</v>
      </c>
      <c r="U22">
        <v>5010</v>
      </c>
      <c r="V22" t="s">
        <v>1300</v>
      </c>
      <c r="AB22">
        <v>506</v>
      </c>
      <c r="AC22" t="s">
        <v>1301</v>
      </c>
    </row>
    <row r="23" spans="16:29">
      <c r="P23">
        <v>2130</v>
      </c>
      <c r="Q23" t="s">
        <v>1302</v>
      </c>
      <c r="U23">
        <v>5020</v>
      </c>
      <c r="V23" t="s">
        <v>1303</v>
      </c>
      <c r="AB23">
        <v>507</v>
      </c>
      <c r="AC23" t="s">
        <v>1304</v>
      </c>
    </row>
    <row r="24" spans="16:29">
      <c r="P24">
        <v>3010</v>
      </c>
      <c r="Q24" t="s">
        <v>1305</v>
      </c>
      <c r="U24">
        <v>5030</v>
      </c>
      <c r="V24" t="s">
        <v>1306</v>
      </c>
      <c r="AB24">
        <v>508</v>
      </c>
      <c r="AC24" t="s">
        <v>1272</v>
      </c>
    </row>
    <row r="25" spans="16:29">
      <c r="P25">
        <v>3020</v>
      </c>
      <c r="Q25" t="s">
        <v>1307</v>
      </c>
      <c r="U25">
        <v>5040</v>
      </c>
      <c r="V25" t="s">
        <v>1308</v>
      </c>
      <c r="AB25">
        <v>509</v>
      </c>
      <c r="AC25" t="s">
        <v>1280</v>
      </c>
    </row>
    <row r="26" spans="16:22">
      <c r="P26">
        <v>3030</v>
      </c>
      <c r="Q26" t="s">
        <v>1309</v>
      </c>
      <c r="U26">
        <v>5050</v>
      </c>
      <c r="V26" t="s">
        <v>1310</v>
      </c>
    </row>
    <row r="27" spans="16:22">
      <c r="P27">
        <v>3040</v>
      </c>
      <c r="Q27" t="s">
        <v>1311</v>
      </c>
      <c r="U27">
        <v>5060</v>
      </c>
      <c r="V27" t="s">
        <v>1312</v>
      </c>
    </row>
    <row r="28" spans="16:22">
      <c r="P28">
        <v>3050</v>
      </c>
      <c r="Q28" t="s">
        <v>1313</v>
      </c>
      <c r="U28">
        <v>5070</v>
      </c>
      <c r="V28" t="s">
        <v>1314</v>
      </c>
    </row>
    <row r="29" spans="16:22">
      <c r="P29">
        <v>3060</v>
      </c>
      <c r="Q29" t="s">
        <v>1315</v>
      </c>
      <c r="U29">
        <v>5080</v>
      </c>
      <c r="V29" t="s">
        <v>1316</v>
      </c>
    </row>
    <row r="30" spans="16:22">
      <c r="P30">
        <v>3070</v>
      </c>
      <c r="Q30" t="s">
        <v>1317</v>
      </c>
      <c r="U30">
        <v>5090</v>
      </c>
      <c r="V30" t="s">
        <v>1318</v>
      </c>
    </row>
    <row r="31" spans="16:22">
      <c r="P31">
        <v>4010</v>
      </c>
      <c r="Q31" t="s">
        <v>1319</v>
      </c>
      <c r="U31">
        <v>5100</v>
      </c>
      <c r="V31" t="s">
        <v>1320</v>
      </c>
    </row>
    <row r="32" spans="16:22">
      <c r="P32">
        <v>4011</v>
      </c>
      <c r="Q32" t="s">
        <v>1321</v>
      </c>
      <c r="U32">
        <v>5110</v>
      </c>
      <c r="V32" t="s">
        <v>1322</v>
      </c>
    </row>
    <row r="33" spans="16:22">
      <c r="P33">
        <v>4020</v>
      </c>
      <c r="Q33" t="s">
        <v>1323</v>
      </c>
      <c r="U33">
        <v>5120</v>
      </c>
      <c r="V33" t="s">
        <v>1324</v>
      </c>
    </row>
    <row r="34" spans="16:22">
      <c r="P34">
        <v>4030</v>
      </c>
      <c r="Q34" t="s">
        <v>1325</v>
      </c>
      <c r="U34">
        <v>5130</v>
      </c>
      <c r="V34" t="s">
        <v>1326</v>
      </c>
    </row>
    <row r="35" spans="16:22">
      <c r="P35">
        <v>4040</v>
      </c>
      <c r="Q35" t="s">
        <v>1327</v>
      </c>
      <c r="U35">
        <v>5140</v>
      </c>
      <c r="V35" t="s">
        <v>1328</v>
      </c>
    </row>
    <row r="36" spans="16:22">
      <c r="P36">
        <v>4041</v>
      </c>
      <c r="Q36" t="s">
        <v>1329</v>
      </c>
      <c r="U36">
        <v>5150</v>
      </c>
      <c r="V36" t="s">
        <v>1330</v>
      </c>
    </row>
    <row r="37" spans="16:22">
      <c r="P37">
        <v>5010</v>
      </c>
      <c r="Q37" t="s">
        <v>1331</v>
      </c>
      <c r="U37">
        <v>6010</v>
      </c>
      <c r="V37" t="s">
        <v>1332</v>
      </c>
    </row>
    <row r="38" spans="16:22">
      <c r="P38">
        <v>5011</v>
      </c>
      <c r="Q38" t="s">
        <v>1333</v>
      </c>
      <c r="U38">
        <v>6020</v>
      </c>
      <c r="V38" t="s">
        <v>1334</v>
      </c>
    </row>
    <row r="39" spans="16:22">
      <c r="P39">
        <v>5012</v>
      </c>
      <c r="Q39" t="s">
        <v>1335</v>
      </c>
      <c r="U39">
        <v>6030</v>
      </c>
      <c r="V39" t="s">
        <v>1336</v>
      </c>
    </row>
    <row r="40" spans="16:22">
      <c r="P40">
        <v>5020</v>
      </c>
      <c r="Q40" t="s">
        <v>1337</v>
      </c>
      <c r="U40">
        <v>6040</v>
      </c>
      <c r="V40" t="s">
        <v>1338</v>
      </c>
    </row>
    <row r="41" spans="16:22">
      <c r="P41">
        <v>5030</v>
      </c>
      <c r="Q41" t="s">
        <v>1339</v>
      </c>
      <c r="U41">
        <v>6050</v>
      </c>
      <c r="V41" t="s">
        <v>1340</v>
      </c>
    </row>
    <row r="42" spans="16:22">
      <c r="P42">
        <v>5040</v>
      </c>
      <c r="Q42" t="s">
        <v>1341</v>
      </c>
      <c r="U42">
        <v>6060</v>
      </c>
      <c r="V42" t="s">
        <v>1342</v>
      </c>
    </row>
    <row r="43" spans="16:22">
      <c r="P43">
        <v>5050</v>
      </c>
      <c r="Q43" t="s">
        <v>1343</v>
      </c>
      <c r="U43">
        <v>6110</v>
      </c>
      <c r="V43" t="s">
        <v>1344</v>
      </c>
    </row>
    <row r="44" spans="16:22">
      <c r="P44">
        <v>6010</v>
      </c>
      <c r="Q44" t="s">
        <v>1345</v>
      </c>
      <c r="U44">
        <v>6120</v>
      </c>
      <c r="V44" t="s">
        <v>1346</v>
      </c>
    </row>
    <row r="45" spans="16:22">
      <c r="P45">
        <v>6020</v>
      </c>
      <c r="Q45" t="s">
        <v>1347</v>
      </c>
      <c r="U45">
        <v>6130</v>
      </c>
      <c r="V45" t="s">
        <v>1348</v>
      </c>
    </row>
    <row r="46" spans="16:22">
      <c r="P46">
        <v>6030</v>
      </c>
      <c r="Q46" t="s">
        <v>1349</v>
      </c>
      <c r="U46">
        <v>6140</v>
      </c>
      <c r="V46" t="s">
        <v>1350</v>
      </c>
    </row>
    <row r="47" spans="16:22">
      <c r="P47">
        <v>6040</v>
      </c>
      <c r="Q47" t="s">
        <v>1351</v>
      </c>
      <c r="U47">
        <v>6150</v>
      </c>
      <c r="V47" t="s">
        <v>1352</v>
      </c>
    </row>
    <row r="48" spans="16:22">
      <c r="P48">
        <v>6050</v>
      </c>
      <c r="Q48" t="s">
        <v>1353</v>
      </c>
      <c r="U48">
        <v>6210</v>
      </c>
      <c r="V48" t="s">
        <v>1354</v>
      </c>
    </row>
    <row r="49" spans="16:22">
      <c r="P49">
        <v>6060</v>
      </c>
      <c r="Q49" t="s">
        <v>1355</v>
      </c>
      <c r="U49">
        <v>6220</v>
      </c>
      <c r="V49" t="s">
        <v>1356</v>
      </c>
    </row>
    <row r="50" spans="16:22">
      <c r="P50">
        <v>6070</v>
      </c>
      <c r="Q50" t="s">
        <v>1357</v>
      </c>
      <c r="U50">
        <v>6230</v>
      </c>
      <c r="V50" t="s">
        <v>1358</v>
      </c>
    </row>
    <row r="51" spans="16:22">
      <c r="P51">
        <v>6080</v>
      </c>
      <c r="Q51" t="s">
        <v>1359</v>
      </c>
      <c r="U51">
        <v>6240</v>
      </c>
      <c r="V51" t="s">
        <v>1360</v>
      </c>
    </row>
    <row r="52" spans="16:22">
      <c r="P52">
        <v>6100</v>
      </c>
      <c r="Q52" t="s">
        <v>1361</v>
      </c>
      <c r="U52">
        <v>6250</v>
      </c>
      <c r="V52" t="s">
        <v>1362</v>
      </c>
    </row>
    <row r="53" spans="16:22">
      <c r="P53">
        <v>6210</v>
      </c>
      <c r="Q53" t="s">
        <v>1363</v>
      </c>
      <c r="U53">
        <v>6310</v>
      </c>
      <c r="V53" t="s">
        <v>1364</v>
      </c>
    </row>
    <row r="54" spans="16:22">
      <c r="P54">
        <v>6310</v>
      </c>
      <c r="Q54" t="s">
        <v>1365</v>
      </c>
      <c r="U54">
        <v>6320</v>
      </c>
      <c r="V54" t="s">
        <v>1366</v>
      </c>
    </row>
    <row r="55" spans="16:22">
      <c r="P55">
        <v>7010</v>
      </c>
      <c r="Q55" t="s">
        <v>1367</v>
      </c>
      <c r="U55">
        <v>6330</v>
      </c>
      <c r="V55" t="s">
        <v>1368</v>
      </c>
    </row>
    <row r="56" spans="16:22">
      <c r="P56">
        <v>7020</v>
      </c>
      <c r="Q56" t="s">
        <v>1369</v>
      </c>
      <c r="U56">
        <v>6340</v>
      </c>
      <c r="V56" t="s">
        <v>1370</v>
      </c>
    </row>
    <row r="57" spans="16:22">
      <c r="P57">
        <v>7030</v>
      </c>
      <c r="Q57" t="s">
        <v>1371</v>
      </c>
      <c r="U57">
        <v>6350</v>
      </c>
      <c r="V57" t="s">
        <v>1372</v>
      </c>
    </row>
    <row r="58" spans="16:22">
      <c r="P58">
        <v>8010</v>
      </c>
      <c r="Q58" t="s">
        <v>1373</v>
      </c>
      <c r="U58">
        <v>7010</v>
      </c>
      <c r="V58" t="s">
        <v>1374</v>
      </c>
    </row>
    <row r="59" spans="16:22">
      <c r="P59">
        <v>8020</v>
      </c>
      <c r="Q59" t="s">
        <v>1375</v>
      </c>
      <c r="U59">
        <v>7020</v>
      </c>
      <c r="V59" t="s">
        <v>1376</v>
      </c>
    </row>
    <row r="60" spans="16:22">
      <c r="P60">
        <v>8030</v>
      </c>
      <c r="Q60" t="s">
        <v>1377</v>
      </c>
      <c r="U60">
        <v>7030</v>
      </c>
      <c r="V60" t="s">
        <v>1378</v>
      </c>
    </row>
    <row r="61" spans="16:22">
      <c r="P61">
        <v>9010</v>
      </c>
      <c r="Q61" t="s">
        <v>1379</v>
      </c>
      <c r="U61">
        <v>7040</v>
      </c>
      <c r="V61" t="s">
        <v>1380</v>
      </c>
    </row>
    <row r="62" spans="16:22">
      <c r="P62">
        <v>10010</v>
      </c>
      <c r="Q62" t="s">
        <v>1381</v>
      </c>
      <c r="U62">
        <v>7050</v>
      </c>
      <c r="V62" t="s">
        <v>1382</v>
      </c>
    </row>
    <row r="63" spans="16:22">
      <c r="P63">
        <v>10020</v>
      </c>
      <c r="Q63" t="s">
        <v>1383</v>
      </c>
      <c r="U63">
        <v>7060</v>
      </c>
      <c r="V63" t="s">
        <v>1384</v>
      </c>
    </row>
    <row r="64" spans="16:22">
      <c r="P64">
        <v>11010</v>
      </c>
      <c r="Q64" t="s">
        <v>1385</v>
      </c>
      <c r="U64">
        <v>7070</v>
      </c>
      <c r="V64" t="s">
        <v>1386</v>
      </c>
    </row>
    <row r="65" spans="16:22">
      <c r="P65">
        <v>12010</v>
      </c>
      <c r="Q65" t="s">
        <v>1387</v>
      </c>
      <c r="U65">
        <v>8010</v>
      </c>
      <c r="V65" t="s">
        <v>1388</v>
      </c>
    </row>
    <row r="66" spans="16:22">
      <c r="P66">
        <v>13010</v>
      </c>
      <c r="Q66" t="s">
        <v>1389</v>
      </c>
      <c r="U66">
        <v>8020</v>
      </c>
      <c r="V66" t="s">
        <v>1390</v>
      </c>
    </row>
    <row r="67" spans="16:22">
      <c r="P67">
        <v>14010</v>
      </c>
      <c r="Q67" t="s">
        <v>1391</v>
      </c>
      <c r="U67">
        <v>8030</v>
      </c>
      <c r="V67" t="s">
        <v>1392</v>
      </c>
    </row>
    <row r="68" spans="16:22">
      <c r="P68">
        <v>14080</v>
      </c>
      <c r="Q68" t="s">
        <v>1393</v>
      </c>
      <c r="U68">
        <v>8040</v>
      </c>
      <c r="V68" t="s">
        <v>1394</v>
      </c>
    </row>
    <row r="69" spans="16:22">
      <c r="P69">
        <v>40010</v>
      </c>
      <c r="Q69" t="s">
        <v>1395</v>
      </c>
      <c r="U69">
        <v>8050</v>
      </c>
      <c r="V69" t="s">
        <v>1396</v>
      </c>
    </row>
    <row r="70" spans="16:22">
      <c r="P70">
        <v>40020</v>
      </c>
      <c r="Q70" t="s">
        <v>1397</v>
      </c>
      <c r="U70">
        <v>8060</v>
      </c>
      <c r="V70" t="s">
        <v>1398</v>
      </c>
    </row>
    <row r="71" spans="16:22">
      <c r="P71">
        <v>40030</v>
      </c>
      <c r="Q71" t="s">
        <v>1399</v>
      </c>
      <c r="U71">
        <v>9010</v>
      </c>
      <c r="V71" t="s">
        <v>1400</v>
      </c>
    </row>
    <row r="72" spans="16:22">
      <c r="P72">
        <v>40040</v>
      </c>
      <c r="Q72" t="s">
        <v>1401</v>
      </c>
      <c r="U72">
        <v>9020</v>
      </c>
      <c r="V72" t="s">
        <v>1402</v>
      </c>
    </row>
    <row r="73" spans="16:22">
      <c r="P73">
        <v>40050</v>
      </c>
      <c r="Q73" t="s">
        <v>1403</v>
      </c>
      <c r="U73">
        <v>9030</v>
      </c>
      <c r="V73" t="s">
        <v>1404</v>
      </c>
    </row>
    <row r="74" spans="16:22">
      <c r="P74">
        <v>40060</v>
      </c>
      <c r="Q74" t="s">
        <v>1405</v>
      </c>
      <c r="U74">
        <v>9031</v>
      </c>
      <c r="V74" t="s">
        <v>1406</v>
      </c>
    </row>
    <row r="75" spans="16:22">
      <c r="P75">
        <v>40070</v>
      </c>
      <c r="Q75" t="s">
        <v>1407</v>
      </c>
      <c r="U75">
        <v>9040</v>
      </c>
      <c r="V75" t="s">
        <v>1408</v>
      </c>
    </row>
    <row r="76" spans="16:22">
      <c r="P76">
        <v>40080</v>
      </c>
      <c r="Q76" t="s">
        <v>1409</v>
      </c>
      <c r="U76">
        <v>9110</v>
      </c>
      <c r="V76" t="s">
        <v>1410</v>
      </c>
    </row>
    <row r="77" spans="16:22">
      <c r="P77">
        <v>40090</v>
      </c>
      <c r="Q77" t="s">
        <v>1411</v>
      </c>
      <c r="U77">
        <v>9120</v>
      </c>
      <c r="V77" t="s">
        <v>1412</v>
      </c>
    </row>
    <row r="78" spans="21:22">
      <c r="U78">
        <v>10010</v>
      </c>
      <c r="V78" t="s">
        <v>1413</v>
      </c>
    </row>
    <row r="79" spans="21:22">
      <c r="U79">
        <v>10020</v>
      </c>
      <c r="V79" t="s">
        <v>1414</v>
      </c>
    </row>
    <row r="80" spans="21:22">
      <c r="U80">
        <v>10030</v>
      </c>
      <c r="V80" t="s">
        <v>1415</v>
      </c>
    </row>
    <row r="81" spans="21:22">
      <c r="U81">
        <v>10110</v>
      </c>
      <c r="V81" t="s">
        <v>1416</v>
      </c>
    </row>
    <row r="82" spans="21:22">
      <c r="U82">
        <v>10120</v>
      </c>
      <c r="V82" t="s">
        <v>1417</v>
      </c>
    </row>
    <row r="83" spans="21:22">
      <c r="U83">
        <v>10130</v>
      </c>
      <c r="V83" t="s">
        <v>1418</v>
      </c>
    </row>
    <row r="84" spans="21:22">
      <c r="U84">
        <v>11010</v>
      </c>
      <c r="V84" t="s">
        <v>1419</v>
      </c>
    </row>
    <row r="85" spans="21:22">
      <c r="U85">
        <v>11011</v>
      </c>
      <c r="V85" t="s">
        <v>1420</v>
      </c>
    </row>
    <row r="86" spans="21:22">
      <c r="U86">
        <v>11020</v>
      </c>
      <c r="V86" t="s">
        <v>1421</v>
      </c>
    </row>
    <row r="87" spans="21:22">
      <c r="U87">
        <v>12010</v>
      </c>
      <c r="V87" t="s">
        <v>1422</v>
      </c>
    </row>
    <row r="88" spans="21:22">
      <c r="U88">
        <v>12011</v>
      </c>
      <c r="V88" t="s">
        <v>1423</v>
      </c>
    </row>
    <row r="89" spans="21:22">
      <c r="U89">
        <v>12030</v>
      </c>
      <c r="V89" t="s">
        <v>1424</v>
      </c>
    </row>
    <row r="90" spans="21:22">
      <c r="U90">
        <v>12040</v>
      </c>
      <c r="V90" t="s">
        <v>1425</v>
      </c>
    </row>
    <row r="91" spans="21:22">
      <c r="U91">
        <v>12041</v>
      </c>
      <c r="V91" t="s">
        <v>1426</v>
      </c>
    </row>
    <row r="92" spans="21:22">
      <c r="U92">
        <v>12042</v>
      </c>
      <c r="V92" t="s">
        <v>1427</v>
      </c>
    </row>
    <row r="93" spans="21:22">
      <c r="U93">
        <v>12043</v>
      </c>
      <c r="V93" t="s">
        <v>1428</v>
      </c>
    </row>
    <row r="94" spans="21:22">
      <c r="U94">
        <v>12050</v>
      </c>
      <c r="V94" t="s">
        <v>1429</v>
      </c>
    </row>
    <row r="95" spans="21:22">
      <c r="U95">
        <v>12060</v>
      </c>
      <c r="V95" t="s">
        <v>1430</v>
      </c>
    </row>
    <row r="96" spans="21:22">
      <c r="U96">
        <v>12063</v>
      </c>
      <c r="V96" t="s">
        <v>1431</v>
      </c>
    </row>
    <row r="97" spans="21:22">
      <c r="U97">
        <v>12064</v>
      </c>
      <c r="V97" t="s">
        <v>1432</v>
      </c>
    </row>
    <row r="98" spans="21:22">
      <c r="U98">
        <v>12066</v>
      </c>
      <c r="V98" t="s">
        <v>1433</v>
      </c>
    </row>
    <row r="99" spans="21:22">
      <c r="U99">
        <v>12067</v>
      </c>
      <c r="V99" t="s">
        <v>1434</v>
      </c>
    </row>
    <row r="100" spans="21:22">
      <c r="U100">
        <v>12070</v>
      </c>
      <c r="V100" t="s">
        <v>1435</v>
      </c>
    </row>
    <row r="101" spans="21:22">
      <c r="U101">
        <v>12071</v>
      </c>
      <c r="V101" t="s">
        <v>1436</v>
      </c>
    </row>
    <row r="102" spans="21:22">
      <c r="U102">
        <v>12072</v>
      </c>
      <c r="V102" t="s">
        <v>1437</v>
      </c>
    </row>
    <row r="103" spans="21:22">
      <c r="U103">
        <v>12082</v>
      </c>
      <c r="V103" t="s">
        <v>1438</v>
      </c>
    </row>
    <row r="104" spans="21:22">
      <c r="U104">
        <v>12092</v>
      </c>
      <c r="V104" t="s">
        <v>1439</v>
      </c>
    </row>
    <row r="105" spans="21:22">
      <c r="U105">
        <v>12110</v>
      </c>
      <c r="V105" t="s">
        <v>1440</v>
      </c>
    </row>
    <row r="106" spans="21:22">
      <c r="U106">
        <v>13010</v>
      </c>
      <c r="V106" t="s">
        <v>1441</v>
      </c>
    </row>
    <row r="107" spans="21:22">
      <c r="U107">
        <v>13020</v>
      </c>
      <c r="V107" t="s">
        <v>1442</v>
      </c>
    </row>
    <row r="108" spans="21:22">
      <c r="U108">
        <v>14010</v>
      </c>
      <c r="V108" t="s">
        <v>1443</v>
      </c>
    </row>
    <row r="109" spans="21:22">
      <c r="U109">
        <v>14110</v>
      </c>
      <c r="V109" t="s">
        <v>1444</v>
      </c>
    </row>
    <row r="110" spans="21:22">
      <c r="U110">
        <v>14210</v>
      </c>
      <c r="V110" t="s">
        <v>1445</v>
      </c>
    </row>
    <row r="111" spans="21:22">
      <c r="U111">
        <v>14310</v>
      </c>
      <c r="V111" t="s">
        <v>1446</v>
      </c>
    </row>
    <row r="112" spans="21:22">
      <c r="U112">
        <v>14410</v>
      </c>
      <c r="V112" t="s">
        <v>1447</v>
      </c>
    </row>
    <row r="113" spans="21:22">
      <c r="U113">
        <v>14420</v>
      </c>
      <c r="V113" t="s">
        <v>1448</v>
      </c>
    </row>
    <row r="114" spans="21:22">
      <c r="U114">
        <v>14520</v>
      </c>
      <c r="V114" t="s">
        <v>1449</v>
      </c>
    </row>
    <row r="115" spans="21:22">
      <c r="U115">
        <v>15010</v>
      </c>
      <c r="V115" t="s">
        <v>1450</v>
      </c>
    </row>
    <row r="116" spans="21:22">
      <c r="U116">
        <v>15011</v>
      </c>
      <c r="V116" t="s">
        <v>1451</v>
      </c>
    </row>
    <row r="117" spans="21:22">
      <c r="U117">
        <v>15022</v>
      </c>
      <c r="V117" t="s">
        <v>1452</v>
      </c>
    </row>
    <row r="118" spans="21:22">
      <c r="U118">
        <v>15042</v>
      </c>
      <c r="V118" t="s">
        <v>1453</v>
      </c>
    </row>
    <row r="119" spans="21:22">
      <c r="U119">
        <v>16010</v>
      </c>
      <c r="V119" t="s">
        <v>1454</v>
      </c>
    </row>
    <row r="120" spans="21:22">
      <c r="U120">
        <v>16020</v>
      </c>
      <c r="V120" t="s">
        <v>1455</v>
      </c>
    </row>
    <row r="121" spans="21:22">
      <c r="U121">
        <v>17010</v>
      </c>
      <c r="V121" t="s">
        <v>1456</v>
      </c>
    </row>
    <row r="122" spans="21:22">
      <c r="U122">
        <v>17020</v>
      </c>
      <c r="V122" t="s">
        <v>1457</v>
      </c>
    </row>
    <row r="123" spans="21:22">
      <c r="U123">
        <v>17021</v>
      </c>
      <c r="V123" t="s">
        <v>1458</v>
      </c>
    </row>
    <row r="124" spans="21:22">
      <c r="U124">
        <v>17022</v>
      </c>
      <c r="V124" t="s">
        <v>1459</v>
      </c>
    </row>
    <row r="125" spans="21:22">
      <c r="U125">
        <v>17030</v>
      </c>
      <c r="V125" t="s">
        <v>1460</v>
      </c>
    </row>
    <row r="126" spans="21:22">
      <c r="U126">
        <v>17040</v>
      </c>
      <c r="V126" t="s">
        <v>1461</v>
      </c>
    </row>
    <row r="127" spans="21:22">
      <c r="U127">
        <v>17050</v>
      </c>
      <c r="V127" t="s">
        <v>1462</v>
      </c>
    </row>
    <row r="128" spans="21:22">
      <c r="U128">
        <v>17060</v>
      </c>
      <c r="V128" t="s">
        <v>1463</v>
      </c>
    </row>
    <row r="129" spans="21:22">
      <c r="U129">
        <v>18010</v>
      </c>
      <c r="V129" t="s">
        <v>1464</v>
      </c>
    </row>
    <row r="130" spans="21:22">
      <c r="U130">
        <v>18020</v>
      </c>
      <c r="V130" t="s">
        <v>1465</v>
      </c>
    </row>
    <row r="131" spans="21:22">
      <c r="U131">
        <v>19010</v>
      </c>
      <c r="V131" t="s">
        <v>1466</v>
      </c>
    </row>
    <row r="132" spans="21:22">
      <c r="U132">
        <v>19020</v>
      </c>
      <c r="V132" t="s">
        <v>1467</v>
      </c>
    </row>
    <row r="133" spans="21:22">
      <c r="U133">
        <v>19030</v>
      </c>
      <c r="V133" t="s">
        <v>1468</v>
      </c>
    </row>
    <row r="134" spans="21:22">
      <c r="U134">
        <v>20030</v>
      </c>
      <c r="V134" t="s">
        <v>1440</v>
      </c>
    </row>
    <row r="135" spans="21:22">
      <c r="U135">
        <v>20040</v>
      </c>
      <c r="V135" t="s">
        <v>1469</v>
      </c>
    </row>
    <row r="136" spans="21:22">
      <c r="U136">
        <v>20050</v>
      </c>
      <c r="V136" t="s">
        <v>1470</v>
      </c>
    </row>
    <row r="137" spans="21:22">
      <c r="U137">
        <v>20070</v>
      </c>
      <c r="V137" t="s">
        <v>1471</v>
      </c>
    </row>
    <row r="138" spans="21:22">
      <c r="U138">
        <v>20071</v>
      </c>
      <c r="V138" t="s">
        <v>1472</v>
      </c>
    </row>
    <row r="139" spans="21:22">
      <c r="U139">
        <v>20110</v>
      </c>
      <c r="V139" t="s">
        <v>1473</v>
      </c>
    </row>
    <row r="140" spans="21:22">
      <c r="U140">
        <v>20120</v>
      </c>
      <c r="V140" t="s">
        <v>1474</v>
      </c>
    </row>
    <row r="141" spans="21:22">
      <c r="U141">
        <v>20130</v>
      </c>
      <c r="V141" t="s">
        <v>1475</v>
      </c>
    </row>
    <row r="142" spans="21:22">
      <c r="U142">
        <v>20140</v>
      </c>
      <c r="V142" t="s">
        <v>1476</v>
      </c>
    </row>
    <row r="143" spans="21:22">
      <c r="U143">
        <v>20150</v>
      </c>
      <c r="V143" t="s">
        <v>1477</v>
      </c>
    </row>
    <row r="144" spans="21:22">
      <c r="U144">
        <v>20160</v>
      </c>
      <c r="V144" t="s">
        <v>1478</v>
      </c>
    </row>
    <row r="145" spans="21:22">
      <c r="U145">
        <v>23010</v>
      </c>
      <c r="V145" t="s">
        <v>1479</v>
      </c>
    </row>
    <row r="146" spans="21:22">
      <c r="U146">
        <v>24010</v>
      </c>
      <c r="V146" t="s">
        <v>1480</v>
      </c>
    </row>
    <row r="147" spans="21:22">
      <c r="U147">
        <v>30010</v>
      </c>
      <c r="V147" t="s">
        <v>1481</v>
      </c>
    </row>
    <row r="148" spans="21:22">
      <c r="U148">
        <v>30020</v>
      </c>
      <c r="V148" t="s">
        <v>1482</v>
      </c>
    </row>
    <row r="149" spans="21:22">
      <c r="U149">
        <v>40010</v>
      </c>
      <c r="V149" t="s">
        <v>1483</v>
      </c>
    </row>
    <row r="150" spans="21:22">
      <c r="U150">
        <v>40020</v>
      </c>
      <c r="V150" t="s">
        <v>1484</v>
      </c>
    </row>
    <row r="151" spans="21:22">
      <c r="U151">
        <v>40030</v>
      </c>
      <c r="V151" t="s">
        <v>1485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2026-10-08T13:54:49Z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