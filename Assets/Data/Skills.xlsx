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Skills!$F$1:$F$205</definedName>
  </definedNames>
  <calcPr calcId="144525" concurrentCalc="0"/>
</workbook>
</file>

<file path=xl/sharedStrings.xml><?xml version="1.0" encoding="utf-8"?>
<sst xmlns="http://schemas.openxmlformats.org/spreadsheetml/2006/main" count="840" uniqueCount="731">
  <si>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</si>
  <si>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</si>
  <si>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</si>
  <si>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</si>
  <si>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</si>
  <si>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</si>
  <si>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</si>
  <si>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</si>
  <si>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</si>
  <si>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</si>
  <si>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</si>
  <si>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</si>
  <si>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</si>
  <si>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</si>
  <si>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</si>
  <si>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</si>
  <si>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</si>
  <si>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</si>
  <si>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</si>
  <si>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</si>
  <si>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</si>
  <si>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</si>
  <si>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</si>
  <si>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</si>
  <si>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</si>
  <si>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</si>
  <si>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</si>
  <si>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</si>
  <si>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</si>
  <si>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</si>
  <si>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</si>
  <si>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</si>
  <si>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</si>
  <si>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</si>
  <si>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</si>
  <si>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</si>
  <si>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</si>
  <si>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</si>
  <si>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</si>
  <si>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</si>
  <si>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</si>
  <si>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</si>
  <si>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</si>
  <si>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</si>
  <si>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</si>
  <si>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</si>
  <si>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</si>
  <si>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</si>
  <si>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</si>
  <si>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</si>
  <si>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</si>
  <si>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</si>
  <si>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</si>
  <si>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</si>
  <si>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</si>
  <si>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</si>
  <si>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</si>
  <si>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</si>
  <si>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</si>
  <si>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</si>
  <si>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</si>
  <si>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</si>
  <si>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</si>
  <si>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</si>
  <si>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</si>
  <si>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</si>
  <si>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</si>
  <si>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</si>
  <si>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</si>
  <si>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</si>
  <si>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</si>
  <si>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</si>
  <si>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</si>
  <si>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</si>
  <si>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</si>
  <si>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</si>
  <si>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</si>
  <si>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</si>
  <si>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</si>
  <si>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</si>
  <si>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</si>
  <si>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</si>
  <si>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</si>
  <si>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</si>
  <si>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</si>
  <si>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</si>
  <si>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</si>
  <si>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</si>
  <si>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</si>
  <si>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</si>
  <si>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</si>
  <si>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</si>
  <si>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</si>
  <si>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</si>
  <si>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</si>
  <si>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</si>
  <si>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</si>
  <si>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</si>
  <si>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</si>
  <si>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</si>
  <si>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</si>
  <si>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</si>
  <si>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</si>
  <si>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</si>
  <si>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</si>
  <si>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</si>
  <si>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</si>
  <si>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</si>
  <si>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</si>
  <si>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</si>
  <si>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</si>
  <si>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</si>
  <si>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</si>
  <si>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</si>
  <si>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</si>
  <si>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</si>
  <si>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</si>
  <si>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</si>
  <si>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</si>
  <si>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</si>
  <si>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</si>
  <si>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</si>
  <si>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</si>
  <si>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</si>
  <si>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</si>
  <si>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</si>
  <si>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</si>
  <si>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</si>
  <si>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</si>
  <si>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</si>
  <si>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</si>
  <si>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</si>
  <si>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</si>
  <si>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</si>
  <si>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</si>
  <si>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</si>
  <si>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</si>
  <si>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</si>
  <si>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</si>
  <si>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</si>
  <si>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</si>
  <si>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</si>
  <si>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</si>
  <si>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</si>
  <si>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</si>
  <si>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</si>
  <si>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</si>
  <si>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</si>
  <si>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</si>
  <si>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</si>
  <si>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</si>
  <si>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</si>
  <si>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</si>
  <si>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</si>
  <si>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</si>
  <si>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</si>
  <si>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</si>
  <si>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</si>
  <si>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</si>
  <si>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</si>
  <si>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</si>
  <si>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</si>
  <si>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</si>
  <si>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</si>
  <si>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</si>
  <si>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</si>
  <si>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</si>
  <si>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</si>
  <si>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</si>
  <si>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</si>
  <si>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</si>
  <si>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</si>
  <si>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</si>
  <si>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</si>
  <si>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</si>
  <si>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</si>
  <si>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</si>
  <si>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</si>
  <si>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</si>
  <si>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</si>
  <si>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</si>
  <si>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</si>
  <si>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</si>
  <si>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</si>
  <si>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</si>
  <si>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</si>
  <si>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</si>
  <si>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</si>
  <si>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</si>
  <si>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</si>
  <si>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</si>
  <si>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</si>
  <si>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</si>
  <si>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</si>
  <si>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</si>
  <si>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</si>
  <si>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</si>
  <si>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</si>
  <si>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</si>
  <si>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</si>
  <si>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</si>
  <si>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</si>
  <si>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</si>
  <si>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</si>
  <si>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</si>
  <si>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</si>
  <si>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</si>
  <si>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</si>
  <si>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</si>
  <si>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</si>
  <si>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</si>
  <si>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</si>
  <si>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</si>
  <si>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</si>
  <si>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</si>
  <si>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</si>
  <si>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</si>
  <si>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</si>
  <si>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</si>
  <si>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</si>
  <si>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</si>
  <si>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</si>
  <si>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</si>
  <si>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</si>
  <si>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</si>
  <si>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</si>
  <si>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</si>
  <si>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</si>
  <si>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</si>
  <si>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</si>
  <si>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</si>
  <si>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</si>
  <si>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</si>
  <si>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</si>
  <si>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</si>
  <si>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</si>
  <si>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</si>
  <si>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</si>
  <si>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</si>
  <si>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</si>
  <si>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</si>
  <si>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</si>
  <si>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</si>
  <si>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</si>
  <si>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</si>
  <si>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</si>
  <si>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</si>
  <si>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</si>
  <si>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</si>
  <si>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</si>
  <si>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</si>
  <si>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</si>
  <si>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</si>
  <si>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</si>
  <si>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</si>
  <si>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</si>
  <si>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</si>
  <si>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</si>
  <si>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</si>
  <si>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</si>
  <si>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</si>
  <si>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</si>
  <si>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</si>
  <si>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</si>
  <si>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</si>
  <si>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</si>
  <si>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</si>
  <si>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</si>
  <si>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</si>
  <si>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</si>
  <si>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</si>
  <si>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</si>
  <si>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</si>
  <si>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</si>
  <si>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</si>
  <si>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</si>
  <si>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</si>
  <si>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</si>
  <si>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</si>
  <si>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</si>
  <si>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</si>
  <si>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</si>
  <si>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</si>
  <si>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</si>
  <si>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</si>
  <si>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</si>
  <si>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</si>
  <si>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</si>
  <si>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</si>
  <si>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</si>
  <si>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</si>
  <si>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</si>
  <si>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</si>
  <si>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</si>
  <si>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</si>
  <si>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</si>
  <si>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</si>
  <si>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</si>
  <si>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</si>
  <si>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</si>
  <si>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</si>
  <si>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</si>
  <si>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</si>
  <si>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</si>
  <si>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</si>
  <si>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</si>
  <si>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</si>
  <si>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</si>
  <si>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</si>
  <si>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</si>
  <si>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</si>
  <si>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</si>
  <si>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</si>
  <si>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</si>
  <si>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</si>
  <si>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</si>
  <si>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</si>
  <si>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</si>
  <si>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</si>
  <si>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</si>
  <si>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</si>
  <si>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</si>
  <si>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</si>
  <si>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</si>
  <si>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</si>
  <si>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</si>
  <si>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</si>
  <si>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</si>
  <si>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</si>
  <si>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</si>
  <si>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</si>
  <si>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</si>
  <si>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</si>
  <si>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</si>
  <si>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</si>
  <si>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</si>
  <si>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</si>
  <si>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</si>
  <si>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</si>
  <si>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</si>
  <si>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</si>
  <si>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</si>
  <si>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</si>
  <si>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</si>
  <si>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</si>
  <si>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</si>
  <si>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</si>
  <si>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</si>
  <si>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</si>
  <si>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</si>
  <si>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</si>
  <si>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</si>
  <si>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</si>
  <si>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</si>
  <si>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</si>
  <si>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</si>
  <si>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</si>
  <si>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</si>
  <si>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</si>
  <si>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</si>
  <si>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</si>
  <si>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</si>
  <si>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</si>
  <si>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</si>
  <si>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</si>
  <si>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</si>
  <si>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</si>
  <si>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</si>
  <si>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</si>
  <si>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</si>
  <si>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</si>
  <si>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</si>
  <si>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</si>
  <si>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</si>
  <si>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</si>
  <si>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</si>
  <si>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</si>
  <si>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</si>
  <si>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</si>
  <si>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</si>
  <si>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</si>
  <si>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</si>
  <si>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</si>
  <si>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</si>
  <si>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</si>
  <si>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</si>
  <si>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</si>
  <si>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</si>
  <si>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</si>
  <si>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</si>
  <si>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</si>
  <si>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</si>
  <si>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</si>
  <si>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</si>
  <si>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</si>
  <si>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</si>
  <si>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</si>
  <si>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</si>
  <si>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</si>
  <si>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</si>
  <si>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</si>
  <si>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</si>
  <si>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</si>
  <si>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</si>
  <si>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</si>
  <si>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</si>
  <si>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</si>
  <si>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</si>
  <si>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</si>
  <si>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</si>
  <si>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</si>
  <si>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</si>
  <si>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</si>
  <si>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</si>
  <si>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</si>
  <si>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</si>
  <si>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</si>
  <si>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</si>
  <si>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</si>
  <si>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</si>
  <si>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</si>
  <si>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</si>
  <si>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</si>
  <si>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</si>
  <si>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</si>
  <si>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</si>
  <si>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</si>
  <si>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</si>
  <si>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</si>
  <si>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</si>
  <si>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</si>
  <si>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</si>
  <si>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</si>
  <si>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</si>
  <si>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</si>
  <si>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</si>
  <si>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</si>
  <si>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</si>
  <si>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</si>
  <si>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</si>
  <si>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</si>
  <si>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</si>
  <si>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</si>
  <si>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</si>
  <si>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</si>
  <si>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</si>
  <si>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</si>
  <si>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</si>
  <si>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</si>
  <si>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</si>
  <si>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</si>
  <si>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</si>
  <si>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</si>
  <si>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</si>
  <si>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</si>
  <si>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</si>
  <si>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</si>
  <si>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</si>
  <si>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</si>
  <si>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</si>
  <si>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</si>
  <si>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</si>
  <si>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</si>
  <si>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</si>
  <si>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</si>
  <si>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</si>
  <si>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</si>
  <si>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</si>
  <si>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</si>
  <si>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</si>
  <si>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</si>
  <si>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</si>
  <si>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</si>
  <si>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</si>
  <si>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</si>
  <si>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</si>
  <si>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</si>
  <si>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</si>
  <si>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</si>
  <si>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</si>
  <si>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</si>
  <si>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</si>
  <si>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</si>
  <si>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</si>
  <si>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</si>
  <si>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</si>
  <si>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</si>
  <si>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</si>
  <si>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</si>
  <si>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</si>
  <si>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</si>
  <si>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</si>
  <si>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</si>
  <si>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</si>
  <si>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</si>
  <si>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</si>
  <si>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</si>
  <si>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</si>
  <si>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</si>
  <si>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</si>
  <si>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</si>
  <si>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</si>
  <si>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</si>
  <si>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</si>
  <si>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</si>
  <si>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</si>
  <si>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</si>
  <si>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</si>
  <si>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</si>
  <si>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</si>
  <si>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</si>
  <si>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</si>
  <si>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</si>
  <si>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</si>
  <si>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</si>
  <si>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</si>
  <si>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</si>
  <si>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</si>
  <si>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</si>
  <si>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</si>
  <si>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</si>
  <si>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</si>
  <si>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</si>
  <si>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</si>
  <si>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</si>
  <si>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</si>
  <si>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</si>
  <si>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</si>
  <si>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</si>
  <si>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</si>
  <si>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</si>
  <si>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</si>
  <si>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</si>
  <si>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</si>
  <si>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</si>
  <si>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</si>
  <si>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</si>
  <si>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</si>
  <si>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</si>
  <si>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</si>
  <si>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</si>
  <si>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</si>
  <si>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</si>
  <si>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</si>
  <si>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</si>
  <si>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</si>
  <si>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</si>
  <si>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</si>
  <si>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</si>
  <si>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</si>
  <si>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</si>
  <si>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</si>
  <si>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</si>
  <si>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</si>
  <si>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</si>
  <si>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</si>
  <si>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</si>
  <si>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</si>
  <si>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</si>
  <si>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</si>
  <si>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</si>
  <si>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</si>
  <si>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</si>
  <si>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</si>
  <si>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</si>
  <si>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</si>
  <si>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</si>
  <si>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</si>
  <si>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</si>
  <si>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</si>
  <si>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</si>
  <si>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</si>
  <si>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</si>
  <si>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</si>
  <si>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</si>
  <si>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</si>
  <si>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</si>
  <si>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</si>
  <si>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</si>
  <si>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</si>
  <si>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</si>
  <si>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</si>
  <si>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</si>
  <si>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</si>
  <si>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</si>
  <si>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</si>
  <si>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</si>
  <si>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</si>
  <si>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</si>
  <si>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</si>
  <si>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</si>
  <si>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</si>
  <si>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</si>
  <si>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</si>
  <si>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</si>
  <si>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</si>
  <si>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</si>
  <si>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</si>
  <si>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</si>
  <si>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</si>
  <si>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</si>
  <si>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</si>
  <si>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</si>
  <si>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</si>
  <si>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</si>
  <si>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</si>
  <si>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</si>
  <si>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</si>
  <si>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</si>
  <si>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</si>
  <si>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</si>
  <si>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</si>
  <si>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</si>
  <si>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</si>
  <si>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</si>
  <si>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</si>
  <si>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</si>
  <si>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</si>
  <si>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</si>
  <si>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</si>
  <si>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</si>
  <si>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</si>
  <si>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</si>
  <si>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</si>
  <si>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</si>
  <si>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</si>
  <si>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</si>
  <si>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</si>
  <si>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</si>
  <si>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</si>
  <si>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</si>
  <si>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</si>
  <si>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</si>
  <si>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</si>
  <si>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</si>
  <si>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</si>
  <si>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</si>
  <si>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</si>
  <si>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</si>
  <si>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</si>
  <si>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</si>
  <si>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</si>
  <si>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</si>
  <si>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</si>
  <si>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</si>
  <si>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</si>
  <si>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</si>
  <si>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</si>
  <si>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</si>
  <si>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</si>
  <si>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</si>
  <si>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行動後に交代</t>
  </si>
  <si>
    <t>DeBuffのStateにかかっていない敵</t>
  </si>
  <si>
    <t>命中判定しない</t>
  </si>
  <si>
    <t>神化発動前</t>
  </si>
  <si>
    <t>最後に受けたAbnormalを相手に移す</t>
  </si>
  <si>
    <t>神化発動後</t>
  </si>
  <si>
    <t>対象のバフを奪い取る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</si>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</sst>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9" borderId="3" applyNumberFormat="0" applyFon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7" fillId="23" borderId="6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23" borderId="1" applyNumberFormat="0" applyAlignment="0" applyProtection="0">
      <alignment vertical="center"/>
    </xf>
    <xf numFmtId="0" fontId="3" fillId="0" borderId="7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0" fillId="25" borderId="8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1">
          <cell r="P1" t="str">
            <v>Feature</v>
          </cell>
        </row>
        <row r="1">
          <cell r="U1" t="str">
            <v>Trigger</v>
          </cell>
        </row>
        <row r="2">
          <cell r="A2">
            <v>0</v>
          </cell>
          <cell r="B2" t="str">
            <v>なし</v>
          </cell>
        </row>
        <row r="2">
          <cell r="P2">
            <v>0</v>
          </cell>
          <cell r="Q2" t="str">
            <v>ない</v>
          </cell>
        </row>
        <row r="2">
          <cell r="U2">
            <v>0</v>
          </cell>
          <cell r="V2" t="str">
            <v>なし</v>
          </cell>
        </row>
        <row r="3">
          <cell r="A3">
            <v>1</v>
          </cell>
          <cell r="B3" t="str">
            <v>単体</v>
          </cell>
        </row>
        <row r="3">
          <cell r="P3">
            <v>1010</v>
          </cell>
          <cell r="Q3" t="str">
            <v>Hpダメージ</v>
          </cell>
        </row>
        <row r="3">
          <cell r="U3">
            <v>1010</v>
          </cell>
          <cell r="V3" t="str">
            <v>自身のHpが〇%以下</v>
          </cell>
        </row>
        <row r="4">
          <cell r="A4">
            <v>2</v>
          </cell>
          <cell r="B4" t="str">
            <v>列</v>
          </cell>
        </row>
        <row r="4">
          <cell r="P4">
            <v>1020</v>
          </cell>
          <cell r="Q4" t="str">
            <v>Hp吸収ダメージ</v>
          </cell>
        </row>
        <row r="4">
          <cell r="U4">
            <v>1020</v>
          </cell>
          <cell r="V4" t="str">
            <v>自身のHpが〇%以上</v>
          </cell>
        </row>
        <row r="5">
          <cell r="A5">
            <v>3</v>
          </cell>
          <cell r="B5" t="str">
            <v>全体</v>
          </cell>
        </row>
        <row r="5">
          <cell r="P5">
            <v>1030</v>
          </cell>
          <cell r="Q5" t="str">
            <v>Hp固定ダメージ</v>
          </cell>
        </row>
        <row r="5">
          <cell r="U5">
            <v>1030</v>
          </cell>
          <cell r="V5" t="str">
            <v>Hp%〇以下の味方</v>
          </cell>
        </row>
        <row r="6">
          <cell r="P6">
            <v>1040</v>
          </cell>
          <cell r="Q6" t="str">
            <v>特定ステートダメージ</v>
          </cell>
        </row>
        <row r="6">
          <cell r="U6">
            <v>1040</v>
          </cell>
          <cell r="V6" t="str">
            <v>Hp%〇以上の味方</v>
          </cell>
        </row>
        <row r="7">
          <cell r="P7">
            <v>1050</v>
          </cell>
          <cell r="Q7" t="str">
            <v>効果無視Hpダメージ</v>
          </cell>
        </row>
        <row r="7">
          <cell r="U7">
            <v>1050</v>
          </cell>
          <cell r="V7" t="str">
            <v>Hp%〇以下の敵</v>
          </cell>
        </row>
        <row r="8">
          <cell r="P8">
            <v>1060</v>
          </cell>
          <cell r="Q8" t="str">
            <v>Hp割合固定ダメージ</v>
          </cell>
        </row>
        <row r="8">
          <cell r="U8">
            <v>1060</v>
          </cell>
          <cell r="V8" t="str">
            <v>Hp%〇以上の敵</v>
          </cell>
        </row>
        <row r="9">
          <cell r="P9">
            <v>1070</v>
          </cell>
          <cell r="Q9" t="str">
            <v>Hpダメージ割合追加ダメージ</v>
          </cell>
        </row>
        <row r="9">
          <cell r="U9">
            <v>1130</v>
          </cell>
          <cell r="V9" t="str">
            <v>最もHpが少ない味方</v>
          </cell>
        </row>
        <row r="10">
          <cell r="P10">
            <v>1080</v>
          </cell>
          <cell r="Q10" t="str">
            <v>Hp犠牲ダメージ</v>
          </cell>
        </row>
        <row r="10">
          <cell r="U10">
            <v>1140</v>
          </cell>
          <cell r="V10" t="str">
            <v>最もHpが多い味方</v>
          </cell>
        </row>
        <row r="11">
          <cell r="P11">
            <v>1090</v>
          </cell>
          <cell r="Q11" t="str">
            <v>受けたダメージ総計ダメージ</v>
          </cell>
        </row>
        <row r="11">
          <cell r="U11">
            <v>1150</v>
          </cell>
          <cell r="V11" t="str">
            <v>最もHpが少ない敵</v>
          </cell>
        </row>
        <row r="12">
          <cell r="P12">
            <v>1100</v>
          </cell>
          <cell r="Q12" t="str">
            <v>Hp貫通ダメージ</v>
          </cell>
        </row>
        <row r="12">
          <cell r="U12">
            <v>1160</v>
          </cell>
          <cell r="V12" t="str">
            <v>最もHpが多い敵</v>
          </cell>
        </row>
        <row r="13">
          <cell r="P13">
            <v>1110</v>
          </cell>
          <cell r="Q13" t="str">
            <v>残りHp比例ダメージ</v>
          </cell>
        </row>
        <row r="13">
          <cell r="U13">
            <v>2010</v>
          </cell>
          <cell r="V13" t="str">
            <v>味方にHpが〇%以下がいる</v>
          </cell>
        </row>
        <row r="14">
          <cell r="P14">
            <v>2010</v>
          </cell>
          <cell r="Q14" t="str">
            <v>Hp回復</v>
          </cell>
        </row>
        <row r="14">
          <cell r="U14">
            <v>3010</v>
          </cell>
          <cell r="V14" t="str">
            <v>自身のMpが〇以下</v>
          </cell>
        </row>
        <row r="15">
          <cell r="P15">
            <v>2020</v>
          </cell>
          <cell r="Q15" t="str">
            <v>自身のHpを1にする</v>
          </cell>
        </row>
        <row r="15">
          <cell r="U15">
            <v>3020</v>
          </cell>
          <cell r="V15" t="str">
            <v>自身のMpが〇以上</v>
          </cell>
        </row>
        <row r="16">
          <cell r="P16">
            <v>2030</v>
          </cell>
          <cell r="Q16" t="str">
            <v>対象のHpを1にする</v>
          </cell>
        </row>
        <row r="16">
          <cell r="U16">
            <v>3030</v>
          </cell>
          <cell r="V16" t="str">
            <v>Mp〇未満の味方</v>
          </cell>
        </row>
        <row r="17">
          <cell r="P17">
            <v>2040</v>
          </cell>
          <cell r="Q17" t="str">
            <v>Hpを分け与える</v>
          </cell>
        </row>
        <row r="17">
          <cell r="U17">
            <v>3040</v>
          </cell>
          <cell r="V17" t="str">
            <v>Mp〇以上の味方</v>
          </cell>
        </row>
        <row r="18">
          <cell r="P18">
            <v>2110</v>
          </cell>
          <cell r="Q18" t="str">
            <v>与ダメージを味方全体に回復</v>
          </cell>
        </row>
        <row r="18">
          <cell r="U18">
            <v>3050</v>
          </cell>
          <cell r="V18" t="str">
            <v>Mp〇未満の敵</v>
          </cell>
        </row>
        <row r="19">
          <cell r="P19">
            <v>2120</v>
          </cell>
          <cell r="Q19" t="str">
            <v>与ダメージを味方全体にMp回復</v>
          </cell>
        </row>
        <row r="19">
          <cell r="U19">
            <v>3060</v>
          </cell>
          <cell r="V19" t="str">
            <v>Mp〇以上の敵</v>
          </cell>
        </row>
        <row r="20">
          <cell r="P20">
            <v>2130</v>
          </cell>
          <cell r="Q20" t="str">
            <v>攻撃成功で味方全体に回復</v>
          </cell>
        </row>
        <row r="20">
          <cell r="U20">
            <v>4010</v>
          </cell>
          <cell r="V20" t="str">
            <v>戦闘不能が〇以上存在する</v>
          </cell>
        </row>
        <row r="21">
          <cell r="P21">
            <v>3010</v>
          </cell>
          <cell r="Q21" t="str">
            <v>ステート付与</v>
          </cell>
        </row>
        <row r="21">
          <cell r="U21">
            <v>4020</v>
          </cell>
          <cell r="V21" t="str">
            <v>生存者が〇以上存在する</v>
          </cell>
        </row>
        <row r="22">
          <cell r="P22">
            <v>3020</v>
          </cell>
          <cell r="Q22" t="str">
            <v>ステート解除</v>
          </cell>
        </row>
        <row r="22">
          <cell r="U22">
            <v>5010</v>
          </cell>
          <cell r="V22" t="str">
            <v>自分が前列にいる</v>
          </cell>
        </row>
        <row r="23">
          <cell r="P23">
            <v>3030</v>
          </cell>
          <cell r="Q23" t="str">
            <v>Abnormalステート解除</v>
          </cell>
        </row>
        <row r="23">
          <cell r="U23">
            <v>5020</v>
          </cell>
          <cell r="V23" t="str">
            <v>自分が後列にいる</v>
          </cell>
        </row>
        <row r="24">
          <cell r="P24">
            <v>3040</v>
          </cell>
          <cell r="Q24" t="str">
            <v>次の行動まで有効なステート付与</v>
          </cell>
        </row>
        <row r="24">
          <cell r="U24">
            <v>5030</v>
          </cell>
          <cell r="V24" t="str">
            <v>前列の味方を狙う</v>
          </cell>
        </row>
        <row r="25">
          <cell r="P25">
            <v>3050</v>
          </cell>
          <cell r="Q25" t="str">
            <v>バフステート解除</v>
          </cell>
        </row>
        <row r="25">
          <cell r="U25">
            <v>5040</v>
          </cell>
          <cell r="V25" t="str">
            <v>後列の味方を狙う</v>
          </cell>
        </row>
        <row r="26">
          <cell r="P26">
            <v>3060</v>
          </cell>
          <cell r="Q26" t="str">
            <v>デバフステート解除</v>
          </cell>
        </row>
        <row r="26">
          <cell r="U26">
            <v>5050</v>
          </cell>
          <cell r="V26" t="str">
            <v>前列の敵を狙う</v>
          </cell>
        </row>
        <row r="27">
          <cell r="P27">
            <v>3070</v>
          </cell>
          <cell r="Q27" t="str">
            <v>ステートの効果を変更</v>
          </cell>
        </row>
        <row r="27">
          <cell r="U27">
            <v>5060</v>
          </cell>
          <cell r="V27" t="str">
            <v>後列の敵を狙う</v>
          </cell>
        </row>
        <row r="28">
          <cell r="P28">
            <v>4010</v>
          </cell>
          <cell r="Q28" t="str">
            <v>Ctダメージ</v>
          </cell>
        </row>
        <row r="28">
          <cell r="U28">
            <v>5070</v>
          </cell>
          <cell r="V28" t="str">
            <v>人数が多い列の味方</v>
          </cell>
        </row>
        <row r="29">
          <cell r="P29">
            <v>4020</v>
          </cell>
          <cell r="Q29" t="str">
            <v>Ct回復</v>
          </cell>
        </row>
        <row r="29">
          <cell r="U29">
            <v>5080</v>
          </cell>
          <cell r="V29" t="str">
            <v>人数が多い列の敵</v>
          </cell>
        </row>
        <row r="30">
          <cell r="P30">
            <v>4030</v>
          </cell>
          <cell r="Q30" t="str">
            <v>Ct吸収ダメージ</v>
          </cell>
        </row>
        <row r="30">
          <cell r="U30">
            <v>5090</v>
          </cell>
          <cell r="V30" t="str">
            <v>人数が少ない列の味方</v>
          </cell>
        </row>
        <row r="31">
          <cell r="P31">
            <v>4040</v>
          </cell>
          <cell r="Q31" t="str">
            <v>指定魔法のCｔ回復</v>
          </cell>
        </row>
        <row r="31">
          <cell r="U31">
            <v>5100</v>
          </cell>
          <cell r="V31" t="str">
            <v>人数が少ない列の敵</v>
          </cell>
        </row>
        <row r="32">
          <cell r="P32">
            <v>5010</v>
          </cell>
          <cell r="Q32" t="str">
            <v>行動後Ap設定</v>
          </cell>
        </row>
        <row r="32">
          <cell r="U32">
            <v>5110</v>
          </cell>
          <cell r="V32" t="str">
            <v>〇人以上いる列の味方</v>
          </cell>
        </row>
        <row r="33">
          <cell r="P33">
            <v>5011</v>
          </cell>
          <cell r="Q33" t="str">
            <v>行動後ApがParam1割</v>
          </cell>
        </row>
        <row r="33">
          <cell r="U33">
            <v>5120</v>
          </cell>
          <cell r="V33" t="str">
            <v>〇人以上いる列の敵</v>
          </cell>
        </row>
        <row r="34">
          <cell r="P34">
            <v>5012</v>
          </cell>
          <cell r="Q34" t="str">
            <v>ActionResult扱いでAP指定</v>
          </cell>
        </row>
        <row r="34">
          <cell r="U34">
            <v>5130</v>
          </cell>
          <cell r="V34" t="str">
            <v>〇番目の味方</v>
          </cell>
        </row>
        <row r="35">
          <cell r="P35">
            <v>5020</v>
          </cell>
          <cell r="Q35" t="str">
            <v>Ap回復</v>
          </cell>
        </row>
        <row r="35">
          <cell r="U35">
            <v>5140</v>
          </cell>
          <cell r="V35" t="str">
            <v>〇番目の敵</v>
          </cell>
        </row>
        <row r="36">
          <cell r="P36">
            <v>5030</v>
          </cell>
          <cell r="Q36" t="str">
            <v>再行動する</v>
          </cell>
        </row>
        <row r="36">
          <cell r="U36">
            <v>6010</v>
          </cell>
          <cell r="V36" t="str">
            <v>StateId状態になっている</v>
          </cell>
        </row>
        <row r="37">
          <cell r="P37">
            <v>5040</v>
          </cell>
          <cell r="Q37" t="str">
            <v>先制攻撃</v>
          </cell>
        </row>
        <row r="37">
          <cell r="U37">
            <v>6020</v>
          </cell>
          <cell r="V37" t="str">
            <v>StateId状態になっていない</v>
          </cell>
        </row>
        <row r="38">
          <cell r="P38">
            <v>5050</v>
          </cell>
          <cell r="Q38" t="str">
            <v>APダメージ</v>
          </cell>
        </row>
        <row r="38">
          <cell r="U38">
            <v>6030</v>
          </cell>
          <cell r="V38" t="str">
            <v>StateId状態になっている味方</v>
          </cell>
        </row>
        <row r="39">
          <cell r="P39">
            <v>6010</v>
          </cell>
          <cell r="Q39" t="str">
            <v>指定のFeatureのParam1を増やす</v>
          </cell>
        </row>
        <row r="39">
          <cell r="U39">
            <v>6040</v>
          </cell>
          <cell r="V39" t="str">
            <v>StateId状態になっている敵</v>
          </cell>
        </row>
        <row r="40">
          <cell r="P40">
            <v>6020</v>
          </cell>
          <cell r="Q40" t="str">
            <v>指定のFeatureのParam2を増やす</v>
          </cell>
        </row>
        <row r="40">
          <cell r="U40">
            <v>6050</v>
          </cell>
          <cell r="V40" t="str">
            <v>StateId状態になっていない味方</v>
          </cell>
        </row>
        <row r="41">
          <cell r="P41">
            <v>6030</v>
          </cell>
          <cell r="Q41" t="str">
            <v>指定のFeatureのParam3を増やす</v>
          </cell>
        </row>
        <row r="41">
          <cell r="U41">
            <v>6060</v>
          </cell>
          <cell r="V41" t="str">
            <v>StateId状態になっていない敵</v>
          </cell>
        </row>
        <row r="42">
          <cell r="P42">
            <v>6040</v>
          </cell>
          <cell r="Q42" t="str">
            <v>指定のFeatureのParam1をParam3xステージ勝利数増やす</v>
          </cell>
        </row>
        <row r="42">
          <cell r="U42">
            <v>6110</v>
          </cell>
          <cell r="V42" t="str">
            <v>AbnormalのStateにかかっている</v>
          </cell>
        </row>
        <row r="43">
          <cell r="P43">
            <v>6050</v>
          </cell>
          <cell r="Q43" t="str">
            <v>指定のFeatureのParam2をParam3xステージ勝利数増やす</v>
          </cell>
        </row>
        <row r="43">
          <cell r="U43">
            <v>6120</v>
          </cell>
          <cell r="V43" t="str">
            <v>AbnormalのStateにかかっている味方</v>
          </cell>
        </row>
        <row r="44">
          <cell r="P44">
            <v>6060</v>
          </cell>
          <cell r="Q44" t="str">
            <v>指定のFeatureのParam3をParam3xステージ勝利数増やす</v>
          </cell>
        </row>
        <row r="44">
          <cell r="U44">
            <v>6130</v>
          </cell>
          <cell r="V44" t="str">
            <v>AbnormalのStateにかかっている敵</v>
          </cell>
        </row>
        <row r="45">
          <cell r="P45">
            <v>6070</v>
          </cell>
          <cell r="Q45" t="str">
            <v>指定のFeatuerの成功率を増やす</v>
          </cell>
        </row>
        <row r="45">
          <cell r="U45">
            <v>6140</v>
          </cell>
          <cell r="V45" t="str">
            <v>AbnormalのStateにかかっていない味方</v>
          </cell>
        </row>
        <row r="46">
          <cell r="P46">
            <v>6080</v>
          </cell>
          <cell r="Q46" t="str">
            <v>指定魔法のCTリセット値を変更する</v>
          </cell>
        </row>
        <row r="46">
          <cell r="U46">
            <v>6150</v>
          </cell>
          <cell r="V46" t="str">
            <v>AbnormalのStateにかかっていない敵</v>
          </cell>
        </row>
        <row r="47">
          <cell r="P47">
            <v>6100</v>
          </cell>
          <cell r="Q47" t="str">
            <v>指定魔法の攻撃回数を増やす(強化限定)</v>
          </cell>
        </row>
        <row r="47">
          <cell r="U47">
            <v>6210</v>
          </cell>
          <cell r="V47" t="str">
            <v>BuffのStateにかかっている</v>
          </cell>
        </row>
        <row r="48">
          <cell r="P48">
            <v>6210</v>
          </cell>
          <cell r="Q48" t="str">
            <v>指定魔法の対象を変更（強化限定）</v>
          </cell>
        </row>
        <row r="48">
          <cell r="U48">
            <v>6220</v>
          </cell>
          <cell r="V48" t="str">
            <v>BuffのStateにかかっている味方</v>
          </cell>
        </row>
        <row r="49">
          <cell r="P49">
            <v>6310</v>
          </cell>
          <cell r="Q49" t="str">
            <v>指定魔法に行動後スキルを追加する</v>
          </cell>
        </row>
        <row r="49">
          <cell r="U49">
            <v>6230</v>
          </cell>
          <cell r="V49" t="str">
            <v>BuffのStateにかかっている敵</v>
          </cell>
        </row>
        <row r="50">
          <cell r="P50">
            <v>7010</v>
          </cell>
          <cell r="Q50" t="str">
            <v>行動後スキル</v>
          </cell>
        </row>
        <row r="50">
          <cell r="U50">
            <v>6240</v>
          </cell>
          <cell r="V50" t="str">
            <v>BuffのStateにかかっていない味方</v>
          </cell>
        </row>
        <row r="51">
          <cell r="P51">
            <v>7020</v>
          </cell>
          <cell r="Q51" t="str">
            <v>行動後条件付きスキル</v>
          </cell>
        </row>
        <row r="51">
          <cell r="U51">
            <v>6250</v>
          </cell>
          <cell r="V51" t="str">
            <v>BuffのStateにかかっていない敵</v>
          </cell>
        </row>
        <row r="52">
          <cell r="P52">
            <v>8010</v>
          </cell>
          <cell r="Q52" t="str">
            <v>回復特性</v>
          </cell>
        </row>
        <row r="52">
          <cell r="U52">
            <v>6310</v>
          </cell>
          <cell r="V52" t="str">
            <v>DeBuffのStateにかかっている</v>
          </cell>
        </row>
        <row r="53">
          <cell r="P53">
            <v>8020</v>
          </cell>
          <cell r="Q53" t="str">
            <v>アンデッド特攻</v>
          </cell>
        </row>
        <row r="53">
          <cell r="U53">
            <v>6320</v>
          </cell>
          <cell r="V53" t="str">
            <v>DeBuffのStateにかかっている味方</v>
          </cell>
        </row>
        <row r="54">
          <cell r="P54">
            <v>9010</v>
          </cell>
          <cell r="Q54" t="str">
            <v>隊列を入れ替え</v>
          </cell>
        </row>
        <row r="54">
          <cell r="U54">
            <v>6330</v>
          </cell>
          <cell r="V54" t="str">
            <v>DeBuffのStateにかかっている敵</v>
          </cell>
        </row>
        <row r="55">
          <cell r="P55">
            <v>10010</v>
          </cell>
          <cell r="Q55" t="str">
            <v>行動後にAp+</v>
          </cell>
        </row>
        <row r="55">
          <cell r="U55">
            <v>6340</v>
          </cell>
          <cell r="V55" t="str">
            <v>DeBuffのStateにかかっていない味方</v>
          </cell>
        </row>
        <row r="56">
          <cell r="P56">
            <v>11010</v>
          </cell>
          <cell r="Q56" t="str">
            <v>命中判定しない</v>
          </cell>
        </row>
        <row r="56">
          <cell r="U56">
            <v>6350</v>
          </cell>
          <cell r="V56" t="str">
            <v>DeBuffのStateにかかっていない敵</v>
          </cell>
        </row>
        <row r="57">
          <cell r="P57">
            <v>12010</v>
          </cell>
          <cell r="Q57" t="str">
            <v>最後に受けたAbnormalを相手に移す</v>
          </cell>
        </row>
        <row r="57">
          <cell r="U57">
            <v>7010</v>
          </cell>
          <cell r="V57" t="str">
            <v>神化発動前</v>
          </cell>
        </row>
        <row r="58">
          <cell r="P58">
            <v>13010</v>
          </cell>
          <cell r="Q58" t="str">
            <v>対象のバフを奪い取る</v>
          </cell>
        </row>
        <row r="58">
          <cell r="U58">
            <v>7020</v>
          </cell>
          <cell r="V58" t="str">
            <v>神化発動後</v>
          </cell>
        </row>
        <row r="59">
          <cell r="U59">
            <v>7030</v>
          </cell>
          <cell r="V59" t="str">
            <v>神化発動前の味方</v>
          </cell>
        </row>
        <row r="60">
          <cell r="U60">
            <v>7040</v>
          </cell>
          <cell r="V60" t="str">
            <v>神化発動後の味方</v>
          </cell>
        </row>
        <row r="61">
          <cell r="U61">
            <v>7050</v>
          </cell>
          <cell r="V61" t="str">
            <v>神化発動前の敵</v>
          </cell>
        </row>
        <row r="62">
          <cell r="U62">
            <v>7060</v>
          </cell>
          <cell r="V62" t="str">
            <v>神化発動後の敵</v>
          </cell>
        </row>
        <row r="63">
          <cell r="U63">
            <v>7070</v>
          </cell>
          <cell r="V63" t="str">
            <v>神化魔法使用回数の総計</v>
          </cell>
        </row>
        <row r="64">
          <cell r="U64">
            <v>8010</v>
          </cell>
          <cell r="V64" t="str">
            <v>味方より敵が多い</v>
          </cell>
        </row>
        <row r="65">
          <cell r="U65">
            <v>8020</v>
          </cell>
          <cell r="V65" t="str">
            <v>味方より敵が少ない</v>
          </cell>
        </row>
        <row r="66">
          <cell r="U66">
            <v>8030</v>
          </cell>
          <cell r="V66" t="str">
            <v>味方の数が〇以上</v>
          </cell>
        </row>
        <row r="67">
          <cell r="U67">
            <v>8040</v>
          </cell>
          <cell r="V67" t="str">
            <v>味方の数が〇以下</v>
          </cell>
        </row>
        <row r="68">
          <cell r="U68">
            <v>8050</v>
          </cell>
          <cell r="V68" t="str">
            <v>敵の数が〇以上</v>
          </cell>
        </row>
        <row r="69">
          <cell r="U69">
            <v>8060</v>
          </cell>
          <cell r="V69" t="str">
            <v>敵の数が〇以下</v>
          </cell>
        </row>
        <row r="70">
          <cell r="U70">
            <v>9010</v>
          </cell>
          <cell r="V70" t="str">
            <v>ターン数が〇以内</v>
          </cell>
        </row>
        <row r="71">
          <cell r="U71">
            <v>9020</v>
          </cell>
          <cell r="V71" t="str">
            <v>ターン数が〇</v>
          </cell>
        </row>
        <row r="72">
          <cell r="U72">
            <v>9030</v>
          </cell>
          <cell r="V72" t="str">
            <v>ターン数がparam1 x ターン数 + param2</v>
          </cell>
        </row>
        <row r="73">
          <cell r="U73">
            <v>9031</v>
          </cell>
          <cell r="V73" t="str">
            <v>行動者のターン数がparam1 x ターン数 + param2</v>
          </cell>
        </row>
        <row r="74">
          <cell r="U74">
            <v>9040</v>
          </cell>
          <cell r="V74" t="str">
            <v>全体の行動数がparam1 x 行動数 + param2</v>
          </cell>
        </row>
        <row r="75">
          <cell r="U75">
            <v>9110</v>
          </cell>
          <cell r="V75" t="str">
            <v>自身を対象にする</v>
          </cell>
        </row>
        <row r="76">
          <cell r="U76">
            <v>9120</v>
          </cell>
          <cell r="V76" t="str">
            <v>自身を対象にしない</v>
          </cell>
        </row>
        <row r="77">
          <cell r="U77">
            <v>10010</v>
          </cell>
          <cell r="V77" t="str">
            <v>攻撃成功時〇%で</v>
          </cell>
        </row>
        <row r="78">
          <cell r="U78">
            <v>10020</v>
          </cell>
          <cell r="V78" t="str">
            <v>〇%で</v>
          </cell>
        </row>
        <row r="79">
          <cell r="U79">
            <v>10110</v>
          </cell>
          <cell r="V79" t="str">
            <v>攻撃成功時相手が凍結ではない</v>
          </cell>
        </row>
        <row r="80">
          <cell r="U80">
            <v>11010</v>
          </cell>
          <cell r="V80" t="str">
            <v>バトル中使用回数が〇以下</v>
          </cell>
        </row>
        <row r="81">
          <cell r="U81">
            <v>11020</v>
          </cell>
          <cell r="V81" t="str">
            <v>ターン中使用回数が〇以下</v>
          </cell>
        </row>
        <row r="82">
          <cell r="U82">
            <v>12030</v>
          </cell>
          <cell r="V82" t="str">
            <v>行動Magicの消費Mpが〇</v>
          </cell>
        </row>
        <row r="83">
          <cell r="U83">
            <v>12040</v>
          </cell>
          <cell r="V83" t="str">
            <v>攻撃を受けた対象のHpがParam1%以下 Param2==1で生存判定しない</v>
          </cell>
        </row>
        <row r="84">
          <cell r="U84">
            <v>12041</v>
          </cell>
          <cell r="V84" t="str">
            <v>攻撃を受けた対象が戦闘不能になった</v>
          </cell>
        </row>
        <row r="85">
          <cell r="U85">
            <v>12042</v>
          </cell>
          <cell r="V85" t="str">
            <v>攻撃を受けた対象がAbnorml状態になった</v>
          </cell>
        </row>
        <row r="86">
          <cell r="U86">
            <v>12043</v>
          </cell>
          <cell r="V86" t="str">
            <v>攻撃を受けた対象がバフ状態になった</v>
          </cell>
        </row>
        <row r="87">
          <cell r="U87">
            <v>12050</v>
          </cell>
          <cell r="V87" t="str">
            <v>1回の攻撃で〇ダメージ以上受ける</v>
          </cell>
        </row>
        <row r="88">
          <cell r="U88">
            <v>12060</v>
          </cell>
          <cell r="V88" t="str">
            <v>味方が攻撃を受ける。Param2で対象指定</v>
          </cell>
        </row>
        <row r="89">
          <cell r="U89">
            <v>12063</v>
          </cell>
          <cell r="V89" t="str">
            <v>自身が状態異常を受ける</v>
          </cell>
        </row>
        <row r="90">
          <cell r="U90">
            <v>12066</v>
          </cell>
          <cell r="V90" t="str">
            <v>自身がパッシブを受ける</v>
          </cell>
        </row>
        <row r="91">
          <cell r="U91">
            <v>12070</v>
          </cell>
          <cell r="V91" t="str">
            <v>味方が行動をする</v>
          </cell>
        </row>
        <row r="92">
          <cell r="U92">
            <v>12071</v>
          </cell>
          <cell r="V92" t="str">
            <v>味方が攻撃を成功する</v>
          </cell>
        </row>
        <row r="93">
          <cell r="U93">
            <v>12082</v>
          </cell>
          <cell r="V93" t="str">
            <v>相手が回復をする</v>
          </cell>
        </row>
        <row r="94">
          <cell r="U94">
            <v>12092</v>
          </cell>
          <cell r="V94" t="str">
            <v>相手が攻撃無効を発揮する</v>
          </cell>
        </row>
        <row r="95">
          <cell r="U95">
            <v>13010</v>
          </cell>
          <cell r="V95" t="str">
            <v>〇のKindを持っている味方</v>
          </cell>
        </row>
        <row r="96">
          <cell r="U96">
            <v>13020</v>
          </cell>
          <cell r="V96" t="str">
            <v>〇のKindを持っている敵</v>
          </cell>
        </row>
        <row r="97">
          <cell r="U97">
            <v>14010</v>
          </cell>
          <cell r="V97" t="str">
            <v>ステータスの高い味方</v>
          </cell>
        </row>
        <row r="98">
          <cell r="U98">
            <v>14110</v>
          </cell>
          <cell r="V98" t="str">
            <v>ステータスの低い味方</v>
          </cell>
        </row>
        <row r="99">
          <cell r="U99">
            <v>14210</v>
          </cell>
          <cell r="V99" t="str">
            <v>ステータスの高い敵</v>
          </cell>
        </row>
        <row r="100">
          <cell r="U100">
            <v>14310</v>
          </cell>
          <cell r="V100" t="str">
            <v>ステータスの低い敵</v>
          </cell>
        </row>
        <row r="101">
          <cell r="U101">
            <v>14410</v>
          </cell>
          <cell r="V101" t="str">
            <v>Lvが〇以上</v>
          </cell>
        </row>
        <row r="102">
          <cell r="U102">
            <v>15010</v>
          </cell>
          <cell r="V102" t="str">
            <v>自身が攻撃タイプの行動をしようとしている</v>
          </cell>
        </row>
        <row r="103">
          <cell r="U103">
            <v>15011</v>
          </cell>
          <cell r="V103" t="str">
            <v>味方が攻撃タイプの行動をしようとしている</v>
          </cell>
        </row>
        <row r="104">
          <cell r="U104">
            <v>15022</v>
          </cell>
          <cell r="V104" t="str">
            <v>相手がバフの行動をしようとしている</v>
          </cell>
        </row>
        <row r="105">
          <cell r="U105">
            <v>16010</v>
          </cell>
          <cell r="V105" t="str">
            <v>攻撃したのが自身</v>
          </cell>
        </row>
        <row r="106">
          <cell r="U106">
            <v>17010</v>
          </cell>
          <cell r="V106" t="str">
            <v>魔法を〇回使用する</v>
          </cell>
        </row>
        <row r="107">
          <cell r="U107">
            <v>17020</v>
          </cell>
          <cell r="V107" t="str">
            <v>攻撃を〇回受ける</v>
          </cell>
        </row>
        <row r="108">
          <cell r="U108">
            <v>17030</v>
          </cell>
          <cell r="V108" t="str">
            <v>クリティカル攻撃を受ける</v>
          </cell>
        </row>
        <row r="109">
          <cell r="U109">
            <v>17040</v>
          </cell>
          <cell r="V109" t="str">
            <v>回避を〇回行う</v>
          </cell>
        </row>
        <row r="110">
          <cell r="U110">
            <v>17050</v>
          </cell>
          <cell r="V110" t="str">
            <v>回復効果魔法を〇回行う</v>
          </cell>
        </row>
        <row r="111">
          <cell r="U111">
            <v>17060</v>
          </cell>
          <cell r="V111" t="str">
            <v>拘束3回成功</v>
          </cell>
        </row>
        <row r="112">
          <cell r="U112">
            <v>18010</v>
          </cell>
          <cell r="V112" t="str">
            <v>自分の味方である</v>
          </cell>
        </row>
        <row r="113">
          <cell r="U113">
            <v>18020</v>
          </cell>
          <cell r="V113" t="str">
            <v>自分の敵である</v>
          </cell>
        </row>
        <row r="114">
          <cell r="U114">
            <v>19010</v>
          </cell>
          <cell r="V114" t="str">
            <v>自身がParam1=Sconeの攻撃を受けるとき</v>
          </cell>
        </row>
        <row r="115">
          <cell r="U115">
            <v>19020</v>
          </cell>
          <cell r="V115" t="str">
            <v>自身がParam1=Kindから攻撃を受けるとき</v>
          </cell>
        </row>
        <row r="116">
          <cell r="U116">
            <v>20030</v>
          </cell>
          <cell r="V116" t="str">
            <v>攻撃をした時に相手が戦闘不能になる</v>
          </cell>
        </row>
        <row r="117">
          <cell r="U117">
            <v>20040</v>
          </cell>
          <cell r="V117" t="str">
            <v>自分以外が戦闘不能</v>
          </cell>
        </row>
        <row r="118">
          <cell r="U118">
            <v>20050</v>
          </cell>
          <cell r="V118" t="str">
            <v>自身が戦闘不能になる</v>
          </cell>
        </row>
        <row r="119">
          <cell r="U119">
            <v>20070</v>
          </cell>
          <cell r="V119" t="str">
            <v>敵全員が呪い状態</v>
          </cell>
        </row>
        <row r="120">
          <cell r="U120">
            <v>20071</v>
          </cell>
          <cell r="V120" t="str">
            <v>敵全員が凍結状態</v>
          </cell>
        </row>
        <row r="121">
          <cell r="U121">
            <v>20110</v>
          </cell>
          <cell r="V121" t="str">
            <v>味方に神化状態が〇以上</v>
          </cell>
        </row>
        <row r="122">
          <cell r="U122">
            <v>20120</v>
          </cell>
          <cell r="V122" t="str">
            <v>Demigod魔法の属性が〇の味方が神化する</v>
          </cell>
        </row>
        <row r="123">
          <cell r="U123">
            <v>20130</v>
          </cell>
          <cell r="V123" t="str">
            <v>相手が状態異常を発動する</v>
          </cell>
        </row>
        <row r="124">
          <cell r="U124">
            <v>20140</v>
          </cell>
          <cell r="V124" t="str">
            <v>自身の攻撃で敵を倒す</v>
          </cell>
        </row>
        <row r="125">
          <cell r="U125">
            <v>20150</v>
          </cell>
          <cell r="V125" t="str">
            <v>Demigod魔法の属性が〇</v>
          </cell>
        </row>
        <row r="126">
          <cell r="U126">
            <v>20160</v>
          </cell>
          <cell r="V126" t="str">
            <v>自身が戦闘不能になる攻撃を受ける</v>
          </cell>
        </row>
        <row r="127">
          <cell r="U127">
            <v>23010</v>
          </cell>
          <cell r="V127" t="str">
            <v>攻撃を回避した時</v>
          </cell>
        </row>
        <row r="128">
          <cell r="U128">
            <v>30010</v>
          </cell>
          <cell r="V128" t="str">
            <v>終焉まで〇ターン</v>
          </cell>
        </row>
        <row r="129">
          <cell r="U129">
            <v>30020</v>
          </cell>
          <cell r="V129" t="str">
            <v>存在猶予を延長している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0"/>
  <sheetViews>
    <sheetView workbookViewId="0">
      <pane ySplit="1" topLeftCell="A44" activePane="bottomLeft" state="frozen"/>
      <selection/>
      <selection pane="bottomLeft" activeCell="E62" sqref="E62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5" customWidth="1"/>
    <col min="14" max="14" width="4.90909090909091" style="5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6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pans="1:24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 t="str">
        <f>INDEX([1]Animations!B:B,MATCH(F25,[1]Animations!A:A))</f>
        <v>NA_Effekseer/NA_aura_001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6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6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6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エクステンション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10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6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6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100110</v>
      </c>
      <c r="B106">
        <v>100110</v>
      </c>
      <c r="C106" t="str">
        <f>INDEX(TextData!B:B,MATCH(B106,TextData!A:A))</f>
        <v>ソーイングアームド</v>
      </c>
      <c r="D106">
        <v>10</v>
      </c>
      <c r="E106" t="str">
        <f>INDEX(Define!X:X,MATCH(D106,Define!W:W))</f>
        <v>半神</v>
      </c>
      <c r="F106">
        <v>51</v>
      </c>
      <c r="G106" t="str">
        <f>INDEX([1]Animations!B:B,MATCH(F106,[1]Animations!A:A))</f>
        <v>NA_Effekseer/NA_aura_001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1000</v>
      </c>
      <c r="M106">
        <v>1</v>
      </c>
      <c r="N106" t="str">
        <f>INDEX(Define!E:E,MATCH(M106,Define!D:D))</f>
        <v>炎</v>
      </c>
      <c r="O106">
        <v>3</v>
      </c>
      <c r="P106" t="str">
        <f>INDEX(Define!H:H,MATCH(O106,Define!G:G))</f>
        <v>神化</v>
      </c>
      <c r="Q106">
        <v>4</v>
      </c>
      <c r="R106" t="str">
        <f>INDEX(Define!K:K,MATCH(Q106,Define!J:J))</f>
        <v>自身</v>
      </c>
      <c r="S106">
        <v>2</v>
      </c>
      <c r="T106" t="str">
        <f>INDEX(Define!N:N,MATCH(S106,Define!M:M))</f>
        <v>列</v>
      </c>
      <c r="U106">
        <v>2</v>
      </c>
      <c r="V106">
        <v>1</v>
      </c>
      <c r="W106">
        <v>1</v>
      </c>
      <c r="X106">
        <v>0</v>
      </c>
    </row>
    <row r="107" spans="1:24">
      <c r="A107">
        <v>100120</v>
      </c>
      <c r="B107">
        <v>100120</v>
      </c>
      <c r="C107" t="str">
        <f>INDEX(TextData!B:B,MATCH(B107,TextData!A:A))</f>
        <v>エターナルロンド</v>
      </c>
      <c r="D107">
        <v>11</v>
      </c>
      <c r="E107" t="str">
        <f>INDEX(Define!X:X,MATCH(D107,Define!W:W))</f>
        <v>覚醒</v>
      </c>
      <c r="F107">
        <v>101</v>
      </c>
      <c r="G107" t="str">
        <f>INDEX([1]Animations!B:B,MATCH(F107,[1]Animations!A:A))</f>
        <v>FireOne1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1000</v>
      </c>
      <c r="M107">
        <v>1</v>
      </c>
      <c r="N107" t="str">
        <f>INDEX(Define!E:E,MATCH(M107,Define!D:D))</f>
        <v>炎</v>
      </c>
      <c r="O107">
        <v>4</v>
      </c>
      <c r="P107" t="str">
        <f>INDEX(Define!H:H,MATCH(O107,Define!G:G))</f>
        <v>覚醒</v>
      </c>
      <c r="Q107">
        <v>1</v>
      </c>
      <c r="R107" t="str">
        <f>INDEX(Define!K:K,MATCH(Q107,Define!J:J))</f>
        <v>相手</v>
      </c>
      <c r="S107">
        <v>2</v>
      </c>
      <c r="T107" t="str">
        <f>INDEX(Define!N:N,MATCH(S107,Define!M:M))</f>
        <v>列</v>
      </c>
      <c r="U107">
        <v>1</v>
      </c>
      <c r="V107">
        <v>1</v>
      </c>
      <c r="W107">
        <v>1</v>
      </c>
      <c r="X107">
        <v>0</v>
      </c>
    </row>
    <row r="108" spans="1:24">
      <c r="A108">
        <v>100210</v>
      </c>
      <c r="B108">
        <v>100210</v>
      </c>
      <c r="C108" t="str">
        <f>INDEX(TextData!B:B,MATCH(B108,TextData!A:A))</f>
        <v>アブソリュートパリィ</v>
      </c>
      <c r="D108">
        <v>10</v>
      </c>
      <c r="E108" t="str">
        <f>INDEX(Define!X:X,MATCH(D108,Define!W:W))</f>
        <v>半神</v>
      </c>
      <c r="F108">
        <v>51</v>
      </c>
      <c r="G108" t="str">
        <f>INDEX([1]Animations!B:B,MATCH(F108,[1]Animations!A:A))</f>
        <v>NA_Effekseer/NA_aura_001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1000</v>
      </c>
      <c r="M108">
        <v>2</v>
      </c>
      <c r="N108" t="str">
        <f>INDEX(Define!E:E,MATCH(M108,Define!D:D))</f>
        <v>雷</v>
      </c>
      <c r="O108">
        <v>3</v>
      </c>
      <c r="P108" t="str">
        <f>INDEX(Define!H:H,MATCH(O108,Define!G:G))</f>
        <v>神化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100220</v>
      </c>
      <c r="B109">
        <v>100220</v>
      </c>
      <c r="C109" t="str">
        <f>INDEX(TextData!B:B,MATCH(B109,TextData!A:A))</f>
        <v>レヴェリー</v>
      </c>
      <c r="D109">
        <v>11</v>
      </c>
      <c r="E109" t="str">
        <f>INDEX(Define!X:X,MATCH(D109,Define!W:W))</f>
        <v>覚醒</v>
      </c>
      <c r="F109">
        <v>1002</v>
      </c>
      <c r="G109" t="str">
        <f>INDEX([1]Animations!B:B,MATCH(F109,[1]Animations!A:A))</f>
        <v>HitEffect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2</v>
      </c>
      <c r="N109" t="str">
        <f>INDEX(Define!E:E,MATCH(M109,Define!D:D))</f>
        <v>雷</v>
      </c>
      <c r="O109">
        <v>4</v>
      </c>
      <c r="P109" t="str">
        <f>INDEX(Define!H:H,MATCH(O109,Define!G:G))</f>
        <v>覚醒</v>
      </c>
      <c r="Q109">
        <v>1</v>
      </c>
      <c r="R109" t="str">
        <f>INDEX(Define!K:K,MATCH(Q109,Define!J:J))</f>
        <v>相手</v>
      </c>
      <c r="S109">
        <v>3</v>
      </c>
      <c r="T109" t="str">
        <f>INDEX(Define!N:N,MATCH(S109,Define!M:M))</f>
        <v>全体</v>
      </c>
      <c r="U109">
        <v>2</v>
      </c>
      <c r="V109">
        <v>7</v>
      </c>
      <c r="W109">
        <v>1</v>
      </c>
      <c r="X109">
        <v>0</v>
      </c>
    </row>
    <row r="110" spans="1:24">
      <c r="A110">
        <v>100310</v>
      </c>
      <c r="B110">
        <v>100310</v>
      </c>
      <c r="C110" t="str">
        <f>INDEX(TextData!B:B,MATCH(B110,TextData!A:A))</f>
        <v>セイクリッドバリア</v>
      </c>
      <c r="D110">
        <v>10</v>
      </c>
      <c r="E110" t="str">
        <f>INDEX(Define!X:X,MATCH(D110,Define!W:W))</f>
        <v>半神</v>
      </c>
      <c r="F110">
        <v>51</v>
      </c>
      <c r="G110" t="str">
        <f>INDEX([1]Animations!B:B,MATCH(F110,[1]Animations!A:A))</f>
        <v>NA_Effekseer/NA_aura_001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3</v>
      </c>
      <c r="N110" t="str">
        <f>INDEX(Define!E:E,MATCH(M110,Define!D:D))</f>
        <v>氷</v>
      </c>
      <c r="O110">
        <v>3</v>
      </c>
      <c r="P110" t="str">
        <f>INDEX(Define!H:H,MATCH(O110,Define!G:G))</f>
        <v>神化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spans="1:24">
      <c r="A111">
        <v>100320</v>
      </c>
      <c r="B111">
        <v>100320</v>
      </c>
      <c r="C111" t="str">
        <f>INDEX(TextData!B:B,MATCH(B111,TextData!A:A))</f>
        <v>リベンジニードル</v>
      </c>
      <c r="D111">
        <v>11</v>
      </c>
      <c r="E111" t="str">
        <f>INDEX(Define!X:X,MATCH(D111,Define!W:W))</f>
        <v>覚醒</v>
      </c>
      <c r="F111">
        <v>1003</v>
      </c>
      <c r="G111" t="str">
        <f>INDEX([1]Animations!B:B,MATCH(F111,[1]Animations!A:A))</f>
        <v>HitFire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3</v>
      </c>
      <c r="N111" t="str">
        <f>INDEX(Define!E:E,MATCH(M111,Define!D:D))</f>
        <v>氷</v>
      </c>
      <c r="O111">
        <v>4</v>
      </c>
      <c r="P111" t="str">
        <f>INDEX(Define!H:H,MATCH(O111,Define!G:G))</f>
        <v>覚醒</v>
      </c>
      <c r="Q111">
        <v>1</v>
      </c>
      <c r="R111" t="str">
        <f>INDEX(Define!K:K,MATCH(Q111,Define!J:J))</f>
        <v>相手</v>
      </c>
      <c r="S111">
        <v>3</v>
      </c>
      <c r="T111" t="str">
        <f>INDEX(Define!N:N,MATCH(S111,Define!M:M))</f>
        <v>全体</v>
      </c>
      <c r="U111">
        <v>1</v>
      </c>
      <c r="V111">
        <v>1</v>
      </c>
      <c r="W111">
        <v>1</v>
      </c>
      <c r="X111">
        <v>0</v>
      </c>
    </row>
    <row r="112" spans="1:24">
      <c r="A112">
        <v>100410</v>
      </c>
      <c r="B112">
        <v>100410</v>
      </c>
      <c r="C112" t="str">
        <f>INDEX(TextData!B:B,MATCH(B112,TextData!A:A))</f>
        <v>アバンデンス</v>
      </c>
      <c r="D112">
        <v>10</v>
      </c>
      <c r="E112" t="str">
        <f>INDEX(Define!X:X,MATCH(D112,Define!W:W))</f>
        <v>半神</v>
      </c>
      <c r="F112">
        <v>401</v>
      </c>
      <c r="G112" t="str">
        <f>INDEX([1]Animations!B:B,MATCH(F112,[1]Animations!A:A))</f>
        <v>LightOne1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4</v>
      </c>
      <c r="N112" t="str">
        <f>INDEX(Define!E:E,MATCH(M112,Define!D:D))</f>
        <v>光</v>
      </c>
      <c r="O112">
        <v>3</v>
      </c>
      <c r="P112" t="str">
        <f>INDEX(Define!H:H,MATCH(O112,Define!G:G))</f>
        <v>神化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0</v>
      </c>
      <c r="X112">
        <v>0</v>
      </c>
    </row>
    <row r="113" spans="1:24">
      <c r="A113">
        <v>100420</v>
      </c>
      <c r="B113">
        <v>100420</v>
      </c>
      <c r="C113" t="str">
        <f>INDEX(TextData!B:B,MATCH(B113,TextData!A:A))</f>
        <v>ハーヴェスト</v>
      </c>
      <c r="D113">
        <v>11</v>
      </c>
      <c r="E113" t="str">
        <f>INDEX(Define!X:X,MATCH(D113,Define!W:W))</f>
        <v>覚醒</v>
      </c>
      <c r="F113">
        <v>1004</v>
      </c>
      <c r="G113" t="str">
        <f>INDEX([1]Animations!B:B,MATCH(F113,[1]Animations!A:A))</f>
        <v>HitIce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4</v>
      </c>
      <c r="N113" t="str">
        <f>INDEX(Define!E:E,MATCH(M113,Define!D:D))</f>
        <v>光</v>
      </c>
      <c r="O113">
        <v>4</v>
      </c>
      <c r="P113" t="str">
        <f>INDEX(Define!H:H,MATCH(O113,Define!G:G))</f>
        <v>覚醒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100510</v>
      </c>
      <c r="B114">
        <v>100510</v>
      </c>
      <c r="C114" t="str">
        <f>INDEX(TextData!B:B,MATCH(B114,TextData!A:A))</f>
        <v>カースドブレイク</v>
      </c>
      <c r="D114">
        <v>10</v>
      </c>
      <c r="E114" t="str">
        <f>INDEX(Define!X:X,MATCH(D114,Define!W:W))</f>
        <v>半神</v>
      </c>
      <c r="F114">
        <v>51</v>
      </c>
      <c r="G114" t="str">
        <f>INDEX([1]Animations!B:B,MATCH(F114,[1]Animations!A:A))</f>
        <v>NA_Effekseer/NA_aura_001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5</v>
      </c>
      <c r="N114" t="str">
        <f>INDEX(Define!E:E,MATCH(M114,Define!D:D))</f>
        <v>闇</v>
      </c>
      <c r="O114">
        <v>3</v>
      </c>
      <c r="P114" t="str">
        <f>INDEX(Define!H:H,MATCH(O114,Define!G:G))</f>
        <v>神化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100520</v>
      </c>
      <c r="B115">
        <v>100520</v>
      </c>
      <c r="C115" t="str">
        <f>INDEX(TextData!B:B,MATCH(B115,TextData!A:A))</f>
        <v>ムーンライトレイ</v>
      </c>
      <c r="D115">
        <v>11</v>
      </c>
      <c r="E115" t="str">
        <f>INDEX(Define!X:X,MATCH(D115,Define!W:W))</f>
        <v>覚醒</v>
      </c>
      <c r="F115">
        <v>1005</v>
      </c>
      <c r="G115" t="str">
        <f>INDEX([1]Animations!B:B,MATCH(F115,[1]Animations!A:A))</f>
        <v>HitThunder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5</v>
      </c>
      <c r="N115" t="str">
        <f>INDEX(Define!E:E,MATCH(M115,Define!D:D))</f>
        <v>闇</v>
      </c>
      <c r="O115">
        <v>4</v>
      </c>
      <c r="P115" t="str">
        <f>INDEX(Define!H:H,MATCH(O115,Define!G:G))</f>
        <v>覚醒</v>
      </c>
      <c r="Q115">
        <v>1</v>
      </c>
      <c r="R115" t="str">
        <f>INDEX(Define!K:K,MATCH(Q115,Define!J:J))</f>
        <v>相手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100610</v>
      </c>
      <c r="B116">
        <v>100610</v>
      </c>
      <c r="C116" t="str">
        <f>INDEX(TextData!B:B,MATCH(B116,TextData!A:A))</f>
        <v>サンフレイム</v>
      </c>
      <c r="D116">
        <v>10</v>
      </c>
      <c r="E116" t="str">
        <f>INDEX(Define!X:X,MATCH(D116,Define!W:W))</f>
        <v>半神</v>
      </c>
      <c r="F116">
        <v>51</v>
      </c>
      <c r="G116" t="str">
        <f>INDEX([1]Animations!B:B,MATCH(F116,[1]Animations!A:A))</f>
        <v>NA_Effekseer/NA_aura_001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1</v>
      </c>
      <c r="N116" t="str">
        <f>INDEX(Define!E:E,MATCH(M116,Define!D:D))</f>
        <v>炎</v>
      </c>
      <c r="O116">
        <v>3</v>
      </c>
      <c r="P116" t="str">
        <f>INDEX(Define!H:H,MATCH(O116,Define!G:G))</f>
        <v>神化</v>
      </c>
      <c r="Q116">
        <v>4</v>
      </c>
      <c r="R116" t="str">
        <f>INDEX(Define!K:K,MATCH(Q116,Define!J:J))</f>
        <v>自身</v>
      </c>
      <c r="S116">
        <v>31</v>
      </c>
      <c r="T116" t="str">
        <f>INDEX(Define!N:N,MATCH(S116,Define!M:M))</f>
        <v>単体と両隣</v>
      </c>
      <c r="U116">
        <v>2</v>
      </c>
      <c r="V116">
        <v>1</v>
      </c>
      <c r="W116">
        <v>1</v>
      </c>
      <c r="X116">
        <v>0</v>
      </c>
    </row>
    <row r="117" spans="1:24">
      <c r="A117">
        <v>100620</v>
      </c>
      <c r="B117">
        <v>100620</v>
      </c>
      <c r="C117" t="str">
        <f>INDEX(TextData!B:B,MATCH(B117,TextData!A:A))</f>
        <v>フレイムタン</v>
      </c>
      <c r="D117">
        <v>11</v>
      </c>
      <c r="E117" t="str">
        <f>INDEX(Define!X:X,MATCH(D117,Define!W:W))</f>
        <v>覚醒</v>
      </c>
      <c r="F117">
        <v>1005</v>
      </c>
      <c r="G117" t="str">
        <f>INDEX([1]Animations!B:B,MATCH(F117,[1]Animations!A:A))</f>
        <v>HitThunder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1</v>
      </c>
      <c r="N117" t="str">
        <f>INDEX(Define!E:E,MATCH(M117,Define!D:D))</f>
        <v>炎</v>
      </c>
      <c r="O117">
        <v>4</v>
      </c>
      <c r="P117" t="str">
        <f>INDEX(Define!H:H,MATCH(O117,Define!G:G))</f>
        <v>覚醒</v>
      </c>
      <c r="Q117">
        <v>1</v>
      </c>
      <c r="R117" t="str">
        <f>INDEX(Define!K:K,MATCH(Q117,Define!J:J))</f>
        <v>相手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1</v>
      </c>
      <c r="X117">
        <v>0</v>
      </c>
    </row>
    <row r="118" ht="12" customHeight="1" spans="1:24">
      <c r="A118">
        <v>100710</v>
      </c>
      <c r="B118">
        <v>100710</v>
      </c>
      <c r="C118" t="str">
        <f>INDEX(TextData!B:B,MATCH(B118,TextData!A:A))</f>
        <v>ライズザフラッグ</v>
      </c>
      <c r="D118">
        <v>10</v>
      </c>
      <c r="E118" t="str">
        <f>INDEX(Define!X:X,MATCH(D118,Define!W:W))</f>
        <v>半神</v>
      </c>
      <c r="F118">
        <v>201</v>
      </c>
      <c r="G118" t="str">
        <f>INDEX([1]Animations!B:B,MATCH(F118,[1]Animations!A:A))</f>
        <v>ThunderOne1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2</v>
      </c>
      <c r="N118" t="str">
        <f>INDEX(Define!E:E,MATCH(M118,Define!D:D))</f>
        <v>雷</v>
      </c>
      <c r="O118">
        <v>3</v>
      </c>
      <c r="P118" t="str">
        <f>INDEX(Define!H:H,MATCH(O118,Define!G:G))</f>
        <v>神化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100720</v>
      </c>
      <c r="B119">
        <v>100720</v>
      </c>
      <c r="C119" t="str">
        <f>INDEX(TextData!B:B,MATCH(B119,TextData!A:A))</f>
        <v>オーバーリミット</v>
      </c>
      <c r="D119">
        <v>11</v>
      </c>
      <c r="E119" t="str">
        <f>INDEX(Define!X:X,MATCH(D119,Define!W:W))</f>
        <v>覚醒</v>
      </c>
      <c r="F119">
        <v>1005</v>
      </c>
      <c r="G119" t="str">
        <f>INDEX([1]Animations!B:B,MATCH(F119,[1]Animations!A:A))</f>
        <v>HitThunder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2</v>
      </c>
      <c r="N119" t="str">
        <f>INDEX(Define!E:E,MATCH(M119,Define!D:D))</f>
        <v>雷</v>
      </c>
      <c r="O119">
        <v>4</v>
      </c>
      <c r="P119" t="str">
        <f>INDEX(Define!H:H,MATCH(O119,Define!G:G))</f>
        <v>覚醒</v>
      </c>
      <c r="Q119">
        <v>2</v>
      </c>
      <c r="R119" t="str">
        <f>INDEX(Define!K:K,MATCH(Q119,Define!J:J))</f>
        <v>味方</v>
      </c>
      <c r="S119">
        <v>2</v>
      </c>
      <c r="T119" t="str">
        <f>INDEX(Define!N:N,MATCH(S119,Define!M:M))</f>
        <v>列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100810</v>
      </c>
      <c r="B120">
        <v>100810</v>
      </c>
      <c r="C120" t="str">
        <f>INDEX(TextData!B:B,MATCH(B120,TextData!A:A))</f>
        <v>テンパランス</v>
      </c>
      <c r="D120">
        <v>10</v>
      </c>
      <c r="E120" t="str">
        <f>INDEX(Define!X:X,MATCH(D120,Define!W:W))</f>
        <v>半神</v>
      </c>
      <c r="F120">
        <v>51</v>
      </c>
      <c r="G120" t="str">
        <f>INDEX([1]Animations!B:B,MATCH(F120,[1]Animations!A:A))</f>
        <v>NA_Effekseer/NA_aura_001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3</v>
      </c>
      <c r="N120" t="str">
        <f>INDEX(Define!E:E,MATCH(M120,Define!D:D))</f>
        <v>氷</v>
      </c>
      <c r="O120">
        <v>3</v>
      </c>
      <c r="P120" t="str">
        <f>INDEX(Define!H:H,MATCH(O120,Define!G:G))</f>
        <v>神化</v>
      </c>
      <c r="Q120">
        <v>2</v>
      </c>
      <c r="R120" t="str">
        <f>INDEX(Define!K:K,MATCH(Q120,Define!J:J))</f>
        <v>味方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100820</v>
      </c>
      <c r="B121">
        <v>100820</v>
      </c>
      <c r="C121" t="str">
        <f>INDEX(TextData!B:B,MATCH(B121,TextData!A:A))</f>
        <v>シエルクルセイダー</v>
      </c>
      <c r="D121">
        <v>11</v>
      </c>
      <c r="E121" t="str">
        <f>INDEX(Define!X:X,MATCH(D121,Define!W:W))</f>
        <v>覚醒</v>
      </c>
      <c r="F121">
        <v>1005</v>
      </c>
      <c r="G121" t="str">
        <f>INDEX([1]Animations!B:B,MATCH(F121,[1]Animations!A:A))</f>
        <v>HitThunder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3</v>
      </c>
      <c r="N121" t="str">
        <f>INDEX(Define!E:E,MATCH(M121,Define!D:D))</f>
        <v>氷</v>
      </c>
      <c r="O121">
        <v>4</v>
      </c>
      <c r="P121" t="str">
        <f>INDEX(Define!H:H,MATCH(O121,Define!G:G))</f>
        <v>覚醒</v>
      </c>
      <c r="Q121">
        <v>1</v>
      </c>
      <c r="R121" t="str">
        <f>INDEX(Define!K:K,MATCH(Q121,Define!J:J))</f>
        <v>相手</v>
      </c>
      <c r="S121">
        <v>3</v>
      </c>
      <c r="T121" t="str">
        <f>INDEX(Define!N:N,MATCH(S121,Define!M:M))</f>
        <v>全体</v>
      </c>
      <c r="U121">
        <v>2</v>
      </c>
      <c r="V121">
        <v>1</v>
      </c>
      <c r="W121">
        <v>1</v>
      </c>
      <c r="X121">
        <v>0</v>
      </c>
    </row>
    <row r="122" ht="12" customHeight="1" spans="1:24">
      <c r="A122">
        <v>100910</v>
      </c>
      <c r="B122">
        <v>100910</v>
      </c>
      <c r="C122" t="str">
        <f>INDEX(TextData!B:B,MATCH(B122,TextData!A:A))</f>
        <v>バーニングカウンター</v>
      </c>
      <c r="D122">
        <v>10</v>
      </c>
      <c r="E122" t="str">
        <f>INDEX(Define!X:X,MATCH(D122,Define!W:W))</f>
        <v>半神</v>
      </c>
      <c r="F122">
        <v>101</v>
      </c>
      <c r="G122" t="str">
        <f>INDEX([1]Animations!B:B,MATCH(F122,[1]Animations!A:A))</f>
        <v>FireOne1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100911</v>
      </c>
      <c r="B123">
        <v>100911</v>
      </c>
      <c r="C123" t="str">
        <f>INDEX(TextData!B:B,MATCH(B123,TextData!A:A))</f>
        <v>バーニングカウンター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100920</v>
      </c>
      <c r="B124">
        <v>100920</v>
      </c>
      <c r="C124" t="str">
        <f>INDEX(TextData!B:B,MATCH(B124,TextData!A:A))</f>
        <v>プロミネンス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1</v>
      </c>
      <c r="N124" t="str">
        <f>INDEX(Define!E:E,MATCH(M124,Define!D:D))</f>
        <v>炎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100921</v>
      </c>
      <c r="B125">
        <v>100921</v>
      </c>
      <c r="C125" t="str">
        <f>INDEX(TextData!B:B,MATCH(B125,TextData!A:A))</f>
        <v>プロミネンス</v>
      </c>
      <c r="D125">
        <v>11</v>
      </c>
      <c r="E125" t="str">
        <f>INDEX(Define!X:X,MATCH(D125,Define!W:W))</f>
        <v>覚醒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101010</v>
      </c>
      <c r="B126">
        <v>101010</v>
      </c>
      <c r="C126" t="str">
        <f>INDEX(TextData!B:B,MATCH(B126,TextData!A:A))</f>
        <v>エウロス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2</v>
      </c>
      <c r="N126" t="str">
        <f>INDEX(Define!E:E,MATCH(M126,Define!D:D))</f>
        <v>雷</v>
      </c>
      <c r="O126">
        <v>3</v>
      </c>
      <c r="P126" t="str">
        <f>INDEX(Define!H:H,MATCH(O126,Define!G:G))</f>
        <v>神化</v>
      </c>
      <c r="Q126">
        <v>6</v>
      </c>
      <c r="R126" t="str">
        <f>INDEX(Define!K:K,MATCH(Q126,Define!J:J))</f>
        <v>反撃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101020</v>
      </c>
      <c r="B127">
        <v>101020</v>
      </c>
      <c r="C127" t="str">
        <f>INDEX(TextData!B:B,MATCH(B127,TextData!A:A))</f>
        <v>ボレアス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2</v>
      </c>
      <c r="N127" t="str">
        <f>INDEX(Define!E:E,MATCH(M127,Define!D:D))</f>
        <v>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2</v>
      </c>
      <c r="V127">
        <v>1</v>
      </c>
      <c r="W127">
        <v>1</v>
      </c>
      <c r="X127">
        <v>0</v>
      </c>
    </row>
    <row r="128" ht="12" customHeight="1" spans="1:24">
      <c r="A128">
        <v>101110</v>
      </c>
      <c r="B128">
        <v>101110</v>
      </c>
      <c r="C128" t="str">
        <f>INDEX(TextData!B:B,MATCH(B128,TextData!A:A))</f>
        <v>アバランシュ</v>
      </c>
      <c r="D128">
        <v>10</v>
      </c>
      <c r="E128" t="str">
        <f>INDEX(Define!X:X,MATCH(D128,Define!W:W))</f>
        <v>半神</v>
      </c>
      <c r="F128">
        <v>301</v>
      </c>
      <c r="G128" t="str">
        <f>INDEX([1]Animations!B:B,MATCH(F128,[1]Animations!A:A))</f>
        <v>IceOne1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3</v>
      </c>
      <c r="N128" t="str">
        <f>INDEX(Define!E:E,MATCH(M128,Define!D:D))</f>
        <v>氷</v>
      </c>
      <c r="O128">
        <v>3</v>
      </c>
      <c r="P128" t="str">
        <f>INDEX(Define!H:H,MATCH(O128,Define!G:G))</f>
        <v>神化</v>
      </c>
      <c r="Q128">
        <v>1</v>
      </c>
      <c r="R128" t="str">
        <f>INDEX(Define!K:K,MATCH(Q128,Define!J:J))</f>
        <v>相手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1</v>
      </c>
      <c r="X128">
        <v>0</v>
      </c>
    </row>
    <row r="129" ht="12" customHeight="1" spans="1:24">
      <c r="A129">
        <v>101120</v>
      </c>
      <c r="B129">
        <v>101120</v>
      </c>
      <c r="C129" t="str">
        <f>INDEX(TextData!B:B,MATCH(B129,TextData!A:A))</f>
        <v>ブリザードコフィン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3</v>
      </c>
      <c r="N129" t="str">
        <f>INDEX(Define!E:E,MATCH(M129,Define!D:D))</f>
        <v>氷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2</v>
      </c>
      <c r="V129">
        <v>1</v>
      </c>
      <c r="W129">
        <v>1</v>
      </c>
      <c r="X129">
        <v>0</v>
      </c>
    </row>
    <row r="130" spans="1:24">
      <c r="A130">
        <v>200210</v>
      </c>
      <c r="B130">
        <v>200210</v>
      </c>
      <c r="C130" t="str">
        <f>INDEX(TextData!B:B,MATCH(B130,TextData!A:A))</f>
        <v>マイトレインフォース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200220</v>
      </c>
      <c r="B131">
        <v>200220</v>
      </c>
      <c r="C131" t="str">
        <f>INDEX(TextData!B:B,MATCH(B131,TextData!A:A))</f>
        <v>カタストロフィ</v>
      </c>
      <c r="D131">
        <v>11</v>
      </c>
      <c r="E131" t="str">
        <f>INDEX(Define!X:X,MATCH(D131,Define!W:W))</f>
        <v>覚醒</v>
      </c>
      <c r="F131">
        <v>101</v>
      </c>
      <c r="G131" t="str">
        <f>INDEX([1]Animations!B:B,MATCH(F131,[1]Animations!A:A))</f>
        <v>FireOne1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1</v>
      </c>
      <c r="N131" t="str">
        <f>INDEX(Define!E:E,MATCH(M131,Define!D:D))</f>
        <v>炎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200230</v>
      </c>
      <c r="B132">
        <v>200230</v>
      </c>
      <c r="C132" t="str">
        <f>INDEX(TextData!B:B,MATCH(B132,TextData!A:A))</f>
        <v>悪魔(ベリト)</v>
      </c>
      <c r="D132">
        <v>6</v>
      </c>
      <c r="E132" t="str">
        <f>INDEX(Define!X:X,MATCH(D132,Define!W:W))</f>
        <v>自己強化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0</v>
      </c>
      <c r="M132">
        <v>0</v>
      </c>
      <c r="N132" t="str">
        <f>INDEX(Define!E:E,MATCH(M132,Define!D:D))</f>
        <v>なし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200310</v>
      </c>
      <c r="B133">
        <v>200310</v>
      </c>
      <c r="C133" t="str">
        <f>INDEX(TextData!B:B,MATCH(B133,TextData!A:A))</f>
        <v>プルガシオン</v>
      </c>
      <c r="D133">
        <v>10</v>
      </c>
      <c r="E133" t="str">
        <f>INDEX(Define!X:X,MATCH(D133,Define!W:W))</f>
        <v>半神</v>
      </c>
      <c r="F133">
        <v>21</v>
      </c>
      <c r="G133" t="str">
        <f>INDEX([1]Animations!B:B,MATCH(F133,[1]Animations!A:A))</f>
        <v>tktk01/Magic2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spans="1:24">
      <c r="A134">
        <v>200320</v>
      </c>
      <c r="B134">
        <v>200320</v>
      </c>
      <c r="C134" t="str">
        <f>INDEX(TextData!B:B,MATCH(B134,TextData!A:A))</f>
        <v>プリエステス</v>
      </c>
      <c r="D134">
        <v>11</v>
      </c>
      <c r="E134" t="str">
        <f>INDEX(Define!X:X,MATCH(D134,Define!W:W))</f>
        <v>覚醒</v>
      </c>
      <c r="F134">
        <v>21</v>
      </c>
      <c r="G134" t="str">
        <f>INDEX([1]Animations!B:B,MATCH(F134,[1]Animations!A:A))</f>
        <v>tktk01/Magic2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200330</v>
      </c>
      <c r="B135">
        <v>200330</v>
      </c>
      <c r="C135" t="str">
        <f>INDEX(TextData!B:B,MATCH(B135,TextData!A:A))</f>
        <v>悪魔(パイモン)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200410</v>
      </c>
      <c r="B136">
        <v>200410</v>
      </c>
      <c r="C136" t="str">
        <f>INDEX(TextData!B:B,MATCH(B136,TextData!A:A))</f>
        <v>コウソクテンショウ</v>
      </c>
      <c r="D136">
        <v>10</v>
      </c>
      <c r="E136" t="str">
        <f>INDEX(Define!X:X,MATCH(D136,Define!W:W))</f>
        <v>半神</v>
      </c>
      <c r="F136">
        <v>201</v>
      </c>
      <c r="G136" t="str">
        <f>INDEX([1]Animations!B:B,MATCH(F136,[1]Animations!A:A))</f>
        <v>ThunderOne1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1</v>
      </c>
      <c r="R136" t="str">
        <f>INDEX(Define!K:K,MATCH(Q136,Define!J:J))</f>
        <v>相手</v>
      </c>
      <c r="S136">
        <v>2</v>
      </c>
      <c r="T136" t="str">
        <f>INDEX(Define!N:N,MATCH(S136,Define!M:M))</f>
        <v>列</v>
      </c>
      <c r="U136">
        <v>2</v>
      </c>
      <c r="V136">
        <v>1</v>
      </c>
      <c r="W136">
        <v>1</v>
      </c>
      <c r="X136">
        <v>0</v>
      </c>
    </row>
    <row r="137" spans="1:24">
      <c r="A137">
        <v>200411</v>
      </c>
      <c r="B137">
        <v>200411</v>
      </c>
      <c r="C137" t="str">
        <f>INDEX(TextData!B:B,MATCH(B137,TextData!A:A))</f>
        <v>コウソクテンショウ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200420</v>
      </c>
      <c r="B138">
        <v>200420</v>
      </c>
      <c r="C138" t="str">
        <f>INDEX(TextData!B:B,MATCH(B138,TextData!A:A))</f>
        <v>アンチバフ</v>
      </c>
      <c r="D138">
        <v>11</v>
      </c>
      <c r="E138" t="str">
        <f>INDEX(Define!X:X,MATCH(D138,Define!W:W))</f>
        <v>覚醒</v>
      </c>
      <c r="F138">
        <v>61</v>
      </c>
      <c r="G138" t="str">
        <f>INDEX([1]Animations!B:B,MATCH(F138,[1]Animations!A:A))</f>
        <v>NA_Effekseer/NA_aura_002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200430</v>
      </c>
      <c r="B139">
        <v>200430</v>
      </c>
      <c r="C139" t="str">
        <f>INDEX(TextData!B:B,MATCH(B139,TextData!A:A))</f>
        <v>悪魔(アンドラス)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6</v>
      </c>
      <c r="P139" t="str">
        <f>INDEX(Define!H:H,MATCH(O139,Define!G:G))</f>
        <v>強化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200510</v>
      </c>
      <c r="B140">
        <v>200510</v>
      </c>
      <c r="C140" t="str">
        <f>INDEX(TextData!B:B,MATCH(B140,TextData!A:A))</f>
        <v>カウントダウン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3</v>
      </c>
      <c r="N140" t="str">
        <f>INDEX(Define!E:E,MATCH(M140,Define!D:D))</f>
        <v>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200520</v>
      </c>
      <c r="B141">
        <v>200520</v>
      </c>
      <c r="C141" t="str">
        <f>INDEX(TextData!B:B,MATCH(B141,TextData!A:A))</f>
        <v>グラウンドゼロ</v>
      </c>
      <c r="D141">
        <v>11</v>
      </c>
      <c r="E141" t="str">
        <f>INDEX(Define!X:X,MATCH(D141,Define!W:W))</f>
        <v>覚醒</v>
      </c>
      <c r="F141">
        <v>301</v>
      </c>
      <c r="G141" t="str">
        <f>INDEX([1]Animations!B:B,MATCH(F141,[1]Animations!A:A))</f>
        <v>IceOne1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200530</v>
      </c>
      <c r="B142">
        <v>200530</v>
      </c>
      <c r="C142" t="str">
        <f>INDEX(TextData!B:B,MATCH(B142,TextData!A:A))</f>
        <v>悪魔(ビフロンス)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99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201010</v>
      </c>
      <c r="B143">
        <v>201010</v>
      </c>
      <c r="C143" t="str">
        <f>INDEX(TextData!B:B,MATCH(B143,TextData!A:A))</f>
        <v>カオスペイン</v>
      </c>
      <c r="D143">
        <v>10</v>
      </c>
      <c r="E143" t="str">
        <f>INDEX(Define!X:X,MATCH(D143,Define!W:W))</f>
        <v>半神</v>
      </c>
      <c r="F143">
        <v>501</v>
      </c>
      <c r="G143" t="str">
        <f>INDEX([1]Animations!B:B,MATCH(F143,[1]Animations!A:A))</f>
        <v>DarknessOne1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201020</v>
      </c>
      <c r="B144">
        <v>201020</v>
      </c>
      <c r="C144" t="str">
        <f>INDEX(TextData!B:B,MATCH(B144,TextData!A:A))</f>
        <v>フォールンワン</v>
      </c>
      <c r="D144">
        <v>11</v>
      </c>
      <c r="E144" t="str">
        <f>INDEX(Define!X:X,MATCH(D144,Define!W:W))</f>
        <v>覚醒</v>
      </c>
      <c r="F144">
        <v>501</v>
      </c>
      <c r="G144" t="str">
        <f>INDEX([1]Animations!B:B,MATCH(F144,[1]Animations!A:A))</f>
        <v>DarknessOne1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5</v>
      </c>
      <c r="N144" t="str">
        <f>INDEX(Define!E:E,MATCH(M144,Define!D:D))</f>
        <v>闇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201030</v>
      </c>
      <c r="B145">
        <v>201030</v>
      </c>
      <c r="C145" t="str">
        <f>INDEX(TextData!B:B,MATCH(B145,TextData!A:A))</f>
        <v>アンリマユ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300010</v>
      </c>
      <c r="B146">
        <v>300010</v>
      </c>
      <c r="C146" t="str">
        <f>INDEX(TextData!B:B,MATCH(B146,TextData!A:A))</f>
        <v>ライフブースト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200</v>
      </c>
      <c r="M146">
        <v>4</v>
      </c>
      <c r="N146" t="str">
        <f>INDEX(Define!E:E,MATCH(M146,Define!D:D))</f>
        <v>光</v>
      </c>
      <c r="O146">
        <v>5</v>
      </c>
      <c r="P146" t="str">
        <f>INDEX(Define!H:H,MATCH(O146,Define!G:G))</f>
        <v>レリック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300020</v>
      </c>
      <c r="B147">
        <v>300020</v>
      </c>
      <c r="C147" t="str">
        <f>INDEX(TextData!B:B,MATCH(B147,TextData!A:A))</f>
        <v>スピリットチャージ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200</v>
      </c>
      <c r="M147">
        <v>5</v>
      </c>
      <c r="N147" t="str">
        <f>INDEX(Define!E:E,MATCH(M147,Define!D:D))</f>
        <v>闇</v>
      </c>
      <c r="O147">
        <v>5</v>
      </c>
      <c r="P147" t="str">
        <f>INDEX(Define!H:H,MATCH(O147,Define!G:G))</f>
        <v>レリック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300030</v>
      </c>
      <c r="B148">
        <v>300030</v>
      </c>
      <c r="C148" t="str">
        <f>INDEX(TextData!B:B,MATCH(B148,TextData!A:A))</f>
        <v>フォースライズ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200</v>
      </c>
      <c r="M148">
        <v>1</v>
      </c>
      <c r="N148" t="str">
        <f>INDEX(Define!E:E,MATCH(M148,Define!D:D))</f>
        <v>炎</v>
      </c>
      <c r="O148">
        <v>5</v>
      </c>
      <c r="P148" t="str">
        <f>INDEX(Define!H:H,MATCH(O148,Define!G:G))</f>
        <v>レリック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300040</v>
      </c>
      <c r="B149">
        <v>300040</v>
      </c>
      <c r="C149" t="str">
        <f>INDEX(TextData!B:B,MATCH(B149,TextData!A:A))</f>
        <v>ディフェンスオーラ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3</v>
      </c>
      <c r="N149" t="str">
        <f>INDEX(Define!E:E,MATCH(M149,Define!D:D))</f>
        <v>氷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300050</v>
      </c>
      <c r="B150">
        <v>300050</v>
      </c>
      <c r="C150" t="str">
        <f>INDEX(TextData!B:B,MATCH(B150,TextData!A:A))</f>
        <v>ラピッドムーブ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2</v>
      </c>
      <c r="N150" t="str">
        <f>INDEX(Define!E:E,MATCH(M150,Define!D:D))</f>
        <v>雷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300130</v>
      </c>
      <c r="B151">
        <v>300130</v>
      </c>
      <c r="C151" t="str">
        <f>INDEX(TextData!B:B,MATCH(B151,TextData!A:A))</f>
        <v>アタックブレイク</v>
      </c>
      <c r="D151">
        <v>6</v>
      </c>
      <c r="E151" t="str">
        <f>INDEX(Define!X:X,MATCH(D151,Define!W:W))</f>
        <v>自己強化</v>
      </c>
      <c r="F151">
        <v>61</v>
      </c>
      <c r="G151" t="str">
        <f>INDEX([1]Animations!B:B,MATCH(F151,[1]Animations!A:A))</f>
        <v>NA_Effekseer/NA_aura_002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5</v>
      </c>
      <c r="N151" t="str">
        <f>INDEX(Define!E:E,MATCH(M151,Define!D:D))</f>
        <v>闇</v>
      </c>
      <c r="O151">
        <v>5</v>
      </c>
      <c r="P151" t="str">
        <f>INDEX(Define!H:H,MATCH(O151,Define!G:G))</f>
        <v>レリック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300140</v>
      </c>
      <c r="B152">
        <v>300140</v>
      </c>
      <c r="C152" t="str">
        <f>INDEX(TextData!B:B,MATCH(B152,TextData!A:A))</f>
        <v>シールドバニッシュ</v>
      </c>
      <c r="D152">
        <v>6</v>
      </c>
      <c r="E152" t="str">
        <f>INDEX(Define!X:X,MATCH(D152,Define!W:W))</f>
        <v>自己強化</v>
      </c>
      <c r="F152">
        <v>61</v>
      </c>
      <c r="G152" t="str">
        <f>INDEX([1]Animations!B:B,MATCH(F152,[1]Animations!A:A))</f>
        <v>NA_Effekseer/NA_aura_002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300210</v>
      </c>
      <c r="B153">
        <v>300210</v>
      </c>
      <c r="C153" t="str">
        <f>INDEX(TextData!B:B,MATCH(B153,TextData!A:A))</f>
        <v>エーテルリチャージ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300220</v>
      </c>
      <c r="B154">
        <v>300220</v>
      </c>
      <c r="C154" t="str">
        <f>INDEX(TextData!B:B,MATCH(B154,TextData!A:A))</f>
        <v>リカバリーエンハンス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4</v>
      </c>
      <c r="N154" t="str">
        <f>INDEX(Define!E:E,MATCH(M154,Define!D:D))</f>
        <v>光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300230</v>
      </c>
      <c r="B155">
        <v>300230</v>
      </c>
      <c r="C155" t="str">
        <f>INDEX(TextData!B:B,MATCH(B155,TextData!A:A))</f>
        <v>ヴェンジェンス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3</v>
      </c>
      <c r="N155" t="str">
        <f>INDEX(Define!E:E,MATCH(M155,Define!D:D))</f>
        <v>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301010</v>
      </c>
      <c r="B156">
        <v>301010</v>
      </c>
      <c r="C156" t="str">
        <f>INDEX(TextData!B:B,MATCH(B156,TextData!A:A))</f>
        <v>ディケイドリセット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210</v>
      </c>
      <c r="M156">
        <v>2</v>
      </c>
      <c r="N156" t="str">
        <f>INDEX(Define!E:E,MATCH(M156,Define!D:D))</f>
        <v>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301020</v>
      </c>
      <c r="B157">
        <v>301020</v>
      </c>
      <c r="C157" t="str">
        <f>INDEX(TextData!B:B,MATCH(B157,TextData!A:A))</f>
        <v>ウォーリアーブラッド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210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301030</v>
      </c>
      <c r="B158">
        <v>301030</v>
      </c>
      <c r="C158" t="str">
        <f>INDEX(TextData!B:B,MATCH(B158,TextData!A:A))</f>
        <v>トライアングルガード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210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301040</v>
      </c>
      <c r="B159">
        <v>301040</v>
      </c>
      <c r="C159" t="str">
        <f>INDEX(TextData!B:B,MATCH(B159,TextData!A:A))</f>
        <v>セーフティバリア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3</v>
      </c>
      <c r="N159" t="str">
        <f>INDEX(Define!E:E,MATCH(M159,Define!D:D))</f>
        <v>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301050</v>
      </c>
      <c r="B160">
        <v>301050</v>
      </c>
      <c r="C160" t="str">
        <f>INDEX(TextData!B:B,MATCH(B160,TextData!A:A))</f>
        <v>ヒロインズハイ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4</v>
      </c>
      <c r="N160" t="str">
        <f>INDEX(Define!E:E,MATCH(M160,Define!D:D))</f>
        <v>光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301060</v>
      </c>
      <c r="B161">
        <v>301060</v>
      </c>
      <c r="C161" t="str">
        <f>INDEX(TextData!B:B,MATCH(B161,TextData!A:A))</f>
        <v>セカンドステージ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0</v>
      </c>
      <c r="X161">
        <v>0</v>
      </c>
    </row>
    <row r="162" spans="1:24">
      <c r="A162">
        <v>301070</v>
      </c>
      <c r="B162">
        <v>301070</v>
      </c>
      <c r="C162" t="str">
        <f>INDEX(TextData!B:B,MATCH(B162,TextData!A:A))</f>
        <v>ハイヒットポイント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4</v>
      </c>
      <c r="N162" t="str">
        <f>INDEX(Define!E:E,MATCH(M162,Define!D:D))</f>
        <v>光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301080</v>
      </c>
      <c r="B163">
        <v>301080</v>
      </c>
      <c r="C163" t="str">
        <f>INDEX(TextData!B:B,MATCH(B163,TextData!A:A))</f>
        <v>セプタブラスト</v>
      </c>
      <c r="D163">
        <v>6</v>
      </c>
      <c r="E163" t="str">
        <f>INDEX(Define!X:X,MATCH(D163,Define!W:W))</f>
        <v>自己強化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1</v>
      </c>
      <c r="N163" t="str">
        <f>INDEX(Define!E:E,MATCH(M163,Define!D:D))</f>
        <v>炎</v>
      </c>
      <c r="O163">
        <v>5</v>
      </c>
      <c r="P163" t="str">
        <f>INDEX(Define!H:H,MATCH(O163,Define!G:G))</f>
        <v>レリック</v>
      </c>
      <c r="Q163">
        <v>7</v>
      </c>
      <c r="R163" t="str">
        <f>INDEX(Define!K:K,MATCH(Q163,Define!J:J))</f>
        <v>追撃</v>
      </c>
      <c r="S163">
        <v>1</v>
      </c>
      <c r="T163" t="str">
        <f>INDEX(Define!N:N,MATCH(S163,Define!M:M))</f>
        <v>単体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301090</v>
      </c>
      <c r="B164">
        <v>301090</v>
      </c>
      <c r="C164" t="str">
        <f>INDEX(TextData!B:B,MATCH(B164,TextData!A:A))</f>
        <v>イニシャルブロッカー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301100</v>
      </c>
      <c r="B165">
        <v>301100</v>
      </c>
      <c r="C165" t="str">
        <f>INDEX(TextData!B:B,MATCH(B165,TextData!A:A))</f>
        <v>ファーストテイク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2</v>
      </c>
      <c r="N165" t="str">
        <f>INDEX(Define!E:E,MATCH(M165,Define!D:D))</f>
        <v>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401010</v>
      </c>
      <c r="B166">
        <v>401010</v>
      </c>
      <c r="C166" t="str">
        <f>INDEX(TextData!B:B,MATCH(B166,TextData!A:A))</f>
        <v>ファイアボール+</v>
      </c>
      <c r="D166">
        <v>1</v>
      </c>
      <c r="E166" t="str">
        <f>INDEX(Define!X:X,MATCH(D166,Define!W:W))</f>
        <v>元素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120</v>
      </c>
      <c r="M166">
        <v>1</v>
      </c>
      <c r="N166" t="str">
        <f>INDEX(Define!E:E,MATCH(M166,Define!D:D))</f>
        <v>炎</v>
      </c>
      <c r="O166">
        <v>6</v>
      </c>
      <c r="P166" t="str">
        <f>INDEX(Define!H:H,MATCH(O166,Define!G:G))</f>
        <v>強化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401020</v>
      </c>
      <c r="B167">
        <v>401020</v>
      </c>
      <c r="C167" t="str">
        <f>INDEX(TextData!B:B,MATCH(B167,TextData!A:A))</f>
        <v>バーンストーム+</v>
      </c>
      <c r="D167">
        <v>1</v>
      </c>
      <c r="E167" t="str">
        <f>INDEX(Define!X:X,MATCH(D167,Define!W:W))</f>
        <v>元素</v>
      </c>
      <c r="F167">
        <v>101</v>
      </c>
      <c r="G167" t="str">
        <f>INDEX([1]Animations!B:B,MATCH(F167,[1]Animations!A:A))</f>
        <v>FireOne1</v>
      </c>
      <c r="H167">
        <v>2</v>
      </c>
      <c r="I167" t="str">
        <f>INDEX(Define!B:B,MATCH(H167,Define!A:A))</f>
        <v>列</v>
      </c>
      <c r="J167">
        <v>0</v>
      </c>
      <c r="K167">
        <v>0</v>
      </c>
      <c r="L167">
        <v>120</v>
      </c>
      <c r="M167">
        <v>1</v>
      </c>
      <c r="N167" t="str">
        <f>INDEX(Define!E:E,MATCH(M167,Define!D:D))</f>
        <v>炎</v>
      </c>
      <c r="O167">
        <v>6</v>
      </c>
      <c r="P167" t="str">
        <f>INDEX(Define!H:H,MATCH(O167,Define!G:G))</f>
        <v>強化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401030</v>
      </c>
      <c r="B168">
        <v>401030</v>
      </c>
      <c r="C168" t="str">
        <f>INDEX(TextData!B:B,MATCH(B168,TextData!A:A))</f>
        <v>ヒートスタンプ+</v>
      </c>
      <c r="D168">
        <v>2</v>
      </c>
      <c r="E168" t="str">
        <f>INDEX(Define!X:X,MATCH(D168,Define!W:W))</f>
        <v>光</v>
      </c>
      <c r="F168">
        <v>21</v>
      </c>
      <c r="G168" t="str">
        <f>INDEX([1]Animations!B:B,MATCH(F168,[1]Animations!A:A))</f>
        <v>tktk01/Magic2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120</v>
      </c>
      <c r="M168">
        <v>1</v>
      </c>
      <c r="N168" t="str">
        <f>INDEX(Define!E:E,MATCH(M168,Define!D:D))</f>
        <v>炎</v>
      </c>
      <c r="O168">
        <v>6</v>
      </c>
      <c r="P168" t="str">
        <f>INDEX(Define!H:H,MATCH(O168,Define!G:G))</f>
        <v>強化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401040</v>
      </c>
      <c r="B169">
        <v>401040</v>
      </c>
      <c r="C169" t="str">
        <f>INDEX(TextData!B:B,MATCH(B169,TextData!A:A))</f>
        <v>ソードアダプト+</v>
      </c>
      <c r="D169">
        <v>4</v>
      </c>
      <c r="E169" t="str">
        <f>INDEX(Define!X:X,MATCH(D169,Define!W:W))</f>
        <v>精神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120</v>
      </c>
      <c r="M169">
        <v>1</v>
      </c>
      <c r="N169" t="str">
        <f>INDEX(Define!E:E,MATCH(M169,Define!D:D))</f>
        <v>炎</v>
      </c>
      <c r="O169">
        <v>6</v>
      </c>
      <c r="P169" t="str">
        <f>INDEX(Define!H:H,MATCH(O169,Define!G:G))</f>
        <v>強化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401050</v>
      </c>
      <c r="B170">
        <v>401050</v>
      </c>
      <c r="C170" t="str">
        <f>INDEX(TextData!B:B,MATCH(B170,TextData!A:A))</f>
        <v>フレイムレイン+</v>
      </c>
      <c r="D170">
        <v>1</v>
      </c>
      <c r="E170" t="str">
        <f>INDEX(Define!X:X,MATCH(D170,Define!W:W))</f>
        <v>元素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120</v>
      </c>
      <c r="M170">
        <v>1</v>
      </c>
      <c r="N170" t="str">
        <f>INDEX(Define!E:E,MATCH(M170,Define!D:D))</f>
        <v>炎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401060</v>
      </c>
      <c r="B171">
        <v>401060</v>
      </c>
      <c r="C171" t="str">
        <f>INDEX(TextData!B:B,MATCH(B171,TextData!A:A))</f>
        <v>イクスティンクション+</v>
      </c>
      <c r="D171">
        <v>1</v>
      </c>
      <c r="E171" t="str">
        <f>INDEX(Define!X:X,MATCH(D171,Define!W:W))</f>
        <v>元素</v>
      </c>
      <c r="F171">
        <v>101</v>
      </c>
      <c r="G171" t="str">
        <f>INDEX([1]Animations!B:B,MATCH(F171,[1]Animations!A:A))</f>
        <v>FireOne1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120</v>
      </c>
      <c r="M171">
        <v>1</v>
      </c>
      <c r="N171" t="str">
        <f>INDEX(Define!E:E,MATCH(M171,Define!D:D))</f>
        <v>炎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401070</v>
      </c>
      <c r="B172">
        <v>401070</v>
      </c>
      <c r="C172" t="str">
        <f>INDEX(TextData!B:B,MATCH(B172,TextData!A:A))</f>
        <v>バーニングソウル+</v>
      </c>
      <c r="D172">
        <v>2</v>
      </c>
      <c r="E172" t="str">
        <f>INDEX(Define!X:X,MATCH(D172,Define!W:W))</f>
        <v>光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120</v>
      </c>
      <c r="M172">
        <v>1</v>
      </c>
      <c r="N172" t="str">
        <f>INDEX(Define!E:E,MATCH(M172,Define!D:D))</f>
        <v>炎</v>
      </c>
      <c r="O172">
        <v>6</v>
      </c>
      <c r="P172" t="str">
        <f>INDEX(Define!H:H,MATCH(O172,Define!G:G))</f>
        <v>強化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401080</v>
      </c>
      <c r="B173">
        <v>401080</v>
      </c>
      <c r="C173" t="str">
        <f>INDEX(TextData!B:B,MATCH(B173,TextData!A:A))</f>
        <v>レイジングバウンサー+</v>
      </c>
      <c r="D173">
        <v>1</v>
      </c>
      <c r="E173" t="str">
        <f>INDEX(Define!X:X,MATCH(D173,Define!W:W))</f>
        <v>元素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120</v>
      </c>
      <c r="M173">
        <v>1</v>
      </c>
      <c r="N173" t="str">
        <f>INDEX(Define!E:E,MATCH(M173,Define!D:D))</f>
        <v>炎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402010</v>
      </c>
      <c r="B174">
        <v>402010</v>
      </c>
      <c r="C174" t="str">
        <f>INDEX(TextData!B:B,MATCH(B174,TextData!A:A))</f>
        <v>ディスチャージ+</v>
      </c>
      <c r="D174">
        <v>1</v>
      </c>
      <c r="E174" t="str">
        <f>INDEX(Define!X:X,MATCH(D174,Define!W:W))</f>
        <v>元素</v>
      </c>
      <c r="F174">
        <v>201</v>
      </c>
      <c r="G174" t="str">
        <f>INDEX([1]Animations!B:B,MATCH(F174,[1]Animations!A:A))</f>
        <v>ThunderOne1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120</v>
      </c>
      <c r="M174">
        <v>2</v>
      </c>
      <c r="N174" t="str">
        <f>INDEX(Define!E:E,MATCH(M174,Define!D:D))</f>
        <v>雷</v>
      </c>
      <c r="O174">
        <v>6</v>
      </c>
      <c r="P174" t="str">
        <f>INDEX(Define!H:H,MATCH(O174,Define!G:G))</f>
        <v>強化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402020</v>
      </c>
      <c r="B175">
        <v>402020</v>
      </c>
      <c r="C175" t="str">
        <f>INDEX(TextData!B:B,MATCH(B175,TextData!A:A))</f>
        <v>イベイドコード+</v>
      </c>
      <c r="D175">
        <v>4</v>
      </c>
      <c r="E175" t="str">
        <f>INDEX(Define!X:X,MATCH(D175,Define!W:W))</f>
        <v>精神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120</v>
      </c>
      <c r="M175">
        <v>2</v>
      </c>
      <c r="N175" t="str">
        <f>INDEX(Define!E:E,MATCH(M175,Define!D:D))</f>
        <v>雷</v>
      </c>
      <c r="O175">
        <v>6</v>
      </c>
      <c r="P175" t="str">
        <f>INDEX(Define!H:H,MATCH(O175,Define!G:G))</f>
        <v>強化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402030</v>
      </c>
      <c r="B176">
        <v>402030</v>
      </c>
      <c r="C176" t="str">
        <f>INDEX(TextData!B:B,MATCH(B176,TextData!A:A))</f>
        <v>ショックインパルス+</v>
      </c>
      <c r="D176">
        <v>3</v>
      </c>
      <c r="E176" t="str">
        <f>INDEX(Define!X:X,MATCH(D176,Define!W:W))</f>
        <v>理術</v>
      </c>
      <c r="F176">
        <v>201</v>
      </c>
      <c r="G176" t="str">
        <f>INDEX([1]Animations!B:B,MATCH(F176,[1]Animations!A:A))</f>
        <v>ThunderOne1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2</v>
      </c>
      <c r="N176" t="str">
        <f>INDEX(Define!E:E,MATCH(M176,Define!D:D))</f>
        <v>雷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402040</v>
      </c>
      <c r="B177">
        <v>402040</v>
      </c>
      <c r="C177" t="str">
        <f>INDEX(TextData!B:B,MATCH(B177,TextData!A:A))</f>
        <v>トラストチェイン+</v>
      </c>
      <c r="D177">
        <v>1</v>
      </c>
      <c r="E177" t="str">
        <f>INDEX(Define!X:X,MATCH(D177,Define!W:W))</f>
        <v>元素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120</v>
      </c>
      <c r="M177">
        <v>2</v>
      </c>
      <c r="N177" t="str">
        <f>INDEX(Define!E:E,MATCH(M177,Define!D:D))</f>
        <v>雷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402050</v>
      </c>
      <c r="B178">
        <v>402050</v>
      </c>
      <c r="C178" t="str">
        <f>INDEX(TextData!B:B,MATCH(B178,TextData!A:A))</f>
        <v>スペルバニシング+</v>
      </c>
      <c r="D178">
        <v>1</v>
      </c>
      <c r="E178" t="str">
        <f>INDEX(Define!X:X,MATCH(D178,Define!W:W))</f>
        <v>元素</v>
      </c>
      <c r="F178">
        <v>201</v>
      </c>
      <c r="G178" t="str">
        <f>INDEX([1]Animations!B:B,MATCH(F178,[1]Animations!A:A))</f>
        <v>ThunderOne1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2</v>
      </c>
      <c r="N178" t="str">
        <f>INDEX(Define!E:E,MATCH(M178,Define!D:D))</f>
        <v>雷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402060</v>
      </c>
      <c r="B179">
        <v>402060</v>
      </c>
      <c r="C179" t="str">
        <f>INDEX(TextData!B:B,MATCH(B179,TextData!A:A))</f>
        <v>アーテニーストライク+</v>
      </c>
      <c r="D179">
        <v>1</v>
      </c>
      <c r="E179" t="str">
        <f>INDEX(Define!X:X,MATCH(D179,Define!W:W))</f>
        <v>元素</v>
      </c>
      <c r="F179">
        <v>201</v>
      </c>
      <c r="G179" t="str">
        <f>INDEX([1]Animations!B:B,MATCH(F179,[1]Animations!A:A))</f>
        <v>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2</v>
      </c>
      <c r="N179" t="str">
        <f>INDEX(Define!E:E,MATCH(M179,Define!D:D))</f>
        <v>雷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402070</v>
      </c>
      <c r="B180">
        <v>402070</v>
      </c>
      <c r="C180" t="str">
        <f>INDEX(TextData!B:B,MATCH(B180,TextData!A:A))</f>
        <v>コンセントレイト+</v>
      </c>
      <c r="D180">
        <v>3</v>
      </c>
      <c r="E180" t="str">
        <f>INDEX(Define!X:X,MATCH(D180,Define!W:W))</f>
        <v>理術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2</v>
      </c>
      <c r="N180" t="str">
        <f>INDEX(Define!E:E,MATCH(M180,Define!D:D))</f>
        <v>雷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402080</v>
      </c>
      <c r="B181">
        <v>402080</v>
      </c>
      <c r="C181" t="str">
        <f>INDEX(TextData!B:B,MATCH(B181,TextData!A:A))</f>
        <v>ディレイマジック+</v>
      </c>
      <c r="D181">
        <v>5</v>
      </c>
      <c r="E181" t="str">
        <f>INDEX(Define!X:X,MATCH(D181,Define!W:W))</f>
        <v>超次元</v>
      </c>
      <c r="F181">
        <v>201</v>
      </c>
      <c r="G181" t="str">
        <f>INDEX([1]Animations!B:B,MATCH(F181,[1]Animations!A:A))</f>
        <v>ThunderOne1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2</v>
      </c>
      <c r="N181" t="str">
        <f>INDEX(Define!E:E,MATCH(M181,Define!D:D))</f>
        <v>雷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403010</v>
      </c>
      <c r="B182">
        <v>403010</v>
      </c>
      <c r="C182" t="str">
        <f>INDEX(TextData!B:B,MATCH(B182,TextData!A:A))</f>
        <v>アイスブレイド+</v>
      </c>
      <c r="D182">
        <v>1</v>
      </c>
      <c r="E182" t="str">
        <f>INDEX(Define!X:X,MATCH(D182,Define!W:W))</f>
        <v>元素</v>
      </c>
      <c r="F182">
        <v>301</v>
      </c>
      <c r="G182" t="str">
        <f>INDEX([1]Animations!B:B,MATCH(F182,[1]Animations!A:A))</f>
        <v>IceOne1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3</v>
      </c>
      <c r="N182" t="str">
        <f>INDEX(Define!E:E,MATCH(M182,Define!D:D))</f>
        <v>氷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403020</v>
      </c>
      <c r="B183">
        <v>403020</v>
      </c>
      <c r="C183" t="str">
        <f>INDEX(TextData!B:B,MATCH(B183,TextData!A:A))</f>
        <v>カウンターオーラ+</v>
      </c>
      <c r="D183">
        <v>2</v>
      </c>
      <c r="E183" t="str">
        <f>INDEX(Define!X:X,MATCH(D183,Define!W:W))</f>
        <v>光</v>
      </c>
      <c r="F183">
        <v>301</v>
      </c>
      <c r="G183" t="str">
        <f>INDEX([1]Animations!B:B,MATCH(F183,[1]Animations!A:A))</f>
        <v>IceOne1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3</v>
      </c>
      <c r="N183" t="str">
        <f>INDEX(Define!E:E,MATCH(M183,Define!D:D))</f>
        <v>氷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403030</v>
      </c>
      <c r="B184">
        <v>403030</v>
      </c>
      <c r="C184" t="str">
        <f>INDEX(TextData!B:B,MATCH(B184,TextData!A:A))</f>
        <v>ラインプロテクト+</v>
      </c>
      <c r="D184">
        <v>4</v>
      </c>
      <c r="E184" t="str">
        <f>INDEX(Define!X:X,MATCH(D184,Define!W:W))</f>
        <v>精神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3</v>
      </c>
      <c r="N184" t="str">
        <f>INDEX(Define!E:E,MATCH(M184,Define!D:D))</f>
        <v>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403040</v>
      </c>
      <c r="B185">
        <v>403040</v>
      </c>
      <c r="C185" t="str">
        <f>INDEX(TextData!B:B,MATCH(B185,TextData!A:A))</f>
        <v>エスコートソール+</v>
      </c>
      <c r="D185">
        <v>3</v>
      </c>
      <c r="E185" t="str">
        <f>INDEX(Define!X:X,MATCH(D185,Define!W:W))</f>
        <v>理術</v>
      </c>
      <c r="F185">
        <v>61</v>
      </c>
      <c r="G185" t="str">
        <f>INDEX([1]Animations!B:B,MATCH(F185,[1]Animations!A:A))</f>
        <v>NA_Effekseer/NA_aura_002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3</v>
      </c>
      <c r="N185" t="str">
        <f>INDEX(Define!E:E,MATCH(M185,Define!D:D))</f>
        <v>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403050</v>
      </c>
      <c r="B186">
        <v>403050</v>
      </c>
      <c r="C186" t="str">
        <f>INDEX(TextData!B:B,MATCH(B186,TextData!A:A))</f>
        <v>ディープフリーズ+</v>
      </c>
      <c r="D186">
        <v>3</v>
      </c>
      <c r="E186" t="str">
        <f>INDEX(Define!X:X,MATCH(D186,Define!W:W))</f>
        <v>理術</v>
      </c>
      <c r="F186">
        <v>301</v>
      </c>
      <c r="G186" t="str">
        <f>INDEX([1]Animations!B:B,MATCH(F186,[1]Animations!A:A))</f>
        <v>IceOne1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3</v>
      </c>
      <c r="N186" t="str">
        <f>INDEX(Define!E:E,MATCH(M186,Define!D:D))</f>
        <v>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403060</v>
      </c>
      <c r="B187">
        <v>403060</v>
      </c>
      <c r="C187" t="str">
        <f>INDEX(TextData!B:B,MATCH(B187,TextData!A:A))</f>
        <v>バブルブロウ+</v>
      </c>
      <c r="D187">
        <v>3</v>
      </c>
      <c r="E187" t="str">
        <f>INDEX(Define!X:X,MATCH(D187,Define!W:W))</f>
        <v>理術</v>
      </c>
      <c r="F187">
        <v>301</v>
      </c>
      <c r="G187" t="str">
        <f>INDEX([1]Animations!B:B,MATCH(F187,[1]Animations!A:A))</f>
        <v>IceOne1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3</v>
      </c>
      <c r="N187" t="str">
        <f>INDEX(Define!E:E,MATCH(M187,Define!D:D))</f>
        <v>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403070</v>
      </c>
      <c r="B188">
        <v>403070</v>
      </c>
      <c r="C188" t="str">
        <f>INDEX(TextData!B:B,MATCH(B188,TextData!A:A))</f>
        <v>アクアミラージュ+</v>
      </c>
      <c r="D188">
        <v>4</v>
      </c>
      <c r="E188" t="str">
        <f>INDEX(Define!X:X,MATCH(D188,Define!W:W))</f>
        <v>精神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3</v>
      </c>
      <c r="N188" t="str">
        <f>INDEX(Define!E:E,MATCH(M188,Define!D:D))</f>
        <v>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403080</v>
      </c>
      <c r="B189">
        <v>403080</v>
      </c>
      <c r="C189" t="str">
        <f>INDEX(TextData!B:B,MATCH(B189,TextData!A:A))</f>
        <v>フロストシールド+</v>
      </c>
      <c r="D189">
        <v>4</v>
      </c>
      <c r="E189" t="str">
        <f>INDEX(Define!X:X,MATCH(D189,Define!W:W))</f>
        <v>精神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3</v>
      </c>
      <c r="N189" t="str">
        <f>INDEX(Define!E:E,MATCH(M189,Define!D:D))</f>
        <v>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404010</v>
      </c>
      <c r="B190">
        <v>404010</v>
      </c>
      <c r="C190" t="str">
        <f>INDEX(TextData!B:B,MATCH(B190,TextData!A:A))</f>
        <v>セイントレーザー+</v>
      </c>
      <c r="D190">
        <v>1</v>
      </c>
      <c r="E190" t="str">
        <f>INDEX(Define!X:X,MATCH(D190,Define!W:W))</f>
        <v>元素</v>
      </c>
      <c r="F190">
        <v>401</v>
      </c>
      <c r="G190" t="str">
        <f>INDEX([1]Animations!B:B,MATCH(F190,[1]Animations!A:A))</f>
        <v>LightOne1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4</v>
      </c>
      <c r="N190" t="str">
        <f>INDEX(Define!E:E,MATCH(M190,Define!D:D))</f>
        <v>光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404020</v>
      </c>
      <c r="B191">
        <v>404020</v>
      </c>
      <c r="C191" t="str">
        <f>INDEX(TextData!B:B,MATCH(B191,TextData!A:A))</f>
        <v>ペネトレイト+</v>
      </c>
      <c r="D191">
        <v>1</v>
      </c>
      <c r="E191" t="str">
        <f>INDEX(Define!X:X,MATCH(D191,Define!W:W))</f>
        <v>元素</v>
      </c>
      <c r="F191">
        <v>401</v>
      </c>
      <c r="G191" t="str">
        <f>INDEX([1]Animations!B:B,MATCH(F191,[1]Animations!A:A))</f>
        <v>LightOne1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4</v>
      </c>
      <c r="N191" t="str">
        <f>INDEX(Define!E:E,MATCH(M191,Define!D:D))</f>
        <v>光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404030</v>
      </c>
      <c r="B192">
        <v>404030</v>
      </c>
      <c r="C192" t="str">
        <f>INDEX(TextData!B:B,MATCH(B192,TextData!A:A))</f>
        <v>ヒーリング+</v>
      </c>
      <c r="D192">
        <v>2</v>
      </c>
      <c r="E192" t="str">
        <f>INDEX(Define!X:X,MATCH(D192,Define!W:W))</f>
        <v>光</v>
      </c>
      <c r="F192">
        <v>21</v>
      </c>
      <c r="G192" t="str">
        <f>INDEX([1]Animations!B:B,MATCH(F192,[1]Animations!A:A))</f>
        <v>tktk01/Magic2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4</v>
      </c>
      <c r="N192" t="str">
        <f>INDEX(Define!E:E,MATCH(M192,Define!D:D))</f>
        <v>光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404040</v>
      </c>
      <c r="B193">
        <v>404040</v>
      </c>
      <c r="C193" t="str">
        <f>INDEX(TextData!B:B,MATCH(B193,TextData!A:A))</f>
        <v>リザイアフォトン+</v>
      </c>
      <c r="D193">
        <v>2</v>
      </c>
      <c r="E193" t="str">
        <f>INDEX(Define!X:X,MATCH(D193,Define!W:W))</f>
        <v>光</v>
      </c>
      <c r="F193">
        <v>401</v>
      </c>
      <c r="G193" t="str">
        <f>INDEX([1]Animations!B:B,MATCH(F193,[1]Animations!A:A))</f>
        <v>LightOne1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4</v>
      </c>
      <c r="N193" t="str">
        <f>INDEX(Define!E:E,MATCH(M193,Define!D:D))</f>
        <v>光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ht="12" customHeight="1" spans="1:24">
      <c r="A194">
        <v>404050</v>
      </c>
      <c r="B194">
        <v>404050</v>
      </c>
      <c r="C194" t="str">
        <f>INDEX(TextData!B:B,MATCH(B194,TextData!A:A))</f>
        <v>べネディクション+</v>
      </c>
      <c r="D194">
        <v>2</v>
      </c>
      <c r="E194" t="str">
        <f>INDEX(Define!X:X,MATCH(D194,Define!W:W))</f>
        <v>光</v>
      </c>
      <c r="F194">
        <v>21</v>
      </c>
      <c r="G194" t="str">
        <f>INDEX([1]Animations!B:B,MATCH(F194,[1]Animations!A:A))</f>
        <v>tktk01/Magic2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4</v>
      </c>
      <c r="N194" t="str">
        <f>INDEX(Define!E:E,MATCH(M194,Define!D:D))</f>
        <v>光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404060</v>
      </c>
      <c r="B195">
        <v>404060</v>
      </c>
      <c r="C195" t="str">
        <f>INDEX(TextData!B:B,MATCH(B195,TextData!A:A))</f>
        <v>ホーリーグレイス+</v>
      </c>
      <c r="D195">
        <v>2</v>
      </c>
      <c r="E195" t="str">
        <f>INDEX(Define!X:X,MATCH(D195,Define!W:W))</f>
        <v>光</v>
      </c>
      <c r="F195">
        <v>21</v>
      </c>
      <c r="G195" t="str">
        <f>INDEX([1]Animations!B:B,MATCH(F195,[1]Animations!A:A))</f>
        <v>tktk01/Magic2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4</v>
      </c>
      <c r="N195" t="str">
        <f>INDEX(Define!E:E,MATCH(M195,Define!D:D))</f>
        <v>光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404070</v>
      </c>
      <c r="B196">
        <v>404070</v>
      </c>
      <c r="C196" t="str">
        <f>INDEX(TextData!B:B,MATCH(B196,TextData!A:A))</f>
        <v>キュアエール+</v>
      </c>
      <c r="D196">
        <v>2</v>
      </c>
      <c r="E196" t="str">
        <f>INDEX(Define!X:X,MATCH(D196,Define!W:W))</f>
        <v>光</v>
      </c>
      <c r="F196">
        <v>21</v>
      </c>
      <c r="G196" t="str">
        <f>INDEX([1]Animations!B:B,MATCH(F196,[1]Animations!A:A))</f>
        <v>tktk01/Magic2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4</v>
      </c>
      <c r="N196" t="str">
        <f>INDEX(Define!E:E,MATCH(M196,Define!D:D))</f>
        <v>光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404080</v>
      </c>
      <c r="B197">
        <v>404080</v>
      </c>
      <c r="C197" t="str">
        <f>INDEX(TextData!B:B,MATCH(B197,TextData!A:A))</f>
        <v>ラインバリア+</v>
      </c>
      <c r="D197">
        <v>2</v>
      </c>
      <c r="E197" t="str">
        <f>INDEX(Define!X:X,MATCH(D197,Define!W:W))</f>
        <v>光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4</v>
      </c>
      <c r="N197" t="str">
        <f>INDEX(Define!E:E,MATCH(M197,Define!D:D))</f>
        <v>光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405010</v>
      </c>
      <c r="B198">
        <v>405010</v>
      </c>
      <c r="C198" t="str">
        <f>INDEX(TextData!B:B,MATCH(B198,TextData!A:A))</f>
        <v>ダークプリズン+</v>
      </c>
      <c r="D198">
        <v>5</v>
      </c>
      <c r="E198" t="str">
        <f>INDEX(Define!X:X,MATCH(D198,Define!W:W))</f>
        <v>超次元</v>
      </c>
      <c r="F198">
        <v>501</v>
      </c>
      <c r="G198" t="str">
        <f>INDEX([1]Animations!B:B,MATCH(F198,[1]Animations!A:A))</f>
        <v>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5</v>
      </c>
      <c r="N198" t="str">
        <f>INDEX(Define!E:E,MATCH(M198,Define!D:D))</f>
        <v>闇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405020</v>
      </c>
      <c r="B199">
        <v>405020</v>
      </c>
      <c r="C199" t="str">
        <f>INDEX(TextData!B:B,MATCH(B199,TextData!A:A))</f>
        <v>ユーサネイジア+</v>
      </c>
      <c r="D199">
        <v>5</v>
      </c>
      <c r="E199" t="str">
        <f>INDEX(Define!X:X,MATCH(D199,Define!W:W))</f>
        <v>超次元</v>
      </c>
      <c r="F199">
        <v>501</v>
      </c>
      <c r="G199" t="str">
        <f>INDEX([1]Animations!B:B,MATCH(F199,[1]Animations!A:A))</f>
        <v>DarknessOne1</v>
      </c>
      <c r="H199">
        <v>3</v>
      </c>
      <c r="I199" t="str">
        <f>INDEX(Define!B:B,MATCH(H199,Define!A:A))</f>
        <v>全体</v>
      </c>
      <c r="J199">
        <v>0</v>
      </c>
      <c r="K199">
        <v>0</v>
      </c>
      <c r="L199">
        <v>120</v>
      </c>
      <c r="M199">
        <v>5</v>
      </c>
      <c r="N199" t="str">
        <f>INDEX(Define!E:E,MATCH(M199,Define!D:D))</f>
        <v>闇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405030</v>
      </c>
      <c r="B200">
        <v>405030</v>
      </c>
      <c r="C200" t="str">
        <f>INDEX(TextData!B:B,MATCH(B200,TextData!A:A))</f>
        <v>ドレインヒール+</v>
      </c>
      <c r="D200">
        <v>5</v>
      </c>
      <c r="E200" t="str">
        <f>INDEX(Define!X:X,MATCH(D200,Define!W:W))</f>
        <v>超次元</v>
      </c>
      <c r="F200">
        <v>501</v>
      </c>
      <c r="G200" t="str">
        <f>INDEX([1]Animations!B:B,MATCH(F200,[1]Animations!A:A))</f>
        <v>DarknessOne1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5</v>
      </c>
      <c r="N200" t="str">
        <f>INDEX(Define!E:E,MATCH(M200,Define!D:D))</f>
        <v>闇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405040</v>
      </c>
      <c r="B201">
        <v>405040</v>
      </c>
      <c r="C201" t="str">
        <f>INDEX(TextData!B:B,MATCH(B201,TextData!A:A))</f>
        <v>アビサルデスペア+</v>
      </c>
      <c r="D201">
        <v>5</v>
      </c>
      <c r="E201" t="str">
        <f>INDEX(Define!X:X,MATCH(D201,Define!W:W))</f>
        <v>超次元</v>
      </c>
      <c r="F201">
        <v>501</v>
      </c>
      <c r="G201" t="str">
        <f>INDEX([1]Animations!B:B,MATCH(F201,[1]Animations!A:A))</f>
        <v>DarknessOne1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5</v>
      </c>
      <c r="N201" t="str">
        <f>INDEX(Define!E:E,MATCH(M201,Define!D:D))</f>
        <v>闇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405050</v>
      </c>
      <c r="B202">
        <v>405050</v>
      </c>
      <c r="C202" t="str">
        <f>INDEX(TextData!B:B,MATCH(B202,TextData!A:A))</f>
        <v>ディプラヴィティ+</v>
      </c>
      <c r="D202">
        <v>3</v>
      </c>
      <c r="E202" t="str">
        <f>INDEX(Define!X:X,MATCH(D202,Define!W:W))</f>
        <v>理術</v>
      </c>
      <c r="F202">
        <v>501</v>
      </c>
      <c r="G202" t="str">
        <f>INDEX([1]Animations!B:B,MATCH(F202,[1]Animations!A:A))</f>
        <v>DarknessOne1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5</v>
      </c>
      <c r="N202" t="str">
        <f>INDEX(Define!E:E,MATCH(M202,Define!D:D))</f>
        <v>闇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405060</v>
      </c>
      <c r="B203">
        <v>405060</v>
      </c>
      <c r="C203" t="str">
        <f>INDEX(TextData!B:B,MATCH(B203,TextData!A:A))</f>
        <v>ダークネス+</v>
      </c>
      <c r="D203">
        <v>3</v>
      </c>
      <c r="E203" t="str">
        <f>INDEX(Define!X:X,MATCH(D203,Define!W:W))</f>
        <v>理術</v>
      </c>
      <c r="F203">
        <v>61</v>
      </c>
      <c r="G203" t="str">
        <f>INDEX([1]Animations!B:B,MATCH(F203,[1]Animations!A:A))</f>
        <v>NA_Effekseer/NA_aura_002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5</v>
      </c>
      <c r="N203" t="str">
        <f>INDEX(Define!E:E,MATCH(M203,Define!D:D))</f>
        <v>闇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405070</v>
      </c>
      <c r="B204">
        <v>405070</v>
      </c>
      <c r="C204" t="str">
        <f>INDEX(TextData!B:B,MATCH(B204,TextData!A:A))</f>
        <v>シェイディークラウド+</v>
      </c>
      <c r="D204">
        <v>5</v>
      </c>
      <c r="E204" t="str">
        <f>INDEX(Define!X:X,MATCH(D204,Define!W:W))</f>
        <v>超次元</v>
      </c>
      <c r="F204">
        <v>61</v>
      </c>
      <c r="G204" t="str">
        <f>INDEX([1]Animations!B:B,MATCH(F204,[1]Animations!A:A))</f>
        <v>NA_Effekseer/NA_aura_002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5</v>
      </c>
      <c r="N204" t="str">
        <f>INDEX(Define!E:E,MATCH(M204,Define!D:D))</f>
        <v>闇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ht="12" customHeight="1" spans="1:24">
      <c r="A205">
        <v>405080</v>
      </c>
      <c r="B205">
        <v>405080</v>
      </c>
      <c r="C205" t="str">
        <f>INDEX(TextData!B:B,MATCH(B205,TextData!A:A))</f>
        <v>ポイズンブロウ+</v>
      </c>
      <c r="D205">
        <v>5</v>
      </c>
      <c r="E205" t="str">
        <f>INDEX(Define!X:X,MATCH(D205,Define!W:W))</f>
        <v>超次元</v>
      </c>
      <c r="F205">
        <v>501</v>
      </c>
      <c r="G205" t="str">
        <f>INDEX([1]Animations!B:B,MATCH(F205,[1]Animations!A:A))</f>
        <v>DarknessOne1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5</v>
      </c>
      <c r="N205" t="str">
        <f>INDEX(Define!E:E,MATCH(M205,Define!D:D))</f>
        <v>闇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411010</v>
      </c>
      <c r="B206">
        <v>411010</v>
      </c>
      <c r="C206" t="str">
        <f>INDEX(TextData!B:B,MATCH(B206,TextData!A:A))</f>
        <v>ウルフソウル+</v>
      </c>
      <c r="D206">
        <v>6</v>
      </c>
      <c r="E206" t="str">
        <f>INDEX(Define!X:X,MATCH(D206,Define!W:W))</f>
        <v>自己強化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110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411020</v>
      </c>
      <c r="B207">
        <v>411020</v>
      </c>
      <c r="C207" t="str">
        <f>INDEX(TextData!B:B,MATCH(B207,TextData!A:A))</f>
        <v>プリディカメント+</v>
      </c>
      <c r="D207">
        <v>6</v>
      </c>
      <c r="E207" t="str">
        <f>INDEX(Define!X:X,MATCH(D207,Define!W:W))</f>
        <v>自己強化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110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411030</v>
      </c>
      <c r="B208">
        <v>411030</v>
      </c>
      <c r="C208" t="str">
        <f>INDEX(TextData!B:B,MATCH(B208,TextData!A:A))</f>
        <v>アサルトシフト+</v>
      </c>
      <c r="D208">
        <v>6</v>
      </c>
      <c r="E208" t="str">
        <f>INDEX(Define!X:X,MATCH(D208,Define!W:W))</f>
        <v>自己強化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110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411040</v>
      </c>
      <c r="B209">
        <v>411040</v>
      </c>
      <c r="C209" t="str">
        <f>INDEX(TextData!B:B,MATCH(B209,TextData!A:A))</f>
        <v>アクティブギフト+</v>
      </c>
      <c r="D209">
        <v>6</v>
      </c>
      <c r="E209" t="str">
        <f>INDEX(Define!X:X,MATCH(D209,Define!W:W))</f>
        <v>自己強化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110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411050</v>
      </c>
      <c r="B210">
        <v>411050</v>
      </c>
      <c r="C210" t="str">
        <f>INDEX(TextData!B:B,MATCH(B210,TextData!A:A))</f>
        <v>イグナイテッド+</v>
      </c>
      <c r="D210">
        <v>6</v>
      </c>
      <c r="E210" t="str">
        <f>INDEX(Define!X:X,MATCH(D210,Define!W:W))</f>
        <v>自己強化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110</v>
      </c>
      <c r="M210">
        <v>1</v>
      </c>
      <c r="N210" t="str">
        <f>INDEX(Define!E:E,MATCH(M210,Define!D:D))</f>
        <v>炎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411060</v>
      </c>
      <c r="B211">
        <v>411060</v>
      </c>
      <c r="C211" t="str">
        <f>INDEX(TextData!B:B,MATCH(B211,TextData!A:A))</f>
        <v>ライジングファイア+</v>
      </c>
      <c r="D211">
        <v>6</v>
      </c>
      <c r="E211" t="str">
        <f>INDEX(Define!X:X,MATCH(D211,Define!W:W))</f>
        <v>自己強化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1</v>
      </c>
      <c r="N211" t="str">
        <f>INDEX(Define!E:E,MATCH(M211,Define!D:D))</f>
        <v>炎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411070</v>
      </c>
      <c r="B212">
        <v>411070</v>
      </c>
      <c r="C212" t="str">
        <f>INDEX(TextData!B:B,MATCH(B212,TextData!A:A))</f>
        <v>ルージュバック+</v>
      </c>
      <c r="D212">
        <v>6</v>
      </c>
      <c r="E212" t="str">
        <f>INDEX(Define!X:X,MATCH(D212,Define!W:W))</f>
        <v>自己強化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1</v>
      </c>
      <c r="N212" t="str">
        <f>INDEX(Define!E:E,MATCH(M212,Define!D:D))</f>
        <v>炎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411080</v>
      </c>
      <c r="B213">
        <v>411080</v>
      </c>
      <c r="C213" t="str">
        <f>INDEX(TextData!B:B,MATCH(B213,TextData!A:A))</f>
        <v>パワーエール+</v>
      </c>
      <c r="D213">
        <v>6</v>
      </c>
      <c r="E213" t="str">
        <f>INDEX(Define!X:X,MATCH(D213,Define!W:W))</f>
        <v>自己強化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1</v>
      </c>
      <c r="N213" t="str">
        <f>INDEX(Define!E:E,MATCH(M213,Define!D:D))</f>
        <v>炎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411090</v>
      </c>
      <c r="B214">
        <v>411090</v>
      </c>
      <c r="C214" t="str">
        <f>INDEX(TextData!B:B,MATCH(B214,TextData!A:A))</f>
        <v>スレイプニル+</v>
      </c>
      <c r="D214">
        <v>6</v>
      </c>
      <c r="E214" t="str">
        <f>INDEX(Define!X:X,MATCH(D214,Define!W:W))</f>
        <v>自己強化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412010</v>
      </c>
      <c r="B215">
        <v>412010</v>
      </c>
      <c r="C215" t="str">
        <f>INDEX(TextData!B:B,MATCH(B215,TextData!A:A))</f>
        <v>エクステンション+</v>
      </c>
      <c r="D215">
        <v>6</v>
      </c>
      <c r="E215" t="str">
        <f>INDEX(Define!X:X,MATCH(D215,Define!W:W))</f>
        <v>自己強化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110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412020</v>
      </c>
      <c r="B216">
        <v>412020</v>
      </c>
      <c r="C216" t="str">
        <f>INDEX(TextData!B:B,MATCH(B216,TextData!A:A))</f>
        <v>ヘブンリーラック+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110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412030</v>
      </c>
      <c r="B217">
        <v>412030</v>
      </c>
      <c r="C217" t="str">
        <f>INDEX(TextData!B:B,MATCH(B217,TextData!A:A))</f>
        <v>スウィフトカレント+</v>
      </c>
      <c r="D217">
        <v>6</v>
      </c>
      <c r="E217" t="str">
        <f>INDEX(Define!X:X,MATCH(D217,Define!W:W))</f>
        <v>自己強化</v>
      </c>
      <c r="H217">
        <v>1</v>
      </c>
      <c r="I217" t="str">
        <f>INDEX([2]Define!B:B,MATCH(H217,[2]Define!A:A))</f>
        <v>単体</v>
      </c>
      <c r="J217">
        <v>0</v>
      </c>
      <c r="K217">
        <v>0</v>
      </c>
      <c r="L217">
        <v>110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412040</v>
      </c>
      <c r="B218">
        <v>412040</v>
      </c>
      <c r="C218" t="str">
        <f>INDEX(TextData!B:B,MATCH(B218,TextData!A:A))</f>
        <v>イヴェイドオール+</v>
      </c>
      <c r="D218">
        <v>6</v>
      </c>
      <c r="E218" t="str">
        <f>INDEX(Define!X:X,MATCH(D218,Define!W:W))</f>
        <v>自己強化</v>
      </c>
      <c r="H218">
        <v>1</v>
      </c>
      <c r="I218" t="str">
        <f>INDEX([2]Define!B:B,MATCH(H218,[2]Define!A:A))</f>
        <v>単体</v>
      </c>
      <c r="J218">
        <v>0</v>
      </c>
      <c r="K218">
        <v>0</v>
      </c>
      <c r="L218">
        <v>110</v>
      </c>
      <c r="M218">
        <v>2</v>
      </c>
      <c r="N218" t="str">
        <f>INDEX(Define!E:E,MATCH(M218,Define!D:D))</f>
        <v>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412050</v>
      </c>
      <c r="B219">
        <v>412050</v>
      </c>
      <c r="C219" t="str">
        <f>INDEX(TextData!B:B,MATCH(B219,TextData!A:A))</f>
        <v>クイックムーブ+</v>
      </c>
      <c r="D219">
        <v>6</v>
      </c>
      <c r="E219" t="str">
        <f>INDEX(Define!X:X,MATCH(D219,Define!W:W))</f>
        <v>自己強化</v>
      </c>
      <c r="H219">
        <v>1</v>
      </c>
      <c r="I219" t="str">
        <f>INDEX([2]Define!B:B,MATCH(H219,[2]Define!A:A))</f>
        <v>単体</v>
      </c>
      <c r="J219">
        <v>0</v>
      </c>
      <c r="K219">
        <v>0</v>
      </c>
      <c r="L219">
        <v>110</v>
      </c>
      <c r="M219">
        <v>2</v>
      </c>
      <c r="N219" t="str">
        <f>INDEX(Define!E:E,MATCH(M219,Define!D:D))</f>
        <v>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412060</v>
      </c>
      <c r="B220">
        <v>412060</v>
      </c>
      <c r="C220" t="str">
        <f>INDEX(TextData!B:B,MATCH(B220,TextData!A:A))</f>
        <v>チェイスマジック+</v>
      </c>
      <c r="D220">
        <v>6</v>
      </c>
      <c r="E220" t="str">
        <f>INDEX(Define!X:X,MATCH(D220,Define!W:W))</f>
        <v>自己強化</v>
      </c>
      <c r="H220">
        <v>1</v>
      </c>
      <c r="I220" t="str">
        <f>INDEX([2]Define!B:B,MATCH(H220,[2]Define!A:A))</f>
        <v>単体</v>
      </c>
      <c r="J220">
        <v>0</v>
      </c>
      <c r="K220">
        <v>0</v>
      </c>
      <c r="L220">
        <v>120</v>
      </c>
      <c r="M220">
        <v>2</v>
      </c>
      <c r="N220" t="str">
        <f>INDEX(Define!E:E,MATCH(M220,Define!D:D))</f>
        <v>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412070</v>
      </c>
      <c r="B221">
        <v>412070</v>
      </c>
      <c r="C221" t="str">
        <f>INDEX(TextData!B:B,MATCH(B221,TextData!A:A))</f>
        <v>ソーサリーコネクト+</v>
      </c>
      <c r="D221">
        <v>6</v>
      </c>
      <c r="E221" t="str">
        <f>INDEX(Define!X:X,MATCH(D221,Define!W:W))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0</v>
      </c>
      <c r="L221">
        <v>120</v>
      </c>
      <c r="M221">
        <v>2</v>
      </c>
      <c r="N221" t="str">
        <f>INDEX(Define!E:E,MATCH(M221,Define!D:D))</f>
        <v>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412080</v>
      </c>
      <c r="B222">
        <v>412080</v>
      </c>
      <c r="C222" t="str">
        <f>INDEX(TextData!B:B,MATCH(B222,TextData!A:A))</f>
        <v>ウィンドライズ+</v>
      </c>
      <c r="D222">
        <v>6</v>
      </c>
      <c r="E222" t="str">
        <f>INDEX(Define!X:X,MATCH(D222,Define!W:W))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0</v>
      </c>
      <c r="L222">
        <v>120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412090</v>
      </c>
      <c r="B223">
        <v>412090</v>
      </c>
      <c r="C223" t="str">
        <f>INDEX(TextData!B:B,MATCH(B223,TextData!A:A))</f>
        <v>アウトオブオーダー+</v>
      </c>
      <c r="D223">
        <v>6</v>
      </c>
      <c r="E223" t="str">
        <f>INDEX(Define!X:X,MATCH(D223,Define!W:W))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0</v>
      </c>
      <c r="L223">
        <v>120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413010</v>
      </c>
      <c r="B224">
        <v>413010</v>
      </c>
      <c r="C224" t="str">
        <f>INDEX(TextData!B:B,MATCH(B224,TextData!A:A))</f>
        <v>アーマーコード+</v>
      </c>
      <c r="D224">
        <v>6</v>
      </c>
      <c r="E224" t="str">
        <f>INDEX(Define!X:X,MATCH(D224,Define!W:W))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0</v>
      </c>
      <c r="L224">
        <v>110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413020</v>
      </c>
      <c r="B225">
        <v>413020</v>
      </c>
      <c r="C225" t="str">
        <f>INDEX(TextData!B:B,MATCH(B225,TextData!A:A))</f>
        <v>クイックバリア+</v>
      </c>
      <c r="D225">
        <v>6</v>
      </c>
      <c r="E225" t="str">
        <f>INDEX(Define!X:X,MATCH(D225,Define!W:W))</f>
        <v>自己強化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110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413030</v>
      </c>
      <c r="B226">
        <v>413030</v>
      </c>
      <c r="C226" t="str">
        <f>INDEX(TextData!B:B,MATCH(B226,TextData!A:A))</f>
        <v>クイックキュア+</v>
      </c>
      <c r="D226">
        <v>6</v>
      </c>
      <c r="E226" t="str">
        <f>INDEX(Define!X:X,MATCH(D226,Define!W:W))</f>
        <v>自己強化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110</v>
      </c>
      <c r="M226">
        <v>3</v>
      </c>
      <c r="N226" t="str">
        <f>INDEX(Define!E:E,MATCH(M226,Define!D:D))</f>
        <v>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413040</v>
      </c>
      <c r="B227">
        <v>413040</v>
      </c>
      <c r="C227" t="str">
        <f>INDEX(TextData!B:B,MATCH(B227,TextData!A:A))</f>
        <v>セルフシールド+</v>
      </c>
      <c r="D227">
        <v>6</v>
      </c>
      <c r="E227" t="str">
        <f>INDEX(Define!X:X,MATCH(D227,Define!W:W))</f>
        <v>自己強化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110</v>
      </c>
      <c r="M227">
        <v>3</v>
      </c>
      <c r="N227" t="str">
        <f>INDEX(Define!E:E,MATCH(M227,Define!D:D))</f>
        <v>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413050</v>
      </c>
      <c r="B228">
        <v>413050</v>
      </c>
      <c r="C228" t="str">
        <f>INDEX(TextData!B:B,MATCH(B228,TextData!A:A))</f>
        <v>パッシブジャミング+</v>
      </c>
      <c r="D228">
        <v>6</v>
      </c>
      <c r="E228" t="str">
        <f>INDEX(Define!X:X,MATCH(D228,Define!W:W))</f>
        <v>自己強化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110</v>
      </c>
      <c r="M228">
        <v>3</v>
      </c>
      <c r="N228" t="str">
        <f>INDEX(Define!E:E,MATCH(M228,Define!D:D))</f>
        <v>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413060</v>
      </c>
      <c r="B229">
        <v>413060</v>
      </c>
      <c r="C229" t="str">
        <f>INDEX(TextData!B:B,MATCH(B229,TextData!A:A))</f>
        <v>サプライカバー+</v>
      </c>
      <c r="D229">
        <v>6</v>
      </c>
      <c r="E229" t="str">
        <f>INDEX(Define!X:X,MATCH(D229,Define!W:W))</f>
        <v>自己強化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3</v>
      </c>
      <c r="N229" t="str">
        <f>INDEX(Define!E:E,MATCH(M229,Define!D:D))</f>
        <v>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413070</v>
      </c>
      <c r="B230">
        <v>413070</v>
      </c>
      <c r="C230" t="str">
        <f>INDEX(TextData!B:B,MATCH(B230,TextData!A:A))</f>
        <v>アシッドラッシュ+</v>
      </c>
      <c r="D230">
        <v>6</v>
      </c>
      <c r="E230" t="str">
        <f>INDEX(Define!X:X,MATCH(D230,Define!W:W))</f>
        <v>自己強化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413080</v>
      </c>
      <c r="B231">
        <v>413080</v>
      </c>
      <c r="C231" t="str">
        <f>INDEX(TextData!B:B,MATCH(B231,TextData!A:A))</f>
        <v>ライフスティール+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413090</v>
      </c>
      <c r="B232">
        <v>413090</v>
      </c>
      <c r="C232" t="str">
        <f>INDEX(TextData!B:B,MATCH(B232,TextData!A:A))</f>
        <v>アイスセイバー+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414010</v>
      </c>
      <c r="B233">
        <v>414010</v>
      </c>
      <c r="C233" t="str">
        <f>INDEX(TextData!B:B,MATCH(B233,TextData!A:A))</f>
        <v>ディバインシールド+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110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414020</v>
      </c>
      <c r="B234">
        <v>414020</v>
      </c>
      <c r="C234" t="str">
        <f>INDEX(TextData!B:B,MATCH(B234,TextData!A:A))</f>
        <v>ライフディバイド+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110</v>
      </c>
      <c r="M234">
        <v>4</v>
      </c>
      <c r="N234" t="str">
        <f>INDEX(Define!E:E,MATCH(M234,Define!D:D))</f>
        <v>光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414030</v>
      </c>
      <c r="B235">
        <v>414030</v>
      </c>
      <c r="C235" t="str">
        <f>INDEX(TextData!B:B,MATCH(B235,TextData!A:A))</f>
        <v>エイミングスコープ+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4</v>
      </c>
      <c r="N235" t="str">
        <f>INDEX(Define!E:E,MATCH(M235,Define!D:D))</f>
        <v>光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414040</v>
      </c>
      <c r="B236">
        <v>414040</v>
      </c>
      <c r="C236" t="str">
        <f>INDEX(TextData!B:B,MATCH(B236,TextData!A:A))</f>
        <v>リジェネレーション+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4</v>
      </c>
      <c r="N236" t="str">
        <f>INDEX(Define!E:E,MATCH(M236,Define!D:D))</f>
        <v>光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414050</v>
      </c>
      <c r="B237">
        <v>414050</v>
      </c>
      <c r="C237" t="str">
        <f>INDEX(TextData!B:B,MATCH(B237,TextData!A:A))</f>
        <v>ホープフルアイリス+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4</v>
      </c>
      <c r="N237" t="str">
        <f>INDEX(Define!E:E,MATCH(M237,Define!D:D))</f>
        <v>光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414060</v>
      </c>
      <c r="B238">
        <v>414060</v>
      </c>
      <c r="C238" t="str">
        <f>INDEX(TextData!B:B,MATCH(B238,TextData!A:A))</f>
        <v>パッシブサプライ+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414070</v>
      </c>
      <c r="B239">
        <v>414070</v>
      </c>
      <c r="C239" t="str">
        <f>INDEX(TextData!B:B,MATCH(B239,TextData!A:A))</f>
        <v>ホーミングクルセイド+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414080</v>
      </c>
      <c r="B240">
        <v>414080</v>
      </c>
      <c r="C240" t="str">
        <f>INDEX(TextData!B:B,MATCH(B240,TextData!A:A))</f>
        <v>クイックヒール+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414090</v>
      </c>
      <c r="B241">
        <v>414090</v>
      </c>
      <c r="C241" t="str">
        <f>INDEX(TextData!B:B,MATCH(B241,TextData!A:A))</f>
        <v>リレイズ+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415010</v>
      </c>
      <c r="B242">
        <v>415010</v>
      </c>
      <c r="C242" t="str">
        <f>INDEX(TextData!B:B,MATCH(B242,TextData!A:A))</f>
        <v>イーグルアイ+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5</v>
      </c>
      <c r="N242" t="str">
        <f>INDEX(Define!E:E,MATCH(M242,Define!D:D))</f>
        <v>闇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415020</v>
      </c>
      <c r="B243">
        <v>415020</v>
      </c>
      <c r="C243" t="str">
        <f>INDEX(TextData!B:B,MATCH(B243,TextData!A:A))</f>
        <v>ネヴァーエンド+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5</v>
      </c>
      <c r="N243" t="str">
        <f>INDEX(Define!E:E,MATCH(M243,Define!D:D))</f>
        <v>闇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415030</v>
      </c>
      <c r="B244">
        <v>415030</v>
      </c>
      <c r="C244" t="str">
        <f>INDEX(TextData!B:B,MATCH(B244,TextData!A:A))</f>
        <v>グレイブアクト+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5</v>
      </c>
      <c r="N244" t="str">
        <f>INDEX(Define!E:E,MATCH(M244,Define!D:D))</f>
        <v>闇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415040</v>
      </c>
      <c r="B245">
        <v>415040</v>
      </c>
      <c r="C245" t="str">
        <f>INDEX(TextData!B:B,MATCH(B245,TextData!A:A))</f>
        <v>スカルグラッジ+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5</v>
      </c>
      <c r="N245" t="str">
        <f>INDEX(Define!E:E,MATCH(M245,Define!D:D))</f>
        <v>闇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415050</v>
      </c>
      <c r="B246">
        <v>415050</v>
      </c>
      <c r="C246" t="str">
        <f>INDEX(TextData!B:B,MATCH(B246,TextData!A:A))</f>
        <v>ネガティブドレイン+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415060</v>
      </c>
      <c r="B247">
        <v>415060</v>
      </c>
      <c r="C247" t="str">
        <f>INDEX(TextData!B:B,MATCH(B247,TextData!A:A))</f>
        <v>アンデッドペイン+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415070</v>
      </c>
      <c r="B248">
        <v>415070</v>
      </c>
      <c r="C248" t="str">
        <f>INDEX(TextData!B:B,MATCH(B248,TextData!A:A))</f>
        <v>ジャックポッド+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415080</v>
      </c>
      <c r="B249">
        <v>415080</v>
      </c>
      <c r="C249" t="str">
        <f>INDEX(TextData!B:B,MATCH(B249,TextData!A:A))</f>
        <v>ヒールハント+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415090</v>
      </c>
      <c r="B250">
        <v>415090</v>
      </c>
      <c r="C250" t="str">
        <f>INDEX(TextData!B:B,MATCH(B250,TextData!A:A))</f>
        <v>クイックカース+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</sheetData>
  <autoFilter ref="F1:F205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7"/>
  <sheetViews>
    <sheetView topLeftCell="A5" workbookViewId="0">
      <selection activeCell="H73" sqref="H7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INDEX([2]Define!Q:Q,MATCH(C11,[2]Define!P:P))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INDEX([2]Define!Q:Q,MATCH(C12,[2]Define!P:P))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INDEX([2]Define!Q:Q,MATCH(C13,[2]Define!P:P))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INDEX([2]Define!Q:Q,MATCH(C14,[2]Define!P:P))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INDEX([2]Define!Q:Q,MATCH(C15,[2]Define!P:P))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INDEX([2]Define!Q:Q,MATCH(C16,[2]Define!P:P))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INDEX([2]Define!Q:Q,MATCH(C17,[2]Define!P:P))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INDEX([2]Define!Q:Q,MATCH(C18,[2]Define!P:P))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INDEX([2]Define!Q:Q,MATCH(C19,[2]Define!P:P))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INDEX([2]Define!Q:Q,MATCH(C20,[2]Define!P:P))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INDEX([2]Define!Q:Q,MATCH(C21,[2]Define!P:P))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INDEX([2]Define!Q:Q,MATCH(C22,[2]Define!P:P))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INDEX([2]Define!Q:Q,MATCH(C23,[2]Define!P:P))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INDEX([2]Define!Q:Q,MATCH(C24,[2]Define!P:P))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INDEX([2]Define!Q:Q,MATCH(C25,[2]Define!P:P))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INDEX([2]Define!Q:Q,MATCH(C26,[2]Define!P:P))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INDEX([2]Define!Q:Q,MATCH(C27,[2]Define!P:P))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INDEX([2]Define!Q:Q,MATCH(C28,[2]Define!P:P))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INDEX([2]Define!Q:Q,MATCH(C29,[2]Define!P:P))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INDEX([2]Define!Q:Q,MATCH(C30,[2]Define!P:P))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INDEX([2]Define!Q:Q,MATCH(C31,[2]Define!P:P))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INDEX([2]Define!Q:Q,MATCH(C32,[2]Define!P:P))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INDEX([2]Define!Q:Q,MATCH(C33,[2]Define!P:P))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INDEX([2]Define!Q:Q,MATCH(C34,[2]Define!P:P))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INDEX([2]Define!Q:Q,MATCH(C35,[2]Define!P:P))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INDEX([2]Define!Q:Q,MATCH(C36,[2]Define!P:P))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INDEX([2]Define!Q:Q,MATCH(C37,[2]Define!P:P))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INDEX([2]Define!Q:Q,MATCH(C38,[2]Define!P:P))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INDEX([2]Define!Q:Q,MATCH(C39,[2]Define!P:P))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INDEX([2]Define!Q:Q,MATCH(C40,[2]Define!P:P))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INDEX([2]Define!Q:Q,MATCH(C41,[2]Define!P:P))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INDEX([2]Define!Q:Q,MATCH(C42,[2]Define!P:P))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INDEX([2]Define!Q:Q,MATCH(C43,[2]Define!P:P))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INDEX([2]Define!Q:Q,MATCH(C44,[2]Define!P:P))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INDEX([2]Define!Q:Q,MATCH(C45,[2]Define!P:P))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INDEX([2]Define!Q:Q,MATCH(C46,[2]Define!P:P))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INDEX([2]Define!Q:Q,MATCH(C47,[2]Define!P:P))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INDEX([2]Define!Q:Q,MATCH(C48,[2]Define!P:P))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INDEX([2]Define!Q:Q,MATCH(C49,[2]Define!P:P))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INDEX([2]Define!Q:Q,MATCH(C50,[2]Define!P:P))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INDEX([2]Define!Q:Q,MATCH(C51,[2]Define!P:P))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INDEX([2]Define!Q:Q,MATCH(C52,[2]Define!P:P))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INDEX([2]Define!Q:Q,MATCH(C53,[2]Define!P:P))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INDEX([2]Define!Q:Q,MATCH(C54,[2]Define!P:P))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INDEX([2]Define!Q:Q,MATCH(C55,[2]Define!P:P))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INDEX([2]Define!Q:Q,MATCH(C56,[2]Define!P:P))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INDEX([2]Define!Q:Q,MATCH(C57,[2]Define!P:P))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INDEX([2]Define!Q:Q,MATCH(C58,[2]Define!P:P))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INDEX([2]Define!Q:Q,MATCH(C59,[2]Define!P:P))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INDEX([2]Define!Q:Q,MATCH(C60,[2]Define!P:P))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INDEX([2]Define!Q:Q,MATCH(C61,[2]Define!P:P))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INDEX([2]Define!Q:Q,MATCH(C62,[2]Define!P:P))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INDEX([2]Define!Q:Q,MATCH(C63,[2]Define!P:P))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INDEX([2]Define!Q:Q,MATCH(C64,[2]Define!P:P))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INDEX([2]Define!Q:Q,MATCH(C65,[2]Define!P:P))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INDEX([2]Define!Q:Q,MATCH(C66,[2]Define!P:P))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INDEX([2]Define!Q:Q,MATCH(C67,[2]Define!P:P))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INDEX([2]Define!Q:Q,MATCH(C68,[2]Define!P:P))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INDEX([2]Define!Q:Q,MATCH(C69,[2]Define!P:P))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INDEX([2]Define!Q:Q,MATCH(C70,[2]Define!P:P))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INDEX([2]Define!Q:Q,MATCH(C71,[2]Define!P:P))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INDEX([2]Define!Q:Q,MATCH(C72,[2]Define!P:P))</f>
        <v>行動後にAp+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INDEX([2]Define!Q:Q,MATCH(C73,[2]Define!P:P))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INDEX([2]Define!Q:Q,MATCH(C74,[2]Define!P:P))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INDEX([2]Define!Q:Q,MATCH(C75,[2]Define!P:P))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INDEX([2]Define!Q:Q,MATCH(C76,[2]Define!P:P))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INDEX([2]Define!Q:Q,MATCH(C77,[2]Define!P:P))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INDEX([2]Define!Q:Q,MATCH(C78,[2]Define!P:P))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INDEX([2]Define!Q:Q,MATCH(C79,[2]Define!P:P))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INDEX([2]Define!Q:Q,MATCH(C80,[2]Define!P:P))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INDEX([2]Define!Q:Q,MATCH(C81,[2]Define!P:P))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INDEX([2]Define!Q:Q,MATCH(C82,[2]Define!P:P))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INDEX([2]Define!Q:Q,MATCH(C83,[2]Define!P:P))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INDEX([2]Define!Q:Q,MATCH(C84,[2]Define!P:P))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INDEX([2]Define!Q:Q,MATCH(C85,[2]Define!P:P))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INDEX([2]Define!Q:Q,MATCH(C86,[2]Define!P:P))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INDEX([2]Define!Q:Q,MATCH(C87,[2]Define!P:P))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INDEX([2]Define!Q:Q,MATCH(C88,[2]Define!P:P))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エクステンション</v>
      </c>
      <c r="C89">
        <v>3010</v>
      </c>
      <c r="D89" t="str">
        <f>INDEX([2]Define!Q:Q,MATCH(C89,[2]Define!P:P))</f>
        <v>ステート付与</v>
      </c>
      <c r="E89">
        <v>2190</v>
      </c>
      <c r="F89">
        <v>999</v>
      </c>
      <c r="G89">
        <v>0</v>
      </c>
      <c r="H89">
        <v>100</v>
      </c>
      <c r="I89" t="str">
        <f>INDEX([4]TextData!B:B,MATCH(E89,[4]TextData!A:A))</f>
        <v>対象範囲延長</v>
      </c>
    </row>
    <row r="90" spans="1:9">
      <c r="A90">
        <v>12020</v>
      </c>
      <c r="B90" t="str">
        <f>INDEX(TextData!B:B,MATCH(A90,TextData!A:A))</f>
        <v>ヘブンリーラック</v>
      </c>
      <c r="C90">
        <v>3010</v>
      </c>
      <c r="D90" t="str">
        <f>INDEX([2]Define!Q:Q,MATCH(C90,[2]Define!P:P))</f>
        <v>ステート付与</v>
      </c>
      <c r="E90">
        <v>1090</v>
      </c>
      <c r="F90">
        <v>999</v>
      </c>
      <c r="G90">
        <v>10</v>
      </c>
      <c r="H90">
        <v>100</v>
      </c>
      <c r="I90" t="str">
        <f>INDEX([4]TextData!B:B,MATCH(E90,[4]TextData!A:A))</f>
        <v>回避アップ</v>
      </c>
    </row>
    <row r="91" spans="1:9">
      <c r="A91">
        <v>12030</v>
      </c>
      <c r="B91" t="str">
        <f>INDEX(TextData!B:B,MATCH(A91,TextData!A:A))</f>
        <v>スウィフトカレント</v>
      </c>
      <c r="C91">
        <v>3010</v>
      </c>
      <c r="D91" t="str">
        <f>INDEX([2]Define!Q:Q,MATCH(C91,[2]Define!P:P))</f>
        <v>ステート付与</v>
      </c>
      <c r="E91">
        <v>1060</v>
      </c>
      <c r="F91">
        <v>999</v>
      </c>
      <c r="G91">
        <v>5</v>
      </c>
      <c r="H91">
        <v>100</v>
      </c>
      <c r="I91" t="str">
        <f>INDEX([4]TextData!B:B,MATCH(E91,[4]TextData!A:A))</f>
        <v>速度アップ</v>
      </c>
    </row>
    <row r="92" spans="1:9">
      <c r="A92">
        <v>12040</v>
      </c>
      <c r="B92" t="str">
        <f>INDEX(TextData!B:B,MATCH(A92,TextData!A:A))</f>
        <v>イヴェイドオール</v>
      </c>
      <c r="C92">
        <v>3010</v>
      </c>
      <c r="D92" t="str">
        <f>INDEX([2]Define!Q:Q,MATCH(C92,[2]Define!P:P))</f>
        <v>ステート付与</v>
      </c>
      <c r="E92">
        <v>1092</v>
      </c>
      <c r="F92">
        <v>999</v>
      </c>
      <c r="G92">
        <v>5</v>
      </c>
      <c r="H92">
        <v>100</v>
      </c>
      <c r="I92" t="str">
        <f>INDEX([4]TextData!B:B,MATCH(E92,[4]TextData!A:A))</f>
        <v>回避アップ</v>
      </c>
    </row>
    <row r="93" spans="1:8">
      <c r="A93">
        <v>12050</v>
      </c>
      <c r="B93" t="str">
        <f>INDEX(TextData!B:B,MATCH(A93,TextData!A:A))</f>
        <v>クイックムーブ</v>
      </c>
      <c r="C93">
        <v>5020</v>
      </c>
      <c r="D93" t="str">
        <f>INDEX([2]Define!Q:Q,MATCH(C93,[2]Define!P:P))</f>
        <v>Ap回復</v>
      </c>
      <c r="E93">
        <v>200</v>
      </c>
      <c r="F93">
        <v>0</v>
      </c>
      <c r="G93">
        <v>0</v>
      </c>
      <c r="H93">
        <v>100</v>
      </c>
    </row>
    <row r="94" spans="1:8">
      <c r="A94">
        <v>12060</v>
      </c>
      <c r="B94" t="str">
        <f>INDEX(TextData!B:B,MATCH(A94,TextData!A:A))</f>
        <v>チェイスマジック</v>
      </c>
      <c r="C94">
        <v>1010</v>
      </c>
      <c r="D94" t="str">
        <f>INDEX([2]Define!Q:Q,MATCH(C94,[2]Define!P:P))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12070</v>
      </c>
      <c r="B95" t="str">
        <f>INDEX(TextData!B:B,MATCH(A95,TextData!A:A))</f>
        <v>ソーサリーコネクト</v>
      </c>
      <c r="C95">
        <v>3010</v>
      </c>
      <c r="D95" t="str">
        <f>INDEX([2]Define!Q:Q,MATCH(C95,[2]Define!P:P))</f>
        <v>ステート付与</v>
      </c>
      <c r="E95">
        <v>1040</v>
      </c>
      <c r="F95">
        <v>1</v>
      </c>
      <c r="G95">
        <v>8</v>
      </c>
      <c r="H95">
        <v>100</v>
      </c>
      <c r="I95" t="str">
        <f>INDEX([4]TextData!B:B,MATCH(E95,[4]TextData!A:A))</f>
        <v>攻撃アップ</v>
      </c>
    </row>
    <row r="96" spans="1:8">
      <c r="A96">
        <v>12070</v>
      </c>
      <c r="B96" t="str">
        <f>INDEX(TextData!B:B,MATCH(A96,TextData!A:A))</f>
        <v>ソーサリーコネクト</v>
      </c>
      <c r="C96">
        <v>7010</v>
      </c>
      <c r="D96" t="str">
        <f>INDEX([2]Define!Q:Q,MATCH(C96,[2]Define!P:P))</f>
        <v>行動後スキル</v>
      </c>
      <c r="E96">
        <v>12071</v>
      </c>
      <c r="F96">
        <v>0</v>
      </c>
      <c r="G96">
        <v>0</v>
      </c>
      <c r="H96">
        <v>100</v>
      </c>
    </row>
    <row r="97" spans="1:9">
      <c r="A97">
        <v>12071</v>
      </c>
      <c r="B97" t="str">
        <f>INDEX(TextData!B:B,MATCH(A97,TextData!A:A))</f>
        <v>ソーサリーコネクト</v>
      </c>
      <c r="C97">
        <v>3010</v>
      </c>
      <c r="D97" t="str">
        <f>INDEX([2]Define!Q:Q,MATCH(C97,[2]Define!P:P))</f>
        <v>ステート付与</v>
      </c>
      <c r="E97">
        <v>1041</v>
      </c>
      <c r="F97">
        <v>1</v>
      </c>
      <c r="G97">
        <v>8</v>
      </c>
      <c r="H97">
        <v>100</v>
      </c>
      <c r="I97" t="str">
        <f>INDEX([4]TextData!B:B,MATCH(E97,[4]TextData!A:A))</f>
        <v>攻撃ダウン</v>
      </c>
    </row>
    <row r="98" spans="1:8">
      <c r="A98">
        <v>12080</v>
      </c>
      <c r="B98" t="str">
        <f>INDEX(TextData!B:B,MATCH(A98,TextData!A:A))</f>
        <v>ウィンドライズ</v>
      </c>
      <c r="C98">
        <v>1010</v>
      </c>
      <c r="D98" t="str">
        <f>INDEX([2]Define!Q:Q,MATCH(C98,[2]Define!P:P))</f>
        <v>Hpダメージ</v>
      </c>
      <c r="E98">
        <v>150</v>
      </c>
      <c r="F98">
        <v>0</v>
      </c>
      <c r="G98">
        <v>0</v>
      </c>
      <c r="H98">
        <v>100</v>
      </c>
    </row>
    <row r="99" spans="1:8">
      <c r="A99">
        <v>12090</v>
      </c>
      <c r="B99" t="str">
        <f>INDEX(TextData!B:B,MATCH(A99,TextData!A:A))</f>
        <v>アウトオブオーダー</v>
      </c>
      <c r="C99">
        <v>5020</v>
      </c>
      <c r="D99" t="str">
        <f>INDEX([2]Define!Q:Q,MATCH(C99,[2]Define!P:P))</f>
        <v>Ap回復</v>
      </c>
      <c r="E99">
        <v>200</v>
      </c>
      <c r="F99">
        <v>0</v>
      </c>
      <c r="G99">
        <v>0</v>
      </c>
      <c r="H99">
        <v>100</v>
      </c>
    </row>
    <row r="100" spans="1:9">
      <c r="A100">
        <v>13010</v>
      </c>
      <c r="B100" t="str">
        <f>INDEX(TextData!B:B,MATCH(A100,TextData!A:A))</f>
        <v>アーマーコード</v>
      </c>
      <c r="C100">
        <v>3010</v>
      </c>
      <c r="D100" t="str">
        <f>INDEX([2]Define!Q:Q,MATCH(C100,[2]Define!P:P))</f>
        <v>ステート付与</v>
      </c>
      <c r="E100">
        <v>1050</v>
      </c>
      <c r="F100">
        <v>999</v>
      </c>
      <c r="G100">
        <v>4</v>
      </c>
      <c r="H100">
        <v>100</v>
      </c>
      <c r="I100" t="str">
        <f>INDEX([4]TextData!B:B,MATCH(E100,[4]TextData!A:A))</f>
        <v>防御アップ</v>
      </c>
    </row>
    <row r="101" spans="1:9">
      <c r="A101">
        <v>13020</v>
      </c>
      <c r="B101" t="str">
        <f>INDEX(TextData!B:B,MATCH(A101,TextData!A:A))</f>
        <v>クイックバリア</v>
      </c>
      <c r="C101">
        <v>3010</v>
      </c>
      <c r="D101" t="str">
        <f>INDEX([2]Define!Q:Q,MATCH(C101,[2]Define!P:P))</f>
        <v>ステート付与</v>
      </c>
      <c r="E101">
        <v>1100</v>
      </c>
      <c r="F101">
        <v>1</v>
      </c>
      <c r="G101">
        <v>25</v>
      </c>
      <c r="H101">
        <v>100</v>
      </c>
      <c r="I101" t="str">
        <f>INDEX([4]TextData!B:B,MATCH(E101,[4]TextData!A:A))</f>
        <v>ダメージカット</v>
      </c>
    </row>
    <row r="102" spans="1:8">
      <c r="A102">
        <v>13030</v>
      </c>
      <c r="B102" t="str">
        <f>INDEX(TextData!B:B,MATCH(A102,TextData!A:A))</f>
        <v>クイックキュア</v>
      </c>
      <c r="C102">
        <v>3030</v>
      </c>
      <c r="D102" t="str">
        <f>INDEX([2]Define!Q:Q,MATCH(C102,[2]Define!P:P))</f>
        <v>Abnormalステート解除</v>
      </c>
      <c r="E102">
        <v>0</v>
      </c>
      <c r="F102">
        <v>0</v>
      </c>
      <c r="G102">
        <v>0</v>
      </c>
      <c r="H102">
        <v>100</v>
      </c>
    </row>
    <row r="103" spans="1:9">
      <c r="A103">
        <v>13040</v>
      </c>
      <c r="B103" t="str">
        <f>INDEX(TextData!B:B,MATCH(A103,TextData!A:A))</f>
        <v>セルフシールド</v>
      </c>
      <c r="C103">
        <v>3010</v>
      </c>
      <c r="D103" t="str">
        <f>INDEX([2]Define!Q:Q,MATCH(C103,[2]Define!P:P))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9">
      <c r="A104">
        <v>13050</v>
      </c>
      <c r="B104" t="str">
        <f>INDEX(TextData!B:B,MATCH(A104,TextData!A:A))</f>
        <v>パッシブジャミング</v>
      </c>
      <c r="C104">
        <v>3010</v>
      </c>
      <c r="D104" t="str">
        <f>INDEX([2]Define!Q:Q,MATCH(C104,[2]Define!P:P))</f>
        <v>ステート付与</v>
      </c>
      <c r="E104">
        <v>2090</v>
      </c>
      <c r="F104">
        <v>3</v>
      </c>
      <c r="G104">
        <v>0</v>
      </c>
      <c r="H104">
        <v>100</v>
      </c>
      <c r="I104" t="str">
        <f>INDEX([4]TextData!B:B,MATCH(E104,[4]TextData!A:A))</f>
        <v>パッシブ封じ</v>
      </c>
    </row>
    <row r="105" spans="1:9">
      <c r="A105">
        <v>13060</v>
      </c>
      <c r="B105" t="str">
        <f>INDEX(TextData!B:B,MATCH(A105,TextData!A:A))</f>
        <v>サプライカバー</v>
      </c>
      <c r="C105">
        <v>3010</v>
      </c>
      <c r="D105" t="str">
        <f>INDEX([2]Define!Q:Q,MATCH(C105,[2]Define!P:P))</f>
        <v>ステート付与</v>
      </c>
      <c r="E105">
        <v>2430</v>
      </c>
      <c r="F105">
        <v>1</v>
      </c>
      <c r="G105">
        <v>0</v>
      </c>
      <c r="H105">
        <v>100</v>
      </c>
      <c r="I105" t="str">
        <f>INDEX([4]TextData!B:B,MATCH(E105,[4]TextData!A:A))</f>
        <v>かばう</v>
      </c>
    </row>
    <row r="106" spans="1:8">
      <c r="A106">
        <v>13070</v>
      </c>
      <c r="B106" t="str">
        <f>INDEX(TextData!B:B,MATCH(A106,TextData!A:A))</f>
        <v>アシッドラッシュ</v>
      </c>
      <c r="C106">
        <v>5050</v>
      </c>
      <c r="D106" t="str">
        <f>INDEX([2]Define!Q:Q,MATCH(C106,[2]Define!P:P))</f>
        <v>APダメージ</v>
      </c>
      <c r="E106">
        <v>200</v>
      </c>
      <c r="F106">
        <v>0</v>
      </c>
      <c r="G106">
        <v>0</v>
      </c>
      <c r="H106">
        <v>100</v>
      </c>
    </row>
    <row r="107" spans="1:9">
      <c r="A107">
        <v>13080</v>
      </c>
      <c r="B107" t="str">
        <f>INDEX(TextData!B:B,MATCH(A107,TextData!A:A))</f>
        <v>ライフスティール</v>
      </c>
      <c r="C107">
        <v>3010</v>
      </c>
      <c r="D107" t="str">
        <f>INDEX([2]Define!Q:Q,MATCH(C107,[2]Define!P:P))</f>
        <v>ステート付与</v>
      </c>
      <c r="E107">
        <v>2060</v>
      </c>
      <c r="F107">
        <v>1</v>
      </c>
      <c r="G107">
        <v>25</v>
      </c>
      <c r="H107">
        <v>100</v>
      </c>
      <c r="I107" t="str">
        <f>INDEX([4]TextData!B:B,MATCH(E107,[4]TextData!A:A))</f>
        <v>ドレイン</v>
      </c>
    </row>
    <row r="108" spans="1:9">
      <c r="A108">
        <v>13090</v>
      </c>
      <c r="B108" t="str">
        <f>INDEX(TextData!B:B,MATCH(A108,TextData!A:A))</f>
        <v>アイスセイバー</v>
      </c>
      <c r="C108">
        <v>3010</v>
      </c>
      <c r="D108" t="str">
        <f>INDEX([2]Define!Q:Q,MATCH(C108,[2]Define!P:P))</f>
        <v>ステート付与</v>
      </c>
      <c r="E108">
        <v>2140</v>
      </c>
      <c r="F108">
        <v>1</v>
      </c>
      <c r="G108">
        <v>25</v>
      </c>
      <c r="H108">
        <v>100</v>
      </c>
      <c r="I108" t="str">
        <f>INDEX([4]TextData!B:B,MATCH(E108,[4]TextData!A:A))</f>
        <v>凍結</v>
      </c>
    </row>
    <row r="109" spans="1:9">
      <c r="A109">
        <v>14010</v>
      </c>
      <c r="B109" t="str">
        <f>INDEX(TextData!B:B,MATCH(A109,TextData!A:A))</f>
        <v>ディバインシールド</v>
      </c>
      <c r="C109">
        <v>3010</v>
      </c>
      <c r="D109" t="str">
        <f>INDEX([2]Define!Q:Q,MATCH(C109,[2]Define!P:P))</f>
        <v>ステート付与</v>
      </c>
      <c r="E109">
        <v>2180</v>
      </c>
      <c r="F109">
        <v>3</v>
      </c>
      <c r="G109">
        <v>0</v>
      </c>
      <c r="H109">
        <v>100</v>
      </c>
      <c r="I109" t="str">
        <f>INDEX([4]TextData!B:B,MATCH(E109,[4]TextData!A:A))</f>
        <v>状態異常回避</v>
      </c>
    </row>
    <row r="110" spans="1:8">
      <c r="A110">
        <v>14020</v>
      </c>
      <c r="B110" t="str">
        <f>INDEX(TextData!B:B,MATCH(A110,TextData!A:A))</f>
        <v>ライフディバイド</v>
      </c>
      <c r="C110">
        <v>2040</v>
      </c>
      <c r="D110" t="str">
        <f>INDEX([2]Define!Q:Q,MATCH(C110,[2]Define!P:P))</f>
        <v>Hpを分け与える</v>
      </c>
      <c r="E110">
        <v>25</v>
      </c>
      <c r="F110">
        <v>0</v>
      </c>
      <c r="G110">
        <v>1</v>
      </c>
      <c r="H110">
        <v>100</v>
      </c>
    </row>
    <row r="111" spans="1:9">
      <c r="A111">
        <v>14030</v>
      </c>
      <c r="B111" t="str">
        <f>INDEX(TextData!B:B,MATCH(A111,TextData!A:A))</f>
        <v>エイミングスコープ</v>
      </c>
      <c r="C111">
        <v>3010</v>
      </c>
      <c r="D111" t="str">
        <f>INDEX([2]Define!Q:Q,MATCH(C111,[2]Define!P:P))</f>
        <v>ステート付与</v>
      </c>
      <c r="E111">
        <v>1081</v>
      </c>
      <c r="F111">
        <v>999</v>
      </c>
      <c r="G111">
        <v>5</v>
      </c>
      <c r="H111">
        <v>100</v>
      </c>
      <c r="I111" t="str">
        <f>INDEX([4]TextData!B:B,MATCH(E111,[4]TextData!A:A))</f>
        <v>命中アップ</v>
      </c>
    </row>
    <row r="112" spans="1:9">
      <c r="A112">
        <v>14040</v>
      </c>
      <c r="B112" t="str">
        <f>INDEX(TextData!B:B,MATCH(A112,TextData!A:A))</f>
        <v>リジェネレーション</v>
      </c>
      <c r="C112">
        <v>3010</v>
      </c>
      <c r="D112" t="str">
        <f>INDEX([2]Define!Q:Q,MATCH(C112,[2]Define!P:P))</f>
        <v>ステート付与</v>
      </c>
      <c r="E112">
        <v>2040</v>
      </c>
      <c r="F112">
        <v>999</v>
      </c>
      <c r="G112">
        <v>5</v>
      </c>
      <c r="H112">
        <v>100</v>
      </c>
      <c r="I112" t="str">
        <f>INDEX([4]TextData!B:B,MATCH(E112,[4]TextData!A:A))</f>
        <v>リジェネ</v>
      </c>
    </row>
    <row r="113" spans="1:9">
      <c r="A113">
        <v>14050</v>
      </c>
      <c r="B113" t="str">
        <f>INDEX(TextData!B:B,MATCH(A113,TextData!A:A))</f>
        <v>ホープフルアイリス</v>
      </c>
      <c r="C113">
        <v>3010</v>
      </c>
      <c r="D113" t="str">
        <f>INDEX([2]Define!Q:Q,MATCH(C113,[2]Define!P:P))</f>
        <v>ステート付与</v>
      </c>
      <c r="E113">
        <v>1020</v>
      </c>
      <c r="F113">
        <v>999</v>
      </c>
      <c r="G113">
        <v>10</v>
      </c>
      <c r="H113">
        <v>100</v>
      </c>
      <c r="I113" t="str">
        <f>INDEX([4]TextData!B:B,MATCH(E113,[4]TextData!A:A))</f>
        <v>最大Hpアップ</v>
      </c>
    </row>
    <row r="114" spans="1:8">
      <c r="A114">
        <v>14060</v>
      </c>
      <c r="B114" t="str">
        <f>INDEX(TextData!B:B,MATCH(A114,TextData!A:A))</f>
        <v>パッシブサプライ</v>
      </c>
      <c r="C114">
        <v>4020</v>
      </c>
      <c r="D114" t="str">
        <f>INDEX([2]Define!Q:Q,MATCH(C114,[2]Define!P:P))</f>
        <v>Ct回復</v>
      </c>
      <c r="E114">
        <v>1</v>
      </c>
      <c r="F114">
        <v>0</v>
      </c>
      <c r="G114">
        <v>0</v>
      </c>
      <c r="H114">
        <v>100</v>
      </c>
    </row>
    <row r="115" spans="1:9">
      <c r="A115">
        <v>14070</v>
      </c>
      <c r="B115" t="str">
        <f>INDEX(TextData!B:B,MATCH(A115,TextData!A:A))</f>
        <v>ホーミングクルセイド</v>
      </c>
      <c r="C115">
        <v>3010</v>
      </c>
      <c r="D115" t="str">
        <f>INDEX([2]Define!Q:Q,MATCH(C115,[2]Define!P:P))</f>
        <v>ステート付与</v>
      </c>
      <c r="E115">
        <v>2240</v>
      </c>
      <c r="F115">
        <v>3</v>
      </c>
      <c r="G115">
        <v>0</v>
      </c>
      <c r="H115">
        <v>100</v>
      </c>
      <c r="I115" t="str">
        <f>INDEX([4]TextData!B:B,MATCH(E115,[4]TextData!A:A))</f>
        <v>必中</v>
      </c>
    </row>
    <row r="116" spans="1:8">
      <c r="A116">
        <v>14080</v>
      </c>
      <c r="B116" t="str">
        <f>INDEX(TextData!B:B,MATCH(A116,TextData!A:A))</f>
        <v>クイックヒール</v>
      </c>
      <c r="C116">
        <v>2010</v>
      </c>
      <c r="D116" t="str">
        <f>INDEX([2]Define!Q:Q,MATCH(C116,[2]Define!P:P))</f>
        <v>Hp回復</v>
      </c>
      <c r="E116">
        <v>10</v>
      </c>
      <c r="F116">
        <v>0</v>
      </c>
      <c r="G116">
        <v>0</v>
      </c>
      <c r="H116">
        <v>100</v>
      </c>
    </row>
    <row r="117" spans="1:9">
      <c r="A117">
        <v>14090</v>
      </c>
      <c r="B117" t="str">
        <f>INDEX(TextData!B:B,MATCH(A117,TextData!A:A))</f>
        <v>リレイズ</v>
      </c>
      <c r="C117">
        <v>3010</v>
      </c>
      <c r="D117" t="str">
        <f>INDEX([2]Define!Q:Q,MATCH(C117,[2]Define!P:P))</f>
        <v>ステート付与</v>
      </c>
      <c r="E117">
        <v>2450</v>
      </c>
      <c r="F117">
        <v>1</v>
      </c>
      <c r="G117">
        <v>1</v>
      </c>
      <c r="H117">
        <v>100</v>
      </c>
      <c r="I117" t="str">
        <f>INDEX([4]TextData!B:B,MATCH(E117,[4]TextData!A:A))</f>
        <v>不死</v>
      </c>
    </row>
    <row r="118" spans="1:9">
      <c r="A118">
        <v>15010</v>
      </c>
      <c r="B118" t="str">
        <f>INDEX(TextData!B:B,MATCH(A118,TextData!A:A))</f>
        <v>イーグルアイ</v>
      </c>
      <c r="C118">
        <v>3010</v>
      </c>
      <c r="D118" t="str">
        <f>INDEX([2]Define!Q:Q,MATCH(C118,[2]Define!P:P))</f>
        <v>ステート付与</v>
      </c>
      <c r="E118">
        <v>1070</v>
      </c>
      <c r="F118">
        <v>999</v>
      </c>
      <c r="G118">
        <v>15</v>
      </c>
      <c r="H118">
        <v>100</v>
      </c>
      <c r="I118" t="str">
        <f>INDEX([4]TextData!B:B,MATCH(E118,[4]TextData!A:A))</f>
        <v>会心率アップ</v>
      </c>
    </row>
    <row r="119" spans="1:9">
      <c r="A119">
        <v>15020</v>
      </c>
      <c r="B119" t="str">
        <f>INDEX(TextData!B:B,MATCH(A119,TextData!A:A))</f>
        <v>ネヴァーエンド</v>
      </c>
      <c r="C119">
        <v>3010</v>
      </c>
      <c r="D119" t="str">
        <f>INDEX([2]Define!Q:Q,MATCH(C119,[2]Define!P:P))</f>
        <v>ステート付与</v>
      </c>
      <c r="E119">
        <v>1070</v>
      </c>
      <c r="F119">
        <v>999</v>
      </c>
      <c r="G119">
        <v>25</v>
      </c>
      <c r="H119">
        <v>100</v>
      </c>
      <c r="I119" t="str">
        <f>INDEX([4]TextData!B:B,MATCH(E119,[4]TextData!A:A))</f>
        <v>会心率アップ</v>
      </c>
    </row>
    <row r="120" spans="1:8">
      <c r="A120">
        <v>15030</v>
      </c>
      <c r="B120" t="str">
        <f>INDEX(TextData!B:B,MATCH(A120,TextData!A:A))</f>
        <v>グレイブアクト</v>
      </c>
      <c r="C120">
        <v>4020</v>
      </c>
      <c r="D120" t="str">
        <f>INDEX([2]Define!Q:Q,MATCH(C120,[2]Define!P:P))</f>
        <v>Ct回復</v>
      </c>
      <c r="E120">
        <v>2</v>
      </c>
      <c r="F120">
        <v>0</v>
      </c>
      <c r="G120">
        <v>0</v>
      </c>
      <c r="H120">
        <v>100</v>
      </c>
    </row>
    <row r="121" spans="1:9">
      <c r="A121">
        <v>15040</v>
      </c>
      <c r="B121" t="str">
        <f>INDEX(TextData!B:B,MATCH(A121,TextData!A:A))</f>
        <v>スカルグラッジ</v>
      </c>
      <c r="C121">
        <v>3010</v>
      </c>
      <c r="D121" t="str">
        <f>INDEX([2]Define!Q:Q,MATCH(C121,[2]Define!P:P))</f>
        <v>ステート付与</v>
      </c>
      <c r="E121">
        <v>2220</v>
      </c>
      <c r="F121">
        <v>999</v>
      </c>
      <c r="G121">
        <v>5</v>
      </c>
      <c r="H121">
        <v>100</v>
      </c>
      <c r="I121" t="str">
        <f>INDEX([4]TextData!B:B,MATCH(E121,[4]TextData!A:A))</f>
        <v>即死付与</v>
      </c>
    </row>
    <row r="122" spans="1:9">
      <c r="A122">
        <v>15050</v>
      </c>
      <c r="B122" t="str">
        <f>INDEX(TextData!B:B,MATCH(A122,TextData!A:A))</f>
        <v>ネガティブドレイン</v>
      </c>
      <c r="C122">
        <v>3010</v>
      </c>
      <c r="D122" t="str">
        <f>INDEX([2]Define!Q:Q,MATCH(C122,[2]Define!P:P))</f>
        <v>ステート付与</v>
      </c>
      <c r="E122">
        <v>2060</v>
      </c>
      <c r="F122">
        <v>0</v>
      </c>
      <c r="G122">
        <v>15</v>
      </c>
      <c r="H122">
        <v>100</v>
      </c>
      <c r="I122" t="str">
        <f>INDEX([4]TextData!B:B,MATCH(E122,[4]TextData!A:A))</f>
        <v>ドレイン</v>
      </c>
    </row>
    <row r="123" spans="1:9">
      <c r="A123">
        <v>15060</v>
      </c>
      <c r="B123" t="str">
        <f>INDEX(TextData!B:B,MATCH(A123,TextData!A:A))</f>
        <v>アンデッドペイン</v>
      </c>
      <c r="C123">
        <v>3010</v>
      </c>
      <c r="D123" t="str">
        <f>INDEX([2]Define!Q:Q,MATCH(C123,[2]Define!P:P))</f>
        <v>ステート付与</v>
      </c>
      <c r="E123">
        <v>2270</v>
      </c>
      <c r="F123">
        <v>0</v>
      </c>
      <c r="G123">
        <v>7</v>
      </c>
      <c r="H123">
        <v>100</v>
      </c>
      <c r="I123" t="str">
        <f>INDEX([4]TextData!B:B,MATCH(E123,[4]TextData!A:A))</f>
        <v>アンデッド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INDEX([2]Define!Q:Q,MATCH(C124,[2]Define!P:P))</f>
        <v>ステート付与</v>
      </c>
      <c r="E124">
        <v>1070</v>
      </c>
      <c r="F124">
        <v>1</v>
      </c>
      <c r="G124">
        <v>50</v>
      </c>
      <c r="H124">
        <v>100</v>
      </c>
      <c r="I124" t="str">
        <f>INDEX([4]TextData!B:B,MATCH(E124,[4]TextData!A:A))</f>
        <v>会心率アップ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INDEX([2]Define!Q:Q,MATCH(C125,[2]Define!P:P))</f>
        <v>ステート付与</v>
      </c>
      <c r="E125">
        <v>1082</v>
      </c>
      <c r="F125">
        <v>1</v>
      </c>
      <c r="G125">
        <v>50</v>
      </c>
      <c r="H125">
        <v>100</v>
      </c>
      <c r="I125" t="str">
        <f>INDEX([4]TextData!B:B,MATCH(E125,[4]TextData!A:A))</f>
        <v>命中ダウン</v>
      </c>
    </row>
    <row r="126" spans="1:8">
      <c r="A126">
        <v>15080</v>
      </c>
      <c r="B126" t="str">
        <f>INDEX(TextData!B:B,MATCH(A126,TextData!A:A))</f>
        <v>ヒールハント</v>
      </c>
      <c r="C126">
        <v>1100</v>
      </c>
      <c r="D126" t="str">
        <f>INDEX([2]Define!Q:Q,MATCH(C126,[2]Define!P:P))</f>
        <v>Hp貫通ダメージ</v>
      </c>
      <c r="E126">
        <v>100</v>
      </c>
      <c r="F126">
        <v>0</v>
      </c>
      <c r="G126">
        <v>30</v>
      </c>
      <c r="H126">
        <v>100</v>
      </c>
    </row>
    <row r="127" spans="1:9">
      <c r="A127">
        <v>15090</v>
      </c>
      <c r="B127" t="str">
        <f>INDEX(TextData!B:B,MATCH(A127,TextData!A:A))</f>
        <v>クイックカース</v>
      </c>
      <c r="C127">
        <v>3010</v>
      </c>
      <c r="D127" t="str">
        <f>INDEX([2]Define!Q:Q,MATCH(C127,[2]Define!P:P))</f>
        <v>ステート付与</v>
      </c>
      <c r="E127">
        <v>1043</v>
      </c>
      <c r="F127">
        <v>1</v>
      </c>
      <c r="G127">
        <v>20</v>
      </c>
      <c r="H127">
        <v>100</v>
      </c>
      <c r="I127" t="str">
        <f>INDEX([4]TextData!B:B,MATCH(E127,[4]TextData!A:A))</f>
        <v>攻撃%ダウン</v>
      </c>
    </row>
    <row r="128" spans="1:9">
      <c r="A128">
        <v>100110</v>
      </c>
      <c r="B128" t="str">
        <f>INDEX(TextData!B:B,MATCH(A128,TextData!A:A))</f>
        <v>ソーイングアームド</v>
      </c>
      <c r="C128">
        <v>3010</v>
      </c>
      <c r="D128" t="str">
        <f>INDEX([2]Define!Q:Q,MATCH(C128,[2]Define!P:P))</f>
        <v>ステート付与</v>
      </c>
      <c r="E128">
        <v>2330</v>
      </c>
      <c r="F128">
        <v>999</v>
      </c>
      <c r="G128">
        <v>25</v>
      </c>
      <c r="H128">
        <v>100</v>
      </c>
      <c r="I128" t="str">
        <f>INDEX([4]TextData!B:B,MATCH(E128,[4]TextData!A:A))</f>
        <v>貫通</v>
      </c>
    </row>
    <row r="129" spans="1:8">
      <c r="A129">
        <v>100110</v>
      </c>
      <c r="B129" t="str">
        <f>INDEX(TextData!B:B,MATCH(A129,TextData!A:A))</f>
        <v>ソーイングアームド</v>
      </c>
      <c r="C129">
        <v>7010</v>
      </c>
      <c r="D129" t="str">
        <f>INDEX([2]Define!Q:Q,MATCH(C129,[2]Define!P:P))</f>
        <v>行動後スキル</v>
      </c>
      <c r="E129">
        <v>11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1010</v>
      </c>
      <c r="D130" t="str">
        <f>INDEX([2]Define!Q:Q,MATCH(C130,[2]Define!P:P))</f>
        <v>Hpダメージ</v>
      </c>
      <c r="E130">
        <v>400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7010</v>
      </c>
      <c r="D131" t="str">
        <f>INDEX([2]Define!Q:Q,MATCH(C131,[2]Define!P:P))</f>
        <v>行動後スキル</v>
      </c>
      <c r="E131">
        <v>21</v>
      </c>
      <c r="F131">
        <v>0</v>
      </c>
      <c r="G131">
        <v>0</v>
      </c>
      <c r="H131">
        <v>100</v>
      </c>
    </row>
    <row r="132" spans="1:9">
      <c r="A132">
        <v>100210</v>
      </c>
      <c r="B132" t="str">
        <f>INDEX(TextData!B:B,MATCH(A132,TextData!A:A))</f>
        <v>アブソリュートパリィ</v>
      </c>
      <c r="C132">
        <v>3010</v>
      </c>
      <c r="D132" t="str">
        <f>INDEX([2]Define!Q:Q,MATCH(C132,[2]Define!P:P))</f>
        <v>ステート付与</v>
      </c>
      <c r="E132">
        <v>1090</v>
      </c>
      <c r="F132">
        <v>3</v>
      </c>
      <c r="G132">
        <v>100</v>
      </c>
      <c r="H132">
        <v>100</v>
      </c>
      <c r="I132" t="str">
        <f>INDEX([4]TextData!B:B,MATCH(E132,[4]TextData!A:A))</f>
        <v>回避アップ</v>
      </c>
    </row>
    <row r="133" spans="1:8">
      <c r="A133">
        <v>100210</v>
      </c>
      <c r="B133" t="str">
        <f>INDEX(TextData!B:B,MATCH(A133,TextData!A:A))</f>
        <v>アブソリュートパリィ</v>
      </c>
      <c r="C133">
        <v>7010</v>
      </c>
      <c r="D133" t="str">
        <f>INDEX([2]Define!Q:Q,MATCH(C133,[2]Define!P:P))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1010</v>
      </c>
      <c r="D134" t="str">
        <f>INDEX([2]Define!Q:Q,MATCH(C134,[2]Define!P:P))</f>
        <v>Hpダメージ</v>
      </c>
      <c r="E134">
        <v>50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7010</v>
      </c>
      <c r="D135" t="str">
        <f>INDEX([2]Define!Q:Q,MATCH(C135,[2]Define!P:P))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100310</v>
      </c>
      <c r="B136" t="str">
        <f>INDEX(TextData!B:B,MATCH(A136,TextData!A:A))</f>
        <v>セイクリッドバリア</v>
      </c>
      <c r="C136">
        <v>3010</v>
      </c>
      <c r="D136" t="str">
        <f>INDEX([2]Define!Q:Q,MATCH(C136,[2]Define!P:P))</f>
        <v>ステート付与</v>
      </c>
      <c r="E136">
        <v>2050</v>
      </c>
      <c r="F136">
        <v>1</v>
      </c>
      <c r="G136">
        <v>0</v>
      </c>
      <c r="H136">
        <v>100</v>
      </c>
      <c r="I136" t="str">
        <f>INDEX([4]TextData!B:B,MATCH(E136,[4]TextData!A:A))</f>
        <v>攻撃無効</v>
      </c>
    </row>
    <row r="137" spans="1:8">
      <c r="A137">
        <v>100310</v>
      </c>
      <c r="B137" t="str">
        <f>INDEX(TextData!B:B,MATCH(A137,TextData!A:A))</f>
        <v>セイクリッドバリア</v>
      </c>
      <c r="C137">
        <v>7010</v>
      </c>
      <c r="D137" t="str">
        <f>INDEX([2]Define!Q:Q,MATCH(C137,[2]Define!P:P))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1090</v>
      </c>
      <c r="D138" t="str">
        <f>INDEX([2]Define!Q:Q,MATCH(C138,[2]Define!P:P))</f>
        <v>受けたダメージ総計ダメージ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7010</v>
      </c>
      <c r="D139" t="str">
        <f>INDEX([2]Define!Q:Q,MATCH(C139,[2]Define!P:P))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100410</v>
      </c>
      <c r="B140" t="str">
        <f>INDEX(TextData!B:B,MATCH(A140,TextData!A:A))</f>
        <v>アバンデンス</v>
      </c>
      <c r="C140">
        <v>3020</v>
      </c>
      <c r="D140" t="str">
        <f>INDEX([2]Define!Q:Q,MATCH(C140,[2]Define!P:P))</f>
        <v>ステート解除</v>
      </c>
      <c r="E140">
        <v>1</v>
      </c>
      <c r="F140">
        <v>0</v>
      </c>
      <c r="G140">
        <v>0</v>
      </c>
      <c r="H140">
        <v>100</v>
      </c>
      <c r="I140" t="str">
        <f>INDEX([4]TextData!B:B,MATCH(E140,[4]TextData!A:A))</f>
        <v>戦闘不能</v>
      </c>
    </row>
    <row r="141" spans="1:8">
      <c r="A141">
        <v>100410</v>
      </c>
      <c r="B141" t="str">
        <f>INDEX(TextData!B:B,MATCH(A141,TextData!A:A))</f>
        <v>アバンデンス</v>
      </c>
      <c r="C141">
        <v>2010</v>
      </c>
      <c r="D141" t="str">
        <f>INDEX([2]Define!Q:Q,MATCH(C141,[2]Define!P:P))</f>
        <v>Hp回復</v>
      </c>
      <c r="E141">
        <v>25</v>
      </c>
      <c r="F141">
        <v>0</v>
      </c>
      <c r="G141">
        <v>0</v>
      </c>
      <c r="H141">
        <v>100</v>
      </c>
    </row>
    <row r="142" spans="1:8">
      <c r="A142">
        <v>100410</v>
      </c>
      <c r="B142" t="str">
        <f>INDEX(TextData!B:B,MATCH(A142,TextData!A:A))</f>
        <v>アバンデンス</v>
      </c>
      <c r="C142">
        <v>7010</v>
      </c>
      <c r="D142" t="str">
        <f>INDEX([2]Define!Q:Q,MATCH(C142,[2]Define!P:P))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9">
      <c r="A143">
        <v>100420</v>
      </c>
      <c r="B143" t="str">
        <f>INDEX(TextData!B:B,MATCH(A143,TextData!A:A))</f>
        <v>ハーヴェスト</v>
      </c>
      <c r="C143">
        <v>3010</v>
      </c>
      <c r="D143" t="str">
        <f>INDEX([2]Define!Q:Q,MATCH(C143,[2]Define!P:P))</f>
        <v>ステート付与</v>
      </c>
      <c r="E143">
        <v>2040</v>
      </c>
      <c r="F143">
        <v>999</v>
      </c>
      <c r="G143">
        <v>10</v>
      </c>
      <c r="H143">
        <v>100</v>
      </c>
      <c r="I143" t="str">
        <f>INDEX([4]TextData!B:B,MATCH(E143,[4]TextData!A:A))</f>
        <v>リジェネ</v>
      </c>
    </row>
    <row r="144" spans="1:8">
      <c r="A144">
        <v>100420</v>
      </c>
      <c r="B144" t="str">
        <f>INDEX(TextData!B:B,MATCH(A144,TextData!A:A))</f>
        <v>ハーヴェスト</v>
      </c>
      <c r="C144">
        <v>7010</v>
      </c>
      <c r="D144" t="str">
        <f>INDEX([2]Define!Q:Q,MATCH(C144,[2]Define!P:P))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100510</v>
      </c>
      <c r="B145" t="str">
        <f>INDEX(TextData!B:B,MATCH(A145,TextData!A:A))</f>
        <v>カースドブレイク</v>
      </c>
      <c r="C145">
        <v>3010</v>
      </c>
      <c r="D145" t="str">
        <f>INDEX([2]Define!Q:Q,MATCH(C145,[2]Define!P:P))</f>
        <v>ステート付与</v>
      </c>
      <c r="E145">
        <v>2470</v>
      </c>
      <c r="F145">
        <v>1</v>
      </c>
      <c r="G145">
        <v>100</v>
      </c>
      <c r="H145">
        <v>100</v>
      </c>
      <c r="I145" t="str">
        <f>INDEX([4]TextData!B:B,MATCH(E145,[4]TextData!A:A))</f>
        <v>呪詛</v>
      </c>
    </row>
    <row r="146" spans="1:8">
      <c r="A146">
        <v>100510</v>
      </c>
      <c r="B146" t="str">
        <f>INDEX(TextData!B:B,MATCH(A146,TextData!A:A))</f>
        <v>カースドブレイク</v>
      </c>
      <c r="C146">
        <v>7010</v>
      </c>
      <c r="D146" t="str">
        <f>INDEX([2]Define!Q:Q,MATCH(C146,[2]Define!P:P))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100520</v>
      </c>
      <c r="B147" t="str">
        <f>INDEX(TextData!B:B,MATCH(A147,TextData!A:A))</f>
        <v>ムーンライトレイ</v>
      </c>
      <c r="C147">
        <v>3010</v>
      </c>
      <c r="D147" t="str">
        <f>INDEX([2]Define!Q:Q,MATCH(C147,[2]Define!P:P))</f>
        <v>ステート付与</v>
      </c>
      <c r="E147">
        <v>2010</v>
      </c>
      <c r="F147">
        <v>2</v>
      </c>
      <c r="G147">
        <v>25</v>
      </c>
      <c r="H147">
        <v>100</v>
      </c>
      <c r="I147" t="str">
        <f>INDEX([4]TextData!B:B,MATCH(E147,[4]TextData!A:A))</f>
        <v>毒</v>
      </c>
    </row>
    <row r="148" spans="1:8">
      <c r="A148">
        <v>100520</v>
      </c>
      <c r="B148" t="str">
        <f>INDEX(TextData!B:B,MATCH(A148,TextData!A:A))</f>
        <v>ムーンライトレイ</v>
      </c>
      <c r="C148">
        <v>7010</v>
      </c>
      <c r="D148" t="str">
        <f>INDEX([2]Define!Q:Q,MATCH(C148,[2]Define!P:P))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4020</v>
      </c>
      <c r="D149" t="str">
        <f>INDEX([2]Define!Q:Q,MATCH(C149,[2]Define!P:P))</f>
        <v>Ct回復</v>
      </c>
      <c r="E149">
        <v>5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7010</v>
      </c>
      <c r="D150" t="str">
        <f>INDEX([2]Define!Q:Q,MATCH(C150,[2]Define!P:P))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1010</v>
      </c>
      <c r="D151" t="str">
        <f>INDEX([2]Define!Q:Q,MATCH(C151,[2]Define!P:P))</f>
        <v>Hpダメージ</v>
      </c>
      <c r="E151">
        <v>200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4010</v>
      </c>
      <c r="D152" t="str">
        <f>INDEX([2]Define!Q:Q,MATCH(C152,[2]Define!P:P))</f>
        <v>Ctダメージ</v>
      </c>
      <c r="E152">
        <v>2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7010</v>
      </c>
      <c r="D153" t="str">
        <f>INDEX([2]Define!Q:Q,MATCH(C153,[2]Define!P:P))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9">
      <c r="A154">
        <v>100710</v>
      </c>
      <c r="B154" t="str">
        <f>INDEX(TextData!B:B,MATCH(A154,TextData!A:A))</f>
        <v>ライズザフラッグ</v>
      </c>
      <c r="C154">
        <v>3010</v>
      </c>
      <c r="D154" t="str">
        <f>INDEX([2]Define!Q:Q,MATCH(C154,[2]Define!P:P))</f>
        <v>ステート付与</v>
      </c>
      <c r="E154">
        <v>2420</v>
      </c>
      <c r="F154">
        <v>3</v>
      </c>
      <c r="G154">
        <v>0</v>
      </c>
      <c r="H154">
        <v>100</v>
      </c>
      <c r="I154" t="str">
        <f>INDEX([4]TextData!B:B,MATCH(E154,[4]TextData!A:A))</f>
        <v>フォロー</v>
      </c>
    </row>
    <row r="155" spans="1:8">
      <c r="A155">
        <v>100710</v>
      </c>
      <c r="B155" t="str">
        <f>INDEX(TextData!B:B,MATCH(A155,TextData!A:A))</f>
        <v>ライズザフラッグ</v>
      </c>
      <c r="C155">
        <v>7010</v>
      </c>
      <c r="D155" t="str">
        <f>INDEX([2]Define!Q:Q,MATCH(C155,[2]Define!P:P))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INDEX([2]Define!Q:Q,MATCH(C156,[2]Define!P:P))</f>
        <v>ステート付与</v>
      </c>
      <c r="E156">
        <v>1040</v>
      </c>
      <c r="F156">
        <v>999</v>
      </c>
      <c r="G156">
        <v>8</v>
      </c>
      <c r="H156">
        <v>100</v>
      </c>
      <c r="I156" t="str">
        <f>INDEX([4]TextData!B:B,MATCH(E156,[4]TextData!A:A))</f>
        <v>攻撃アップ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INDEX([2]Define!Q:Q,MATCH(C157,[2]Define!P:P))</f>
        <v>ステート付与</v>
      </c>
      <c r="E157">
        <v>1050</v>
      </c>
      <c r="F157">
        <v>999</v>
      </c>
      <c r="G157">
        <v>8</v>
      </c>
      <c r="H157">
        <v>100</v>
      </c>
      <c r="I157" t="str">
        <f>INDEX([4]TextData!B:B,MATCH(E157,[4]TextData!A:A))</f>
        <v>防御アップ</v>
      </c>
    </row>
    <row r="158" spans="1:8">
      <c r="A158">
        <v>100720</v>
      </c>
      <c r="B158" t="str">
        <f>INDEX(TextData!B:B,MATCH(A158,TextData!A:A))</f>
        <v>オーバーリミット</v>
      </c>
      <c r="C158">
        <v>7010</v>
      </c>
      <c r="D158" t="str">
        <f>INDEX([2]Define!Q:Q,MATCH(C158,[2]Define!P:P))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INDEX([2]Define!Q:Q,MATCH(C159,[2]Define!P:P))</f>
        <v>ステート付与</v>
      </c>
      <c r="E159">
        <v>1040</v>
      </c>
      <c r="F159">
        <v>999</v>
      </c>
      <c r="G159">
        <v>8</v>
      </c>
      <c r="H159">
        <v>100</v>
      </c>
      <c r="I159" t="str">
        <f>INDEX([4]TextData!B:B,MATCH(E159,[4]TextData!A:A))</f>
        <v>攻撃アップ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INDEX([2]Define!Q:Q,MATCH(C160,[2]Define!P:P))</f>
        <v>ステート付与</v>
      </c>
      <c r="E160">
        <v>1050</v>
      </c>
      <c r="F160">
        <v>999</v>
      </c>
      <c r="G160">
        <v>8</v>
      </c>
      <c r="H160">
        <v>100</v>
      </c>
      <c r="I160" t="str">
        <f>INDEX([4]TextData!B:B,MATCH(E160,[4]TextData!A:A))</f>
        <v>防御アップ</v>
      </c>
    </row>
    <row r="161" spans="1:8">
      <c r="A161">
        <v>100810</v>
      </c>
      <c r="B161" t="str">
        <f>INDEX(TextData!B:B,MATCH(A161,TextData!A:A))</f>
        <v>テンパランス</v>
      </c>
      <c r="C161">
        <v>7010</v>
      </c>
      <c r="D161" t="str">
        <f>INDEX([2]Define!Q:Q,MATCH(C161,[2]Define!P:P))</f>
        <v>行動後スキル</v>
      </c>
      <c r="E161">
        <v>11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1010</v>
      </c>
      <c r="D162" t="str">
        <f>INDEX([2]Define!Q:Q,MATCH(C162,[2]Define!P:P))</f>
        <v>Hpダメージ</v>
      </c>
      <c r="E162">
        <v>300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7010</v>
      </c>
      <c r="D163" t="str">
        <f>INDEX([2]Define!Q:Q,MATCH(C163,[2]Define!P:P))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1010</v>
      </c>
      <c r="D164" t="str">
        <f>INDEX([2]Define!Q:Q,MATCH(C164,[2]Define!P:P))</f>
        <v>Hpダメージ</v>
      </c>
      <c r="E164">
        <v>350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7010</v>
      </c>
      <c r="D165" t="str">
        <f>INDEX([2]Define!Q:Q,MATCH(C165,[2]Define!P:P))</f>
        <v>行動後スキル</v>
      </c>
      <c r="E165">
        <v>100911</v>
      </c>
      <c r="F165">
        <v>0</v>
      </c>
      <c r="G165">
        <v>0</v>
      </c>
      <c r="H165">
        <v>100</v>
      </c>
    </row>
    <row r="166" spans="1:8">
      <c r="A166">
        <v>100911</v>
      </c>
      <c r="B166" t="str">
        <f>INDEX(TextData!B:B,MATCH(A166,TextData!A:A))</f>
        <v>バーニングカウンター</v>
      </c>
      <c r="C166">
        <v>7010</v>
      </c>
      <c r="D166" t="str">
        <f>INDEX([2]Define!Q:Q,MATCH(C166,[2]Define!P:P))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1010</v>
      </c>
      <c r="D167" t="str">
        <f>INDEX([2]Define!Q:Q,MATCH(C167,[2]Define!P:P))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7010</v>
      </c>
      <c r="D168" t="str">
        <f>INDEX([2]Define!Q:Q,MATCH(C168,[2]Define!P:P))</f>
        <v>行動後スキル</v>
      </c>
      <c r="E168">
        <v>100921</v>
      </c>
      <c r="F168">
        <v>0</v>
      </c>
      <c r="G168">
        <v>0</v>
      </c>
      <c r="H168">
        <v>100</v>
      </c>
    </row>
    <row r="169" spans="1:9">
      <c r="A169">
        <v>100921</v>
      </c>
      <c r="B169" t="str">
        <f>INDEX(TextData!B:B,MATCH(A169,TextData!A:A))</f>
        <v>プロミネンス</v>
      </c>
      <c r="C169">
        <v>3010</v>
      </c>
      <c r="D169" t="str">
        <f>INDEX([2]Define!Q:Q,MATCH(C169,[2]Define!P:P))</f>
        <v>ステート付与</v>
      </c>
      <c r="E169">
        <v>1070</v>
      </c>
      <c r="F169">
        <v>999</v>
      </c>
      <c r="G169">
        <v>30</v>
      </c>
      <c r="H169">
        <v>100</v>
      </c>
      <c r="I169" t="str">
        <f>INDEX([4]TextData!B:B,MATCH(E169,[4]TextData!A:A))</f>
        <v>会心率アップ</v>
      </c>
    </row>
    <row r="170" spans="1:8">
      <c r="A170">
        <v>100921</v>
      </c>
      <c r="B170" t="str">
        <f>INDEX(TextData!B:B,MATCH(A170,TextData!A:A))</f>
        <v>プロミネンス</v>
      </c>
      <c r="C170">
        <v>7010</v>
      </c>
      <c r="D170" t="str">
        <f>INDEX([2]Define!Q:Q,MATCH(C170,[2]Define!P:P))</f>
        <v>行動後スキル</v>
      </c>
      <c r="E170">
        <v>21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12010</v>
      </c>
      <c r="D171" t="str">
        <f>INDEX([2]Define!Q:Q,MATCH(C171,[2]Define!P:P))</f>
        <v>最後に受けたAbnormalを相手に移す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13010</v>
      </c>
      <c r="D172" t="str">
        <f>INDEX([2]Define!Q:Q,MATCH(C172,[2]Define!P:P))</f>
        <v>対象のバフを奪い取る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7010</v>
      </c>
      <c r="D173" t="str">
        <f>INDEX([2]Define!Q:Q,MATCH(C173,[2]Define!P:P))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1010</v>
      </c>
      <c r="D174" t="str">
        <f>INDEX([2]Define!Q:Q,MATCH(C174,[2]Define!P:P))</f>
        <v>Hpダメージ</v>
      </c>
      <c r="E174">
        <v>300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7010</v>
      </c>
      <c r="D175" t="str">
        <f>INDEX([2]Define!Q:Q,MATCH(C175,[2]Define!P:P))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101110</v>
      </c>
      <c r="B176" t="str">
        <f>INDEX(TextData!B:B,MATCH(A176,TextData!A:A))</f>
        <v>アバランシュ</v>
      </c>
      <c r="C176">
        <v>3070</v>
      </c>
      <c r="D176" t="str">
        <f>INDEX([2]Define!Q:Q,MATCH(C176,[2]Define!P:P))</f>
        <v>ステートの効果を変更</v>
      </c>
      <c r="E176">
        <v>2140</v>
      </c>
      <c r="F176">
        <v>1</v>
      </c>
      <c r="G176">
        <v>200</v>
      </c>
      <c r="H176">
        <v>100</v>
      </c>
      <c r="I176" t="str">
        <f>INDEX([4]TextData!B:B,MATCH(E176,[4]TextData!A:A))</f>
        <v>凍結</v>
      </c>
    </row>
    <row r="177" spans="1:8">
      <c r="A177">
        <v>101110</v>
      </c>
      <c r="B177" t="str">
        <f>INDEX(TextData!B:B,MATCH(A177,TextData!A:A))</f>
        <v>アバランシュ</v>
      </c>
      <c r="C177">
        <v>7010</v>
      </c>
      <c r="D177" t="str">
        <f>INDEX([2]Define!Q:Q,MATCH(C177,[2]Define!P:P))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1040</v>
      </c>
      <c r="D178" t="str">
        <f>INDEX([2]Define!Q:Q,MATCH(C178,[2]Define!P:P))</f>
        <v>特定ステートダメージ</v>
      </c>
      <c r="E178">
        <v>400</v>
      </c>
      <c r="F178">
        <v>200</v>
      </c>
      <c r="G178">
        <v>2140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7010</v>
      </c>
      <c r="D179" t="str">
        <f>INDEX([2]Define!Q:Q,MATCH(C179,[2]Define!P:P))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ht="11" customHeight="1" spans="1:9">
      <c r="A180">
        <v>200210</v>
      </c>
      <c r="B180" t="str">
        <f>INDEX(TextData!B:B,MATCH(A180,TextData!A:A))</f>
        <v>マイトレインフォース</v>
      </c>
      <c r="C180">
        <v>3010</v>
      </c>
      <c r="D180" t="str">
        <f>INDEX([2]Define!Q:Q,MATCH(C180,[2]Define!P:P))</f>
        <v>ステート付与</v>
      </c>
      <c r="E180">
        <v>1040</v>
      </c>
      <c r="F180">
        <v>999</v>
      </c>
      <c r="G180">
        <v>20</v>
      </c>
      <c r="H180">
        <v>100</v>
      </c>
      <c r="I180" t="str">
        <f>INDEX([4]TextData!B:B,MATCH(E180,[4]TextData!A:A))</f>
        <v>攻撃アップ</v>
      </c>
    </row>
    <row r="181" spans="1:8">
      <c r="A181">
        <v>200210</v>
      </c>
      <c r="B181" t="str">
        <f>INDEX(TextData!B:B,MATCH(A181,TextData!A:A))</f>
        <v>マイトレインフォース</v>
      </c>
      <c r="C181">
        <v>7010</v>
      </c>
      <c r="D181" t="str">
        <f>INDEX([2]Define!Q:Q,MATCH(C181,[2]Define!P:P))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1010</v>
      </c>
      <c r="D182" t="str">
        <f>INDEX([2]Define!Q:Q,MATCH(C182,[2]Define!P:P))</f>
        <v>Hpダメージ</v>
      </c>
      <c r="E182">
        <v>500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7010</v>
      </c>
      <c r="D183" t="str">
        <f>INDEX([2]Define!Q:Q,MATCH(C183,[2]Define!P:P))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200230</v>
      </c>
      <c r="B184" t="str">
        <f>INDEX(TextData!B:B,MATCH(A184,TextData!A:A))</f>
        <v>悪魔(ベリト)</v>
      </c>
      <c r="C184">
        <v>3010</v>
      </c>
      <c r="D184" t="str">
        <f>INDEX([2]Define!Q:Q,MATCH(C184,[2]Define!P:P))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9">
      <c r="A185">
        <v>200310</v>
      </c>
      <c r="B185" t="str">
        <f>INDEX(TextData!B:B,MATCH(A185,TextData!A:A))</f>
        <v>プルガシオン</v>
      </c>
      <c r="C185">
        <v>3010</v>
      </c>
      <c r="D185" t="str">
        <f>INDEX([2]Define!Q:Q,MATCH(C185,[2]Define!P:P))</f>
        <v>ステート付与</v>
      </c>
      <c r="E185">
        <v>2040</v>
      </c>
      <c r="F185">
        <v>3</v>
      </c>
      <c r="G185">
        <v>25</v>
      </c>
      <c r="H185">
        <v>100</v>
      </c>
      <c r="I185" t="str">
        <f>INDEX([4]TextData!B:B,MATCH(E185,[4]TextData!A:A))</f>
        <v>リジェネ</v>
      </c>
    </row>
    <row r="186" spans="1:8">
      <c r="A186">
        <v>200310</v>
      </c>
      <c r="B186" t="str">
        <f>INDEX(TextData!B:B,MATCH(A186,TextData!A:A))</f>
        <v>プルガシオン</v>
      </c>
      <c r="C186">
        <v>7010</v>
      </c>
      <c r="D186" t="str">
        <f>INDEX([2]Define!Q:Q,MATCH(C186,[2]Define!P:P))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9">
      <c r="A187">
        <v>200320</v>
      </c>
      <c r="B187" t="str">
        <f>INDEX(TextData!B:B,MATCH(A187,TextData!A:A))</f>
        <v>プリエステス</v>
      </c>
      <c r="C187">
        <v>3010</v>
      </c>
      <c r="D187" t="str">
        <f>INDEX([2]Define!Q:Q,MATCH(C187,[2]Define!P:P))</f>
        <v>ステート付与</v>
      </c>
      <c r="E187">
        <v>2030</v>
      </c>
      <c r="F187">
        <v>999</v>
      </c>
      <c r="G187">
        <v>50</v>
      </c>
      <c r="H187">
        <v>100</v>
      </c>
      <c r="I187" t="str">
        <f>INDEX([4]TextData!B:B,MATCH(E187,[4]TextData!A:A))</f>
        <v>カウンタ</v>
      </c>
    </row>
    <row r="188" spans="1:8">
      <c r="A188">
        <v>200320</v>
      </c>
      <c r="B188" t="str">
        <f>INDEX(TextData!B:B,MATCH(A188,TextData!A:A))</f>
        <v>プリエステス</v>
      </c>
      <c r="C188">
        <v>7010</v>
      </c>
      <c r="D188" t="str">
        <f>INDEX([2]Define!Q:Q,MATCH(C188,[2]Define!P:P))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INDEX([2]Define!Q:Q,MATCH(C189,[2]Define!P:P))</f>
        <v>ステート付与</v>
      </c>
      <c r="E189">
        <v>2340</v>
      </c>
      <c r="F189">
        <v>999</v>
      </c>
      <c r="G189">
        <v>0</v>
      </c>
      <c r="H189">
        <v>100</v>
      </c>
      <c r="I189" t="str">
        <f>INDEX([4]TextData!B:B,MATCH(E189,[4]TextData!A:A))</f>
        <v>対象列化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INDEX([2]Define!Q:Q,MATCH(C190,[2]Define!P:P))</f>
        <v>ステート付与</v>
      </c>
      <c r="E190">
        <v>2190</v>
      </c>
      <c r="F190">
        <v>999</v>
      </c>
      <c r="G190">
        <v>0</v>
      </c>
      <c r="H190">
        <v>100</v>
      </c>
      <c r="I190" t="str">
        <f>INDEX([4]TextData!B:B,MATCH(E190,[4]TextData!A:A))</f>
        <v>対象範囲延長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1010</v>
      </c>
      <c r="D191" t="str">
        <f>INDEX([2]Define!Q:Q,MATCH(C191,[2]Define!P:P))</f>
        <v>Hpダメージ</v>
      </c>
      <c r="E191">
        <v>300</v>
      </c>
      <c r="F191">
        <v>0</v>
      </c>
      <c r="G191">
        <v>0</v>
      </c>
      <c r="H191">
        <v>100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7010</v>
      </c>
      <c r="D192" t="str">
        <f>INDEX([2]Define!Q:Q,MATCH(C192,[2]Define!P:P))</f>
        <v>行動後スキル</v>
      </c>
      <c r="E192">
        <v>200411</v>
      </c>
      <c r="F192">
        <v>0</v>
      </c>
      <c r="G192">
        <v>0</v>
      </c>
      <c r="H192">
        <v>100</v>
      </c>
    </row>
    <row r="193" spans="1:9">
      <c r="A193">
        <v>200411</v>
      </c>
      <c r="B193" t="str">
        <f>INDEX(TextData!B:B,MATCH(A193,TextData!A:A))</f>
        <v>コウソクテンショウ</v>
      </c>
      <c r="C193">
        <v>3010</v>
      </c>
      <c r="D193" t="str">
        <f>INDEX([2]Define!Q:Q,MATCH(C193,[2]Define!P:P))</f>
        <v>ステート付与</v>
      </c>
      <c r="E193">
        <v>2060</v>
      </c>
      <c r="F193">
        <v>999</v>
      </c>
      <c r="G193">
        <v>25</v>
      </c>
      <c r="H193">
        <v>100</v>
      </c>
      <c r="I193" t="str">
        <f>INDEX([4]TextData!B:B,MATCH(E193,[4]TextData!A:A))</f>
        <v>ドレイン</v>
      </c>
    </row>
    <row r="194" spans="1:8">
      <c r="A194">
        <v>200411</v>
      </c>
      <c r="B194" t="str">
        <f>INDEX(TextData!B:B,MATCH(A194,TextData!A:A))</f>
        <v>コウソクテンショウ</v>
      </c>
      <c r="C194">
        <v>7010</v>
      </c>
      <c r="D194" t="str">
        <f>INDEX([2]Define!Q:Q,MATCH(C194,[2]Define!P:P))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3050</v>
      </c>
      <c r="D195" t="str">
        <f>INDEX([2]Define!Q:Q,MATCH(C195,[2]Define!P:P))</f>
        <v>バフステート解除</v>
      </c>
      <c r="E195">
        <v>0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7010</v>
      </c>
      <c r="D196" t="str">
        <f>INDEX([2]Define!Q:Q,MATCH(C196,[2]Define!P:P))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200430</v>
      </c>
      <c r="B197" t="str">
        <f>INDEX(TextData!B:B,MATCH(A197,TextData!A:A))</f>
        <v>悪魔(アンドラス)</v>
      </c>
      <c r="C197">
        <v>6100</v>
      </c>
      <c r="D197" t="str">
        <f>INDEX([2]Define!Q:Q,MATCH(C197,[2]Define!P:P))</f>
        <v>指定魔法の攻撃回数を増やす(強化限定)</v>
      </c>
      <c r="E197">
        <v>2010</v>
      </c>
      <c r="F197">
        <v>0</v>
      </c>
      <c r="G197">
        <v>3</v>
      </c>
      <c r="H197">
        <v>100</v>
      </c>
    </row>
    <row r="198" spans="1:9">
      <c r="A198">
        <v>200510</v>
      </c>
      <c r="B198" t="str">
        <f>INDEX(TextData!B:B,MATCH(A198,TextData!A:A))</f>
        <v>カウントダウン</v>
      </c>
      <c r="C198">
        <v>3010</v>
      </c>
      <c r="D198" t="str">
        <f>INDEX([2]Define!Q:Q,MATCH(C198,[2]Define!P:P))</f>
        <v>ステート付与</v>
      </c>
      <c r="E198">
        <v>2050</v>
      </c>
      <c r="F198">
        <v>10</v>
      </c>
      <c r="G198">
        <v>0</v>
      </c>
      <c r="H198">
        <v>100</v>
      </c>
      <c r="I198" t="str">
        <f>INDEX([4]TextData!B:B,MATCH(E198,[4]TextData!A:A))</f>
        <v>攻撃無効</v>
      </c>
    </row>
    <row r="199" spans="1:8">
      <c r="A199">
        <v>200510</v>
      </c>
      <c r="B199" t="str">
        <f>INDEX(TextData!B:B,MATCH(A199,TextData!A:A))</f>
        <v>カウントダウン</v>
      </c>
      <c r="C199">
        <v>7010</v>
      </c>
      <c r="D199" t="str">
        <f>INDEX([2]Define!Q:Q,MATCH(C199,[2]Define!P:P))</f>
        <v>行動後スキル</v>
      </c>
      <c r="E199">
        <v>11</v>
      </c>
      <c r="F199">
        <v>0</v>
      </c>
      <c r="G199">
        <v>0</v>
      </c>
      <c r="H199">
        <v>100</v>
      </c>
    </row>
    <row r="200" spans="1:9">
      <c r="A200">
        <v>200520</v>
      </c>
      <c r="B200" t="str">
        <f>INDEX(TextData!B:B,MATCH(A200,TextData!A:A))</f>
        <v>グラウンドゼロ</v>
      </c>
      <c r="C200">
        <v>3010</v>
      </c>
      <c r="D200" t="str">
        <f>INDEX([2]Define!Q:Q,MATCH(C200,[2]Define!P:P))</f>
        <v>ステート付与</v>
      </c>
      <c r="E200">
        <v>1</v>
      </c>
      <c r="F200">
        <v>0</v>
      </c>
      <c r="G200">
        <v>0</v>
      </c>
      <c r="H200">
        <v>100</v>
      </c>
      <c r="I200" t="str">
        <f>INDEX([4]TextData!B:B,MATCH(E200,[4]TextData!A:A))</f>
        <v>戦闘不能</v>
      </c>
    </row>
    <row r="201" spans="1:8">
      <c r="A201">
        <v>200520</v>
      </c>
      <c r="B201" t="str">
        <f>INDEX(TextData!B:B,MATCH(A201,TextData!A:A))</f>
        <v>グラウンドゼロ</v>
      </c>
      <c r="C201">
        <v>11010</v>
      </c>
      <c r="D201" t="str">
        <f>INDEX([2]Define!Q:Q,MATCH(C201,[2]Define!P:P))</f>
        <v>命中判定しない</v>
      </c>
      <c r="E201">
        <v>0</v>
      </c>
      <c r="F201">
        <v>0</v>
      </c>
      <c r="G201">
        <v>0</v>
      </c>
      <c r="H201">
        <v>100</v>
      </c>
    </row>
    <row r="202" spans="1:8">
      <c r="A202">
        <v>200520</v>
      </c>
      <c r="B202" t="str">
        <f>INDEX(TextData!B:B,MATCH(A202,TextData!A:A))</f>
        <v>グラウンドゼロ</v>
      </c>
      <c r="C202">
        <v>7010</v>
      </c>
      <c r="D202" t="str">
        <f>INDEX([2]Define!Q:Q,MATCH(C202,[2]Define!P:P))</f>
        <v>行動後スキル</v>
      </c>
      <c r="E202">
        <v>21</v>
      </c>
      <c r="F202">
        <v>0</v>
      </c>
      <c r="G202">
        <v>0</v>
      </c>
      <c r="H202">
        <v>100</v>
      </c>
    </row>
    <row r="203" spans="1:9">
      <c r="A203">
        <v>200530</v>
      </c>
      <c r="B203" t="str">
        <f>INDEX(TextData!B:B,MATCH(A203,TextData!A:A))</f>
        <v>悪魔(ビフロンス)</v>
      </c>
      <c r="C203">
        <v>3010</v>
      </c>
      <c r="D203" t="str">
        <f>INDEX([2]Define!Q:Q,MATCH(C203,[2]Define!P:P))</f>
        <v>ステート付与</v>
      </c>
      <c r="E203">
        <v>2410</v>
      </c>
      <c r="F203">
        <v>999</v>
      </c>
      <c r="G203">
        <v>25</v>
      </c>
      <c r="H203">
        <v>100</v>
      </c>
      <c r="I203" t="str">
        <f>INDEX([4]TextData!B:B,MATCH(E203,[4]TextData!A:A))</f>
        <v>シールド</v>
      </c>
    </row>
    <row r="204" spans="1:9">
      <c r="A204">
        <v>201010</v>
      </c>
      <c r="B204" t="str">
        <f>INDEX(TextData!B:B,MATCH(A204,TextData!A:A))</f>
        <v>カオスペイン</v>
      </c>
      <c r="C204">
        <v>3010</v>
      </c>
      <c r="D204" t="str">
        <f>INDEX([2]Define!Q:Q,MATCH(C204,[2]Define!P:P))</f>
        <v>ステート付与</v>
      </c>
      <c r="E204">
        <v>2010</v>
      </c>
      <c r="F204">
        <v>2</v>
      </c>
      <c r="G204">
        <v>25</v>
      </c>
      <c r="H204">
        <v>100</v>
      </c>
      <c r="I204" t="str">
        <f>INDEX([4]TextData!B:B,MATCH(E204,[4]TextData!A:A))</f>
        <v>毒</v>
      </c>
    </row>
    <row r="205" spans="1:8">
      <c r="A205">
        <v>201010</v>
      </c>
      <c r="B205" t="str">
        <f>INDEX(TextData!B:B,MATCH(A205,TextData!A:A))</f>
        <v>カオスペイン</v>
      </c>
      <c r="C205">
        <v>7010</v>
      </c>
      <c r="D205" t="str">
        <f>INDEX([2]Define!Q:Q,MATCH(C205,[2]Define!P:P))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2030</v>
      </c>
      <c r="D206" t="str">
        <f>INDEX([2]Define!Q:Q,MATCH(C206,[2]Define!P:P))</f>
        <v>対象のHpを1にする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11010</v>
      </c>
      <c r="D207" t="str">
        <f>INDEX([2]Define!Q:Q,MATCH(C207,[2]Define!P:P))</f>
        <v>命中判定しない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7010</v>
      </c>
      <c r="D208" t="str">
        <f>INDEX([2]Define!Q:Q,MATCH(C208,[2]Define!P:P))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201030</v>
      </c>
      <c r="B209" t="str">
        <f>INDEX(TextData!B:B,MATCH(A209,TextData!A:A))</f>
        <v>アンリマユ</v>
      </c>
      <c r="C209">
        <v>3010</v>
      </c>
      <c r="D209" t="str">
        <f>INDEX([2]Define!Q:Q,MATCH(C209,[2]Define!P:P))</f>
        <v>ステート付与</v>
      </c>
      <c r="E209">
        <v>2050</v>
      </c>
      <c r="F209">
        <v>2</v>
      </c>
      <c r="G209">
        <v>0</v>
      </c>
      <c r="H209">
        <v>100</v>
      </c>
      <c r="I209" t="str">
        <f>INDEX([4]TextData!B:B,MATCH(E209,[4]TextData!A:A))</f>
        <v>攻撃無効</v>
      </c>
    </row>
    <row r="210" spans="1:9">
      <c r="A210">
        <v>300010</v>
      </c>
      <c r="B210" t="str">
        <f>INDEX(TextData!B:B,MATCH(A210,TextData!A:A))</f>
        <v>ライフブースト</v>
      </c>
      <c r="C210">
        <v>3010</v>
      </c>
      <c r="D210" t="str">
        <f>INDEX([2]Define!Q:Q,MATCH(C210,[2]Define!P:P))</f>
        <v>ステート付与</v>
      </c>
      <c r="E210">
        <v>1020</v>
      </c>
      <c r="F210">
        <v>999</v>
      </c>
      <c r="G210">
        <v>5</v>
      </c>
      <c r="H210">
        <v>100</v>
      </c>
      <c r="I210" t="str">
        <f>INDEX([4]TextData!B:B,MATCH(E210,[4]TextData!A:A))</f>
        <v>最大Hpアップ</v>
      </c>
    </row>
    <row r="211" spans="1:8">
      <c r="A211">
        <v>300020</v>
      </c>
      <c r="B211" t="str">
        <f>INDEX(TextData!B:B,MATCH(A211,TextData!A:A))</f>
        <v>スピリットチャージ</v>
      </c>
      <c r="C211">
        <v>4040</v>
      </c>
      <c r="D211" t="str">
        <f>INDEX([2]Define!Q:Q,MATCH(C211,[2]Define!P:P))</f>
        <v>指定魔法のCｔ回復</v>
      </c>
      <c r="E211">
        <v>1</v>
      </c>
      <c r="F211">
        <v>0</v>
      </c>
      <c r="G211">
        <v>0</v>
      </c>
      <c r="H211">
        <v>100</v>
      </c>
    </row>
    <row r="212" spans="1:9">
      <c r="A212">
        <v>300030</v>
      </c>
      <c r="B212" t="str">
        <f>INDEX(TextData!B:B,MATCH(A212,TextData!A:A))</f>
        <v>フォースライズ</v>
      </c>
      <c r="C212">
        <v>3010</v>
      </c>
      <c r="D212" t="str">
        <f>INDEX([2]Define!Q:Q,MATCH(C212,[2]Define!P:P))</f>
        <v>ステート付与</v>
      </c>
      <c r="E212">
        <v>1040</v>
      </c>
      <c r="F212">
        <v>999</v>
      </c>
      <c r="G212">
        <v>4</v>
      </c>
      <c r="H212">
        <v>100</v>
      </c>
      <c r="I212" t="str">
        <f>INDEX([4]TextData!B:B,MATCH(E212,[4]TextData!A:A))</f>
        <v>攻撃アップ</v>
      </c>
    </row>
    <row r="213" spans="1:9">
      <c r="A213">
        <v>300040</v>
      </c>
      <c r="B213" t="str">
        <f>INDEX(TextData!B:B,MATCH(A213,TextData!A:A))</f>
        <v>ディフェンスオーラ</v>
      </c>
      <c r="C213">
        <v>3010</v>
      </c>
      <c r="D213" t="str">
        <f>INDEX([2]Define!Q:Q,MATCH(C213,[2]Define!P:P))</f>
        <v>ステート付与</v>
      </c>
      <c r="E213">
        <v>1050</v>
      </c>
      <c r="F213">
        <v>999</v>
      </c>
      <c r="G213">
        <v>4</v>
      </c>
      <c r="H213">
        <v>100</v>
      </c>
      <c r="I213" t="str">
        <f>INDEX([4]TextData!B:B,MATCH(E213,[4]TextData!A:A))</f>
        <v>防御アップ</v>
      </c>
    </row>
    <row r="214" spans="1:9">
      <c r="A214">
        <v>300050</v>
      </c>
      <c r="B214" t="str">
        <f>INDEX(TextData!B:B,MATCH(A214,TextData!A:A))</f>
        <v>ラピッドムーブ</v>
      </c>
      <c r="C214">
        <v>3010</v>
      </c>
      <c r="D214" t="str">
        <f>INDEX([2]Define!Q:Q,MATCH(C214,[2]Define!P:P))</f>
        <v>ステート付与</v>
      </c>
      <c r="E214">
        <v>1060</v>
      </c>
      <c r="F214">
        <v>999</v>
      </c>
      <c r="G214">
        <v>3</v>
      </c>
      <c r="H214">
        <v>100</v>
      </c>
      <c r="I214" t="str">
        <f>INDEX([4]TextData!B:B,MATCH(E214,[4]TextData!A:A))</f>
        <v>速度アップ</v>
      </c>
    </row>
    <row r="215" spans="1:9">
      <c r="A215">
        <v>300130</v>
      </c>
      <c r="B215" t="str">
        <f>INDEX(TextData!B:B,MATCH(A215,TextData!A:A))</f>
        <v>アタックブレイク</v>
      </c>
      <c r="C215">
        <v>3010</v>
      </c>
      <c r="D215" t="str">
        <f>INDEX([2]Define!Q:Q,MATCH(C215,[2]Define!P:P))</f>
        <v>ステート付与</v>
      </c>
      <c r="E215">
        <v>1041</v>
      </c>
      <c r="F215">
        <v>999</v>
      </c>
      <c r="G215">
        <v>4</v>
      </c>
      <c r="H215">
        <v>100</v>
      </c>
      <c r="I215" t="str">
        <f>INDEX([4]TextData!B:B,MATCH(E215,[4]TextData!A:A))</f>
        <v>攻撃ダウン</v>
      </c>
    </row>
    <row r="216" spans="1:9">
      <c r="A216">
        <v>300140</v>
      </c>
      <c r="B216" t="str">
        <f>INDEX(TextData!B:B,MATCH(A216,TextData!A:A))</f>
        <v>シールドバニッシュ</v>
      </c>
      <c r="C216">
        <v>3010</v>
      </c>
      <c r="D216" t="str">
        <f>INDEX([2]Define!Q:Q,MATCH(C216,[2]Define!P:P))</f>
        <v>ステート付与</v>
      </c>
      <c r="E216">
        <v>1051</v>
      </c>
      <c r="F216">
        <v>999</v>
      </c>
      <c r="G216">
        <v>4</v>
      </c>
      <c r="H216">
        <v>100</v>
      </c>
      <c r="I216" t="str">
        <f>INDEX([4]TextData!B:B,MATCH(E216,[4]TextData!A:A))</f>
        <v>防御ダウン</v>
      </c>
    </row>
    <row r="217" spans="1:8">
      <c r="A217">
        <v>300210</v>
      </c>
      <c r="B217" t="str">
        <f>INDEX(TextData!B:B,MATCH(A217,TextData!A:A))</f>
        <v>エーテルリチャージ</v>
      </c>
      <c r="C217">
        <v>4020</v>
      </c>
      <c r="D217" t="str">
        <f>INDEX([2]Define!Q:Q,MATCH(C217,[2]Define!P:P))</f>
        <v>Ct回復</v>
      </c>
      <c r="E217">
        <v>1</v>
      </c>
      <c r="F217">
        <v>0</v>
      </c>
      <c r="G217">
        <v>0</v>
      </c>
      <c r="H217">
        <v>100</v>
      </c>
    </row>
    <row r="218" spans="1:9">
      <c r="A218">
        <v>300220</v>
      </c>
      <c r="B218" t="str">
        <f>INDEX(TextData!B:B,MATCH(A218,TextData!A:A))</f>
        <v>リカバリーエンハンス</v>
      </c>
      <c r="C218">
        <v>3010</v>
      </c>
      <c r="D218" t="str">
        <f>INDEX([2]Define!Q:Q,MATCH(C218,[2]Define!P:P))</f>
        <v>ステート付与</v>
      </c>
      <c r="E218">
        <v>2460</v>
      </c>
      <c r="F218">
        <v>999</v>
      </c>
      <c r="G218">
        <v>5</v>
      </c>
      <c r="H218">
        <v>100</v>
      </c>
      <c r="I218" t="str">
        <f>INDEX([4]TextData!B:B,MATCH(E218,[4]TextData!A:A))</f>
        <v>Hp回復効果アップ</v>
      </c>
    </row>
    <row r="219" spans="1:9">
      <c r="A219">
        <v>300230</v>
      </c>
      <c r="B219" t="str">
        <f>INDEX(TextData!B:B,MATCH(A219,TextData!A:A))</f>
        <v>ヴェンジェンス</v>
      </c>
      <c r="C219">
        <v>3010</v>
      </c>
      <c r="D219" t="str">
        <f>INDEX([2]Define!Q:Q,MATCH(C219,[2]Define!P:P))</f>
        <v>ステート付与</v>
      </c>
      <c r="E219">
        <v>2030</v>
      </c>
      <c r="F219">
        <v>999</v>
      </c>
      <c r="G219">
        <v>30</v>
      </c>
      <c r="H219">
        <v>100</v>
      </c>
      <c r="I219" t="str">
        <f>INDEX([4]TextData!B:B,MATCH(E219,[4]TextData!A:A))</f>
        <v>カウンタ</v>
      </c>
    </row>
    <row r="220" spans="1:8">
      <c r="A220">
        <v>301010</v>
      </c>
      <c r="B220" t="str">
        <f>INDEX(TextData!B:B,MATCH(A220,TextData!A:A))</f>
        <v>ディケイドリセット</v>
      </c>
      <c r="C220">
        <v>5012</v>
      </c>
      <c r="D220" t="str">
        <f>INDEX([2]Define!Q:Q,MATCH(C220,[2]Define!P:P))</f>
        <v>ActionResult扱いでAP指定</v>
      </c>
      <c r="E220">
        <v>0</v>
      </c>
      <c r="F220">
        <v>0</v>
      </c>
      <c r="G220">
        <v>0</v>
      </c>
      <c r="H220">
        <v>100</v>
      </c>
    </row>
    <row r="221" spans="1:9">
      <c r="A221">
        <v>301020</v>
      </c>
      <c r="B221" t="str">
        <f>INDEX(TextData!B:B,MATCH(A221,TextData!A:A))</f>
        <v>ウォーリアーブラッド</v>
      </c>
      <c r="C221">
        <v>3010</v>
      </c>
      <c r="D221" t="str">
        <f>INDEX([2]Define!Q:Q,MATCH(C221,[2]Define!P:P))</f>
        <v>ステート付与</v>
      </c>
      <c r="E221">
        <v>1040</v>
      </c>
      <c r="F221">
        <v>999</v>
      </c>
      <c r="G221">
        <v>8</v>
      </c>
      <c r="H221">
        <v>100</v>
      </c>
      <c r="I221" t="str">
        <f>INDEX([4]TextData!B:B,MATCH(E221,[4]TextData!A:A))</f>
        <v>攻撃アップ</v>
      </c>
    </row>
    <row r="222" spans="1:9">
      <c r="A222">
        <v>301030</v>
      </c>
      <c r="B222" t="str">
        <f>INDEX(TextData!B:B,MATCH(A222,TextData!A:A))</f>
        <v>トライアングルガード</v>
      </c>
      <c r="C222">
        <v>3010</v>
      </c>
      <c r="D222" t="str">
        <f>INDEX([2]Define!Q:Q,MATCH(C222,[2]Define!P:P))</f>
        <v>ステート付与</v>
      </c>
      <c r="E222">
        <v>1100</v>
      </c>
      <c r="F222">
        <v>1</v>
      </c>
      <c r="G222">
        <v>30</v>
      </c>
      <c r="H222">
        <v>100</v>
      </c>
      <c r="I222" t="str">
        <f>INDEX([4]TextData!B:B,MATCH(E222,[4]TextData!A:A))</f>
        <v>ダメージカット</v>
      </c>
    </row>
    <row r="223" spans="1:9">
      <c r="A223">
        <v>301040</v>
      </c>
      <c r="B223" t="str">
        <f>INDEX(TextData!B:B,MATCH(A223,TextData!A:A))</f>
        <v>セーフティバリア</v>
      </c>
      <c r="C223">
        <v>3010</v>
      </c>
      <c r="D223" t="str">
        <f>INDEX([2]Define!Q:Q,MATCH(C223,[2]Define!P:P))</f>
        <v>ステート付与</v>
      </c>
      <c r="E223">
        <v>2050</v>
      </c>
      <c r="F223">
        <v>1</v>
      </c>
      <c r="G223">
        <v>0</v>
      </c>
      <c r="H223">
        <v>100</v>
      </c>
      <c r="I223" t="str">
        <f>INDEX([4]TextData!B:B,MATCH(E223,[4]TextData!A:A))</f>
        <v>攻撃無効</v>
      </c>
    </row>
    <row r="224" spans="1:9">
      <c r="A224">
        <v>301050</v>
      </c>
      <c r="B224" t="str">
        <f>INDEX(TextData!B:B,MATCH(A224,TextData!A:A))</f>
        <v>ヒロインズハイ</v>
      </c>
      <c r="C224">
        <v>3010</v>
      </c>
      <c r="D224" t="str">
        <f>INDEX([2]Define!Q:Q,MATCH(C224,[2]Define!P:P))</f>
        <v>ステート付与</v>
      </c>
      <c r="E224">
        <v>1020</v>
      </c>
      <c r="F224">
        <v>999</v>
      </c>
      <c r="G224">
        <v>15</v>
      </c>
      <c r="H224">
        <v>100</v>
      </c>
      <c r="I224" t="str">
        <f>INDEX([4]TextData!B:B,MATCH(E224,[4]TextData!A:A))</f>
        <v>最大Hpアップ</v>
      </c>
    </row>
    <row r="225" spans="1:9">
      <c r="A225">
        <v>301060</v>
      </c>
      <c r="B225" t="str">
        <f>INDEX(TextData!B:B,MATCH(A225,TextData!A:A))</f>
        <v>セカンドステージ</v>
      </c>
      <c r="C225">
        <v>3020</v>
      </c>
      <c r="D225" t="str">
        <f>INDEX([2]Define!Q:Q,MATCH(C225,[2]Define!P:P))</f>
        <v>ステート解除</v>
      </c>
      <c r="E225">
        <v>1</v>
      </c>
      <c r="F225">
        <v>0</v>
      </c>
      <c r="G225">
        <v>0</v>
      </c>
      <c r="H225">
        <v>100</v>
      </c>
      <c r="I225" t="str">
        <f>INDEX([4]TextData!B:B,MATCH(E225,[4]TextData!A:A))</f>
        <v>戦闘不能</v>
      </c>
    </row>
    <row r="226" spans="1:8">
      <c r="A226">
        <v>301060</v>
      </c>
      <c r="B226" t="str">
        <f>INDEX(TextData!B:B,MATCH(A226,TextData!A:A))</f>
        <v>セカンドステージ</v>
      </c>
      <c r="C226">
        <v>2030</v>
      </c>
      <c r="D226" t="str">
        <f>INDEX([2]Define!Q:Q,MATCH(C226,[2]Define!P:P))</f>
        <v>対象のHpを1にする</v>
      </c>
      <c r="E226">
        <v>0</v>
      </c>
      <c r="F226">
        <v>0</v>
      </c>
      <c r="G226">
        <v>0</v>
      </c>
      <c r="H226">
        <v>100</v>
      </c>
    </row>
    <row r="227" spans="1:8">
      <c r="A227">
        <v>301060</v>
      </c>
      <c r="B227" t="str">
        <f>INDEX(TextData!B:B,MATCH(A227,TextData!A:A))</f>
        <v>セカンドステージ</v>
      </c>
      <c r="C227">
        <v>2010</v>
      </c>
      <c r="D227" t="str">
        <f>INDEX([2]Define!Q:Q,MATCH(C227,[2]Define!P:P))</f>
        <v>Hp回復</v>
      </c>
      <c r="E227">
        <v>20</v>
      </c>
      <c r="F227">
        <v>0</v>
      </c>
      <c r="G227">
        <v>0</v>
      </c>
      <c r="H227">
        <v>100</v>
      </c>
    </row>
    <row r="228" spans="1:9">
      <c r="A228">
        <v>301070</v>
      </c>
      <c r="B228" t="str">
        <f>INDEX(TextData!B:B,MATCH(A228,TextData!A:A))</f>
        <v>ハイヒットポイント</v>
      </c>
      <c r="C228">
        <v>3010</v>
      </c>
      <c r="D228" t="str">
        <f>INDEX([2]Define!Q:Q,MATCH(C228,[2]Define!P:P))</f>
        <v>ステート付与</v>
      </c>
      <c r="E228">
        <v>1020</v>
      </c>
      <c r="F228">
        <v>999</v>
      </c>
      <c r="G228">
        <v>10</v>
      </c>
      <c r="H228">
        <v>100</v>
      </c>
      <c r="I228" t="str">
        <f>INDEX([4]TextData!B:B,MATCH(E228,[4]TextData!A:A))</f>
        <v>最大Hpアップ</v>
      </c>
    </row>
    <row r="229" spans="1:8">
      <c r="A229">
        <v>301080</v>
      </c>
      <c r="B229" t="str">
        <f>INDEX(TextData!B:B,MATCH(A229,TextData!A:A))</f>
        <v>セプタブラスト</v>
      </c>
      <c r="C229">
        <v>1030</v>
      </c>
      <c r="D229" t="str">
        <f>INDEX([2]Define!Q:Q,MATCH(C229,[2]Define!P:P))</f>
        <v>Hp固定ダメージ</v>
      </c>
      <c r="E229">
        <v>50</v>
      </c>
      <c r="F229">
        <v>0</v>
      </c>
      <c r="G229">
        <v>0</v>
      </c>
      <c r="H229">
        <v>100</v>
      </c>
    </row>
    <row r="230" spans="1:9">
      <c r="A230">
        <v>301090</v>
      </c>
      <c r="B230" t="str">
        <f>INDEX(TextData!B:B,MATCH(A230,TextData!A:A))</f>
        <v>イニシャルブロッカー</v>
      </c>
      <c r="C230">
        <v>3010</v>
      </c>
      <c r="D230" t="str">
        <f>INDEX([2]Define!Q:Q,MATCH(C230,[2]Define!P:P))</f>
        <v>ステート付与</v>
      </c>
      <c r="E230">
        <v>2410</v>
      </c>
      <c r="F230">
        <v>3</v>
      </c>
      <c r="G230">
        <v>25</v>
      </c>
      <c r="H230">
        <v>100</v>
      </c>
      <c r="I230" t="str">
        <f>INDEX([4]TextData!B:B,MATCH(E230,[4]TextData!A:A))</f>
        <v>シールド</v>
      </c>
    </row>
    <row r="231" spans="1:8">
      <c r="A231">
        <v>301100</v>
      </c>
      <c r="B231" t="str">
        <f>INDEX(TextData!B:B,MATCH(A231,TextData!A:A))</f>
        <v>ファーストテイク</v>
      </c>
      <c r="C231">
        <v>5020</v>
      </c>
      <c r="D231" t="str">
        <f>INDEX([2]Define!Q:Q,MATCH(C231,[2]Define!P:P))</f>
        <v>Ap回復</v>
      </c>
      <c r="E231">
        <v>200</v>
      </c>
      <c r="F231">
        <v>0</v>
      </c>
      <c r="G231">
        <v>0</v>
      </c>
      <c r="H231">
        <v>100</v>
      </c>
    </row>
    <row r="232" spans="1:8">
      <c r="A232">
        <v>401010</v>
      </c>
      <c r="B232" t="str">
        <f>INDEX(TextData!B:B,MATCH(A232,TextData!A:A))</f>
        <v>ファイアボール+</v>
      </c>
      <c r="C232">
        <v>6010</v>
      </c>
      <c r="D232" t="str">
        <f>INDEX([2]Define!Q:Q,MATCH(C232,[2]Define!P:P))</f>
        <v>指定のFeatureのParam1を増やす</v>
      </c>
      <c r="E232">
        <v>1010</v>
      </c>
      <c r="F232">
        <v>0</v>
      </c>
      <c r="G232">
        <v>250</v>
      </c>
      <c r="H232">
        <v>100</v>
      </c>
    </row>
    <row r="233" spans="1:8">
      <c r="A233">
        <v>401020</v>
      </c>
      <c r="B233" t="str">
        <f>INDEX(TextData!B:B,MATCH(A233,TextData!A:A))</f>
        <v>バーンストーム+</v>
      </c>
      <c r="C233">
        <v>6010</v>
      </c>
      <c r="D233" t="str">
        <f>INDEX([2]Define!Q:Q,MATCH(C233,[2]Define!P:P))</f>
        <v>指定のFeatureのParam1を増やす</v>
      </c>
      <c r="E233">
        <v>1020</v>
      </c>
      <c r="F233">
        <v>0</v>
      </c>
      <c r="G233">
        <v>250</v>
      </c>
      <c r="H233">
        <v>100</v>
      </c>
    </row>
    <row r="234" spans="1:8">
      <c r="A234">
        <v>401030</v>
      </c>
      <c r="B234" t="str">
        <f>INDEX(TextData!B:B,MATCH(A234,TextData!A:A))</f>
        <v>ヒートスタンプ+</v>
      </c>
      <c r="C234">
        <v>6010</v>
      </c>
      <c r="D234" t="str">
        <f>INDEX([2]Define!Q:Q,MATCH(C234,[2]Define!P:P))</f>
        <v>指定のFeatureのParam1を増やす</v>
      </c>
      <c r="E234">
        <v>1030</v>
      </c>
      <c r="F234">
        <v>0</v>
      </c>
      <c r="G234">
        <v>2</v>
      </c>
      <c r="H234">
        <v>100</v>
      </c>
    </row>
    <row r="235" spans="1:8">
      <c r="A235">
        <v>401040</v>
      </c>
      <c r="B235" t="str">
        <f>INDEX(TextData!B:B,MATCH(A235,TextData!A:A))</f>
        <v>ソードアダプト+</v>
      </c>
      <c r="C235">
        <v>6010</v>
      </c>
      <c r="D235" t="str">
        <f>INDEX([2]Define!Q:Q,MATCH(C235,[2]Define!P:P))</f>
        <v>指定のFeatureのParam1を増やす</v>
      </c>
      <c r="E235">
        <v>1040</v>
      </c>
      <c r="F235">
        <v>0</v>
      </c>
      <c r="G235">
        <v>15</v>
      </c>
      <c r="H235">
        <v>100</v>
      </c>
    </row>
    <row r="236" spans="1:8">
      <c r="A236">
        <v>401050</v>
      </c>
      <c r="B236" t="str">
        <f>INDEX(TextData!B:B,MATCH(A236,TextData!A:A))</f>
        <v>フレイムレイン+</v>
      </c>
      <c r="C236">
        <v>6010</v>
      </c>
      <c r="D236" t="str">
        <f>INDEX([2]Define!Q:Q,MATCH(C236,[2]Define!P:P))</f>
        <v>指定のFeatureのParam1を増やす</v>
      </c>
      <c r="E236">
        <v>1050</v>
      </c>
      <c r="F236">
        <v>0</v>
      </c>
      <c r="G236">
        <v>60</v>
      </c>
      <c r="H236">
        <v>100</v>
      </c>
    </row>
    <row r="237" spans="1:8">
      <c r="A237">
        <v>401060</v>
      </c>
      <c r="B237" t="str">
        <f>INDEX(TextData!B:B,MATCH(A237,TextData!A:A))</f>
        <v>イクスティンクション+</v>
      </c>
      <c r="C237">
        <v>6010</v>
      </c>
      <c r="D237" t="str">
        <f>INDEX([2]Define!Q:Q,MATCH(C237,[2]Define!P:P))</f>
        <v>指定のFeatureのParam1を増やす</v>
      </c>
      <c r="E237">
        <v>1060</v>
      </c>
      <c r="F237">
        <v>0</v>
      </c>
      <c r="G237">
        <v>400</v>
      </c>
      <c r="H237">
        <v>100</v>
      </c>
    </row>
    <row r="238" spans="1:8">
      <c r="A238">
        <v>401070</v>
      </c>
      <c r="B238" t="str">
        <f>INDEX(TextData!B:B,MATCH(A238,TextData!A:A))</f>
        <v>バーニングソウル+</v>
      </c>
      <c r="C238">
        <v>6080</v>
      </c>
      <c r="D238" t="str">
        <f>INDEX([2]Define!Q:Q,MATCH(C238,[2]Define!P:P))</f>
        <v>指定魔法のCTリセット値を変更する</v>
      </c>
      <c r="E238">
        <v>1070</v>
      </c>
      <c r="F238">
        <v>0</v>
      </c>
      <c r="G238">
        <v>2</v>
      </c>
      <c r="H238">
        <v>100</v>
      </c>
    </row>
    <row r="239" spans="1:8">
      <c r="A239">
        <v>401080</v>
      </c>
      <c r="B239" t="str">
        <f>INDEX(TextData!B:B,MATCH(A239,TextData!A:A))</f>
        <v>レイジングバウンサー+</v>
      </c>
      <c r="C239">
        <v>6030</v>
      </c>
      <c r="D239" t="str">
        <f>INDEX([2]Define!Q:Q,MATCH(C239,[2]Define!P:P))</f>
        <v>指定のFeatureのParam3を増やす</v>
      </c>
      <c r="E239">
        <v>1080</v>
      </c>
      <c r="F239">
        <v>0</v>
      </c>
      <c r="G239">
        <v>45</v>
      </c>
      <c r="H239">
        <v>100</v>
      </c>
    </row>
    <row r="240" spans="1:8">
      <c r="A240">
        <v>402010</v>
      </c>
      <c r="B240" t="str">
        <f>INDEX(TextData!B:B,MATCH(A240,TextData!A:A))</f>
        <v>ディスチャージ+</v>
      </c>
      <c r="C240">
        <v>6010</v>
      </c>
      <c r="D240" t="str">
        <f>INDEX([2]Define!Q:Q,MATCH(C240,[2]Define!P:P))</f>
        <v>指定のFeatureのParam1を増やす</v>
      </c>
      <c r="E240">
        <v>2010</v>
      </c>
      <c r="F240">
        <v>0</v>
      </c>
      <c r="G240">
        <v>250</v>
      </c>
      <c r="H240">
        <v>100</v>
      </c>
    </row>
    <row r="241" spans="1:8">
      <c r="A241">
        <v>402020</v>
      </c>
      <c r="B241" t="str">
        <f>INDEX(TextData!B:B,MATCH(A241,TextData!A:A))</f>
        <v>イベイドコード+</v>
      </c>
      <c r="C241">
        <v>6030</v>
      </c>
      <c r="D241" t="str">
        <f>INDEX([2]Define!Q:Q,MATCH(C241,[2]Define!P:P))</f>
        <v>指定のFeatureのParam3を増やす</v>
      </c>
      <c r="E241">
        <v>2020</v>
      </c>
      <c r="F241">
        <v>0</v>
      </c>
      <c r="G241">
        <v>25</v>
      </c>
      <c r="H241">
        <v>100</v>
      </c>
    </row>
    <row r="242" spans="1:8">
      <c r="A242">
        <v>402030</v>
      </c>
      <c r="B242" t="str">
        <f>INDEX(TextData!B:B,MATCH(A242,TextData!A:A))</f>
        <v>ショックインパルス+</v>
      </c>
      <c r="C242">
        <v>6080</v>
      </c>
      <c r="D242" t="str">
        <f>INDEX([2]Define!Q:Q,MATCH(C242,[2]Define!P:P))</f>
        <v>指定魔法のCTリセット値を変更する</v>
      </c>
      <c r="E242">
        <v>2030</v>
      </c>
      <c r="F242">
        <v>0</v>
      </c>
      <c r="G242">
        <v>2</v>
      </c>
      <c r="H242">
        <v>100</v>
      </c>
    </row>
    <row r="243" spans="1:8">
      <c r="A243">
        <v>402040</v>
      </c>
      <c r="B243" t="str">
        <f>INDEX(TextData!B:B,MATCH(A243,TextData!A:A))</f>
        <v>トラストチェイン+</v>
      </c>
      <c r="C243">
        <v>6010</v>
      </c>
      <c r="D243" t="str">
        <f>INDEX([2]Define!Q:Q,MATCH(C243,[2]Define!P:P))</f>
        <v>指定のFeatureのParam1を増やす</v>
      </c>
      <c r="E243">
        <v>2040</v>
      </c>
      <c r="F243">
        <v>0</v>
      </c>
      <c r="G243">
        <v>400</v>
      </c>
      <c r="H243">
        <v>100</v>
      </c>
    </row>
    <row r="244" spans="1:8">
      <c r="A244">
        <v>402050</v>
      </c>
      <c r="B244" t="str">
        <f>INDEX(TextData!B:B,MATCH(A244,TextData!A:A))</f>
        <v>スペルバニシング+</v>
      </c>
      <c r="C244">
        <v>6080</v>
      </c>
      <c r="D244" t="str">
        <f>INDEX([2]Define!Q:Q,MATCH(C244,[2]Define!P:P))</f>
        <v>指定魔法のCTリセット値を変更する</v>
      </c>
      <c r="E244">
        <v>2050</v>
      </c>
      <c r="F244">
        <v>0</v>
      </c>
      <c r="G244">
        <v>1</v>
      </c>
      <c r="H244">
        <v>100</v>
      </c>
    </row>
    <row r="245" spans="1:8">
      <c r="A245">
        <v>402060</v>
      </c>
      <c r="B245" t="str">
        <f>INDEX(TextData!B:B,MATCH(A245,TextData!A:A))</f>
        <v>アーテニーストライク+</v>
      </c>
      <c r="C245">
        <v>6010</v>
      </c>
      <c r="D245" t="str">
        <f>INDEX([2]Define!Q:Q,MATCH(C245,[2]Define!P:P))</f>
        <v>指定のFeatureのParam1を増やす</v>
      </c>
      <c r="E245">
        <v>2060</v>
      </c>
      <c r="F245">
        <v>0</v>
      </c>
      <c r="G245">
        <v>250</v>
      </c>
      <c r="H245">
        <v>100</v>
      </c>
    </row>
    <row r="246" spans="1:8">
      <c r="A246">
        <v>402070</v>
      </c>
      <c r="B246" t="str">
        <f>INDEX(TextData!B:B,MATCH(A246,TextData!A:A))</f>
        <v>コンセントレイト+</v>
      </c>
      <c r="C246">
        <v>6030</v>
      </c>
      <c r="D246" t="str">
        <f>INDEX([2]Define!Q:Q,MATCH(C246,[2]Define!P:P))</f>
        <v>指定のFeatureのParam3を増やす</v>
      </c>
      <c r="E246">
        <v>2070</v>
      </c>
      <c r="F246">
        <v>0</v>
      </c>
      <c r="G246">
        <v>40</v>
      </c>
      <c r="H246">
        <v>100</v>
      </c>
    </row>
    <row r="247" spans="1:8">
      <c r="A247">
        <v>402080</v>
      </c>
      <c r="B247" t="str">
        <f>INDEX(TextData!B:B,MATCH(A247,TextData!A:A))</f>
        <v>ディレイマジック+</v>
      </c>
      <c r="C247">
        <v>6010</v>
      </c>
      <c r="D247" t="str">
        <f>INDEX([2]Define!Q:Q,MATCH(C247,[2]Define!P:P))</f>
        <v>指定のFeatureのParam1を増やす</v>
      </c>
      <c r="E247">
        <v>2080</v>
      </c>
      <c r="F247">
        <v>1</v>
      </c>
      <c r="G247">
        <v>2</v>
      </c>
      <c r="H247">
        <v>100</v>
      </c>
    </row>
    <row r="248" spans="1:8">
      <c r="A248">
        <v>403010</v>
      </c>
      <c r="B248" t="str">
        <f>INDEX(TextData!B:B,MATCH(A248,TextData!A:A))</f>
        <v>アイスブレイド+</v>
      </c>
      <c r="C248">
        <v>6010</v>
      </c>
      <c r="D248" t="str">
        <f>INDEX([2]Define!Q:Q,MATCH(C248,[2]Define!P:P))</f>
        <v>指定のFeatureのParam1を増やす</v>
      </c>
      <c r="E248">
        <v>3010</v>
      </c>
      <c r="F248">
        <v>0</v>
      </c>
      <c r="G248">
        <v>250</v>
      </c>
      <c r="H248">
        <v>100</v>
      </c>
    </row>
    <row r="249" spans="1:8">
      <c r="A249">
        <v>403020</v>
      </c>
      <c r="B249" t="str">
        <f>INDEX(TextData!B:B,MATCH(A249,TextData!A:A))</f>
        <v>カウンターオーラ+</v>
      </c>
      <c r="C249">
        <v>6030</v>
      </c>
      <c r="D249" t="str">
        <f>INDEX([2]Define!Q:Q,MATCH(C249,[2]Define!P:P))</f>
        <v>指定のFeatureのParam3を増やす</v>
      </c>
      <c r="E249">
        <v>3020</v>
      </c>
      <c r="F249">
        <v>0</v>
      </c>
      <c r="G249">
        <v>40</v>
      </c>
      <c r="H249">
        <v>100</v>
      </c>
    </row>
    <row r="250" spans="1:8">
      <c r="A250">
        <v>403030</v>
      </c>
      <c r="B250" t="str">
        <f>INDEX(TextData!B:B,MATCH(A250,TextData!A:A))</f>
        <v>ラインプロテクト+</v>
      </c>
      <c r="C250">
        <v>6030</v>
      </c>
      <c r="D250" t="str">
        <f>INDEX([2]Define!Q:Q,MATCH(C250,[2]Define!P:P))</f>
        <v>指定のFeatureのParam3を増やす</v>
      </c>
      <c r="E250">
        <v>3030</v>
      </c>
      <c r="F250">
        <v>0</v>
      </c>
      <c r="G250">
        <v>20</v>
      </c>
      <c r="H250">
        <v>100</v>
      </c>
    </row>
    <row r="251" spans="1:8">
      <c r="A251">
        <v>403040</v>
      </c>
      <c r="B251" t="str">
        <f>INDEX(TextData!B:B,MATCH(A251,TextData!A:A))</f>
        <v>エスコートソール+</v>
      </c>
      <c r="C251">
        <v>6030</v>
      </c>
      <c r="D251" t="str">
        <f>INDEX([2]Define!Q:Q,MATCH(C251,[2]Define!P:P))</f>
        <v>指定のFeatureのParam3を増やす</v>
      </c>
      <c r="E251">
        <v>3040</v>
      </c>
      <c r="F251">
        <v>0</v>
      </c>
      <c r="G251">
        <v>40</v>
      </c>
      <c r="H251">
        <v>100</v>
      </c>
    </row>
    <row r="252" spans="1:8">
      <c r="A252">
        <v>403050</v>
      </c>
      <c r="B252" t="str">
        <f>INDEX(TextData!B:B,MATCH(A252,TextData!A:A))</f>
        <v>ディープフリーズ+</v>
      </c>
      <c r="C252">
        <v>6030</v>
      </c>
      <c r="D252" t="str">
        <f>INDEX([2]Define!Q:Q,MATCH(C252,[2]Define!P:P))</f>
        <v>指定のFeatureのParam3を増やす</v>
      </c>
      <c r="E252">
        <v>3050</v>
      </c>
      <c r="F252">
        <v>0</v>
      </c>
      <c r="G252">
        <v>40</v>
      </c>
      <c r="H252">
        <v>100</v>
      </c>
    </row>
    <row r="253" spans="1:8">
      <c r="A253">
        <v>403060</v>
      </c>
      <c r="B253" t="str">
        <f>INDEX(TextData!B:B,MATCH(A253,TextData!A:A))</f>
        <v>バブルブロウ+</v>
      </c>
      <c r="C253">
        <v>6030</v>
      </c>
      <c r="D253" t="str">
        <f>INDEX([2]Define!Q:Q,MATCH(C253,[2]Define!P:P))</f>
        <v>指定のFeatureのParam3を増やす</v>
      </c>
      <c r="E253">
        <v>3060</v>
      </c>
      <c r="F253">
        <v>1</v>
      </c>
      <c r="G253">
        <v>12</v>
      </c>
      <c r="H253">
        <v>100</v>
      </c>
    </row>
    <row r="254" spans="1:8">
      <c r="A254">
        <v>403070</v>
      </c>
      <c r="B254" t="str">
        <f>INDEX(TextData!B:B,MATCH(A254,TextData!A:A))</f>
        <v>アクアミラージュ+</v>
      </c>
      <c r="C254">
        <v>6020</v>
      </c>
      <c r="D254" t="str">
        <f>INDEX([2]Define!Q:Q,MATCH(C254,[2]Define!P:P))</f>
        <v>指定のFeatureのParam2を増やす</v>
      </c>
      <c r="E254">
        <v>3070</v>
      </c>
      <c r="F254">
        <v>0</v>
      </c>
      <c r="G254">
        <v>2</v>
      </c>
      <c r="H254">
        <v>100</v>
      </c>
    </row>
    <row r="255" spans="1:8">
      <c r="A255">
        <v>403080</v>
      </c>
      <c r="B255" t="str">
        <f>INDEX(TextData!B:B,MATCH(A255,TextData!A:A))</f>
        <v>フロストシールド+</v>
      </c>
      <c r="C255">
        <v>6030</v>
      </c>
      <c r="D255" t="str">
        <f>INDEX([2]Define!Q:Q,MATCH(C255,[2]Define!P:P))</f>
        <v>指定のFeatureのParam3を増やす</v>
      </c>
      <c r="E255">
        <v>3080</v>
      </c>
      <c r="F255">
        <v>0</v>
      </c>
      <c r="G255">
        <v>30</v>
      </c>
      <c r="H255">
        <v>100</v>
      </c>
    </row>
    <row r="256" spans="1:8">
      <c r="A256">
        <v>404010</v>
      </c>
      <c r="B256" t="str">
        <f>INDEX(TextData!B:B,MATCH(A256,TextData!A:A))</f>
        <v>セイントレーザー+</v>
      </c>
      <c r="C256">
        <v>6010</v>
      </c>
      <c r="D256" t="str">
        <f>INDEX([2]Define!Q:Q,MATCH(C256,[2]Define!P:P))</f>
        <v>指定のFeatureのParam1を増やす</v>
      </c>
      <c r="E256">
        <v>4010</v>
      </c>
      <c r="F256">
        <v>0</v>
      </c>
      <c r="G256">
        <v>250</v>
      </c>
      <c r="H256">
        <v>100</v>
      </c>
    </row>
    <row r="257" spans="1:8">
      <c r="A257">
        <v>404020</v>
      </c>
      <c r="B257" t="str">
        <f>INDEX(TextData!B:B,MATCH(A257,TextData!A:A))</f>
        <v>ペネトレイト+</v>
      </c>
      <c r="C257">
        <v>6010</v>
      </c>
      <c r="D257" t="str">
        <f>INDEX([2]Define!Q:Q,MATCH(C257,[2]Define!P:P))</f>
        <v>指定のFeatureのParam1を増やす</v>
      </c>
      <c r="E257">
        <v>4020</v>
      </c>
      <c r="F257">
        <v>0</v>
      </c>
      <c r="G257">
        <v>250</v>
      </c>
      <c r="H257">
        <v>100</v>
      </c>
    </row>
    <row r="258" spans="1:8">
      <c r="A258">
        <v>404030</v>
      </c>
      <c r="B258" t="str">
        <f>INDEX(TextData!B:B,MATCH(A258,TextData!A:A))</f>
        <v>ヒーリング+</v>
      </c>
      <c r="C258">
        <v>6210</v>
      </c>
      <c r="D258" t="str">
        <f>INDEX([2]Define!Q:Q,MATCH(C258,[2]Define!P:P))</f>
        <v>指定魔法の対象を変更（強化限定）</v>
      </c>
      <c r="E258">
        <v>4030</v>
      </c>
      <c r="F258">
        <v>0</v>
      </c>
      <c r="G258">
        <v>31</v>
      </c>
      <c r="H258">
        <v>100</v>
      </c>
    </row>
    <row r="259" spans="1:8">
      <c r="A259">
        <v>404040</v>
      </c>
      <c r="B259" t="str">
        <f>INDEX(TextData!B:B,MATCH(A259,TextData!A:A))</f>
        <v>リザイアフォトン+</v>
      </c>
      <c r="C259">
        <v>6030</v>
      </c>
      <c r="D259" t="str">
        <f>INDEX([2]Define!Q:Q,MATCH(C259,[2]Define!P:P))</f>
        <v>指定のFeatureのParam3を増やす</v>
      </c>
      <c r="E259">
        <v>4040</v>
      </c>
      <c r="F259">
        <v>1</v>
      </c>
      <c r="G259">
        <v>30</v>
      </c>
      <c r="H259">
        <v>100</v>
      </c>
    </row>
    <row r="260" spans="1:8">
      <c r="A260">
        <v>404050</v>
      </c>
      <c r="B260" t="str">
        <f>INDEX(TextData!B:B,MATCH(A260,TextData!A:A))</f>
        <v>べネディクション+</v>
      </c>
      <c r="C260">
        <v>6080</v>
      </c>
      <c r="D260" t="str">
        <f>INDEX([2]Define!Q:Q,MATCH(C260,[2]Define!P:P))</f>
        <v>指定魔法のCTリセット値を変更する</v>
      </c>
      <c r="E260">
        <v>4050</v>
      </c>
      <c r="F260">
        <v>0</v>
      </c>
      <c r="G260">
        <v>2</v>
      </c>
      <c r="H260">
        <v>100</v>
      </c>
    </row>
    <row r="261" spans="1:8">
      <c r="A261">
        <v>404060</v>
      </c>
      <c r="B261" t="str">
        <f>INDEX(TextData!B:B,MATCH(A261,TextData!A:A))</f>
        <v>ホーリーグレイス+</v>
      </c>
      <c r="C261">
        <v>6080</v>
      </c>
      <c r="D261" t="str">
        <f>INDEX([2]Define!Q:Q,MATCH(C261,[2]Define!P:P))</f>
        <v>指定魔法のCTリセット値を変更する</v>
      </c>
      <c r="E261">
        <v>4060</v>
      </c>
      <c r="F261">
        <v>0</v>
      </c>
      <c r="G261">
        <v>5</v>
      </c>
      <c r="H261">
        <v>100</v>
      </c>
    </row>
    <row r="262" spans="1:8">
      <c r="A262">
        <v>404070</v>
      </c>
      <c r="B262" t="str">
        <f>INDEX(TextData!B:B,MATCH(A262,TextData!A:A))</f>
        <v>キュアエール+</v>
      </c>
      <c r="C262">
        <v>6030</v>
      </c>
      <c r="D262" t="str">
        <f>INDEX([2]Define!Q:Q,MATCH(C262,[2]Define!P:P))</f>
        <v>指定のFeatureのParam3を増やす</v>
      </c>
      <c r="E262">
        <v>4070</v>
      </c>
      <c r="F262">
        <v>0</v>
      </c>
      <c r="G262">
        <v>25</v>
      </c>
      <c r="H262">
        <v>100</v>
      </c>
    </row>
    <row r="263" spans="1:8">
      <c r="A263">
        <v>404080</v>
      </c>
      <c r="B263" t="str">
        <f>INDEX(TextData!B:B,MATCH(A263,TextData!A:A))</f>
        <v>ラインバリア+</v>
      </c>
      <c r="C263">
        <v>6080</v>
      </c>
      <c r="D263" t="str">
        <f>INDEX([2]Define!Q:Q,MATCH(C263,[2]Define!P:P))</f>
        <v>指定魔法のCTリセット値を変更する</v>
      </c>
      <c r="E263">
        <v>4080</v>
      </c>
      <c r="F263">
        <v>0</v>
      </c>
      <c r="G263">
        <v>3</v>
      </c>
      <c r="H263">
        <v>100</v>
      </c>
    </row>
    <row r="264" spans="1:8">
      <c r="A264">
        <v>405010</v>
      </c>
      <c r="B264" t="str">
        <f>INDEX(TextData!B:B,MATCH(A264,TextData!A:A))</f>
        <v>ダークプリズン+</v>
      </c>
      <c r="C264">
        <v>6010</v>
      </c>
      <c r="D264" t="str">
        <f>INDEX([2]Define!Q:Q,MATCH(C264,[2]Define!P:P))</f>
        <v>指定のFeatureのParam1を増やす</v>
      </c>
      <c r="E264">
        <v>5010</v>
      </c>
      <c r="F264">
        <v>0</v>
      </c>
      <c r="G264">
        <v>250</v>
      </c>
      <c r="H264">
        <v>100</v>
      </c>
    </row>
    <row r="265" spans="1:8">
      <c r="A265">
        <v>405020</v>
      </c>
      <c r="B265" t="str">
        <f>INDEX(TextData!B:B,MATCH(A265,TextData!A:A))</f>
        <v>ユーサネイジア+</v>
      </c>
      <c r="C265">
        <v>6010</v>
      </c>
      <c r="D265" t="str">
        <f>INDEX([2]Define!Q:Q,MATCH(C265,[2]Define!P:P))</f>
        <v>指定のFeatureのParam1を増やす</v>
      </c>
      <c r="E265">
        <v>5020</v>
      </c>
      <c r="F265">
        <v>0</v>
      </c>
      <c r="G265">
        <v>200</v>
      </c>
      <c r="H265">
        <v>100</v>
      </c>
    </row>
    <row r="266" spans="1:8">
      <c r="A266">
        <v>405030</v>
      </c>
      <c r="B266" t="str">
        <f>INDEX(TextData!B:B,MATCH(A266,TextData!A:A))</f>
        <v>ドレインヒール+</v>
      </c>
      <c r="C266">
        <v>6030</v>
      </c>
      <c r="D266" t="str">
        <f>INDEX([2]Define!Q:Q,MATCH(C266,[2]Define!P:P))</f>
        <v>指定のFeatureのParam3を増やす</v>
      </c>
      <c r="E266">
        <v>5030</v>
      </c>
      <c r="F266">
        <v>0</v>
      </c>
      <c r="G266">
        <v>100</v>
      </c>
      <c r="H266">
        <v>100</v>
      </c>
    </row>
    <row r="267" spans="1:8">
      <c r="A267">
        <v>405040</v>
      </c>
      <c r="B267" t="str">
        <f>INDEX(TextData!B:B,MATCH(A267,TextData!A:A))</f>
        <v>アビサルデスペア+</v>
      </c>
      <c r="C267">
        <v>6020</v>
      </c>
      <c r="D267" t="str">
        <f>INDEX([2]Define!Q:Q,MATCH(C267,[2]Define!P:P))</f>
        <v>指定のFeatureのParam2を増やす</v>
      </c>
      <c r="E267">
        <v>5040</v>
      </c>
      <c r="F267">
        <v>0</v>
      </c>
      <c r="G267">
        <v>5</v>
      </c>
      <c r="H267">
        <v>100</v>
      </c>
    </row>
    <row r="268" spans="1:8">
      <c r="A268">
        <v>405050</v>
      </c>
      <c r="B268" t="str">
        <f>INDEX(TextData!B:B,MATCH(A268,TextData!A:A))</f>
        <v>ディプラヴィティ+</v>
      </c>
      <c r="C268">
        <v>6030</v>
      </c>
      <c r="D268" t="str">
        <f>INDEX([2]Define!Q:Q,MATCH(C268,[2]Define!P:P))</f>
        <v>指定のFeatureのParam3を増やす</v>
      </c>
      <c r="E268">
        <v>5050</v>
      </c>
      <c r="F268">
        <v>0</v>
      </c>
      <c r="G268">
        <v>3</v>
      </c>
      <c r="H268">
        <v>100</v>
      </c>
    </row>
    <row r="269" spans="1:8">
      <c r="A269">
        <v>405060</v>
      </c>
      <c r="B269" t="str">
        <f>INDEX(TextData!B:B,MATCH(A269,TextData!A:A))</f>
        <v>ダークネス+</v>
      </c>
      <c r="C269">
        <v>6030</v>
      </c>
      <c r="D269" t="str">
        <f>INDEX([2]Define!Q:Q,MATCH(C269,[2]Define!P:P))</f>
        <v>指定のFeatureのParam3を増やす</v>
      </c>
      <c r="E269">
        <v>5060</v>
      </c>
      <c r="F269">
        <v>0</v>
      </c>
      <c r="G269">
        <v>50</v>
      </c>
      <c r="H269">
        <v>100</v>
      </c>
    </row>
    <row r="270" spans="1:8">
      <c r="A270">
        <v>405070</v>
      </c>
      <c r="B270" t="str">
        <f>INDEX(TextData!B:B,MATCH(A270,TextData!A:A))</f>
        <v>シェイディークラウド+</v>
      </c>
      <c r="C270">
        <v>6030</v>
      </c>
      <c r="D270" t="str">
        <f>INDEX([2]Define!Q:Q,MATCH(C270,[2]Define!P:P))</f>
        <v>指定のFeatureのParam3を増やす</v>
      </c>
      <c r="E270">
        <v>5070</v>
      </c>
      <c r="F270">
        <v>0</v>
      </c>
      <c r="G270">
        <v>12</v>
      </c>
      <c r="H270">
        <v>100</v>
      </c>
    </row>
    <row r="271" spans="1:8">
      <c r="A271">
        <v>405080</v>
      </c>
      <c r="B271" t="str">
        <f>INDEX(TextData!B:B,MATCH(A271,TextData!A:A))</f>
        <v>ポイズンブロウ+</v>
      </c>
      <c r="C271">
        <v>6030</v>
      </c>
      <c r="D271" t="str">
        <f>INDEX([2]Define!Q:Q,MATCH(C271,[2]Define!P:P))</f>
        <v>指定のFeatureのParam3を増やす</v>
      </c>
      <c r="E271">
        <v>5080</v>
      </c>
      <c r="F271">
        <v>0</v>
      </c>
      <c r="G271">
        <v>20</v>
      </c>
      <c r="H271">
        <v>100</v>
      </c>
    </row>
    <row r="272" spans="1:8">
      <c r="A272">
        <v>411010</v>
      </c>
      <c r="B272" t="str">
        <f>INDEX(TextData!B:B,MATCH(A272,TextData!A:A))</f>
        <v>ウルフソウル+</v>
      </c>
      <c r="C272">
        <v>6030</v>
      </c>
      <c r="D272" t="str">
        <f>INDEX([2]Define!Q:Q,MATCH(C272,[2]Define!P:P))</f>
        <v>指定のFeatureのParam3を増やす</v>
      </c>
      <c r="E272">
        <v>11010</v>
      </c>
      <c r="F272">
        <v>0</v>
      </c>
      <c r="G272">
        <v>8</v>
      </c>
      <c r="H272">
        <v>100</v>
      </c>
    </row>
    <row r="273" spans="1:8">
      <c r="A273">
        <v>411020</v>
      </c>
      <c r="B273" t="str">
        <f>INDEX(TextData!B:B,MATCH(A273,TextData!A:A))</f>
        <v>プリディカメント+</v>
      </c>
      <c r="C273">
        <v>6030</v>
      </c>
      <c r="D273" t="str">
        <f>INDEX([2]Define!Q:Q,MATCH(C273,[2]Define!P:P))</f>
        <v>指定のFeatureのParam3を増やす</v>
      </c>
      <c r="E273">
        <v>11020</v>
      </c>
      <c r="F273">
        <v>0</v>
      </c>
      <c r="G273">
        <v>16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INDEX([2]Define!Q:Q,MATCH(C274,[2]Define!P:P))</f>
        <v>指定のFeatureのParam3を増やす</v>
      </c>
      <c r="E274">
        <v>11030</v>
      </c>
      <c r="F274">
        <v>0</v>
      </c>
      <c r="G274">
        <v>8</v>
      </c>
      <c r="H274">
        <v>100</v>
      </c>
    </row>
    <row r="275" spans="1:8">
      <c r="A275">
        <v>411030</v>
      </c>
      <c r="B275" t="str">
        <f>INDEX(TextData!B:B,MATCH(A275,TextData!A:A))</f>
        <v>アサルトシフト+</v>
      </c>
      <c r="C275">
        <v>6030</v>
      </c>
      <c r="D275" t="str">
        <f>INDEX([2]Define!Q:Q,MATCH(C275,[2]Define!P:P))</f>
        <v>指定のFeatureのParam3を増やす</v>
      </c>
      <c r="E275">
        <v>11030</v>
      </c>
      <c r="F275">
        <v>1</v>
      </c>
      <c r="G275">
        <v>8</v>
      </c>
      <c r="H275">
        <v>100</v>
      </c>
    </row>
    <row r="276" spans="1:8">
      <c r="A276">
        <v>411040</v>
      </c>
      <c r="B276" t="str">
        <f>INDEX(TextData!B:B,MATCH(A276,TextData!A:A))</f>
        <v>アクティブギフト+</v>
      </c>
      <c r="C276">
        <v>6080</v>
      </c>
      <c r="D276" t="str">
        <f>INDEX([2]Define!Q:Q,MATCH(C276,[2]Define!P:P))</f>
        <v>指定魔法のCTリセット値を変更する</v>
      </c>
      <c r="E276">
        <v>11040</v>
      </c>
      <c r="F276">
        <v>0</v>
      </c>
      <c r="G276">
        <v>3</v>
      </c>
      <c r="H276">
        <v>100</v>
      </c>
    </row>
    <row r="277" spans="1:8">
      <c r="A277">
        <v>411050</v>
      </c>
      <c r="B277" t="str">
        <f>INDEX(TextData!B:B,MATCH(A277,TextData!A:A))</f>
        <v>イグナイテッド+</v>
      </c>
      <c r="C277">
        <v>6010</v>
      </c>
      <c r="D277" t="str">
        <f>INDEX([2]Define!Q:Q,MATCH(C277,[2]Define!P:P))</f>
        <v>指定のFeatureのParam1を増やす</v>
      </c>
      <c r="E277">
        <v>11050</v>
      </c>
      <c r="F277">
        <v>0</v>
      </c>
      <c r="G277">
        <v>6</v>
      </c>
      <c r="H277">
        <v>100</v>
      </c>
    </row>
    <row r="278" spans="1:8">
      <c r="A278">
        <v>411060</v>
      </c>
      <c r="B278" t="str">
        <f>INDEX(TextData!B:B,MATCH(A278,TextData!A:A))</f>
        <v>ライジングファイア+</v>
      </c>
      <c r="C278">
        <v>6010</v>
      </c>
      <c r="D278" t="str">
        <f>INDEX([2]Define!Q:Q,MATCH(C278,[2]Define!P:P))</f>
        <v>指定のFeatureのParam1を増やす</v>
      </c>
      <c r="E278">
        <v>11060</v>
      </c>
      <c r="F278">
        <v>0</v>
      </c>
      <c r="G278">
        <v>2</v>
      </c>
      <c r="H278">
        <v>100</v>
      </c>
    </row>
    <row r="279" spans="1:8">
      <c r="A279">
        <v>411070</v>
      </c>
      <c r="B279" t="str">
        <f>INDEX(TextData!B:B,MATCH(A279,TextData!A:A))</f>
        <v>ルージュバック+</v>
      </c>
      <c r="C279">
        <v>6030</v>
      </c>
      <c r="D279" t="str">
        <f>INDEX([2]Define!Q:Q,MATCH(C279,[2]Define!P:P))</f>
        <v>指定のFeatureのParam3を増やす</v>
      </c>
      <c r="E279">
        <v>11070</v>
      </c>
      <c r="F279">
        <v>0</v>
      </c>
      <c r="G279">
        <v>4</v>
      </c>
      <c r="H279">
        <v>100</v>
      </c>
    </row>
    <row r="280" spans="1:8">
      <c r="A280">
        <v>411080</v>
      </c>
      <c r="B280" t="str">
        <f>INDEX(TextData!B:B,MATCH(A280,TextData!A:A))</f>
        <v>パワーエール+</v>
      </c>
      <c r="C280">
        <v>6030</v>
      </c>
      <c r="D280" t="str">
        <f>INDEX([2]Define!Q:Q,MATCH(C280,[2]Define!P:P))</f>
        <v>指定のFeatureのParam3を増やす</v>
      </c>
      <c r="E280">
        <v>11080</v>
      </c>
      <c r="F280">
        <v>0</v>
      </c>
      <c r="G280">
        <v>8</v>
      </c>
      <c r="H280">
        <v>100</v>
      </c>
    </row>
    <row r="281" spans="1:8">
      <c r="A281">
        <v>411090</v>
      </c>
      <c r="B281" t="str">
        <f>INDEX(TextData!B:B,MATCH(A281,TextData!A:A))</f>
        <v>スレイプニル+</v>
      </c>
      <c r="C281">
        <v>6030</v>
      </c>
      <c r="D281" t="str">
        <f>INDEX([2]Define!Q:Q,MATCH(C281,[2]Define!P:P))</f>
        <v>指定のFeatureのParam3を増やす</v>
      </c>
      <c r="E281">
        <v>11090</v>
      </c>
      <c r="F281">
        <v>0</v>
      </c>
      <c r="G281">
        <v>25</v>
      </c>
      <c r="H281">
        <v>100</v>
      </c>
    </row>
    <row r="282" spans="1:8">
      <c r="A282">
        <v>412010</v>
      </c>
      <c r="B282" t="str">
        <f>INDEX(TextData!B:B,MATCH(A282,TextData!A:A))</f>
        <v>エクステンション+</v>
      </c>
      <c r="C282">
        <v>6210</v>
      </c>
      <c r="D282" t="str">
        <f>INDEX([2]Define!Q:Q,MATCH(C282,[2]Define!P:P))</f>
        <v>指定魔法の対象を変更（強化限定）</v>
      </c>
      <c r="E282">
        <v>12010</v>
      </c>
      <c r="F282">
        <v>0</v>
      </c>
      <c r="G282">
        <v>31</v>
      </c>
      <c r="H282">
        <v>100</v>
      </c>
    </row>
    <row r="283" spans="1:8">
      <c r="A283">
        <v>412020</v>
      </c>
      <c r="B283" t="str">
        <f>INDEX(TextData!B:B,MATCH(A283,TextData!A:A))</f>
        <v>ヘブンリーラック+</v>
      </c>
      <c r="C283">
        <v>6030</v>
      </c>
      <c r="D283" t="str">
        <f>INDEX([2]Define!Q:Q,MATCH(C283,[2]Define!P:P))</f>
        <v>指定のFeatureのParam3を増やす</v>
      </c>
      <c r="E283">
        <v>12020</v>
      </c>
      <c r="F283">
        <v>0</v>
      </c>
      <c r="G283">
        <v>20</v>
      </c>
      <c r="H283">
        <v>100</v>
      </c>
    </row>
    <row r="284" spans="1:8">
      <c r="A284">
        <v>412030</v>
      </c>
      <c r="B284" t="str">
        <f>INDEX(TextData!B:B,MATCH(A284,TextData!A:A))</f>
        <v>スウィフトカレント+</v>
      </c>
      <c r="C284">
        <v>6030</v>
      </c>
      <c r="D284" t="str">
        <f>INDEX([2]Define!Q:Q,MATCH(C284,[2]Define!P:P))</f>
        <v>指定のFeatureのParam3を増やす</v>
      </c>
      <c r="E284">
        <v>12030</v>
      </c>
      <c r="F284">
        <v>0</v>
      </c>
      <c r="G284">
        <v>10</v>
      </c>
      <c r="H284">
        <v>100</v>
      </c>
    </row>
    <row r="285" spans="1:8">
      <c r="A285">
        <v>412040</v>
      </c>
      <c r="B285" t="str">
        <f>INDEX(TextData!B:B,MATCH(A285,TextData!A:A))</f>
        <v>イヴェイドオール+</v>
      </c>
      <c r="C285">
        <v>6030</v>
      </c>
      <c r="D285" t="str">
        <f>INDEX([2]Define!Q:Q,MATCH(C285,[2]Define!P:P))</f>
        <v>指定のFeatureのParam3を増やす</v>
      </c>
      <c r="E285">
        <v>12040</v>
      </c>
      <c r="F285">
        <v>0</v>
      </c>
      <c r="G285">
        <v>10</v>
      </c>
      <c r="H285">
        <v>100</v>
      </c>
    </row>
    <row r="286" spans="1:8">
      <c r="A286">
        <v>412050</v>
      </c>
      <c r="B286" t="str">
        <f>INDEX(TextData!B:B,MATCH(A286,TextData!A:A))</f>
        <v>クイックムーブ+</v>
      </c>
      <c r="C286">
        <v>6010</v>
      </c>
      <c r="D286" t="str">
        <f>INDEX([2]Define!Q:Q,MATCH(C286,[2]Define!P:P))</f>
        <v>指定のFeatureのParam1を増やす</v>
      </c>
      <c r="E286">
        <v>12050</v>
      </c>
      <c r="F286">
        <v>0</v>
      </c>
      <c r="G286">
        <v>400</v>
      </c>
      <c r="H286">
        <v>100</v>
      </c>
    </row>
    <row r="287" spans="1:8">
      <c r="A287">
        <v>412060</v>
      </c>
      <c r="B287" t="str">
        <f>INDEX(TextData!B:B,MATCH(A287,TextData!A:A))</f>
        <v>チェイスマジック+</v>
      </c>
      <c r="C287">
        <v>6010</v>
      </c>
      <c r="D287" t="str">
        <f>INDEX([2]Define!Q:Q,MATCH(C287,[2]Define!P:P))</f>
        <v>指定のFeatureのParam1を増やす</v>
      </c>
      <c r="E287">
        <v>12060</v>
      </c>
      <c r="F287">
        <v>0</v>
      </c>
      <c r="G287">
        <v>300</v>
      </c>
      <c r="H287">
        <v>100</v>
      </c>
    </row>
    <row r="288" spans="1:8">
      <c r="A288">
        <v>412070</v>
      </c>
      <c r="B288" t="str">
        <f>INDEX(TextData!B:B,MATCH(A288,TextData!A:A))</f>
        <v>ソーサリーコネクト+</v>
      </c>
      <c r="C288">
        <v>6030</v>
      </c>
      <c r="D288" t="str">
        <f>INDEX([2]Define!Q:Q,MATCH(C288,[2]Define!P:P))</f>
        <v>指定のFeatureのParam3を増やす</v>
      </c>
      <c r="E288">
        <v>12070</v>
      </c>
      <c r="F288">
        <v>0</v>
      </c>
      <c r="G288">
        <v>16</v>
      </c>
      <c r="H288">
        <v>100</v>
      </c>
    </row>
    <row r="289" spans="1:8">
      <c r="A289">
        <v>412080</v>
      </c>
      <c r="B289" t="str">
        <f>INDEX(TextData!B:B,MATCH(A289,TextData!A:A))</f>
        <v>ウィンドライズ+</v>
      </c>
      <c r="C289">
        <v>6010</v>
      </c>
      <c r="D289" t="str">
        <f>INDEX([2]Define!Q:Q,MATCH(C289,[2]Define!P:P))</f>
        <v>指定のFeatureのParam1を増やす</v>
      </c>
      <c r="E289">
        <v>12080</v>
      </c>
      <c r="F289">
        <v>0</v>
      </c>
      <c r="G289">
        <v>300</v>
      </c>
      <c r="H289">
        <v>100</v>
      </c>
    </row>
    <row r="290" spans="1:8">
      <c r="A290">
        <v>412090</v>
      </c>
      <c r="B290" t="str">
        <f>INDEX(TextData!B:B,MATCH(A290,TextData!A:A))</f>
        <v>アウトオブオーダー+</v>
      </c>
      <c r="C290">
        <v>6010</v>
      </c>
      <c r="D290" t="str">
        <f>INDEX([2]Define!Q:Q,MATCH(C290,[2]Define!P:P))</f>
        <v>指定のFeatureのParam1を増やす</v>
      </c>
      <c r="E290">
        <v>12090</v>
      </c>
      <c r="F290">
        <v>0</v>
      </c>
      <c r="G290">
        <v>400</v>
      </c>
      <c r="H290">
        <v>100</v>
      </c>
    </row>
    <row r="291" spans="1:8">
      <c r="A291">
        <v>413010</v>
      </c>
      <c r="B291" t="str">
        <f>INDEX(TextData!B:B,MATCH(A291,TextData!A:A))</f>
        <v>アーマーコード+</v>
      </c>
      <c r="C291">
        <v>6030</v>
      </c>
      <c r="D291" t="str">
        <f>INDEX([2]Define!Q:Q,MATCH(C291,[2]Define!P:P))</f>
        <v>指定のFeatureのParam3を増やす</v>
      </c>
      <c r="E291">
        <v>13010</v>
      </c>
      <c r="F291">
        <v>0</v>
      </c>
      <c r="G291">
        <v>8</v>
      </c>
      <c r="H291">
        <v>100</v>
      </c>
    </row>
    <row r="292" spans="1:8">
      <c r="A292">
        <v>413020</v>
      </c>
      <c r="B292" t="str">
        <f>INDEX(TextData!B:B,MATCH(A292,TextData!A:A))</f>
        <v>クイックバリア+</v>
      </c>
      <c r="C292">
        <v>6030</v>
      </c>
      <c r="D292" t="str">
        <f>INDEX([2]Define!Q:Q,MATCH(C292,[2]Define!P:P))</f>
        <v>指定のFeatureのParam3を増やす</v>
      </c>
      <c r="E292">
        <v>13020</v>
      </c>
      <c r="F292">
        <v>0</v>
      </c>
      <c r="G292">
        <v>50</v>
      </c>
      <c r="H292">
        <v>100</v>
      </c>
    </row>
    <row r="293" spans="1:8">
      <c r="A293">
        <v>413030</v>
      </c>
      <c r="B293" t="str">
        <f>INDEX(TextData!B:B,MATCH(A293,TextData!A:A))</f>
        <v>クイックキュア+</v>
      </c>
      <c r="C293">
        <v>6080</v>
      </c>
      <c r="D293" t="str">
        <f>INDEX([2]Define!Q:Q,MATCH(C293,[2]Define!P:P))</f>
        <v>指定魔法のCTリセット値を変更する</v>
      </c>
      <c r="E293">
        <v>14090</v>
      </c>
      <c r="F293">
        <v>0</v>
      </c>
      <c r="G293">
        <v>1</v>
      </c>
      <c r="H293">
        <v>100</v>
      </c>
    </row>
    <row r="294" spans="1:8">
      <c r="A294">
        <v>413040</v>
      </c>
      <c r="B294" t="str">
        <f>INDEX(TextData!B:B,MATCH(A294,TextData!A:A))</f>
        <v>セルフシールド+</v>
      </c>
      <c r="C294">
        <v>6030</v>
      </c>
      <c r="D294" t="str">
        <f>INDEX([2]Define!Q:Q,MATCH(C294,[2]Define!P:P))</f>
        <v>指定のFeatureのParam3を増やす</v>
      </c>
      <c r="E294">
        <v>13040</v>
      </c>
      <c r="F294">
        <v>0</v>
      </c>
      <c r="G294">
        <v>50</v>
      </c>
      <c r="H294">
        <v>100</v>
      </c>
    </row>
    <row r="295" spans="1:8">
      <c r="A295">
        <v>413050</v>
      </c>
      <c r="B295" t="str">
        <f>INDEX(TextData!B:B,MATCH(A295,TextData!A:A))</f>
        <v>パッシブジャミング+</v>
      </c>
      <c r="C295">
        <v>6080</v>
      </c>
      <c r="D295" t="str">
        <f>INDEX([2]Define!Q:Q,MATCH(C295,[2]Define!P:P))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413060</v>
      </c>
      <c r="B296" t="str">
        <f>INDEX(TextData!B:B,MATCH(A296,TextData!A:A))</f>
        <v>サプライカバー+</v>
      </c>
      <c r="C296">
        <v>6080</v>
      </c>
      <c r="D296" t="str">
        <f>INDEX([2]Define!Q:Q,MATCH(C296,[2]Define!P:P))</f>
        <v>指定魔法のCTリセット値を変更する</v>
      </c>
      <c r="E296">
        <v>14090</v>
      </c>
      <c r="F296">
        <v>0</v>
      </c>
      <c r="G296">
        <v>1</v>
      </c>
      <c r="H296">
        <v>100</v>
      </c>
    </row>
    <row r="297" spans="1:8">
      <c r="A297">
        <v>413070</v>
      </c>
      <c r="B297" t="str">
        <f>INDEX(TextData!B:B,MATCH(A297,TextData!A:A))</f>
        <v>アシッドラッシュ+</v>
      </c>
      <c r="C297">
        <v>6010</v>
      </c>
      <c r="D297" t="str">
        <f>INDEX([2]Define!Q:Q,MATCH(C297,[2]Define!P:P))</f>
        <v>指定のFeatureのParam1を増やす</v>
      </c>
      <c r="E297">
        <v>13070</v>
      </c>
      <c r="F297">
        <v>0</v>
      </c>
      <c r="G297">
        <v>400</v>
      </c>
      <c r="H297">
        <v>100</v>
      </c>
    </row>
    <row r="298" spans="1:8">
      <c r="A298">
        <v>413080</v>
      </c>
      <c r="B298" t="str">
        <f>INDEX(TextData!B:B,MATCH(A298,TextData!A:A))</f>
        <v>ライフスティール+</v>
      </c>
      <c r="C298">
        <v>6030</v>
      </c>
      <c r="D298" t="str">
        <f>INDEX([2]Define!Q:Q,MATCH(C298,[2]Define!P:P))</f>
        <v>指定のFeatureのParam3を増やす</v>
      </c>
      <c r="E298">
        <v>13080</v>
      </c>
      <c r="F298">
        <v>0</v>
      </c>
      <c r="G298">
        <v>50</v>
      </c>
      <c r="H298">
        <v>100</v>
      </c>
    </row>
    <row r="299" spans="1:8">
      <c r="A299">
        <v>413090</v>
      </c>
      <c r="B299" t="str">
        <f>INDEX(TextData!B:B,MATCH(A299,TextData!A:A))</f>
        <v>アイスセイバー+</v>
      </c>
      <c r="C299">
        <v>6030</v>
      </c>
      <c r="D299" t="str">
        <f>INDEX([2]Define!Q:Q,MATCH(C299,[2]Define!P:P))</f>
        <v>指定のFeatureのParam3を増やす</v>
      </c>
      <c r="E299">
        <v>13090</v>
      </c>
      <c r="F299">
        <v>0</v>
      </c>
      <c r="G299">
        <v>50</v>
      </c>
      <c r="H299">
        <v>100</v>
      </c>
    </row>
    <row r="300" spans="1:8">
      <c r="A300">
        <v>414010</v>
      </c>
      <c r="B300" t="str">
        <f>INDEX(TextData!B:B,MATCH(A300,TextData!A:A))</f>
        <v>ディバインシールド+</v>
      </c>
      <c r="C300">
        <v>6020</v>
      </c>
      <c r="D300" t="str">
        <f>INDEX([2]Define!Q:Q,MATCH(C300,[2]Define!P:P))</f>
        <v>指定のFeatureのParam2を増やす</v>
      </c>
      <c r="E300">
        <v>14010</v>
      </c>
      <c r="F300">
        <v>0</v>
      </c>
      <c r="G300">
        <v>2</v>
      </c>
      <c r="H300">
        <v>100</v>
      </c>
    </row>
    <row r="301" spans="1:8">
      <c r="A301">
        <v>414020</v>
      </c>
      <c r="B301" t="str">
        <f>INDEX(TextData!B:B,MATCH(A301,TextData!A:A))</f>
        <v>ライフディバイド+</v>
      </c>
      <c r="C301">
        <v>6010</v>
      </c>
      <c r="D301" t="str">
        <f>INDEX([2]Define!Q:Q,MATCH(C301,[2]Define!P:P))</f>
        <v>指定のFeatureのParam1を増やす</v>
      </c>
      <c r="E301">
        <v>14020</v>
      </c>
      <c r="F301">
        <v>0</v>
      </c>
      <c r="G301">
        <v>50</v>
      </c>
      <c r="H301">
        <v>100</v>
      </c>
    </row>
    <row r="302" spans="1:8">
      <c r="A302">
        <v>414030</v>
      </c>
      <c r="B302" t="str">
        <f>INDEX(TextData!B:B,MATCH(A302,TextData!A:A))</f>
        <v>エイミングスコープ+</v>
      </c>
      <c r="C302">
        <v>6030</v>
      </c>
      <c r="D302" t="str">
        <f>INDEX([2]Define!Q:Q,MATCH(C302,[2]Define!P:P))</f>
        <v>指定のFeatureのParam3を増やす</v>
      </c>
      <c r="E302">
        <v>14030</v>
      </c>
      <c r="F302">
        <v>0</v>
      </c>
      <c r="G302">
        <v>10</v>
      </c>
      <c r="H302">
        <v>100</v>
      </c>
    </row>
    <row r="303" spans="1:8">
      <c r="A303">
        <v>414040</v>
      </c>
      <c r="B303" t="str">
        <f>INDEX(TextData!B:B,MATCH(A303,TextData!A:A))</f>
        <v>リジェネレーション+</v>
      </c>
      <c r="C303">
        <v>6030</v>
      </c>
      <c r="D303" t="str">
        <f>INDEX([2]Define!Q:Q,MATCH(C303,[2]Define!P:P))</f>
        <v>指定のFeatureのParam3を増やす</v>
      </c>
      <c r="E303">
        <v>14040</v>
      </c>
      <c r="F303">
        <v>0</v>
      </c>
      <c r="G303">
        <v>10</v>
      </c>
      <c r="H303">
        <v>100</v>
      </c>
    </row>
    <row r="304" spans="1:8">
      <c r="A304">
        <v>414050</v>
      </c>
      <c r="B304" t="str">
        <f>INDEX(TextData!B:B,MATCH(A304,TextData!A:A))</f>
        <v>ホープフルアイリス+</v>
      </c>
      <c r="C304">
        <v>6030</v>
      </c>
      <c r="D304" t="str">
        <f>INDEX([2]Define!Q:Q,MATCH(C304,[2]Define!P:P))</f>
        <v>指定のFeatureのParam3を増やす</v>
      </c>
      <c r="E304">
        <v>14050</v>
      </c>
      <c r="F304">
        <v>0</v>
      </c>
      <c r="G304">
        <v>15</v>
      </c>
      <c r="H304">
        <v>100</v>
      </c>
    </row>
    <row r="305" spans="1:8">
      <c r="A305">
        <v>414060</v>
      </c>
      <c r="B305" t="str">
        <f>INDEX(TextData!B:B,MATCH(A305,TextData!A:A))</f>
        <v>パッシブサプライ+</v>
      </c>
      <c r="C305">
        <v>6010</v>
      </c>
      <c r="D305" t="str">
        <f>INDEX([2]Define!Q:Q,MATCH(C305,[2]Define!P:P))</f>
        <v>指定のFeatureのParam1を増やす</v>
      </c>
      <c r="E305">
        <v>14060</v>
      </c>
      <c r="F305">
        <v>1</v>
      </c>
      <c r="G305">
        <v>2</v>
      </c>
      <c r="H305">
        <v>100</v>
      </c>
    </row>
    <row r="306" spans="1:8">
      <c r="A306">
        <v>414070</v>
      </c>
      <c r="B306" t="str">
        <f>INDEX(TextData!B:B,MATCH(A306,TextData!A:A))</f>
        <v>ホーミングクルセイド+</v>
      </c>
      <c r="C306">
        <v>6020</v>
      </c>
      <c r="D306" t="str">
        <f>INDEX([2]Define!Q:Q,MATCH(C306,[2]Define!P:P))</f>
        <v>指定のFeatureのParam2を増やす</v>
      </c>
      <c r="E306">
        <v>14070</v>
      </c>
      <c r="F306">
        <v>0</v>
      </c>
      <c r="G306">
        <v>5</v>
      </c>
      <c r="H306">
        <v>100</v>
      </c>
    </row>
    <row r="307" spans="1:8">
      <c r="A307">
        <v>414080</v>
      </c>
      <c r="B307" t="str">
        <f>INDEX(TextData!B:B,MATCH(A307,TextData!A:A))</f>
        <v>クイックヒール+</v>
      </c>
      <c r="C307">
        <v>6010</v>
      </c>
      <c r="D307" t="str">
        <f>INDEX([2]Define!Q:Q,MATCH(C307,[2]Define!P:P))</f>
        <v>指定のFeatureのParam1を増やす</v>
      </c>
      <c r="E307">
        <v>14080</v>
      </c>
      <c r="F307">
        <v>0</v>
      </c>
      <c r="G307">
        <v>15</v>
      </c>
      <c r="H307">
        <v>100</v>
      </c>
    </row>
    <row r="308" spans="1:8">
      <c r="A308">
        <v>414090</v>
      </c>
      <c r="B308" t="str">
        <f>INDEX(TextData!B:B,MATCH(A308,TextData!A:A))</f>
        <v>リレイズ+</v>
      </c>
      <c r="C308">
        <v>6080</v>
      </c>
      <c r="D308" t="str">
        <f>INDEX([2]Define!Q:Q,MATCH(C308,[2]Define!P:P))</f>
        <v>指定魔法のCTリセット値を変更する</v>
      </c>
      <c r="E308">
        <v>14090</v>
      </c>
      <c r="F308">
        <v>0</v>
      </c>
      <c r="G308">
        <v>4</v>
      </c>
      <c r="H308">
        <v>100</v>
      </c>
    </row>
    <row r="309" spans="1:8">
      <c r="A309">
        <v>415010</v>
      </c>
      <c r="B309" t="str">
        <f>INDEX(TextData!B:B,MATCH(A309,TextData!A:A))</f>
        <v>イーグルアイ+</v>
      </c>
      <c r="C309">
        <v>6030</v>
      </c>
      <c r="D309" t="str">
        <f>INDEX([2]Define!Q:Q,MATCH(C309,[2]Define!P:P))</f>
        <v>指定のFeatureのParam3を増やす</v>
      </c>
      <c r="E309">
        <v>15010</v>
      </c>
      <c r="F309">
        <v>0</v>
      </c>
      <c r="G309">
        <v>25</v>
      </c>
      <c r="H309">
        <v>100</v>
      </c>
    </row>
    <row r="310" spans="1:8">
      <c r="A310">
        <v>415020</v>
      </c>
      <c r="B310" t="str">
        <f>INDEX(TextData!B:B,MATCH(A310,TextData!A:A))</f>
        <v>ネヴァーエンド+</v>
      </c>
      <c r="C310">
        <v>6030</v>
      </c>
      <c r="D310" t="str">
        <f>INDEX([2]Define!Q:Q,MATCH(C310,[2]Define!P:P))</f>
        <v>指定のFeatureのParam3を増やす</v>
      </c>
      <c r="E310">
        <v>15020</v>
      </c>
      <c r="F310">
        <v>0</v>
      </c>
      <c r="G310">
        <v>50</v>
      </c>
      <c r="H310">
        <v>100</v>
      </c>
    </row>
    <row r="311" spans="1:8">
      <c r="A311">
        <v>415030</v>
      </c>
      <c r="B311" t="str">
        <f>INDEX(TextData!B:B,MATCH(A311,TextData!A:A))</f>
        <v>グレイブアクト+</v>
      </c>
      <c r="C311">
        <v>6010</v>
      </c>
      <c r="D311" t="str">
        <f>INDEX([2]Define!Q:Q,MATCH(C311,[2]Define!P:P))</f>
        <v>指定のFeatureのParam1を増やす</v>
      </c>
      <c r="E311">
        <v>15030</v>
      </c>
      <c r="F311">
        <v>0</v>
      </c>
      <c r="G311">
        <v>2</v>
      </c>
      <c r="H311">
        <v>100</v>
      </c>
    </row>
    <row r="312" spans="1:8">
      <c r="A312">
        <v>415040</v>
      </c>
      <c r="B312" t="str">
        <f>INDEX(TextData!B:B,MATCH(A312,TextData!A:A))</f>
        <v>スカルグラッジ+</v>
      </c>
      <c r="C312">
        <v>6030</v>
      </c>
      <c r="D312" t="str">
        <f>INDEX([2]Define!Q:Q,MATCH(C312,[2]Define!P:P))</f>
        <v>指定のFeatureのParam3を増やす</v>
      </c>
      <c r="E312">
        <v>15040</v>
      </c>
      <c r="F312">
        <v>0</v>
      </c>
      <c r="G312">
        <v>10</v>
      </c>
      <c r="H312">
        <v>100</v>
      </c>
    </row>
    <row r="313" spans="1:8">
      <c r="A313">
        <v>415050</v>
      </c>
      <c r="B313" t="str">
        <f>INDEX(TextData!B:B,MATCH(A313,TextData!A:A))</f>
        <v>ネガティブドレイン+</v>
      </c>
      <c r="C313">
        <v>6030</v>
      </c>
      <c r="D313" t="str">
        <f>INDEX([2]Define!Q:Q,MATCH(C313,[2]Define!P:P))</f>
        <v>指定のFeatureのParam3を増やす</v>
      </c>
      <c r="E313">
        <v>15050</v>
      </c>
      <c r="F313">
        <v>0</v>
      </c>
      <c r="G313">
        <v>25</v>
      </c>
      <c r="H313">
        <v>100</v>
      </c>
    </row>
    <row r="314" spans="1:8">
      <c r="A314">
        <v>415060</v>
      </c>
      <c r="B314" t="str">
        <f>INDEX(TextData!B:B,MATCH(A314,TextData!A:A))</f>
        <v>アンデッドペイン+</v>
      </c>
      <c r="C314">
        <v>6030</v>
      </c>
      <c r="D314" t="str">
        <f>INDEX([2]Define!Q:Q,MATCH(C314,[2]Define!P:P))</f>
        <v>指定のFeatureのParam3を増やす</v>
      </c>
      <c r="E314">
        <v>15060</v>
      </c>
      <c r="F314">
        <v>0</v>
      </c>
      <c r="G314">
        <v>15</v>
      </c>
      <c r="H314">
        <v>100</v>
      </c>
    </row>
    <row r="315" spans="1:8">
      <c r="A315">
        <v>415070</v>
      </c>
      <c r="B315" t="str">
        <f>INDEX(TextData!B:B,MATCH(A315,TextData!A:A))</f>
        <v>ジャックポッド+</v>
      </c>
      <c r="C315">
        <v>6030</v>
      </c>
      <c r="D315" t="str">
        <f>INDEX([2]Define!Q:Q,MATCH(C315,[2]Define!P:P))</f>
        <v>指定のFeatureのParam3を増やす</v>
      </c>
      <c r="E315">
        <v>15070</v>
      </c>
      <c r="F315">
        <v>0</v>
      </c>
      <c r="G315">
        <v>75</v>
      </c>
      <c r="H315">
        <v>100</v>
      </c>
    </row>
    <row r="316" spans="1:8">
      <c r="A316">
        <v>415080</v>
      </c>
      <c r="B316" t="str">
        <f>INDEX(TextData!B:B,MATCH(A316,TextData!A:A))</f>
        <v>ヒールハント+</v>
      </c>
      <c r="C316">
        <v>6030</v>
      </c>
      <c r="D316" t="str">
        <f>INDEX([2]Define!Q:Q,MATCH(C316,[2]Define!P:P))</f>
        <v>指定のFeatureのParam3を増やす</v>
      </c>
      <c r="E316">
        <v>15080</v>
      </c>
      <c r="F316">
        <v>0</v>
      </c>
      <c r="G316">
        <v>50</v>
      </c>
      <c r="H316">
        <v>100</v>
      </c>
    </row>
    <row r="317" spans="1:8">
      <c r="A317">
        <v>415090</v>
      </c>
      <c r="B317" t="str">
        <f>INDEX(TextData!B:B,MATCH(A317,TextData!A:A))</f>
        <v>クイックカース+</v>
      </c>
      <c r="C317">
        <v>6030</v>
      </c>
      <c r="D317" t="str">
        <f>INDEX([2]Define!Q:Q,MATCH(C317,[2]Define!P:P))</f>
        <v>指定のFeatureのParam3を増やす</v>
      </c>
      <c r="E317">
        <v>15090</v>
      </c>
      <c r="F317">
        <v>0</v>
      </c>
      <c r="G317">
        <v>35</v>
      </c>
      <c r="H31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13" workbookViewId="0">
      <selection activeCell="B102" sqref="B102:B10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INDEX([2]Define!V:V,MATCH(C2,[2]Define!U:U))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INDEX([2]Define!V:V,MATCH(C3,[2]Define!U:U))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INDEX([2]Define!V:V,MATCH(C4,[2]Define!U:U))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INDEX([2]Define!V:V,MATCH(C5,[2]Define!U:U))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INDEX([2]Define!V:V,MATCH(C6,[2]Define!U:U))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INDEX([2]Define!V:V,MATCH(C7,[2]Define!U:U))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INDEX([2]Define!V:V,MATCH(C8,[2]Define!U:U))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INDEX([2]Define!V:V,MATCH(C9,[2]Define!U:U))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INDEX([2]Define!V:V,MATCH(C10,[2]Define!U:U))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INDEX([2]Define!V:V,MATCH(C11,[2]Define!U:U))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INDEX([2]Define!V:V,MATCH(C12,[2]Define!U:U))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INDEX([2]Define!V:V,MATCH(C13,[2]Define!U:U))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INDEX([2]Define!V:V,MATCH(C14,[2]Define!U:U))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INDEX([2]Define!V:V,MATCH(C15,[2]Define!U:U))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INDEX([2]Define!V:V,MATCH(C16,[2]Define!U:U))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INDEX([2]Define!V:V,MATCH(C17,[2]Define!U:U))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INDEX([2]Define!V:V,MATCH(C18,[2]Define!U:U))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INDEX([2]Define!V:V,MATCH(C19,[2]Define!U:U))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エクステンション</v>
      </c>
      <c r="C20">
        <v>0</v>
      </c>
      <c r="D20" t="str">
        <f>INDEX([2]Define!V:V,MATCH(C20,[2]Define!U:U))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INDEX([2]Define!V:V,MATCH(C21,[2]Define!U:U))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INDEX([2]Define!V:V,MATCH(C22,[2]Define!U:U))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INDEX([2]Define!V:V,MATCH(C23,[2]Define!U:U))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INDEX([2]Define!V:V,MATCH(C24,[2]Define!U:U))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INDEX([2]Define!V:V,MATCH(C25,[2]Define!U:U))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INDEX([2]Define!V:V,MATCH(C26,[2]Define!U:U))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INDEX([2]Define!V:V,MATCH(C27,[2]Define!U:U))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INDEX([2]Define!V:V,MATCH(C28,[2]Define!U:U))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INDEX([2]Define!V:V,MATCH(C29,[2]Define!U:U))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INDEX([2]Define!V:V,MATCH(C30,[2]Define!U:U))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INDEX([2]Define!V:V,MATCH(C31,[2]Define!U:U))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INDEX([2]Define!V:V,MATCH(C32,[2]Define!U:U))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INDEX([2]Define!V:V,MATCH(C33,[2]Define!U:U))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INDEX([2]Define!V:V,MATCH(C34,[2]Define!U:U))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INDEX([2]Define!V:V,MATCH(C35,[2]Define!U:U))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INDEX([2]Define!V:V,MATCH(C36,[2]Define!U:U))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INDEX([2]Define!V:V,MATCH(C37,[2]Define!U:U))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INDEX([2]Define!V:V,MATCH(C38,[2]Define!U:U))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INDEX([2]Define!V:V,MATCH(C39,[2]Define!U:U))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INDEX([2]Define!V:V,MATCH(C40,[2]Define!U:U))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INDEX([2]Define!V:V,MATCH(C41,[2]Define!U:U))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INDEX([2]Define!V:V,MATCH(C42,[2]Define!U:U))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INDEX([2]Define!V:V,MATCH(C43,[2]Define!U:U))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INDEX([2]Define!V:V,MATCH(C44,[2]Define!U:U))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INDEX([2]Define!V:V,MATCH(C45,[2]Define!U:U))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INDEX([2]Define!V:V,MATCH(C46,[2]Define!U:U))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INDEX([2]Define!V:V,MATCH(C47,[2]Define!U:U))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INDEX([2]Define!V:V,MATCH(C48,[2]Define!U:U))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INDEX([2]Define!V:V,MATCH(C49,[2]Define!U:U))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INDEX([2]Define!V:V,MATCH(C50,[2]Define!U:U))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INDEX([2]Define!V:V,MATCH(C51,[2]Define!U:U))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INDEX([2]Define!V:V,MATCH(C52,[2]Define!U:U))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INDEX([2]Define!V:V,MATCH(C53,[2]Define!U:U))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INDEX([2]Define!V:V,MATCH(C54,[2]Define!U:U))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INDEX([2]Define!V:V,MATCH(C55,[2]Define!U:U))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INDEX([2]Define!V:V,MATCH(C56,[2]Define!U:U))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INDEX([2]Define!V:V,MATCH(C57,[2]Define!U:U))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INDEX([2]Define!V:V,MATCH(C58,[2]Define!U:U))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INDEX([2]Define!V:V,MATCH(C59,[2]Define!U:U))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INDEX(TextData!B:B,MATCH(A60,TextData!A:A))</f>
        <v>ソーイングアームド</v>
      </c>
      <c r="C60">
        <v>7010</v>
      </c>
      <c r="D60" t="str">
        <f>INDEX([2]Define!V:V,MATCH(C60,[2]Define!U:U))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INDEX(TextData!B:B,MATCH(A61,TextData!A:A))</f>
        <v>ソーイングアームド</v>
      </c>
      <c r="C61">
        <v>17010</v>
      </c>
      <c r="D61" t="str">
        <f>INDEX([2]Define!V:V,MATCH(C61,[2]Define!U:U))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INDEX(TextData!B:B,MATCH(A62,TextData!A:A))</f>
        <v>アブソリュートパリィ</v>
      </c>
      <c r="C62">
        <v>7010</v>
      </c>
      <c r="D62" t="str">
        <f>INDEX([2]Define!V:V,MATCH(C62,[2]Define!U:U))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INDEX(TextData!B:B,MATCH(A63,TextData!A:A))</f>
        <v>アブソリュートパリィ</v>
      </c>
      <c r="C63">
        <v>17040</v>
      </c>
      <c r="D63" t="str">
        <f>INDEX([2]Define!V:V,MATCH(C63,[2]Define!U:U))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INDEX(TextData!B:B,MATCH(A64,TextData!A:A))</f>
        <v>セイクリッドバリア</v>
      </c>
      <c r="C64">
        <v>7010</v>
      </c>
      <c r="D64" t="str">
        <f>INDEX([2]Define!V:V,MATCH(C64,[2]Define!U:U))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INDEX(TextData!B:B,MATCH(A65,TextData!A:A))</f>
        <v>セイクリッドバリア</v>
      </c>
      <c r="C65">
        <v>17020</v>
      </c>
      <c r="D65" t="str">
        <f>INDEX([2]Define!V:V,MATCH(C65,[2]Define!U:U))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INDEX(TextData!B:B,MATCH(A66,TextData!A:A))</f>
        <v>アバンデンス</v>
      </c>
      <c r="C66">
        <v>7010</v>
      </c>
      <c r="D66" t="str">
        <f>INDEX([2]Define!V:V,MATCH(C66,[2]Define!U:U))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INDEX(TextData!B:B,MATCH(A67,TextData!A:A))</f>
        <v>アバンデンス</v>
      </c>
      <c r="C67">
        <v>20040</v>
      </c>
      <c r="D67" t="str">
        <f>INDEX([2]Define!V:V,MATCH(C67,[2]Define!U:U))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INDEX(TextData!B:B,MATCH(A68,TextData!A:A))</f>
        <v>カースドブレイク</v>
      </c>
      <c r="C68">
        <v>7010</v>
      </c>
      <c r="D68" t="str">
        <f>INDEX([2]Define!V:V,MATCH(C68,[2]Define!U:U))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INDEX(TextData!B:B,MATCH(A69,TextData!A:A))</f>
        <v>カースドブレイク</v>
      </c>
      <c r="C69">
        <v>20160</v>
      </c>
      <c r="D69" t="str">
        <f>INDEX([2]Define!V:V,MATCH(C69,[2]Define!U:U))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INDEX(TextData!B:B,MATCH(A70,TextData!A:A))</f>
        <v>サンフレイム</v>
      </c>
      <c r="C70">
        <v>7010</v>
      </c>
      <c r="D70" t="str">
        <f>INDEX([2]Define!V:V,MATCH(C70,[2]Define!U:U))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INDEX(TextData!B:B,MATCH(A71,TextData!A:A))</f>
        <v>サンフレイム</v>
      </c>
      <c r="C71">
        <v>7070</v>
      </c>
      <c r="D71" t="str">
        <f>INDEX([2]Define!V:V,MATCH(C71,[2]Define!U:U))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INDEX(TextData!B:B,MATCH(A72,TextData!A:A))</f>
        <v>ライズザフラッグ</v>
      </c>
      <c r="C72">
        <v>7010</v>
      </c>
      <c r="D72" t="str">
        <f>INDEX([2]Define!V:V,MATCH(C72,[2]Define!U:U))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INDEX(TextData!B:B,MATCH(A73,TextData!A:A))</f>
        <v>ライズザフラッグ</v>
      </c>
      <c r="C73">
        <v>20140</v>
      </c>
      <c r="D73" t="str">
        <f>INDEX([2]Define!V:V,MATCH(C73,[2]Define!U:U))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INDEX(TextData!B:B,MATCH(A74,TextData!A:A))</f>
        <v>テンパランス</v>
      </c>
      <c r="C74">
        <v>7010</v>
      </c>
      <c r="D74" t="str">
        <f>INDEX([2]Define!V:V,MATCH(C74,[2]Define!U:U))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INDEX(TextData!B:B,MATCH(A75,TextData!A:A))</f>
        <v>テンパランス</v>
      </c>
      <c r="C75">
        <v>9020</v>
      </c>
      <c r="D75" t="str">
        <f>INDEX([2]Define!V:V,MATCH(C75,[2]Define!U:U))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INDEX(TextData!B:B,MATCH(A76,TextData!A:A))</f>
        <v>バーニングカウンター</v>
      </c>
      <c r="C76">
        <v>7010</v>
      </c>
      <c r="D76" t="str">
        <f>INDEX([2]Define!V:V,MATCH(C76,[2]Define!U:U))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INDEX(TextData!B:B,MATCH(A77,TextData!A:A))</f>
        <v>バーニングカウンター</v>
      </c>
      <c r="C77">
        <v>12041</v>
      </c>
      <c r="D77" t="str">
        <f>INDEX([2]Define!V:V,MATCH(C77,[2]Define!U:U))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INDEX(TextData!B:B,MATCH(A78,TextData!A:A))</f>
        <v>エウロス</v>
      </c>
      <c r="C78">
        <v>7010</v>
      </c>
      <c r="D78" t="str">
        <f>INDEX([2]Define!V:V,MATCH(C78,[2]Define!U:U))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INDEX(TextData!B:B,MATCH(A79,TextData!A:A))</f>
        <v>エウロス</v>
      </c>
      <c r="C79">
        <v>12063</v>
      </c>
      <c r="D79" t="str">
        <f>INDEX([2]Define!V:V,MATCH(C79,[2]Define!U:U))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INDEX(TextData!B:B,MATCH(A80,TextData!A:A))</f>
        <v>アバランシュ</v>
      </c>
      <c r="C80">
        <v>7010</v>
      </c>
      <c r="D80" t="str">
        <f>INDEX([2]Define!V:V,MATCH(C80,[2]Define!U:U))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INDEX(TextData!B:B,MATCH(A81,TextData!A:A))</f>
        <v>アバランシュ</v>
      </c>
      <c r="C81">
        <v>20071</v>
      </c>
      <c r="D81" t="str">
        <f>INDEX([2]Define!V:V,MATCH(C81,[2]Define!U:U))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INDEX(TextData!B:B,MATCH(A82,TextData!A:A))</f>
        <v>マイトレインフォース</v>
      </c>
      <c r="C82">
        <v>7010</v>
      </c>
      <c r="D82" t="str">
        <f>INDEX([2]Define!V:V,MATCH(C82,[2]Define!U:U))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INDEX(TextData!B:B,MATCH(A83,TextData!A:A))</f>
        <v>マイトレインフォース</v>
      </c>
      <c r="C83">
        <v>20040</v>
      </c>
      <c r="D83" t="str">
        <f>INDEX([2]Define!V:V,MATCH(C83,[2]Define!U:U))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INDEX(TextData!B:B,MATCH(A84,TextData!A:A))</f>
        <v>悪魔(ベリト)</v>
      </c>
      <c r="C84">
        <v>1010</v>
      </c>
      <c r="D84" t="str">
        <f>INDEX([2]Define!V:V,MATCH(C84,[2]Define!U:U))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INDEX(TextData!B:B,MATCH(A85,TextData!A:A))</f>
        <v>プルガシオン</v>
      </c>
      <c r="C85">
        <v>7010</v>
      </c>
      <c r="D85" t="str">
        <f>INDEX([2]Define!V:V,MATCH(C85,[2]Define!U:U))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INDEX(TextData!B:B,MATCH(A86,TextData!A:A))</f>
        <v>プルガシオン</v>
      </c>
      <c r="C86">
        <v>1010</v>
      </c>
      <c r="D86" t="str">
        <f>INDEX([2]Define!V:V,MATCH(C86,[2]Define!U:U))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INDEX(TextData!B:B,MATCH(A87,TextData!A:A))</f>
        <v>悪魔(パイモン)</v>
      </c>
      <c r="C87">
        <v>0</v>
      </c>
      <c r="D87" t="str">
        <f>INDEX([2]Define!V:V,MATCH(C87,[2]Define!U:U))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INDEX(TextData!B:B,MATCH(A88,TextData!A:A))</f>
        <v>コウソクテンショウ</v>
      </c>
      <c r="C88">
        <v>7010</v>
      </c>
      <c r="D88" t="str">
        <f>INDEX([2]Define!V:V,MATCH(C88,[2]Define!U:U))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INDEX(TextData!B:B,MATCH(A89,TextData!A:A))</f>
        <v>コウソクテンショウ</v>
      </c>
      <c r="C89">
        <v>1010</v>
      </c>
      <c r="D89" t="str">
        <f>INDEX([2]Define!V:V,MATCH(C89,[2]Define!U:U))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INDEX(TextData!B:B,MATCH(A90,TextData!A:A))</f>
        <v>悪魔(アンドラス)</v>
      </c>
      <c r="C90">
        <v>0</v>
      </c>
      <c r="D90" t="str">
        <f>INDEX([2]Define!V:V,MATCH(C90,[2]Define!U:U))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INDEX(TextData!B:B,MATCH(A91,TextData!A:A))</f>
        <v>カウントダウン</v>
      </c>
      <c r="C91">
        <v>7010</v>
      </c>
      <c r="D91" t="str">
        <f>INDEX([2]Define!V:V,MATCH(C91,[2]Define!U:U))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INDEX(TextData!B:B,MATCH(A92,TextData!A:A))</f>
        <v>カウントダウン</v>
      </c>
      <c r="C92">
        <v>9040</v>
      </c>
      <c r="D92" t="str">
        <f>INDEX([2]Define!V:V,MATCH(C92,[2]Define!U:U))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INDEX(TextData!B:B,MATCH(A93,TextData!A:A))</f>
        <v>悪魔(ビフロンス)</v>
      </c>
      <c r="C93">
        <v>1010</v>
      </c>
      <c r="D93" t="str">
        <f>INDEX([2]Define!V:V,MATCH(C93,[2]Define!U:U))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INDEX(TextData!B:B,MATCH(A94,TextData!A:A))</f>
        <v>カオスペイン</v>
      </c>
      <c r="C94">
        <v>7010</v>
      </c>
      <c r="D94" t="str">
        <f>INDEX([2]Define!V:V,MATCH(C94,[2]Define!U:U))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INDEX(TextData!B:B,MATCH(A95,TextData!A:A))</f>
        <v>カオスペイン</v>
      </c>
      <c r="C95">
        <v>1010</v>
      </c>
      <c r="D95" t="str">
        <f>INDEX([2]Define!V:V,MATCH(C95,[2]Define!U:U))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INDEX(TextData!B:B,MATCH(A96,TextData!A:A))</f>
        <v>アンリマユ</v>
      </c>
      <c r="C96">
        <v>0</v>
      </c>
      <c r="D96" t="str">
        <f>INDEX([2]Define!V:V,MATCH(C96,[2]Define!U:U))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INDEX(TextData!B:B,MATCH(A97,TextData!A:A))</f>
        <v>ライフブースト</v>
      </c>
      <c r="C97">
        <v>0</v>
      </c>
      <c r="D97" t="str">
        <f>INDEX([2]Define!V:V,MATCH(C97,[2]Define!U:U))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INDEX(TextData!B:B,MATCH(A98,TextData!A:A))</f>
        <v>スピリットチャージ</v>
      </c>
      <c r="C98">
        <v>0</v>
      </c>
      <c r="D98" t="str">
        <f>INDEX([2]Define!V:V,MATCH(C98,[2]Define!U:U))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INDEX(TextData!B:B,MATCH(A99,TextData!A:A))</f>
        <v>フォースライズ</v>
      </c>
      <c r="C99">
        <v>0</v>
      </c>
      <c r="D99" t="str">
        <f>INDEX([2]Define!V:V,MATCH(C99,[2]Define!U:U))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INDEX(TextData!B:B,MATCH(A100,TextData!A:A))</f>
        <v>ディフェンスオーラ</v>
      </c>
      <c r="C100">
        <v>0</v>
      </c>
      <c r="D100" t="str">
        <f>INDEX([2]Define!V:V,MATCH(C100,[2]Define!U:U))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INDEX(TextData!B:B,MATCH(A101,TextData!A:A))</f>
        <v>ラピッドムーブ</v>
      </c>
      <c r="C101">
        <v>0</v>
      </c>
      <c r="D101" t="str">
        <f>INDEX([2]Define!V:V,MATCH(C101,[2]Define!U:U))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INDEX(TextData!B:B,MATCH(A102,TextData!A:A))</f>
        <v>アタックブレイク</v>
      </c>
      <c r="C102">
        <v>0</v>
      </c>
      <c r="D102" t="str">
        <f>INDEX([2]Define!V:V,MATCH(C102,[2]Define!U:U))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INDEX(TextData!B:B,MATCH(A103,TextData!A:A))</f>
        <v>シールドバニッシュ</v>
      </c>
      <c r="C103">
        <v>0</v>
      </c>
      <c r="D103" t="str">
        <f>INDEX([2]Define!V:V,MATCH(C103,[2]Define!U:U))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INDEX(TextData!B:B,MATCH(A104,TextData!A:A))</f>
        <v>エーテルリチャージ</v>
      </c>
      <c r="C104">
        <v>0</v>
      </c>
      <c r="D104" t="str">
        <f>INDEX([2]Define!V:V,MATCH(C104,[2]Define!U:U))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INDEX(TextData!B:B,MATCH(A105,TextData!A:A))</f>
        <v>リカバリーエンハンス</v>
      </c>
      <c r="C105">
        <v>0</v>
      </c>
      <c r="D105" t="str">
        <f>INDEX([2]Define!V:V,MATCH(C105,[2]Define!U:U))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INDEX(TextData!B:B,MATCH(A106,TextData!A:A))</f>
        <v>ヴェンジェンス</v>
      </c>
      <c r="C106">
        <v>0</v>
      </c>
      <c r="D106" t="str">
        <f>INDEX([2]Define!V:V,MATCH(C106,[2]Define!U:U))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INDEX(TextData!B:B,MATCH(A107,TextData!A:A))</f>
        <v>ディケイドリセット</v>
      </c>
      <c r="C107">
        <v>0</v>
      </c>
      <c r="D107" t="str">
        <f>INDEX([2]Define!V:V,MATCH(C107,[2]Define!U:U))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INDEX(TextData!B:B,MATCH(A108,TextData!A:A))</f>
        <v>ウォーリアーブラッド</v>
      </c>
      <c r="C108">
        <v>0</v>
      </c>
      <c r="D108" t="str">
        <f>INDEX([2]Define!V:V,MATCH(C108,[2]Define!U:U))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INDEX(TextData!B:B,MATCH(A109,TextData!A:A))</f>
        <v>トライアングルガード</v>
      </c>
      <c r="C109">
        <v>0</v>
      </c>
      <c r="D109" t="str">
        <f>INDEX([2]Define!V:V,MATCH(C109,[2]Define!U:U))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INDEX(TextData!B:B,MATCH(A110,TextData!A:A))</f>
        <v>セーフティバリア</v>
      </c>
      <c r="C110">
        <v>0</v>
      </c>
      <c r="D110" t="str">
        <f>INDEX([2]Define!V:V,MATCH(C110,[2]Define!U:U))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11010</v>
      </c>
      <c r="D111" t="str">
        <f>INDEX([2]Define!V:V,MATCH(C111,[2]Define!U:U))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INDEX(TextData!B:B,MATCH(A112,TextData!A:A))</f>
        <v>ヒロインズハイ</v>
      </c>
      <c r="C112">
        <v>13020</v>
      </c>
      <c r="D112" t="str">
        <f>INDEX([2]Define!V:V,MATCH(C112,[2]Define!U:U))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INDEX(TextData!B:B,MATCH(A113,TextData!A:A))</f>
        <v>セカンドステージ</v>
      </c>
      <c r="C113">
        <v>0</v>
      </c>
      <c r="D113" t="str">
        <f>INDEX([2]Define!V:V,MATCH(C113,[2]Define!U:U))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INDEX(TextData!B:B,MATCH(A114,TextData!A:A))</f>
        <v>セカンドステージ</v>
      </c>
      <c r="C114">
        <v>11010</v>
      </c>
      <c r="D114" t="str">
        <f>INDEX([2]Define!V:V,MATCH(C114,[2]Define!U:U))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INDEX(TextData!B:B,MATCH(A115,TextData!A:A))</f>
        <v>ハイヒットポイント</v>
      </c>
      <c r="C115">
        <v>0</v>
      </c>
      <c r="D115" t="str">
        <f>INDEX([2]Define!V:V,MATCH(C115,[2]Define!U:U))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INDEX(TextData!B:B,MATCH(A116,TextData!A:A))</f>
        <v>セプタブラスト</v>
      </c>
      <c r="C116">
        <v>12070</v>
      </c>
      <c r="D116" t="str">
        <f>INDEX([2]Define!V:V,MATCH(C116,[2]Define!U:U))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INDEX(TextData!B:B,MATCH(A117,TextData!A:A))</f>
        <v>セプタブラスト</v>
      </c>
      <c r="C117">
        <v>9031</v>
      </c>
      <c r="D117" t="str">
        <f>INDEX([2]Define!V:V,MATCH(C117,[2]Define!U:U))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INDEX(TextData!B:B,MATCH(A118,TextData!A:A))</f>
        <v>イニシャルブロッカー</v>
      </c>
      <c r="C118">
        <v>0</v>
      </c>
      <c r="D118" t="str">
        <f>INDEX([2]Define!V:V,MATCH(C118,[2]Define!U:U))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INDEX(TextData!B:B,MATCH(A119,TextData!A:A))</f>
        <v>ファーストテイク</v>
      </c>
      <c r="C119">
        <v>0</v>
      </c>
      <c r="D119" t="str">
        <f>INDEX([2]Define!V:V,MATCH(C119,[2]Define!U:U))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B7" sqref="B7:B1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7"/>
  <sheetViews>
    <sheetView tabSelected="1" topLeftCell="A51" workbookViewId="0">
      <selection activeCell="C61" sqref="C61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26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ht="26" spans="1:3">
      <c r="A66">
        <v>12010</v>
      </c>
      <c r="B66" t="s">
        <v>148</v>
      </c>
      <c r="C66" s="3" t="s">
        <v>149</v>
      </c>
    </row>
    <row r="67" spans="1:3">
      <c r="A67">
        <v>12020</v>
      </c>
      <c r="B67" t="s">
        <v>150</v>
      </c>
      <c r="C67" s="3" t="s">
        <v>151</v>
      </c>
    </row>
    <row r="68" spans="1:3">
      <c r="A68">
        <v>12030</v>
      </c>
      <c r="B68" t="s">
        <v>152</v>
      </c>
      <c r="C68" s="3" t="s">
        <v>153</v>
      </c>
    </row>
    <row r="69" ht="39" spans="1:3">
      <c r="A69">
        <v>12040</v>
      </c>
      <c r="B69" t="s">
        <v>154</v>
      </c>
      <c r="C69" s="3" t="s">
        <v>155</v>
      </c>
    </row>
    <row r="70" ht="26" spans="1:3">
      <c r="A70">
        <v>12050</v>
      </c>
      <c r="B70" t="s">
        <v>156</v>
      </c>
      <c r="C70" s="3" t="s">
        <v>157</v>
      </c>
    </row>
    <row r="71" ht="26" spans="1:3">
      <c r="A71">
        <v>12060</v>
      </c>
      <c r="B71" t="s">
        <v>158</v>
      </c>
      <c r="C71" s="3" t="s">
        <v>159</v>
      </c>
    </row>
    <row r="72" ht="39" spans="1:3">
      <c r="A72">
        <v>12070</v>
      </c>
      <c r="B72" t="s">
        <v>160</v>
      </c>
      <c r="C72" s="3" t="s">
        <v>161</v>
      </c>
    </row>
    <row r="73" ht="26" spans="1:3">
      <c r="A73">
        <v>12080</v>
      </c>
      <c r="B73" t="s">
        <v>162</v>
      </c>
      <c r="C73" s="3" t="s">
        <v>163</v>
      </c>
    </row>
    <row r="74" ht="26" spans="1:3">
      <c r="A74">
        <v>12090</v>
      </c>
      <c r="B74" t="s">
        <v>164</v>
      </c>
      <c r="C74" s="3" t="s">
        <v>165</v>
      </c>
    </row>
    <row r="75" spans="1:3">
      <c r="A75">
        <v>13010</v>
      </c>
      <c r="B75" t="s">
        <v>166</v>
      </c>
      <c r="C75" s="3" t="s">
        <v>167</v>
      </c>
    </row>
    <row r="76" ht="26" spans="1:3">
      <c r="A76">
        <v>13020</v>
      </c>
      <c r="B76" t="s">
        <v>168</v>
      </c>
      <c r="C76" s="3" t="s">
        <v>169</v>
      </c>
    </row>
    <row r="77" ht="26" spans="1:3">
      <c r="A77">
        <v>13030</v>
      </c>
      <c r="B77" t="s">
        <v>170</v>
      </c>
      <c r="C77" s="3" t="s">
        <v>171</v>
      </c>
    </row>
    <row r="78" ht="26" spans="1:3">
      <c r="A78">
        <v>13040</v>
      </c>
      <c r="B78" t="s">
        <v>172</v>
      </c>
      <c r="C78" s="3" t="s">
        <v>173</v>
      </c>
    </row>
    <row r="79" ht="39" spans="1:3">
      <c r="A79">
        <v>13050</v>
      </c>
      <c r="B79" t="s">
        <v>174</v>
      </c>
      <c r="C79" s="3" t="s">
        <v>175</v>
      </c>
    </row>
    <row r="80" ht="26" spans="1:3">
      <c r="A80">
        <v>13060</v>
      </c>
      <c r="B80" t="s">
        <v>176</v>
      </c>
      <c r="C80" s="3" t="s">
        <v>177</v>
      </c>
    </row>
    <row r="81" ht="26" spans="1:3">
      <c r="A81">
        <v>13070</v>
      </c>
      <c r="B81" t="s">
        <v>178</v>
      </c>
      <c r="C81" s="3" t="s">
        <v>179</v>
      </c>
    </row>
    <row r="82" ht="26" spans="1:3">
      <c r="A82">
        <v>13080</v>
      </c>
      <c r="B82" t="s">
        <v>180</v>
      </c>
      <c r="C82" s="3" t="s">
        <v>181</v>
      </c>
    </row>
    <row r="83" ht="39" spans="1:3">
      <c r="A83">
        <v>13090</v>
      </c>
      <c r="B83" t="s">
        <v>182</v>
      </c>
      <c r="C83" s="3" t="s">
        <v>183</v>
      </c>
    </row>
    <row r="84" ht="39" spans="1:3">
      <c r="A84">
        <v>14010</v>
      </c>
      <c r="B84" t="s">
        <v>184</v>
      </c>
      <c r="C84" s="3" t="s">
        <v>185</v>
      </c>
    </row>
    <row r="85" ht="39" spans="1:3">
      <c r="A85">
        <v>14020</v>
      </c>
      <c r="B85" t="s">
        <v>186</v>
      </c>
      <c r="C85" s="3" t="s">
        <v>187</v>
      </c>
    </row>
    <row r="86" ht="26" spans="1:3">
      <c r="A86">
        <v>14030</v>
      </c>
      <c r="B86" t="s">
        <v>188</v>
      </c>
      <c r="C86" s="3" t="s">
        <v>189</v>
      </c>
    </row>
    <row r="87" spans="1:3">
      <c r="A87">
        <v>14040</v>
      </c>
      <c r="B87" t="s">
        <v>190</v>
      </c>
      <c r="C87" t="s">
        <v>191</v>
      </c>
    </row>
    <row r="88" spans="1:3">
      <c r="A88">
        <v>14050</v>
      </c>
      <c r="B88" t="s">
        <v>192</v>
      </c>
      <c r="C88" s="3" t="s">
        <v>193</v>
      </c>
    </row>
    <row r="89" ht="39" spans="1:3">
      <c r="A89">
        <v>14060</v>
      </c>
      <c r="B89" t="s">
        <v>194</v>
      </c>
      <c r="C89" s="3" t="s">
        <v>195</v>
      </c>
    </row>
    <row r="90" ht="39" spans="1:3">
      <c r="A90">
        <v>14070</v>
      </c>
      <c r="B90" t="s">
        <v>196</v>
      </c>
      <c r="C90" s="3" t="s">
        <v>197</v>
      </c>
    </row>
    <row r="91" ht="26" spans="1:3">
      <c r="A91">
        <v>14080</v>
      </c>
      <c r="B91" t="s">
        <v>198</v>
      </c>
      <c r="C91" s="3" t="s">
        <v>199</v>
      </c>
    </row>
    <row r="92" ht="52" spans="1:4">
      <c r="A92">
        <v>14090</v>
      </c>
      <c r="B92" t="s">
        <v>200</v>
      </c>
      <c r="C92" s="3" t="s">
        <v>201</v>
      </c>
      <c r="D92" t="s">
        <v>202</v>
      </c>
    </row>
    <row r="93" spans="1:3">
      <c r="A93">
        <v>15010</v>
      </c>
      <c r="B93" t="s">
        <v>203</v>
      </c>
      <c r="C93" s="3" t="s">
        <v>204</v>
      </c>
    </row>
    <row r="94" ht="26" spans="1:3">
      <c r="A94">
        <v>15020</v>
      </c>
      <c r="B94" t="s">
        <v>205</v>
      </c>
      <c r="C94" s="3" t="s">
        <v>206</v>
      </c>
    </row>
    <row r="95" ht="26" spans="1:3">
      <c r="A95">
        <v>15030</v>
      </c>
      <c r="B95" t="s">
        <v>207</v>
      </c>
      <c r="C95" s="3" t="s">
        <v>208</v>
      </c>
    </row>
    <row r="96" ht="39" spans="1:3">
      <c r="A96">
        <v>15040</v>
      </c>
      <c r="B96" t="s">
        <v>209</v>
      </c>
      <c r="C96" s="3" t="s">
        <v>210</v>
      </c>
    </row>
    <row r="97" ht="26" spans="1:3">
      <c r="A97">
        <v>15050</v>
      </c>
      <c r="B97" t="s">
        <v>211</v>
      </c>
      <c r="C97" s="3" t="s">
        <v>212</v>
      </c>
    </row>
    <row r="98" ht="26" spans="1:3">
      <c r="A98">
        <v>15060</v>
      </c>
      <c r="B98" t="s">
        <v>213</v>
      </c>
      <c r="C98" s="3" t="s">
        <v>214</v>
      </c>
    </row>
    <row r="99" ht="26" spans="1:4">
      <c r="A99">
        <v>15070</v>
      </c>
      <c r="B99" t="s">
        <v>215</v>
      </c>
      <c r="C99" s="3" t="s">
        <v>216</v>
      </c>
      <c r="D99" t="s">
        <v>217</v>
      </c>
    </row>
    <row r="100" ht="26" spans="1:3">
      <c r="A100">
        <v>15080</v>
      </c>
      <c r="B100" t="s">
        <v>218</v>
      </c>
      <c r="C100" s="3" t="s">
        <v>219</v>
      </c>
    </row>
    <row r="101" ht="26" spans="1:3">
      <c r="A101">
        <v>15090</v>
      </c>
      <c r="B101" t="s">
        <v>220</v>
      </c>
      <c r="C101" s="3" t="s">
        <v>221</v>
      </c>
    </row>
    <row r="102" spans="1:3">
      <c r="A102">
        <v>20010</v>
      </c>
      <c r="B102" t="s">
        <v>222</v>
      </c>
      <c r="C102" s="4" t="s">
        <v>223</v>
      </c>
    </row>
    <row r="103" ht="52" spans="1:3">
      <c r="A103">
        <v>100110</v>
      </c>
      <c r="B103" t="s">
        <v>224</v>
      </c>
      <c r="C103" s="3" t="s">
        <v>225</v>
      </c>
    </row>
    <row r="104" ht="26" spans="1:3">
      <c r="A104">
        <v>100120</v>
      </c>
      <c r="B104" t="s">
        <v>226</v>
      </c>
      <c r="C104" s="3" t="s">
        <v>227</v>
      </c>
    </row>
    <row r="105" ht="39" spans="1:3">
      <c r="A105">
        <v>100210</v>
      </c>
      <c r="B105" t="s">
        <v>228</v>
      </c>
      <c r="C105" s="3" t="s">
        <v>229</v>
      </c>
    </row>
    <row r="106" ht="28" customHeight="1" spans="1:3">
      <c r="A106">
        <v>100220</v>
      </c>
      <c r="B106" t="s">
        <v>230</v>
      </c>
      <c r="C106" s="3" t="s">
        <v>231</v>
      </c>
    </row>
    <row r="107" ht="52" spans="1:3">
      <c r="A107">
        <v>100310</v>
      </c>
      <c r="B107" t="s">
        <v>232</v>
      </c>
      <c r="C107" s="3" t="s">
        <v>233</v>
      </c>
    </row>
    <row r="108" ht="26" spans="1:3">
      <c r="A108">
        <v>100320</v>
      </c>
      <c r="B108" t="s">
        <v>234</v>
      </c>
      <c r="C108" s="3" t="s">
        <v>235</v>
      </c>
    </row>
    <row r="109" ht="39" spans="1:3">
      <c r="A109">
        <v>100410</v>
      </c>
      <c r="B109" t="s">
        <v>236</v>
      </c>
      <c r="C109" s="3" t="s">
        <v>237</v>
      </c>
    </row>
    <row r="110" ht="52" spans="1:3">
      <c r="A110">
        <v>100420</v>
      </c>
      <c r="B110" t="s">
        <v>238</v>
      </c>
      <c r="C110" s="3" t="s">
        <v>239</v>
      </c>
    </row>
    <row r="111" ht="52" spans="1:3">
      <c r="A111">
        <v>100510</v>
      </c>
      <c r="B111" t="s">
        <v>240</v>
      </c>
      <c r="C111" s="3" t="s">
        <v>241</v>
      </c>
    </row>
    <row r="112" ht="52" spans="1:3">
      <c r="A112">
        <v>100520</v>
      </c>
      <c r="B112" t="s">
        <v>242</v>
      </c>
      <c r="C112" s="3" t="s">
        <v>243</v>
      </c>
    </row>
    <row r="113" ht="39" spans="1:3">
      <c r="A113">
        <v>100610</v>
      </c>
      <c r="B113" t="s">
        <v>244</v>
      </c>
      <c r="C113" s="3" t="s">
        <v>245</v>
      </c>
    </row>
    <row r="114" ht="39" spans="1:3">
      <c r="A114">
        <v>100620</v>
      </c>
      <c r="B114" t="s">
        <v>246</v>
      </c>
      <c r="C114" s="3" t="s">
        <v>247</v>
      </c>
    </row>
    <row r="115" ht="52" spans="1:3">
      <c r="A115">
        <v>100710</v>
      </c>
      <c r="B115" t="s">
        <v>248</v>
      </c>
      <c r="C115" s="3" t="s">
        <v>249</v>
      </c>
    </row>
    <row r="116" ht="26" spans="1:3">
      <c r="A116">
        <v>100720</v>
      </c>
      <c r="B116" t="s">
        <v>250</v>
      </c>
      <c r="C116" s="3" t="s">
        <v>251</v>
      </c>
    </row>
    <row r="117" ht="39" spans="1:3">
      <c r="A117">
        <v>100810</v>
      </c>
      <c r="B117" t="s">
        <v>252</v>
      </c>
      <c r="C117" s="3" t="s">
        <v>253</v>
      </c>
    </row>
    <row r="118" ht="26" spans="1:3">
      <c r="A118">
        <v>100820</v>
      </c>
      <c r="B118" t="s">
        <v>254</v>
      </c>
      <c r="C118" s="3" t="s">
        <v>227</v>
      </c>
    </row>
    <row r="119" ht="39" spans="1:3">
      <c r="A119">
        <v>100910</v>
      </c>
      <c r="B119" t="s">
        <v>255</v>
      </c>
      <c r="C119" s="3" t="s">
        <v>256</v>
      </c>
    </row>
    <row r="120" ht="39" spans="1:3">
      <c r="A120">
        <v>100911</v>
      </c>
      <c r="B120" t="s">
        <v>255</v>
      </c>
      <c r="C120" s="3" t="s">
        <v>256</v>
      </c>
    </row>
    <row r="121" ht="39" spans="1:3">
      <c r="A121">
        <v>100920</v>
      </c>
      <c r="B121" t="s">
        <v>257</v>
      </c>
      <c r="C121" s="3" t="s">
        <v>258</v>
      </c>
    </row>
    <row r="122" ht="39" spans="1:3">
      <c r="A122">
        <v>100921</v>
      </c>
      <c r="B122" t="s">
        <v>257</v>
      </c>
      <c r="C122" s="3" t="s">
        <v>258</v>
      </c>
    </row>
    <row r="123" ht="39" spans="1:4">
      <c r="A123">
        <v>101010</v>
      </c>
      <c r="B123" t="s">
        <v>259</v>
      </c>
      <c r="C123" s="3" t="s">
        <v>260</v>
      </c>
      <c r="D123" s="3"/>
    </row>
    <row r="124" ht="26" spans="1:3">
      <c r="A124">
        <v>101020</v>
      </c>
      <c r="B124" t="s">
        <v>261</v>
      </c>
      <c r="C124" s="3" t="s">
        <v>227</v>
      </c>
    </row>
    <row r="125" ht="39" spans="1:3">
      <c r="A125">
        <v>101110</v>
      </c>
      <c r="B125" t="s">
        <v>262</v>
      </c>
      <c r="C125" s="3" t="s">
        <v>263</v>
      </c>
    </row>
    <row r="126" ht="39" spans="1:3">
      <c r="A126">
        <v>101120</v>
      </c>
      <c r="B126" t="s">
        <v>264</v>
      </c>
      <c r="C126" s="3" t="s">
        <v>265</v>
      </c>
    </row>
    <row r="127" ht="26" spans="1:3">
      <c r="A127">
        <v>200210</v>
      </c>
      <c r="B127" t="s">
        <v>266</v>
      </c>
      <c r="C127" s="3" t="s">
        <v>267</v>
      </c>
    </row>
    <row r="128" ht="26" spans="1:3">
      <c r="A128">
        <v>200220</v>
      </c>
      <c r="B128" t="s">
        <v>268</v>
      </c>
      <c r="C128" s="3" t="s">
        <v>227</v>
      </c>
    </row>
    <row r="129" ht="26" spans="1:3">
      <c r="A129">
        <v>200230</v>
      </c>
      <c r="B129" t="s">
        <v>269</v>
      </c>
      <c r="C129" s="4" t="s">
        <v>270</v>
      </c>
    </row>
    <row r="130" ht="52" spans="1:3">
      <c r="A130">
        <v>200310</v>
      </c>
      <c r="B130" t="s">
        <v>271</v>
      </c>
      <c r="C130" s="3" t="s">
        <v>272</v>
      </c>
    </row>
    <row r="131" ht="52" spans="1:3">
      <c r="A131">
        <v>200320</v>
      </c>
      <c r="B131" t="s">
        <v>273</v>
      </c>
      <c r="C131" s="3" t="s">
        <v>274</v>
      </c>
    </row>
    <row r="132" ht="26" spans="1:3">
      <c r="A132">
        <v>200330</v>
      </c>
      <c r="B132" t="s">
        <v>275</v>
      </c>
      <c r="C132" s="4" t="s">
        <v>276</v>
      </c>
    </row>
    <row r="133" ht="52" spans="1:3">
      <c r="A133">
        <v>200410</v>
      </c>
      <c r="B133" t="s">
        <v>277</v>
      </c>
      <c r="C133" s="3" t="s">
        <v>278</v>
      </c>
    </row>
    <row r="134" ht="52" spans="1:3">
      <c r="A134">
        <v>200411</v>
      </c>
      <c r="B134" t="s">
        <v>277</v>
      </c>
      <c r="C134" s="3" t="s">
        <v>279</v>
      </c>
    </row>
    <row r="135" ht="39" spans="1:3">
      <c r="A135">
        <v>200420</v>
      </c>
      <c r="B135" t="s">
        <v>280</v>
      </c>
      <c r="C135" s="3" t="s">
        <v>281</v>
      </c>
    </row>
    <row r="136" spans="1:3">
      <c r="A136">
        <v>200430</v>
      </c>
      <c r="B136" t="s">
        <v>282</v>
      </c>
      <c r="C136" s="3" t="s">
        <v>283</v>
      </c>
    </row>
    <row r="137" ht="52" spans="1:3">
      <c r="A137">
        <v>200510</v>
      </c>
      <c r="B137" t="s">
        <v>284</v>
      </c>
      <c r="C137" s="3" t="s">
        <v>285</v>
      </c>
    </row>
    <row r="138" ht="39" spans="1:3">
      <c r="A138">
        <v>200520</v>
      </c>
      <c r="B138" t="s">
        <v>286</v>
      </c>
      <c r="C138" s="3" t="s">
        <v>287</v>
      </c>
    </row>
    <row r="139" ht="39" spans="1:3">
      <c r="A139">
        <v>200530</v>
      </c>
      <c r="B139" t="s">
        <v>288</v>
      </c>
      <c r="C139" s="4" t="s">
        <v>289</v>
      </c>
    </row>
    <row r="140" ht="52" spans="1:3">
      <c r="A140">
        <v>201010</v>
      </c>
      <c r="B140" t="s">
        <v>290</v>
      </c>
      <c r="C140" s="3" t="s">
        <v>291</v>
      </c>
    </row>
    <row r="141" ht="39" spans="1:3">
      <c r="A141">
        <v>201020</v>
      </c>
      <c r="B141" t="s">
        <v>292</v>
      </c>
      <c r="C141" s="3" t="s">
        <v>293</v>
      </c>
    </row>
    <row r="142" ht="39" spans="1:3">
      <c r="A142">
        <v>201030</v>
      </c>
      <c r="B142" t="s">
        <v>294</v>
      </c>
      <c r="C142" s="4" t="s">
        <v>295</v>
      </c>
    </row>
    <row r="143" ht="26" spans="1:3">
      <c r="A143">
        <v>300010</v>
      </c>
      <c r="B143" t="s">
        <v>296</v>
      </c>
      <c r="C143" s="3" t="s">
        <v>297</v>
      </c>
    </row>
    <row r="144" ht="26" spans="1:3">
      <c r="A144">
        <v>300020</v>
      </c>
      <c r="B144" t="s">
        <v>298</v>
      </c>
      <c r="C144" s="3" t="s">
        <v>299</v>
      </c>
    </row>
    <row r="145" ht="26" spans="1:3">
      <c r="A145">
        <v>300030</v>
      </c>
      <c r="B145" t="s">
        <v>300</v>
      </c>
      <c r="C145" s="3" t="s">
        <v>301</v>
      </c>
    </row>
    <row r="146" ht="26" spans="1:3">
      <c r="A146">
        <v>300040</v>
      </c>
      <c r="B146" t="s">
        <v>302</v>
      </c>
      <c r="C146" s="3" t="s">
        <v>303</v>
      </c>
    </row>
    <row r="147" ht="26" spans="1:3">
      <c r="A147">
        <v>300050</v>
      </c>
      <c r="B147" t="s">
        <v>304</v>
      </c>
      <c r="C147" s="3" t="s">
        <v>305</v>
      </c>
    </row>
    <row r="148" ht="26" spans="1:3">
      <c r="A148">
        <v>300130</v>
      </c>
      <c r="B148" t="s">
        <v>306</v>
      </c>
      <c r="C148" s="3" t="s">
        <v>307</v>
      </c>
    </row>
    <row r="149" ht="26" spans="1:3">
      <c r="A149">
        <v>300140</v>
      </c>
      <c r="B149" t="s">
        <v>308</v>
      </c>
      <c r="C149" s="3" t="s">
        <v>309</v>
      </c>
    </row>
    <row r="150" ht="26" spans="1:3">
      <c r="A150">
        <v>300210</v>
      </c>
      <c r="B150" t="s">
        <v>310</v>
      </c>
      <c r="C150" s="3" t="s">
        <v>311</v>
      </c>
    </row>
    <row r="151" ht="26" spans="1:3">
      <c r="A151">
        <v>300220</v>
      </c>
      <c r="B151" t="s">
        <v>312</v>
      </c>
      <c r="C151" s="3" t="s">
        <v>313</v>
      </c>
    </row>
    <row r="152" ht="39" spans="1:3">
      <c r="A152">
        <v>300230</v>
      </c>
      <c r="B152" t="s">
        <v>314</v>
      </c>
      <c r="C152" s="3" t="s">
        <v>315</v>
      </c>
    </row>
    <row r="153" ht="26" spans="1:3">
      <c r="A153">
        <v>301010</v>
      </c>
      <c r="B153" t="s">
        <v>316</v>
      </c>
      <c r="C153" s="3" t="s">
        <v>317</v>
      </c>
    </row>
    <row r="154" ht="26" spans="1:3">
      <c r="A154">
        <v>301020</v>
      </c>
      <c r="B154" t="s">
        <v>318</v>
      </c>
      <c r="C154" s="3" t="s">
        <v>319</v>
      </c>
    </row>
    <row r="155" ht="26" spans="1:3">
      <c r="A155">
        <v>301030</v>
      </c>
      <c r="B155" t="s">
        <v>320</v>
      </c>
      <c r="C155" s="3" t="s">
        <v>321</v>
      </c>
    </row>
    <row r="156" ht="52" spans="1:3">
      <c r="A156">
        <v>301040</v>
      </c>
      <c r="B156" t="s">
        <v>322</v>
      </c>
      <c r="C156" s="3" t="s">
        <v>323</v>
      </c>
    </row>
    <row r="157" ht="26" spans="1:3">
      <c r="A157">
        <v>301050</v>
      </c>
      <c r="B157" t="s">
        <v>324</v>
      </c>
      <c r="C157" s="3" t="s">
        <v>325</v>
      </c>
    </row>
    <row r="158" ht="39" spans="1:3">
      <c r="A158">
        <v>301060</v>
      </c>
      <c r="B158" t="s">
        <v>326</v>
      </c>
      <c r="C158" s="3" t="s">
        <v>327</v>
      </c>
    </row>
    <row r="159" ht="26" spans="1:3">
      <c r="A159">
        <v>301070</v>
      </c>
      <c r="B159" t="s">
        <v>328</v>
      </c>
      <c r="C159" s="3" t="s">
        <v>297</v>
      </c>
    </row>
    <row r="160" ht="39" spans="1:3">
      <c r="A160">
        <v>301080</v>
      </c>
      <c r="B160" t="s">
        <v>329</v>
      </c>
      <c r="C160" s="3" t="s">
        <v>330</v>
      </c>
    </row>
    <row r="161" ht="39" spans="1:3">
      <c r="A161">
        <v>301090</v>
      </c>
      <c r="B161" t="s">
        <v>331</v>
      </c>
      <c r="C161" s="3" t="s">
        <v>332</v>
      </c>
    </row>
    <row r="162" ht="26" spans="1:3">
      <c r="A162">
        <v>301100</v>
      </c>
      <c r="B162" t="s">
        <v>333</v>
      </c>
      <c r="C162" s="3" t="s">
        <v>157</v>
      </c>
    </row>
    <row r="163" spans="1:3">
      <c r="A163">
        <v>401010</v>
      </c>
      <c r="B163" t="s">
        <v>334</v>
      </c>
      <c r="C163" s="3" t="s">
        <v>335</v>
      </c>
    </row>
    <row r="164" spans="1:3">
      <c r="A164">
        <v>401020</v>
      </c>
      <c r="B164" t="s">
        <v>336</v>
      </c>
      <c r="C164" s="3" t="s">
        <v>335</v>
      </c>
    </row>
    <row r="165" spans="1:3">
      <c r="A165">
        <v>401030</v>
      </c>
      <c r="B165" t="s">
        <v>337</v>
      </c>
      <c r="C165" s="3" t="s">
        <v>338</v>
      </c>
    </row>
    <row r="166" spans="1:3">
      <c r="A166">
        <v>401040</v>
      </c>
      <c r="B166" t="s">
        <v>339</v>
      </c>
      <c r="C166" t="s">
        <v>340</v>
      </c>
    </row>
    <row r="167" spans="1:3">
      <c r="A167">
        <v>401050</v>
      </c>
      <c r="B167" t="s">
        <v>341</v>
      </c>
      <c r="C167" s="3" t="s">
        <v>335</v>
      </c>
    </row>
    <row r="168" spans="1:3">
      <c r="A168">
        <v>401060</v>
      </c>
      <c r="B168" t="s">
        <v>342</v>
      </c>
      <c r="C168" s="3" t="s">
        <v>335</v>
      </c>
    </row>
    <row r="169" spans="1:3">
      <c r="A169">
        <v>401070</v>
      </c>
      <c r="B169" t="s">
        <v>343</v>
      </c>
      <c r="C169" s="3" t="s">
        <v>344</v>
      </c>
    </row>
    <row r="170" spans="1:3">
      <c r="A170">
        <v>401080</v>
      </c>
      <c r="B170" t="s">
        <v>345</v>
      </c>
      <c r="C170" s="3" t="s">
        <v>346</v>
      </c>
    </row>
    <row r="171" spans="1:3">
      <c r="A171">
        <v>402010</v>
      </c>
      <c r="B171" t="s">
        <v>347</v>
      </c>
      <c r="C171" s="3" t="s">
        <v>335</v>
      </c>
    </row>
    <row r="172" spans="1:3">
      <c r="A172">
        <v>402020</v>
      </c>
      <c r="B172" t="s">
        <v>348</v>
      </c>
      <c r="C172" t="s">
        <v>349</v>
      </c>
    </row>
    <row r="173" spans="1:3">
      <c r="A173">
        <v>402030</v>
      </c>
      <c r="B173" t="s">
        <v>350</v>
      </c>
      <c r="C173" s="3" t="s">
        <v>344</v>
      </c>
    </row>
    <row r="174" spans="1:3">
      <c r="A174">
        <v>402040</v>
      </c>
      <c r="B174" t="s">
        <v>351</v>
      </c>
      <c r="C174" s="4" t="s">
        <v>352</v>
      </c>
    </row>
    <row r="175" spans="1:3">
      <c r="A175">
        <v>402050</v>
      </c>
      <c r="B175" t="s">
        <v>353</v>
      </c>
      <c r="C175" s="3" t="s">
        <v>344</v>
      </c>
    </row>
    <row r="176" spans="1:3">
      <c r="A176">
        <v>402060</v>
      </c>
      <c r="B176" t="s">
        <v>354</v>
      </c>
      <c r="C176" s="3" t="s">
        <v>335</v>
      </c>
    </row>
    <row r="177" spans="1:3">
      <c r="A177">
        <v>402070</v>
      </c>
      <c r="B177" t="s">
        <v>355</v>
      </c>
      <c r="C177" s="3" t="s">
        <v>356</v>
      </c>
    </row>
    <row r="178" spans="1:3">
      <c r="A178">
        <v>402080</v>
      </c>
      <c r="B178" t="s">
        <v>357</v>
      </c>
      <c r="C178" s="3" t="s">
        <v>358</v>
      </c>
    </row>
    <row r="179" spans="1:3">
      <c r="A179">
        <v>403010</v>
      </c>
      <c r="B179" t="s">
        <v>359</v>
      </c>
      <c r="C179" s="3" t="s">
        <v>335</v>
      </c>
    </row>
    <row r="180" spans="1:3">
      <c r="A180">
        <v>403020</v>
      </c>
      <c r="B180" t="s">
        <v>360</v>
      </c>
      <c r="C180" s="3" t="s">
        <v>361</v>
      </c>
    </row>
    <row r="181" spans="1:3">
      <c r="A181">
        <v>403030</v>
      </c>
      <c r="B181" t="s">
        <v>362</v>
      </c>
      <c r="C181" s="4" t="s">
        <v>363</v>
      </c>
    </row>
    <row r="182" spans="1:3">
      <c r="A182">
        <v>403040</v>
      </c>
      <c r="B182" t="s">
        <v>364</v>
      </c>
      <c r="C182" s="3" t="s">
        <v>365</v>
      </c>
    </row>
    <row r="183" spans="1:3">
      <c r="A183">
        <v>403050</v>
      </c>
      <c r="B183" t="s">
        <v>366</v>
      </c>
      <c r="C183" s="3" t="s">
        <v>367</v>
      </c>
    </row>
    <row r="184" spans="1:3">
      <c r="A184">
        <v>403060</v>
      </c>
      <c r="B184" t="s">
        <v>368</v>
      </c>
      <c r="C184" s="4" t="s">
        <v>369</v>
      </c>
    </row>
    <row r="185" spans="1:3">
      <c r="A185">
        <v>403070</v>
      </c>
      <c r="B185" t="s">
        <v>370</v>
      </c>
      <c r="C185" s="4" t="s">
        <v>371</v>
      </c>
    </row>
    <row r="186" spans="1:3">
      <c r="A186">
        <v>403080</v>
      </c>
      <c r="B186" t="s">
        <v>372</v>
      </c>
      <c r="C186" s="3" t="s">
        <v>373</v>
      </c>
    </row>
    <row r="187" spans="1:3">
      <c r="A187">
        <v>404010</v>
      </c>
      <c r="B187" t="s">
        <v>374</v>
      </c>
      <c r="C187" s="3" t="s">
        <v>335</v>
      </c>
    </row>
    <row r="188" spans="1:3">
      <c r="A188">
        <v>404020</v>
      </c>
      <c r="B188" t="s">
        <v>375</v>
      </c>
      <c r="C188" s="3" t="s">
        <v>335</v>
      </c>
    </row>
    <row r="189" spans="1:3">
      <c r="A189">
        <v>404030</v>
      </c>
      <c r="B189" t="s">
        <v>376</v>
      </c>
      <c r="C189" s="3" t="s">
        <v>377</v>
      </c>
    </row>
    <row r="190" spans="1:3">
      <c r="A190">
        <v>404040</v>
      </c>
      <c r="B190" t="s">
        <v>378</v>
      </c>
      <c r="C190" s="3" t="s">
        <v>379</v>
      </c>
    </row>
    <row r="191" spans="1:3">
      <c r="A191">
        <v>404050</v>
      </c>
      <c r="B191" t="s">
        <v>380</v>
      </c>
      <c r="C191" s="4" t="s">
        <v>381</v>
      </c>
    </row>
    <row r="192" spans="1:3">
      <c r="A192">
        <v>404060</v>
      </c>
      <c r="B192" t="s">
        <v>382</v>
      </c>
      <c r="C192" s="3" t="s">
        <v>344</v>
      </c>
    </row>
    <row r="193" spans="1:3">
      <c r="A193">
        <v>404070</v>
      </c>
      <c r="B193" t="s">
        <v>383</v>
      </c>
      <c r="C193" s="3" t="s">
        <v>384</v>
      </c>
    </row>
    <row r="194" spans="1:3">
      <c r="A194">
        <v>404080</v>
      </c>
      <c r="B194" t="s">
        <v>385</v>
      </c>
      <c r="C194" s="3" t="s">
        <v>344</v>
      </c>
    </row>
    <row r="195" spans="1:3">
      <c r="A195">
        <v>405010</v>
      </c>
      <c r="B195" t="s">
        <v>386</v>
      </c>
      <c r="C195" s="3" t="s">
        <v>335</v>
      </c>
    </row>
    <row r="196" spans="1:3">
      <c r="A196">
        <v>405020</v>
      </c>
      <c r="B196" t="s">
        <v>387</v>
      </c>
      <c r="C196" s="3" t="s">
        <v>335</v>
      </c>
    </row>
    <row r="197" spans="1:3">
      <c r="A197">
        <v>405030</v>
      </c>
      <c r="B197" t="s">
        <v>388</v>
      </c>
      <c r="C197" s="3" t="s">
        <v>379</v>
      </c>
    </row>
    <row r="198" spans="1:3">
      <c r="A198">
        <v>405040</v>
      </c>
      <c r="B198" t="s">
        <v>389</v>
      </c>
      <c r="C198" s="3" t="s">
        <v>390</v>
      </c>
    </row>
    <row r="199" spans="1:3">
      <c r="A199">
        <v>405050</v>
      </c>
      <c r="B199" t="s">
        <v>391</v>
      </c>
      <c r="C199" s="3" t="s">
        <v>358</v>
      </c>
    </row>
    <row r="200" spans="1:3">
      <c r="A200">
        <v>405060</v>
      </c>
      <c r="B200" t="s">
        <v>392</v>
      </c>
      <c r="C200" s="3" t="s">
        <v>393</v>
      </c>
    </row>
    <row r="201" spans="1:3">
      <c r="A201">
        <v>405070</v>
      </c>
      <c r="B201" t="s">
        <v>394</v>
      </c>
      <c r="C201" s="4" t="s">
        <v>395</v>
      </c>
    </row>
    <row r="202" spans="1:3">
      <c r="A202">
        <v>405080</v>
      </c>
      <c r="B202" t="s">
        <v>396</v>
      </c>
      <c r="C202" s="3" t="s">
        <v>397</v>
      </c>
    </row>
    <row r="203" spans="1:3">
      <c r="A203">
        <v>411010</v>
      </c>
      <c r="B203" t="s">
        <v>398</v>
      </c>
      <c r="C203" s="4" t="s">
        <v>399</v>
      </c>
    </row>
    <row r="204" spans="1:3">
      <c r="A204">
        <v>411020</v>
      </c>
      <c r="B204" t="s">
        <v>400</v>
      </c>
      <c r="C204" s="4" t="s">
        <v>399</v>
      </c>
    </row>
    <row r="205" spans="1:3">
      <c r="A205">
        <v>411030</v>
      </c>
      <c r="B205" t="s">
        <v>401</v>
      </c>
      <c r="C205" s="4" t="s">
        <v>402</v>
      </c>
    </row>
    <row r="206" spans="1:3">
      <c r="A206">
        <v>411040</v>
      </c>
      <c r="B206" t="s">
        <v>403</v>
      </c>
      <c r="C206" s="4" t="s">
        <v>344</v>
      </c>
    </row>
    <row r="207" spans="1:3">
      <c r="A207">
        <v>411050</v>
      </c>
      <c r="B207" t="s">
        <v>404</v>
      </c>
      <c r="C207" s="4" t="s">
        <v>381</v>
      </c>
    </row>
    <row r="208" spans="1:3">
      <c r="A208">
        <v>411060</v>
      </c>
      <c r="B208" t="s">
        <v>405</v>
      </c>
      <c r="C208" s="4" t="s">
        <v>381</v>
      </c>
    </row>
    <row r="209" spans="1:3">
      <c r="A209">
        <v>411070</v>
      </c>
      <c r="B209" t="s">
        <v>406</v>
      </c>
      <c r="C209" s="4" t="s">
        <v>399</v>
      </c>
    </row>
    <row r="210" spans="1:3">
      <c r="A210">
        <v>411080</v>
      </c>
      <c r="B210" t="s">
        <v>407</v>
      </c>
      <c r="C210" s="4" t="s">
        <v>399</v>
      </c>
    </row>
    <row r="211" spans="1:3">
      <c r="A211">
        <v>411090</v>
      </c>
      <c r="B211" t="s">
        <v>408</v>
      </c>
      <c r="C211" s="4" t="s">
        <v>409</v>
      </c>
    </row>
    <row r="212" spans="1:3">
      <c r="A212">
        <v>412010</v>
      </c>
      <c r="B212" t="s">
        <v>410</v>
      </c>
      <c r="C212" t="s">
        <v>411</v>
      </c>
    </row>
    <row r="213" spans="1:3">
      <c r="A213">
        <v>412020</v>
      </c>
      <c r="B213" t="s">
        <v>412</v>
      </c>
      <c r="C213" s="4" t="s">
        <v>349</v>
      </c>
    </row>
    <row r="214" spans="1:3">
      <c r="A214">
        <v>412030</v>
      </c>
      <c r="B214" t="s">
        <v>413</v>
      </c>
      <c r="C214" s="4" t="s">
        <v>414</v>
      </c>
    </row>
    <row r="215" spans="1:3">
      <c r="A215">
        <v>412040</v>
      </c>
      <c r="B215" t="s">
        <v>415</v>
      </c>
      <c r="C215" s="4" t="s">
        <v>416</v>
      </c>
    </row>
    <row r="216" spans="1:3">
      <c r="A216">
        <v>412050</v>
      </c>
      <c r="B216" t="s">
        <v>417</v>
      </c>
      <c r="C216" s="4" t="s">
        <v>352</v>
      </c>
    </row>
    <row r="217" spans="1:3">
      <c r="A217">
        <v>412060</v>
      </c>
      <c r="B217" t="s">
        <v>418</v>
      </c>
      <c r="C217" s="3" t="s">
        <v>335</v>
      </c>
    </row>
    <row r="218" spans="1:3">
      <c r="A218">
        <v>412070</v>
      </c>
      <c r="B218" t="s">
        <v>419</v>
      </c>
      <c r="C218" s="4" t="s">
        <v>399</v>
      </c>
    </row>
    <row r="219" spans="1:3">
      <c r="A219">
        <v>412080</v>
      </c>
      <c r="B219" t="s">
        <v>420</v>
      </c>
      <c r="C219" s="3" t="s">
        <v>335</v>
      </c>
    </row>
    <row r="220" spans="1:3">
      <c r="A220">
        <v>412090</v>
      </c>
      <c r="B220" t="s">
        <v>421</v>
      </c>
      <c r="C220" s="4" t="s">
        <v>422</v>
      </c>
    </row>
    <row r="221" spans="1:3">
      <c r="A221">
        <v>413010</v>
      </c>
      <c r="B221" t="s">
        <v>423</v>
      </c>
      <c r="C221" s="4" t="s">
        <v>363</v>
      </c>
    </row>
    <row r="222" spans="1:3">
      <c r="A222">
        <v>413020</v>
      </c>
      <c r="B222" t="s">
        <v>424</v>
      </c>
      <c r="C222" s="3" t="s">
        <v>365</v>
      </c>
    </row>
    <row r="223" spans="1:3">
      <c r="A223">
        <v>413030</v>
      </c>
      <c r="B223" t="s">
        <v>425</v>
      </c>
      <c r="C223" s="3" t="s">
        <v>344</v>
      </c>
    </row>
    <row r="224" spans="1:3">
      <c r="A224">
        <v>413040</v>
      </c>
      <c r="B224" t="s">
        <v>426</v>
      </c>
      <c r="C224" s="3" t="s">
        <v>365</v>
      </c>
    </row>
    <row r="225" spans="1:3">
      <c r="A225">
        <v>413050</v>
      </c>
      <c r="B225" t="s">
        <v>427</v>
      </c>
      <c r="C225" s="3" t="s">
        <v>344</v>
      </c>
    </row>
    <row r="226" spans="1:3">
      <c r="A226">
        <v>413060</v>
      </c>
      <c r="B226" t="s">
        <v>428</v>
      </c>
      <c r="C226" s="3" t="s">
        <v>344</v>
      </c>
    </row>
    <row r="227" spans="1:3">
      <c r="A227">
        <v>413070</v>
      </c>
      <c r="B227" t="s">
        <v>429</v>
      </c>
      <c r="C227" s="4" t="s">
        <v>430</v>
      </c>
    </row>
    <row r="228" spans="1:3">
      <c r="A228">
        <v>413080</v>
      </c>
      <c r="B228" t="s">
        <v>431</v>
      </c>
      <c r="C228" s="3" t="s">
        <v>379</v>
      </c>
    </row>
    <row r="229" spans="1:3">
      <c r="A229">
        <v>413090</v>
      </c>
      <c r="B229" t="s">
        <v>432</v>
      </c>
      <c r="C229" s="3" t="s">
        <v>433</v>
      </c>
    </row>
    <row r="230" spans="1:3">
      <c r="A230">
        <v>414010</v>
      </c>
      <c r="B230" t="s">
        <v>434</v>
      </c>
      <c r="C230" s="3" t="s">
        <v>435</v>
      </c>
    </row>
    <row r="231" spans="1:3">
      <c r="A231">
        <v>414020</v>
      </c>
      <c r="B231" t="s">
        <v>436</v>
      </c>
      <c r="C231" s="3" t="s">
        <v>437</v>
      </c>
    </row>
    <row r="232" spans="1:3">
      <c r="A232">
        <v>414030</v>
      </c>
      <c r="B232" t="s">
        <v>438</v>
      </c>
      <c r="C232" s="3" t="s">
        <v>356</v>
      </c>
    </row>
    <row r="233" spans="1:3">
      <c r="A233">
        <v>414040</v>
      </c>
      <c r="B233" t="s">
        <v>439</v>
      </c>
      <c r="C233" s="3" t="s">
        <v>384</v>
      </c>
    </row>
    <row r="234" spans="1:3">
      <c r="A234">
        <v>414050</v>
      </c>
      <c r="B234" t="s">
        <v>440</v>
      </c>
      <c r="C234" s="3" t="s">
        <v>441</v>
      </c>
    </row>
    <row r="235" spans="1:3">
      <c r="A235">
        <v>414060</v>
      </c>
      <c r="B235" t="s">
        <v>442</v>
      </c>
      <c r="C235" s="4" t="s">
        <v>381</v>
      </c>
    </row>
    <row r="236" spans="1:3">
      <c r="A236">
        <v>414070</v>
      </c>
      <c r="B236" t="s">
        <v>443</v>
      </c>
      <c r="C236" s="4" t="s">
        <v>444</v>
      </c>
    </row>
    <row r="237" spans="1:3">
      <c r="A237">
        <v>414080</v>
      </c>
      <c r="B237" t="s">
        <v>445</v>
      </c>
      <c r="C237" s="3" t="s">
        <v>384</v>
      </c>
    </row>
    <row r="238" spans="1:3">
      <c r="A238">
        <v>414090</v>
      </c>
      <c r="B238" t="s">
        <v>446</v>
      </c>
      <c r="C238" s="3" t="s">
        <v>344</v>
      </c>
    </row>
    <row r="239" spans="1:3">
      <c r="A239">
        <v>415010</v>
      </c>
      <c r="B239" t="s">
        <v>447</v>
      </c>
      <c r="C239" s="3" t="s">
        <v>448</v>
      </c>
    </row>
    <row r="240" spans="1:3">
      <c r="A240">
        <v>415020</v>
      </c>
      <c r="B240" t="s">
        <v>449</v>
      </c>
      <c r="C240" s="3" t="s">
        <v>448</v>
      </c>
    </row>
    <row r="241" spans="1:3">
      <c r="A241">
        <v>415030</v>
      </c>
      <c r="B241" t="s">
        <v>450</v>
      </c>
      <c r="C241" s="4" t="s">
        <v>381</v>
      </c>
    </row>
    <row r="242" spans="1:3">
      <c r="A242">
        <v>415040</v>
      </c>
      <c r="B242" t="s">
        <v>451</v>
      </c>
      <c r="C242" s="4" t="s">
        <v>452</v>
      </c>
    </row>
    <row r="243" spans="1:3">
      <c r="A243">
        <v>415050</v>
      </c>
      <c r="B243" t="s">
        <v>453</v>
      </c>
      <c r="C243" s="3" t="s">
        <v>379</v>
      </c>
    </row>
    <row r="244" spans="1:3">
      <c r="A244">
        <v>415060</v>
      </c>
      <c r="B244" t="s">
        <v>454</v>
      </c>
      <c r="C244" s="3" t="s">
        <v>379</v>
      </c>
    </row>
    <row r="245" spans="1:3">
      <c r="A245">
        <v>415070</v>
      </c>
      <c r="B245" t="s">
        <v>455</v>
      </c>
      <c r="C245" s="3" t="s">
        <v>448</v>
      </c>
    </row>
    <row r="246" spans="1:3">
      <c r="A246">
        <v>415080</v>
      </c>
      <c r="B246" t="s">
        <v>456</v>
      </c>
      <c r="C246" s="3" t="s">
        <v>457</v>
      </c>
    </row>
    <row r="247" spans="1:3">
      <c r="A247">
        <v>415090</v>
      </c>
      <c r="B247" t="s">
        <v>458</v>
      </c>
      <c r="C247" s="3" t="s">
        <v>459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2"/>
  <sheetViews>
    <sheetView topLeftCell="N1" workbookViewId="0">
      <selection activeCell="Y13" sqref="Y13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460</v>
      </c>
      <c r="P1" t="s">
        <v>461</v>
      </c>
      <c r="S1" t="s">
        <v>462</v>
      </c>
      <c r="U1" t="s">
        <v>463</v>
      </c>
      <c r="W1" t="s">
        <v>464</v>
      </c>
      <c r="Y1" t="s">
        <v>25</v>
      </c>
    </row>
    <row r="2" spans="1:29">
      <c r="A2">
        <v>0</v>
      </c>
      <c r="B2" t="s">
        <v>465</v>
      </c>
      <c r="D2">
        <v>0</v>
      </c>
      <c r="E2" t="s">
        <v>465</v>
      </c>
      <c r="G2">
        <v>0</v>
      </c>
      <c r="H2" t="s">
        <v>465</v>
      </c>
      <c r="J2">
        <v>0</v>
      </c>
      <c r="K2" t="s">
        <v>465</v>
      </c>
      <c r="M2">
        <v>0</v>
      </c>
      <c r="N2" t="s">
        <v>465</v>
      </c>
      <c r="P2">
        <v>0</v>
      </c>
      <c r="Q2" t="s">
        <v>466</v>
      </c>
      <c r="U2">
        <v>0</v>
      </c>
      <c r="V2" t="s">
        <v>465</v>
      </c>
      <c r="W2">
        <v>0</v>
      </c>
      <c r="X2" t="s">
        <v>465</v>
      </c>
      <c r="Y2">
        <v>0</v>
      </c>
      <c r="Z2" t="s">
        <v>465</v>
      </c>
      <c r="AB2">
        <v>301</v>
      </c>
      <c r="AC2" t="s">
        <v>467</v>
      </c>
    </row>
    <row r="3" spans="1:29">
      <c r="A3">
        <v>1</v>
      </c>
      <c r="B3" t="s">
        <v>468</v>
      </c>
      <c r="D3">
        <v>1</v>
      </c>
      <c r="E3" t="s">
        <v>469</v>
      </c>
      <c r="G3">
        <v>1</v>
      </c>
      <c r="H3" t="s">
        <v>470</v>
      </c>
      <c r="J3">
        <v>1</v>
      </c>
      <c r="K3" t="s">
        <v>471</v>
      </c>
      <c r="M3">
        <v>1</v>
      </c>
      <c r="N3" t="s">
        <v>468</v>
      </c>
      <c r="P3">
        <v>1010</v>
      </c>
      <c r="Q3" t="s">
        <v>472</v>
      </c>
      <c r="U3">
        <v>1010</v>
      </c>
      <c r="V3" t="s">
        <v>473</v>
      </c>
      <c r="W3">
        <v>1</v>
      </c>
      <c r="X3" t="s">
        <v>474</v>
      </c>
      <c r="Y3">
        <v>1</v>
      </c>
      <c r="Z3" t="s">
        <v>475</v>
      </c>
      <c r="AB3">
        <v>302</v>
      </c>
      <c r="AC3" t="s">
        <v>476</v>
      </c>
    </row>
    <row r="4" spans="1:29">
      <c r="A4">
        <v>2</v>
      </c>
      <c r="B4" t="s">
        <v>477</v>
      </c>
      <c r="D4">
        <v>2</v>
      </c>
      <c r="E4" t="s">
        <v>478</v>
      </c>
      <c r="G4">
        <v>2</v>
      </c>
      <c r="H4" t="s">
        <v>479</v>
      </c>
      <c r="J4">
        <v>2</v>
      </c>
      <c r="K4" t="s">
        <v>480</v>
      </c>
      <c r="M4">
        <v>2</v>
      </c>
      <c r="N4" t="s">
        <v>477</v>
      </c>
      <c r="P4">
        <v>1020</v>
      </c>
      <c r="Q4" t="s">
        <v>481</v>
      </c>
      <c r="U4">
        <v>1020</v>
      </c>
      <c r="V4" t="s">
        <v>482</v>
      </c>
      <c r="W4">
        <v>2</v>
      </c>
      <c r="X4" t="s">
        <v>483</v>
      </c>
      <c r="Y4">
        <v>2</v>
      </c>
      <c r="Z4" t="s">
        <v>484</v>
      </c>
      <c r="AB4" s="2">
        <v>303</v>
      </c>
      <c r="AC4" s="2" t="s">
        <v>485</v>
      </c>
    </row>
    <row r="5" spans="1:29">
      <c r="A5">
        <v>3</v>
      </c>
      <c r="B5" t="s">
        <v>486</v>
      </c>
      <c r="D5">
        <v>3</v>
      </c>
      <c r="E5" t="s">
        <v>487</v>
      </c>
      <c r="G5">
        <v>3</v>
      </c>
      <c r="H5" t="s">
        <v>488</v>
      </c>
      <c r="J5">
        <v>3</v>
      </c>
      <c r="K5" t="s">
        <v>489</v>
      </c>
      <c r="M5">
        <v>3</v>
      </c>
      <c r="N5" t="s">
        <v>486</v>
      </c>
      <c r="P5">
        <v>1030</v>
      </c>
      <c r="Q5" t="s">
        <v>490</v>
      </c>
      <c r="U5">
        <v>1030</v>
      </c>
      <c r="V5" t="s">
        <v>491</v>
      </c>
      <c r="W5">
        <v>3</v>
      </c>
      <c r="X5" t="s">
        <v>492</v>
      </c>
      <c r="Y5">
        <v>3</v>
      </c>
      <c r="Z5" t="s">
        <v>493</v>
      </c>
      <c r="AB5">
        <v>304</v>
      </c>
      <c r="AC5" t="s">
        <v>494</v>
      </c>
    </row>
    <row r="6" spans="4:29">
      <c r="D6">
        <v>4</v>
      </c>
      <c r="E6" t="s">
        <v>483</v>
      </c>
      <c r="G6">
        <v>4</v>
      </c>
      <c r="H6" t="s">
        <v>31</v>
      </c>
      <c r="J6">
        <v>4</v>
      </c>
      <c r="K6" t="s">
        <v>495</v>
      </c>
      <c r="M6">
        <v>4</v>
      </c>
      <c r="N6" t="s">
        <v>495</v>
      </c>
      <c r="P6">
        <v>1040</v>
      </c>
      <c r="Q6" t="s">
        <v>496</v>
      </c>
      <c r="U6">
        <v>1040</v>
      </c>
      <c r="V6" t="s">
        <v>497</v>
      </c>
      <c r="W6">
        <v>4</v>
      </c>
      <c r="X6" t="s">
        <v>498</v>
      </c>
      <c r="Y6">
        <v>4</v>
      </c>
      <c r="Z6" t="s">
        <v>499</v>
      </c>
      <c r="AB6">
        <v>305</v>
      </c>
      <c r="AC6" t="s">
        <v>500</v>
      </c>
    </row>
    <row r="7" spans="4:29">
      <c r="D7">
        <v>5</v>
      </c>
      <c r="E7" t="s">
        <v>501</v>
      </c>
      <c r="G7">
        <v>5</v>
      </c>
      <c r="H7" t="s">
        <v>502</v>
      </c>
      <c r="J7">
        <v>6</v>
      </c>
      <c r="K7" t="s">
        <v>503</v>
      </c>
      <c r="M7">
        <v>5</v>
      </c>
      <c r="N7" t="s">
        <v>504</v>
      </c>
      <c r="P7">
        <v>1050</v>
      </c>
      <c r="Q7" t="s">
        <v>505</v>
      </c>
      <c r="U7">
        <v>1050</v>
      </c>
      <c r="V7" t="s">
        <v>506</v>
      </c>
      <c r="W7">
        <v>5</v>
      </c>
      <c r="X7" t="s">
        <v>507</v>
      </c>
      <c r="Y7">
        <v>5</v>
      </c>
      <c r="Z7" t="s">
        <v>508</v>
      </c>
      <c r="AB7">
        <v>306</v>
      </c>
      <c r="AC7" t="s">
        <v>509</v>
      </c>
    </row>
    <row r="8" spans="4:29">
      <c r="D8">
        <v>6</v>
      </c>
      <c r="E8" t="s">
        <v>510</v>
      </c>
      <c r="G8">
        <v>6</v>
      </c>
      <c r="H8" t="s">
        <v>511</v>
      </c>
      <c r="J8">
        <v>7</v>
      </c>
      <c r="K8" t="s">
        <v>512</v>
      </c>
      <c r="M8">
        <v>11</v>
      </c>
      <c r="N8" t="s">
        <v>513</v>
      </c>
      <c r="P8">
        <v>1060</v>
      </c>
      <c r="Q8" t="s">
        <v>514</v>
      </c>
      <c r="U8">
        <v>1060</v>
      </c>
      <c r="V8" t="s">
        <v>515</v>
      </c>
      <c r="W8">
        <v>6</v>
      </c>
      <c r="X8" t="s">
        <v>516</v>
      </c>
      <c r="Y8">
        <v>11</v>
      </c>
      <c r="Z8" t="s">
        <v>517</v>
      </c>
      <c r="AB8">
        <v>307</v>
      </c>
      <c r="AC8" t="s">
        <v>518</v>
      </c>
    </row>
    <row r="9" spans="7:29">
      <c r="G9">
        <v>11</v>
      </c>
      <c r="H9" t="s">
        <v>519</v>
      </c>
      <c r="J9">
        <v>11</v>
      </c>
      <c r="K9" t="s">
        <v>520</v>
      </c>
      <c r="M9">
        <v>12</v>
      </c>
      <c r="N9" s="1" t="s">
        <v>521</v>
      </c>
      <c r="P9">
        <v>1070</v>
      </c>
      <c r="Q9" t="s">
        <v>522</v>
      </c>
      <c r="U9">
        <v>1130</v>
      </c>
      <c r="V9" t="s">
        <v>523</v>
      </c>
      <c r="W9">
        <v>7</v>
      </c>
      <c r="X9" t="s">
        <v>524</v>
      </c>
      <c r="Y9">
        <v>20</v>
      </c>
      <c r="Z9" t="s">
        <v>525</v>
      </c>
      <c r="AB9">
        <v>308</v>
      </c>
      <c r="AC9" t="s">
        <v>526</v>
      </c>
    </row>
    <row r="10" spans="7:29">
      <c r="G10">
        <v>12</v>
      </c>
      <c r="H10" t="s">
        <v>527</v>
      </c>
      <c r="J10">
        <v>101</v>
      </c>
      <c r="K10" t="s">
        <v>528</v>
      </c>
      <c r="M10">
        <v>13</v>
      </c>
      <c r="N10" s="1" t="s">
        <v>529</v>
      </c>
      <c r="P10">
        <v>1080</v>
      </c>
      <c r="Q10" t="s">
        <v>530</v>
      </c>
      <c r="U10">
        <v>1140</v>
      </c>
      <c r="V10" t="s">
        <v>531</v>
      </c>
      <c r="W10">
        <v>10</v>
      </c>
      <c r="X10" t="s">
        <v>532</v>
      </c>
      <c r="Y10">
        <v>24</v>
      </c>
      <c r="Z10" t="s">
        <v>533</v>
      </c>
      <c r="AB10">
        <v>309</v>
      </c>
      <c r="AC10" t="s">
        <v>534</v>
      </c>
    </row>
    <row r="11" spans="13:29">
      <c r="M11">
        <v>21</v>
      </c>
      <c r="N11" t="s">
        <v>535</v>
      </c>
      <c r="P11">
        <v>1090</v>
      </c>
      <c r="Q11" t="s">
        <v>536</v>
      </c>
      <c r="U11">
        <v>1150</v>
      </c>
      <c r="V11" t="s">
        <v>537</v>
      </c>
      <c r="W11">
        <v>11</v>
      </c>
      <c r="X11" t="s">
        <v>31</v>
      </c>
      <c r="Y11">
        <v>31</v>
      </c>
      <c r="Z11" t="s">
        <v>538</v>
      </c>
      <c r="AB11">
        <v>310</v>
      </c>
      <c r="AC11" t="s">
        <v>539</v>
      </c>
    </row>
    <row r="12" spans="13:29">
      <c r="M12">
        <v>31</v>
      </c>
      <c r="N12" t="s">
        <v>540</v>
      </c>
      <c r="P12">
        <v>1100</v>
      </c>
      <c r="Q12" t="s">
        <v>541</v>
      </c>
      <c r="U12">
        <v>1160</v>
      </c>
      <c r="V12" t="s">
        <v>542</v>
      </c>
      <c r="W12">
        <v>99</v>
      </c>
      <c r="X12" t="s">
        <v>543</v>
      </c>
      <c r="Y12">
        <v>32</v>
      </c>
      <c r="Z12" t="s">
        <v>544</v>
      </c>
      <c r="AB12">
        <v>311</v>
      </c>
      <c r="AC12" t="s">
        <v>545</v>
      </c>
    </row>
    <row r="13" spans="13:29">
      <c r="M13">
        <v>32</v>
      </c>
      <c r="N13" t="s">
        <v>546</v>
      </c>
      <c r="P13">
        <v>1110</v>
      </c>
      <c r="Q13" t="s">
        <v>547</v>
      </c>
      <c r="U13">
        <v>2010</v>
      </c>
      <c r="V13" t="s">
        <v>548</v>
      </c>
      <c r="W13" t="s">
        <v>549</v>
      </c>
      <c r="Y13">
        <v>33</v>
      </c>
      <c r="Z13" t="s">
        <v>550</v>
      </c>
      <c r="AB13">
        <v>401</v>
      </c>
      <c r="AC13" t="s">
        <v>551</v>
      </c>
    </row>
    <row r="14" spans="16:29">
      <c r="P14">
        <v>2010</v>
      </c>
      <c r="Q14" t="s">
        <v>552</v>
      </c>
      <c r="U14">
        <v>3010</v>
      </c>
      <c r="V14" t="s">
        <v>553</v>
      </c>
      <c r="Y14">
        <v>41</v>
      </c>
      <c r="Z14" t="s">
        <v>554</v>
      </c>
      <c r="AB14">
        <v>402</v>
      </c>
      <c r="AC14" t="s">
        <v>555</v>
      </c>
    </row>
    <row r="15" spans="16:29">
      <c r="P15">
        <v>2020</v>
      </c>
      <c r="Q15" t="s">
        <v>556</v>
      </c>
      <c r="U15">
        <v>3020</v>
      </c>
      <c r="V15" t="s">
        <v>557</v>
      </c>
      <c r="Y15">
        <v>51</v>
      </c>
      <c r="Z15" t="s">
        <v>558</v>
      </c>
      <c r="AB15">
        <v>403</v>
      </c>
      <c r="AC15" t="s">
        <v>559</v>
      </c>
    </row>
    <row r="16" spans="16:29">
      <c r="P16">
        <v>2030</v>
      </c>
      <c r="Q16" t="s">
        <v>560</v>
      </c>
      <c r="U16">
        <v>3030</v>
      </c>
      <c r="V16" t="s">
        <v>561</v>
      </c>
      <c r="Y16">
        <v>52</v>
      </c>
      <c r="Z16" t="s">
        <v>562</v>
      </c>
      <c r="AB16">
        <v>404</v>
      </c>
      <c r="AC16" t="s">
        <v>563</v>
      </c>
    </row>
    <row r="17" spans="16:29">
      <c r="P17">
        <v>2040</v>
      </c>
      <c r="Q17" t="s">
        <v>564</v>
      </c>
      <c r="U17">
        <v>3040</v>
      </c>
      <c r="V17" t="s">
        <v>565</v>
      </c>
      <c r="AB17">
        <v>501</v>
      </c>
      <c r="AC17" t="s">
        <v>566</v>
      </c>
    </row>
    <row r="18" spans="16:29">
      <c r="P18">
        <v>2110</v>
      </c>
      <c r="Q18" t="s">
        <v>567</v>
      </c>
      <c r="U18">
        <v>3050</v>
      </c>
      <c r="V18" t="s">
        <v>568</v>
      </c>
      <c r="AB18">
        <v>502</v>
      </c>
      <c r="AC18" t="s">
        <v>569</v>
      </c>
    </row>
    <row r="19" spans="16:29">
      <c r="P19">
        <v>2120</v>
      </c>
      <c r="Q19" t="s">
        <v>570</v>
      </c>
      <c r="U19">
        <v>3060</v>
      </c>
      <c r="V19" t="s">
        <v>571</v>
      </c>
      <c r="AB19">
        <v>503</v>
      </c>
      <c r="AC19" t="s">
        <v>572</v>
      </c>
    </row>
    <row r="20" spans="16:29">
      <c r="P20">
        <v>2130</v>
      </c>
      <c r="Q20" t="s">
        <v>573</v>
      </c>
      <c r="U20">
        <v>4010</v>
      </c>
      <c r="V20" t="s">
        <v>574</v>
      </c>
      <c r="AB20">
        <v>504</v>
      </c>
      <c r="AC20" t="s">
        <v>575</v>
      </c>
    </row>
    <row r="21" spans="16:29">
      <c r="P21">
        <v>3010</v>
      </c>
      <c r="Q21" t="s">
        <v>576</v>
      </c>
      <c r="U21">
        <v>4020</v>
      </c>
      <c r="V21" t="s">
        <v>577</v>
      </c>
      <c r="AB21">
        <v>505</v>
      </c>
      <c r="AC21" t="s">
        <v>578</v>
      </c>
    </row>
    <row r="22" spans="16:29">
      <c r="P22">
        <v>3020</v>
      </c>
      <c r="Q22" t="s">
        <v>579</v>
      </c>
      <c r="U22">
        <v>5010</v>
      </c>
      <c r="V22" t="s">
        <v>580</v>
      </c>
      <c r="AB22">
        <v>506</v>
      </c>
      <c r="AC22" t="s">
        <v>581</v>
      </c>
    </row>
    <row r="23" spans="16:29">
      <c r="P23">
        <v>3030</v>
      </c>
      <c r="Q23" t="s">
        <v>582</v>
      </c>
      <c r="U23">
        <v>5020</v>
      </c>
      <c r="V23" t="s">
        <v>583</v>
      </c>
      <c r="AB23">
        <v>507</v>
      </c>
      <c r="AC23" t="s">
        <v>584</v>
      </c>
    </row>
    <row r="24" spans="16:29">
      <c r="P24">
        <v>3040</v>
      </c>
      <c r="Q24" t="s">
        <v>585</v>
      </c>
      <c r="U24">
        <v>5030</v>
      </c>
      <c r="V24" t="s">
        <v>586</v>
      </c>
      <c r="AB24">
        <v>508</v>
      </c>
      <c r="AC24" t="s">
        <v>551</v>
      </c>
    </row>
    <row r="25" spans="16:29">
      <c r="P25">
        <v>3050</v>
      </c>
      <c r="Q25" t="s">
        <v>587</v>
      </c>
      <c r="U25">
        <v>5040</v>
      </c>
      <c r="V25" t="s">
        <v>588</v>
      </c>
      <c r="AB25">
        <v>509</v>
      </c>
      <c r="AC25" t="s">
        <v>559</v>
      </c>
    </row>
    <row r="26" spans="16:22">
      <c r="P26">
        <v>3060</v>
      </c>
      <c r="Q26" t="s">
        <v>589</v>
      </c>
      <c r="U26">
        <v>5050</v>
      </c>
      <c r="V26" t="s">
        <v>590</v>
      </c>
    </row>
    <row r="27" spans="16:22">
      <c r="P27">
        <v>3070</v>
      </c>
      <c r="Q27" t="s">
        <v>591</v>
      </c>
      <c r="U27">
        <v>5060</v>
      </c>
      <c r="V27" t="s">
        <v>592</v>
      </c>
    </row>
    <row r="28" spans="16:22">
      <c r="P28">
        <v>4010</v>
      </c>
      <c r="Q28" t="s">
        <v>593</v>
      </c>
      <c r="U28">
        <v>5070</v>
      </c>
      <c r="V28" t="s">
        <v>594</v>
      </c>
    </row>
    <row r="29" spans="16:22">
      <c r="P29">
        <v>4020</v>
      </c>
      <c r="Q29" t="s">
        <v>595</v>
      </c>
      <c r="U29">
        <v>5080</v>
      </c>
      <c r="V29" t="s">
        <v>596</v>
      </c>
    </row>
    <row r="30" spans="16:22">
      <c r="P30">
        <v>4030</v>
      </c>
      <c r="Q30" t="s">
        <v>597</v>
      </c>
      <c r="U30">
        <v>5090</v>
      </c>
      <c r="V30" t="s">
        <v>598</v>
      </c>
    </row>
    <row r="31" spans="16:22">
      <c r="P31">
        <v>4040</v>
      </c>
      <c r="Q31" t="s">
        <v>599</v>
      </c>
      <c r="U31">
        <v>5100</v>
      </c>
      <c r="V31" t="s">
        <v>600</v>
      </c>
    </row>
    <row r="32" spans="16:22">
      <c r="P32">
        <v>5010</v>
      </c>
      <c r="Q32" t="s">
        <v>601</v>
      </c>
      <c r="U32">
        <v>5110</v>
      </c>
      <c r="V32" t="s">
        <v>602</v>
      </c>
    </row>
    <row r="33" spans="16:22">
      <c r="P33">
        <v>5011</v>
      </c>
      <c r="Q33" t="s">
        <v>603</v>
      </c>
      <c r="U33">
        <v>5120</v>
      </c>
      <c r="V33" t="s">
        <v>604</v>
      </c>
    </row>
    <row r="34" spans="16:22">
      <c r="P34">
        <v>5012</v>
      </c>
      <c r="Q34" t="s">
        <v>605</v>
      </c>
      <c r="U34">
        <v>5130</v>
      </c>
      <c r="V34" t="s">
        <v>606</v>
      </c>
    </row>
    <row r="35" spans="16:22">
      <c r="P35">
        <v>5020</v>
      </c>
      <c r="Q35" t="s">
        <v>607</v>
      </c>
      <c r="U35">
        <v>5140</v>
      </c>
      <c r="V35" t="s">
        <v>608</v>
      </c>
    </row>
    <row r="36" spans="16:22">
      <c r="P36">
        <v>5030</v>
      </c>
      <c r="Q36" t="s">
        <v>609</v>
      </c>
      <c r="U36">
        <v>5150</v>
      </c>
      <c r="V36" t="s">
        <v>610</v>
      </c>
    </row>
    <row r="37" spans="16:22">
      <c r="P37">
        <v>5040</v>
      </c>
      <c r="Q37" t="s">
        <v>611</v>
      </c>
      <c r="U37">
        <v>6010</v>
      </c>
      <c r="V37" t="s">
        <v>612</v>
      </c>
    </row>
    <row r="38" spans="16:22">
      <c r="P38">
        <v>5050</v>
      </c>
      <c r="Q38" t="s">
        <v>613</v>
      </c>
      <c r="U38">
        <v>6020</v>
      </c>
      <c r="V38" t="s">
        <v>614</v>
      </c>
    </row>
    <row r="39" spans="16:22">
      <c r="P39">
        <v>6010</v>
      </c>
      <c r="Q39" t="s">
        <v>615</v>
      </c>
      <c r="U39">
        <v>6030</v>
      </c>
      <c r="V39" t="s">
        <v>616</v>
      </c>
    </row>
    <row r="40" spans="16:22">
      <c r="P40">
        <v>6020</v>
      </c>
      <c r="Q40" t="s">
        <v>617</v>
      </c>
      <c r="U40">
        <v>6040</v>
      </c>
      <c r="V40" t="s">
        <v>618</v>
      </c>
    </row>
    <row r="41" spans="16:22">
      <c r="P41">
        <v>6030</v>
      </c>
      <c r="Q41" t="s">
        <v>619</v>
      </c>
      <c r="U41">
        <v>6050</v>
      </c>
      <c r="V41" t="s">
        <v>620</v>
      </c>
    </row>
    <row r="42" spans="16:22">
      <c r="P42">
        <v>6040</v>
      </c>
      <c r="Q42" t="s">
        <v>621</v>
      </c>
      <c r="U42">
        <v>6060</v>
      </c>
      <c r="V42" t="s">
        <v>622</v>
      </c>
    </row>
    <row r="43" spans="16:22">
      <c r="P43">
        <v>6050</v>
      </c>
      <c r="Q43" t="s">
        <v>623</v>
      </c>
      <c r="U43">
        <v>6110</v>
      </c>
      <c r="V43" t="s">
        <v>624</v>
      </c>
    </row>
    <row r="44" spans="16:22">
      <c r="P44">
        <v>6060</v>
      </c>
      <c r="Q44" t="s">
        <v>625</v>
      </c>
      <c r="U44">
        <v>6120</v>
      </c>
      <c r="V44" t="s">
        <v>626</v>
      </c>
    </row>
    <row r="45" spans="16:22">
      <c r="P45">
        <v>6070</v>
      </c>
      <c r="Q45" t="s">
        <v>627</v>
      </c>
      <c r="U45">
        <v>6130</v>
      </c>
      <c r="V45" t="s">
        <v>628</v>
      </c>
    </row>
    <row r="46" spans="16:22">
      <c r="P46">
        <v>6080</v>
      </c>
      <c r="Q46" t="s">
        <v>629</v>
      </c>
      <c r="U46">
        <v>6140</v>
      </c>
      <c r="V46" t="s">
        <v>630</v>
      </c>
    </row>
    <row r="47" spans="16:22">
      <c r="P47">
        <v>6100</v>
      </c>
      <c r="Q47" t="s">
        <v>631</v>
      </c>
      <c r="U47">
        <v>6150</v>
      </c>
      <c r="V47" t="s">
        <v>632</v>
      </c>
    </row>
    <row r="48" spans="16:22">
      <c r="P48">
        <v>6210</v>
      </c>
      <c r="Q48" t="s">
        <v>633</v>
      </c>
      <c r="U48">
        <v>6210</v>
      </c>
      <c r="V48" t="s">
        <v>634</v>
      </c>
    </row>
    <row r="49" spans="16:22">
      <c r="P49">
        <v>6310</v>
      </c>
      <c r="Q49" t="s">
        <v>635</v>
      </c>
      <c r="U49">
        <v>6220</v>
      </c>
      <c r="V49" t="s">
        <v>636</v>
      </c>
    </row>
    <row r="50" spans="16:22">
      <c r="P50">
        <v>7010</v>
      </c>
      <c r="Q50" t="s">
        <v>637</v>
      </c>
      <c r="U50">
        <v>6230</v>
      </c>
      <c r="V50" t="s">
        <v>638</v>
      </c>
    </row>
    <row r="51" spans="16:22">
      <c r="P51">
        <v>7020</v>
      </c>
      <c r="Q51" t="s">
        <v>639</v>
      </c>
      <c r="U51">
        <v>6240</v>
      </c>
      <c r="V51" t="s">
        <v>640</v>
      </c>
    </row>
    <row r="52" spans="16:22">
      <c r="P52">
        <v>7030</v>
      </c>
      <c r="Q52" t="s">
        <v>641</v>
      </c>
      <c r="U52">
        <v>6250</v>
      </c>
      <c r="V52" t="s">
        <v>642</v>
      </c>
    </row>
    <row r="53" spans="16:22">
      <c r="P53">
        <v>8010</v>
      </c>
      <c r="Q53" t="s">
        <v>643</v>
      </c>
      <c r="U53">
        <v>6310</v>
      </c>
      <c r="V53" t="s">
        <v>644</v>
      </c>
    </row>
    <row r="54" spans="16:22">
      <c r="P54">
        <v>8020</v>
      </c>
      <c r="Q54" t="s">
        <v>645</v>
      </c>
      <c r="U54">
        <v>6320</v>
      </c>
      <c r="V54" t="s">
        <v>646</v>
      </c>
    </row>
    <row r="55" spans="16:22">
      <c r="P55">
        <v>9010</v>
      </c>
      <c r="Q55" t="s">
        <v>647</v>
      </c>
      <c r="U55">
        <v>6330</v>
      </c>
      <c r="V55" t="s">
        <v>648</v>
      </c>
    </row>
    <row r="56" spans="16:22">
      <c r="P56">
        <v>10010</v>
      </c>
      <c r="Q56" t="s">
        <v>649</v>
      </c>
      <c r="U56">
        <v>6340</v>
      </c>
      <c r="V56" t="s">
        <v>650</v>
      </c>
    </row>
    <row r="57" spans="16:22">
      <c r="P57">
        <v>10020</v>
      </c>
      <c r="Q57" t="s">
        <v>651</v>
      </c>
      <c r="U57">
        <v>6350</v>
      </c>
      <c r="V57" t="s">
        <v>652</v>
      </c>
    </row>
    <row r="58" spans="16:22">
      <c r="P58">
        <v>11010</v>
      </c>
      <c r="Q58" t="s">
        <v>653</v>
      </c>
      <c r="U58">
        <v>7010</v>
      </c>
      <c r="V58" t="s">
        <v>654</v>
      </c>
    </row>
    <row r="59" spans="16:22">
      <c r="P59">
        <v>12010</v>
      </c>
      <c r="Q59" t="s">
        <v>655</v>
      </c>
      <c r="U59">
        <v>7020</v>
      </c>
      <c r="V59" t="s">
        <v>656</v>
      </c>
    </row>
    <row r="60" spans="16:22">
      <c r="P60">
        <v>13010</v>
      </c>
      <c r="Q60" t="s">
        <v>657</v>
      </c>
      <c r="U60">
        <v>7030</v>
      </c>
      <c r="V60" t="s">
        <v>658</v>
      </c>
    </row>
    <row r="61" spans="21:22">
      <c r="U61">
        <v>7040</v>
      </c>
      <c r="V61" t="s">
        <v>659</v>
      </c>
    </row>
    <row r="62" spans="21:22">
      <c r="U62">
        <v>7050</v>
      </c>
      <c r="V62" t="s">
        <v>660</v>
      </c>
    </row>
    <row r="63" spans="21:22">
      <c r="U63">
        <v>7060</v>
      </c>
      <c r="V63" t="s">
        <v>661</v>
      </c>
    </row>
    <row r="64" spans="21:22">
      <c r="U64">
        <v>7070</v>
      </c>
      <c r="V64" t="s">
        <v>662</v>
      </c>
    </row>
    <row r="65" spans="21:22">
      <c r="U65">
        <v>8010</v>
      </c>
      <c r="V65" t="s">
        <v>663</v>
      </c>
    </row>
    <row r="66" spans="21:22">
      <c r="U66">
        <v>8020</v>
      </c>
      <c r="V66" t="s">
        <v>664</v>
      </c>
    </row>
    <row r="67" spans="21:22">
      <c r="U67">
        <v>8030</v>
      </c>
      <c r="V67" t="s">
        <v>665</v>
      </c>
    </row>
    <row r="68" spans="21:22">
      <c r="U68">
        <v>8040</v>
      </c>
      <c r="V68" t="s">
        <v>666</v>
      </c>
    </row>
    <row r="69" spans="21:22">
      <c r="U69">
        <v>8050</v>
      </c>
      <c r="V69" t="s">
        <v>667</v>
      </c>
    </row>
    <row r="70" spans="21:22">
      <c r="U70">
        <v>8060</v>
      </c>
      <c r="V70" t="s">
        <v>668</v>
      </c>
    </row>
    <row r="71" spans="21:22">
      <c r="U71">
        <v>9010</v>
      </c>
      <c r="V71" t="s">
        <v>669</v>
      </c>
    </row>
    <row r="72" spans="21:22">
      <c r="U72">
        <v>9020</v>
      </c>
      <c r="V72" t="s">
        <v>670</v>
      </c>
    </row>
    <row r="73" spans="21:22">
      <c r="U73">
        <v>9030</v>
      </c>
      <c r="V73" t="s">
        <v>671</v>
      </c>
    </row>
    <row r="74" spans="21:22">
      <c r="U74">
        <v>9031</v>
      </c>
      <c r="V74" t="s">
        <v>672</v>
      </c>
    </row>
    <row r="75" spans="21:22">
      <c r="U75">
        <v>9040</v>
      </c>
      <c r="V75" t="s">
        <v>673</v>
      </c>
    </row>
    <row r="76" spans="21:22">
      <c r="U76">
        <v>9110</v>
      </c>
      <c r="V76" t="s">
        <v>674</v>
      </c>
    </row>
    <row r="77" spans="21:22">
      <c r="U77">
        <v>9120</v>
      </c>
      <c r="V77" t="s">
        <v>675</v>
      </c>
    </row>
    <row r="78" spans="21:22">
      <c r="U78">
        <v>10010</v>
      </c>
      <c r="V78" t="s">
        <v>676</v>
      </c>
    </row>
    <row r="79" spans="21:22">
      <c r="U79">
        <v>10020</v>
      </c>
      <c r="V79" t="s">
        <v>677</v>
      </c>
    </row>
    <row r="80" spans="21:22">
      <c r="U80">
        <v>10110</v>
      </c>
      <c r="V80" t="s">
        <v>678</v>
      </c>
    </row>
    <row r="81" spans="21:22">
      <c r="U81">
        <v>11010</v>
      </c>
      <c r="V81" t="s">
        <v>679</v>
      </c>
    </row>
    <row r="82" spans="21:22">
      <c r="U82">
        <v>11020</v>
      </c>
      <c r="V82" t="s">
        <v>680</v>
      </c>
    </row>
    <row r="83" spans="21:22">
      <c r="U83">
        <v>12030</v>
      </c>
      <c r="V83" t="s">
        <v>681</v>
      </c>
    </row>
    <row r="84" spans="21:22">
      <c r="U84">
        <v>12040</v>
      </c>
      <c r="V84" t="s">
        <v>682</v>
      </c>
    </row>
    <row r="85" spans="21:22">
      <c r="U85">
        <v>12041</v>
      </c>
      <c r="V85" t="s">
        <v>683</v>
      </c>
    </row>
    <row r="86" spans="21:22">
      <c r="U86">
        <v>12042</v>
      </c>
      <c r="V86" t="s">
        <v>684</v>
      </c>
    </row>
    <row r="87" spans="21:22">
      <c r="U87">
        <v>12043</v>
      </c>
      <c r="V87" t="s">
        <v>685</v>
      </c>
    </row>
    <row r="88" spans="21:22">
      <c r="U88">
        <v>12050</v>
      </c>
      <c r="V88" t="s">
        <v>686</v>
      </c>
    </row>
    <row r="89" spans="21:22">
      <c r="U89">
        <v>12060</v>
      </c>
      <c r="V89" t="s">
        <v>687</v>
      </c>
    </row>
    <row r="90" spans="21:22">
      <c r="U90">
        <v>12063</v>
      </c>
      <c r="V90" t="s">
        <v>688</v>
      </c>
    </row>
    <row r="91" spans="21:22">
      <c r="U91">
        <v>12064</v>
      </c>
      <c r="V91" t="s">
        <v>689</v>
      </c>
    </row>
    <row r="92" spans="21:22">
      <c r="U92">
        <v>12066</v>
      </c>
      <c r="V92" t="s">
        <v>690</v>
      </c>
    </row>
    <row r="93" spans="21:22">
      <c r="U93">
        <v>12070</v>
      </c>
      <c r="V93" t="s">
        <v>691</v>
      </c>
    </row>
    <row r="94" spans="21:22">
      <c r="U94">
        <v>12071</v>
      </c>
      <c r="V94" t="s">
        <v>692</v>
      </c>
    </row>
    <row r="95" spans="21:22">
      <c r="U95">
        <v>12082</v>
      </c>
      <c r="V95" t="s">
        <v>693</v>
      </c>
    </row>
    <row r="96" spans="21:22">
      <c r="U96">
        <v>12092</v>
      </c>
      <c r="V96" t="s">
        <v>694</v>
      </c>
    </row>
    <row r="97" spans="21:22">
      <c r="U97">
        <v>13010</v>
      </c>
      <c r="V97" t="s">
        <v>695</v>
      </c>
    </row>
    <row r="98" spans="21:22">
      <c r="U98">
        <v>13020</v>
      </c>
      <c r="V98" t="s">
        <v>696</v>
      </c>
    </row>
    <row r="99" spans="21:22">
      <c r="U99">
        <v>14010</v>
      </c>
      <c r="V99" t="s">
        <v>697</v>
      </c>
    </row>
    <row r="100" spans="21:22">
      <c r="U100">
        <v>14110</v>
      </c>
      <c r="V100" t="s">
        <v>698</v>
      </c>
    </row>
    <row r="101" spans="21:22">
      <c r="U101">
        <v>14210</v>
      </c>
      <c r="V101" t="s">
        <v>699</v>
      </c>
    </row>
    <row r="102" spans="21:22">
      <c r="U102">
        <v>14310</v>
      </c>
      <c r="V102" t="s">
        <v>700</v>
      </c>
    </row>
    <row r="103" spans="21:22">
      <c r="U103">
        <v>14410</v>
      </c>
      <c r="V103" t="s">
        <v>701</v>
      </c>
    </row>
    <row r="104" spans="21:22">
      <c r="U104">
        <v>15010</v>
      </c>
      <c r="V104" t="s">
        <v>702</v>
      </c>
    </row>
    <row r="105" spans="21:22">
      <c r="U105">
        <v>15011</v>
      </c>
      <c r="V105" t="s">
        <v>703</v>
      </c>
    </row>
    <row r="106" spans="21:22">
      <c r="U106">
        <v>15022</v>
      </c>
      <c r="V106" t="s">
        <v>704</v>
      </c>
    </row>
    <row r="107" spans="21:22">
      <c r="U107">
        <v>16010</v>
      </c>
      <c r="V107" t="s">
        <v>705</v>
      </c>
    </row>
    <row r="108" spans="21:22">
      <c r="U108">
        <v>17010</v>
      </c>
      <c r="V108" t="s">
        <v>706</v>
      </c>
    </row>
    <row r="109" spans="21:22">
      <c r="U109">
        <v>17020</v>
      </c>
      <c r="V109" t="s">
        <v>707</v>
      </c>
    </row>
    <row r="110" spans="21:22">
      <c r="U110">
        <v>17030</v>
      </c>
      <c r="V110" t="s">
        <v>708</v>
      </c>
    </row>
    <row r="111" spans="21:22">
      <c r="U111">
        <v>17040</v>
      </c>
      <c r="V111" t="s">
        <v>709</v>
      </c>
    </row>
    <row r="112" spans="21:22">
      <c r="U112">
        <v>17050</v>
      </c>
      <c r="V112" t="s">
        <v>710</v>
      </c>
    </row>
    <row r="113" spans="21:22">
      <c r="U113">
        <v>17060</v>
      </c>
      <c r="V113" t="s">
        <v>711</v>
      </c>
    </row>
    <row r="114" spans="21:22">
      <c r="U114">
        <v>18010</v>
      </c>
      <c r="V114" t="s">
        <v>712</v>
      </c>
    </row>
    <row r="115" spans="21:22">
      <c r="U115">
        <v>18020</v>
      </c>
      <c r="V115" t="s">
        <v>713</v>
      </c>
    </row>
    <row r="116" spans="21:22">
      <c r="U116">
        <v>19010</v>
      </c>
      <c r="V116" t="s">
        <v>714</v>
      </c>
    </row>
    <row r="117" spans="21:22">
      <c r="U117">
        <v>19020</v>
      </c>
      <c r="V117" t="s">
        <v>715</v>
      </c>
    </row>
    <row r="118" spans="21:22">
      <c r="U118">
        <v>19030</v>
      </c>
      <c r="V118" t="s">
        <v>716</v>
      </c>
    </row>
    <row r="119" spans="21:22">
      <c r="U119">
        <v>20030</v>
      </c>
      <c r="V119" t="s">
        <v>717</v>
      </c>
    </row>
    <row r="120" spans="21:22">
      <c r="U120">
        <v>20040</v>
      </c>
      <c r="V120" t="s">
        <v>718</v>
      </c>
    </row>
    <row r="121" spans="21:22">
      <c r="U121">
        <v>20050</v>
      </c>
      <c r="V121" t="s">
        <v>719</v>
      </c>
    </row>
    <row r="122" spans="21:22">
      <c r="U122">
        <v>20070</v>
      </c>
      <c r="V122" t="s">
        <v>720</v>
      </c>
    </row>
    <row r="123" spans="21:22">
      <c r="U123">
        <v>20071</v>
      </c>
      <c r="V123" t="s">
        <v>721</v>
      </c>
    </row>
    <row r="124" spans="21:22">
      <c r="U124">
        <v>20110</v>
      </c>
      <c r="V124" t="s">
        <v>722</v>
      </c>
    </row>
    <row r="125" spans="21:22">
      <c r="U125">
        <v>20120</v>
      </c>
      <c r="V125" t="s">
        <v>723</v>
      </c>
    </row>
    <row r="126" spans="21:22">
      <c r="U126">
        <v>20130</v>
      </c>
      <c r="V126" t="s">
        <v>724</v>
      </c>
    </row>
    <row r="127" spans="21:22">
      <c r="U127">
        <v>20140</v>
      </c>
      <c r="V127" t="s">
        <v>725</v>
      </c>
    </row>
    <row r="128" spans="21:22">
      <c r="U128">
        <v>20150</v>
      </c>
      <c r="V128" t="s">
        <v>726</v>
      </c>
    </row>
    <row r="129" spans="21:22">
      <c r="U129">
        <v>20160</v>
      </c>
      <c r="V129" t="s">
        <v>727</v>
      </c>
    </row>
    <row r="130" spans="21:22">
      <c r="U130">
        <v>23010</v>
      </c>
      <c r="V130" t="s">
        <v>728</v>
      </c>
    </row>
    <row r="131" spans="21:22">
      <c r="U131">
        <v>30010</v>
      </c>
      <c r="V131" t="s">
        <v>729</v>
      </c>
    </row>
    <row r="132" spans="21:22">
      <c r="U132">
        <v>30020</v>
      </c>
      <c r="V132" t="s">
        <v>730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2025-06-05T13:21:50Z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