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Skills!$F$1:$F$253</definedName>
  </definedNames>
  <calcPr calcId="144525" concurrentCalc="0"/>
</workbook>
</file>

<file path=xl/sharedStrings.xml><?xml version="1.0" encoding="utf-8"?>
<sst xmlns="http://schemas.openxmlformats.org/spreadsheetml/2006/main" count="1110" uniqueCount="881">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</sst>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17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0" fillId="24" borderId="8" applyNumberForma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98"/>
  <sheetViews>
    <sheetView workbookViewId="0">
      <pane ySplit="1" topLeftCell="A149" activePane="bottomLeft" state="frozen"/>
      <selection/>
      <selection pane="bottomLeft" activeCell="G110" sqref="G110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11100</v>
      </c>
      <c r="B68">
        <v>11100</v>
      </c>
      <c r="C68" t="str">
        <f>INDEX(TextData!B:B,MATCH(B68,TextData!A:A))</f>
        <v>レストア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3</v>
      </c>
      <c r="L68">
        <v>10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0</v>
      </c>
    </row>
    <row r="69" spans="1:24">
      <c r="A69">
        <v>11110</v>
      </c>
      <c r="B69">
        <v>11110</v>
      </c>
      <c r="C69" t="str">
        <f>INDEX(TextData!B:B,MATCH(B69,TextData!A:A))</f>
        <v>フレイムセイバー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10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7</v>
      </c>
      <c r="R69" t="str">
        <f>INDEX(Define!K:K,MATCH(Q69,Define!J:J))</f>
        <v>追撃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0</v>
      </c>
    </row>
    <row r="70" spans="1:24">
      <c r="A70">
        <v>12010</v>
      </c>
      <c r="B70">
        <v>12010</v>
      </c>
      <c r="C70" t="str">
        <f>INDEX(TextData!B:B,MATCH(B70,TextData!A:A))</f>
        <v>コンセントレイト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12020</v>
      </c>
      <c r="B71">
        <v>12020</v>
      </c>
      <c r="C71" t="str">
        <f>INDEX(TextData!B:B,MATCH(B71,TextData!A:A))</f>
        <v>ヘブンリーラック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12030</v>
      </c>
      <c r="B72">
        <v>12030</v>
      </c>
      <c r="C72" t="str">
        <f>INDEX(TextData!B:B,MATCH(B72,TextData!A:A))</f>
        <v>スウィフトカレント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12040</v>
      </c>
      <c r="B73">
        <v>12040</v>
      </c>
      <c r="C73" t="str">
        <f>INDEX(TextData!B:B,MATCH(B73,TextData!A:A))</f>
        <v>イヴェイドオール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2</v>
      </c>
      <c r="R73" t="str">
        <f>INDEX(Define!K:K,MATCH(Q73,Define!J:J))</f>
        <v>味方</v>
      </c>
      <c r="S73">
        <v>2</v>
      </c>
      <c r="T73" t="str">
        <f>INDEX(Define!N:N,MATCH(S73,Define!M:M))</f>
        <v>列</v>
      </c>
      <c r="U73">
        <v>1</v>
      </c>
      <c r="V73">
        <v>1</v>
      </c>
      <c r="W73">
        <v>1</v>
      </c>
      <c r="X73">
        <v>0</v>
      </c>
    </row>
    <row r="74" spans="1:24">
      <c r="A74">
        <v>12050</v>
      </c>
      <c r="B74">
        <v>12050</v>
      </c>
      <c r="C74" t="str">
        <f>INDEX(TextData!B:B,MATCH(B74,TextData!A:A))</f>
        <v>クイックムーブ</v>
      </c>
      <c r="D74">
        <v>6</v>
      </c>
      <c r="E74" t="str">
        <f>INDEX(Define!X:X,MATCH(D74,Define!W:W))</f>
        <v>自己強化</v>
      </c>
      <c r="F74">
        <v>1501</v>
      </c>
      <c r="G74" t="str">
        <f>INDEX([1]Animations!B:B,MATCH(F74,[1]Animations!A:A))</f>
        <v>BallsOfLight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12060</v>
      </c>
      <c r="B75">
        <v>12060</v>
      </c>
      <c r="C75" t="str">
        <f>INDEX(TextData!B:B,MATCH(B75,TextData!A:A))</f>
        <v>チェイスマジック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30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12070</v>
      </c>
      <c r="B76">
        <v>12070</v>
      </c>
      <c r="C76" t="str">
        <f>INDEX(TextData!B:B,MATCH(B76,TextData!A:A))</f>
        <v>ソーサリーコネクト</v>
      </c>
      <c r="D76">
        <v>6</v>
      </c>
      <c r="E76" t="str">
        <f>INDEX(Define!X:X,MATCH(D76,Define!W:W))</f>
        <v>自己強化</v>
      </c>
      <c r="F76">
        <v>3005</v>
      </c>
      <c r="G76" t="str">
        <f>INDEX([1]Animations!B:B,MATCH(F76,[1]Animations!A:A))</f>
        <v>Genfulew_Effect/B&amp;S_MinMax_AttackUp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11</v>
      </c>
      <c r="R76" t="str">
        <f>INDEX(Define!K:K,MATCH(Q76,Define!J:J))</f>
        <v>Triggerの条件を満たす</v>
      </c>
      <c r="S76">
        <v>1</v>
      </c>
      <c r="T76" t="str">
        <f>INDEX(Define!N:N,MATCH(S76,Define!M:M))</f>
        <v>単体</v>
      </c>
      <c r="U76">
        <v>1</v>
      </c>
      <c r="V76">
        <v>1</v>
      </c>
      <c r="W76">
        <v>1</v>
      </c>
      <c r="X76">
        <v>1</v>
      </c>
    </row>
    <row r="77" spans="1:24">
      <c r="A77">
        <v>12071</v>
      </c>
      <c r="B77">
        <v>12070</v>
      </c>
      <c r="C77" t="str">
        <f>INDEX(TextData!B:B,MATCH(B77,TextData!A:A))</f>
        <v>ソーサリーコネクト</v>
      </c>
      <c r="D77">
        <v>6</v>
      </c>
      <c r="E77" t="str">
        <f>INDEX(Define!X:X,MATCH(D77,Define!W:W))</f>
        <v>自己強化</v>
      </c>
      <c r="F77">
        <v>3006</v>
      </c>
      <c r="G77" t="str">
        <f>INDEX([1]Animations!B:B,MATCH(F77,[1]Animations!A:A))</f>
        <v>Genfulew_Effect/B&amp;S_MinMax_AttackDown</v>
      </c>
      <c r="H77">
        <v>1</v>
      </c>
      <c r="I77" t="str">
        <f>INDEX(Define!B:B,MATCH(H77,Define!A:A))</f>
        <v>単体</v>
      </c>
      <c r="J77">
        <v>0</v>
      </c>
      <c r="K77">
        <v>3</v>
      </c>
      <c r="L77">
        <v>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12080</v>
      </c>
      <c r="B78">
        <v>12080</v>
      </c>
      <c r="C78" t="str">
        <f>INDEX(TextData!B:B,MATCH(B78,TextData!A:A))</f>
        <v>ウィンドライズ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30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6</v>
      </c>
      <c r="R78" t="str">
        <f>INDEX(Define!K:K,MATCH(Q78,Define!J:J))</f>
        <v>反撃</v>
      </c>
      <c r="S78">
        <v>1</v>
      </c>
      <c r="T78" t="str">
        <f>INDEX(Define!N:N,MATCH(S78,Define!M:M))</f>
        <v>単体</v>
      </c>
      <c r="U78">
        <v>2</v>
      </c>
      <c r="V78">
        <v>1</v>
      </c>
      <c r="W78">
        <v>1</v>
      </c>
      <c r="X78">
        <v>0</v>
      </c>
    </row>
    <row r="79" spans="1:24">
      <c r="A79">
        <v>12090</v>
      </c>
      <c r="B79">
        <v>12090</v>
      </c>
      <c r="C79" t="str">
        <f>INDEX(TextData!B:B,MATCH(B79,TextData!A:A))</f>
        <v>アウトオブオーダー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20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2</v>
      </c>
      <c r="T79" t="str">
        <f>INDEX(Define!N:N,MATCH(S79,Define!M:M))</f>
        <v>列</v>
      </c>
      <c r="U79">
        <v>2</v>
      </c>
      <c r="V79">
        <v>1</v>
      </c>
      <c r="W79">
        <v>1</v>
      </c>
      <c r="X79">
        <v>0</v>
      </c>
    </row>
    <row r="80" spans="1:24">
      <c r="A80">
        <v>12100</v>
      </c>
      <c r="B80">
        <v>12100</v>
      </c>
      <c r="C80" t="str">
        <f>INDEX(TextData!B:B,MATCH(B80,TextData!A:A))</f>
        <v>ワンスパニッシュ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20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12110</v>
      </c>
      <c r="B81">
        <v>12110</v>
      </c>
      <c r="C81" t="str">
        <f>INDEX(TextData!B:B,MATCH(B81,TextData!A:A))</f>
        <v>アクトスタンス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Flash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13010</v>
      </c>
      <c r="B82">
        <v>13010</v>
      </c>
      <c r="C82" t="str">
        <f>INDEX(TextData!B:B,MATCH(B82,TextData!A:A))</f>
        <v>アーマーコード</v>
      </c>
      <c r="D82">
        <v>6</v>
      </c>
      <c r="E82" t="str">
        <f>INDEX(Define!X:X,MATCH(D82,Define!W:W))</f>
        <v>自己強化</v>
      </c>
      <c r="F82">
        <v>803</v>
      </c>
      <c r="G82" t="str">
        <f>INDEX([1]Animations!B:B,MATCH(F82,[1]Animations!A:A))</f>
        <v>Powerup3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ht="12" customHeight="1" spans="1:24">
      <c r="A83">
        <v>13020</v>
      </c>
      <c r="B83">
        <v>13020</v>
      </c>
      <c r="C83" t="str">
        <f>INDEX(TextData!B:B,MATCH(B83,TextData!A:A))</f>
        <v>クイックバリア</v>
      </c>
      <c r="D83">
        <v>6</v>
      </c>
      <c r="E83" t="str">
        <f>INDEX(Define!X:X,MATCH(D83,Define!W:W))</f>
        <v>自己強化</v>
      </c>
      <c r="F83">
        <v>803</v>
      </c>
      <c r="G83" t="str">
        <f>INDEX([1]Animations!B:B,MATCH(F83,[1]Animations!A:A))</f>
        <v>Powerup3</v>
      </c>
      <c r="H83">
        <v>1</v>
      </c>
      <c r="I83" t="str">
        <f>INDEX(Define!B:B,MATCH(H83,Define!A:A))</f>
        <v>単体</v>
      </c>
      <c r="J83">
        <v>0</v>
      </c>
      <c r="K83" s="7">
        <v>3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1</v>
      </c>
    </row>
    <row r="84" ht="12" customHeight="1" spans="1:24">
      <c r="A84">
        <v>13030</v>
      </c>
      <c r="B84">
        <v>13030</v>
      </c>
      <c r="C84" t="str">
        <f>INDEX(TextData!B:B,MATCH(B84,TextData!A:A))</f>
        <v>クイックキュア</v>
      </c>
      <c r="D84">
        <v>6</v>
      </c>
      <c r="E84" t="str">
        <f>INDEX(Define!X:X,MATCH(D84,Define!W:W))</f>
        <v>自己強化</v>
      </c>
      <c r="F84">
        <v>3023</v>
      </c>
      <c r="G84" t="str">
        <f>INDEX([1]Animations!B:B,MATCH(F84,[1]Animations!A:A))</f>
        <v>Genfulew_Effect/B&amp;S_MinMax_Cure</v>
      </c>
      <c r="H84">
        <v>1</v>
      </c>
      <c r="I84" t="str">
        <f>INDEX(Define!B:B,MATCH(H84,Define!A:A))</f>
        <v>単体</v>
      </c>
      <c r="J84">
        <v>0</v>
      </c>
      <c r="K84" s="7">
        <v>2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11</v>
      </c>
      <c r="R84" t="str">
        <f>INDEX(Define!K:K,MATCH(Q84,Define!J:J))</f>
        <v>Triggerの条件を満たす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1</v>
      </c>
    </row>
    <row r="85" spans="1:24">
      <c r="A85">
        <v>13040</v>
      </c>
      <c r="B85">
        <v>13040</v>
      </c>
      <c r="C85" t="str">
        <f>INDEX(TextData!B:B,MATCH(B85,TextData!A:A))</f>
        <v>セルフシールド</v>
      </c>
      <c r="D85">
        <v>6</v>
      </c>
      <c r="E85" t="str">
        <f>INDEX(Define!X:X,MATCH(D85,Define!W:W))</f>
        <v>自己強化</v>
      </c>
      <c r="F85">
        <v>803</v>
      </c>
      <c r="G85" t="str">
        <f>INDEX([1]Animations!B:B,MATCH(F85,[1]Animations!A:A))</f>
        <v>Powerup3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10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13050</v>
      </c>
      <c r="B86">
        <v>13050</v>
      </c>
      <c r="C86" t="str">
        <f>INDEX(TextData!B:B,MATCH(B86,TextData!A:A))</f>
        <v>パッシブジャミング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5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1</v>
      </c>
    </row>
    <row r="87" spans="1:24">
      <c r="A87">
        <v>13060</v>
      </c>
      <c r="B87">
        <v>13060</v>
      </c>
      <c r="C87" t="str">
        <f>INDEX(TextData!B:B,MATCH(B87,TextData!A:A))</f>
        <v>サプライカバー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2</v>
      </c>
      <c r="L87">
        <v>30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13070</v>
      </c>
      <c r="B88">
        <v>13070</v>
      </c>
      <c r="C88" t="str">
        <f>INDEX(TextData!B:B,MATCH(B88,TextData!A:A))</f>
        <v>アシッドラッシュ</v>
      </c>
      <c r="D88">
        <v>6</v>
      </c>
      <c r="E88" t="str">
        <f>INDEX(Define!X:X,MATCH(D88,Define!W:W))</f>
        <v>自己強化</v>
      </c>
      <c r="F88">
        <v>1024</v>
      </c>
      <c r="G88" t="str">
        <f>INDEX([1]Animations!B:B,MATCH(F88,[1]Animations!A:A))</f>
        <v>PierceIce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7</v>
      </c>
      <c r="R88" t="str">
        <f>INDEX(Define!K:K,MATCH(Q88,Define!J:J))</f>
        <v>追撃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spans="1:24">
      <c r="A89">
        <v>13080</v>
      </c>
      <c r="B89">
        <v>13080</v>
      </c>
      <c r="C89" t="str">
        <f>INDEX(TextData!B:B,MATCH(B89,TextData!A:A))</f>
        <v>ライフスティール</v>
      </c>
      <c r="D89">
        <v>6</v>
      </c>
      <c r="E89" t="str">
        <f>INDEX(Define!X:X,MATCH(D89,Define!W:W))</f>
        <v>自己強化</v>
      </c>
      <c r="F89">
        <v>3347</v>
      </c>
      <c r="G89" t="str">
        <f>INDEX([1]Animations!B:B,MATCH(F89,[1]Animations!A:A))</f>
        <v>Genfulew_Effect/Enemy_CR_Charge2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10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13090</v>
      </c>
      <c r="B90">
        <v>13090</v>
      </c>
      <c r="C90" t="str">
        <f>INDEX(TextData!B:B,MATCH(B90,TextData!A:A))</f>
        <v>アイスセイバー</v>
      </c>
      <c r="D90">
        <v>6</v>
      </c>
      <c r="E90" t="str">
        <f>INDEX(Define!X:X,MATCH(D90,Define!W:W))</f>
        <v>自己強化</v>
      </c>
      <c r="F90">
        <v>1024</v>
      </c>
      <c r="G90" t="str">
        <f>INDEX([1]Animations!B:B,MATCH(F90,[1]Animations!A:A))</f>
        <v>PierceIce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7</v>
      </c>
      <c r="R90" t="str">
        <f>INDEX(Define!K:K,MATCH(Q90,Define!J:J))</f>
        <v>追撃</v>
      </c>
      <c r="S90">
        <v>3</v>
      </c>
      <c r="T90" t="str">
        <f>INDEX(Define!N:N,MATCH(S90,Define!M:M))</f>
        <v>全体</v>
      </c>
      <c r="U90">
        <v>1</v>
      </c>
      <c r="V90">
        <v>1</v>
      </c>
      <c r="W90">
        <v>1</v>
      </c>
      <c r="X90">
        <v>0</v>
      </c>
    </row>
    <row r="91" spans="1:24">
      <c r="A91">
        <v>13100</v>
      </c>
      <c r="B91">
        <v>13100</v>
      </c>
      <c r="C91" t="str">
        <f>INDEX(TextData!B:B,MATCH(B91,TextData!A:A))</f>
        <v>ルミナスカバー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30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11</v>
      </c>
      <c r="T91" t="str">
        <f>INDEX(Define!N:N,MATCH(S91,Define!M:M))</f>
        <v>単体・自身を除く</v>
      </c>
      <c r="U91">
        <v>1</v>
      </c>
      <c r="V91">
        <v>1</v>
      </c>
      <c r="W91">
        <v>1</v>
      </c>
      <c r="X91">
        <v>0</v>
      </c>
    </row>
    <row r="92" spans="1:24">
      <c r="A92">
        <v>13101</v>
      </c>
      <c r="B92">
        <v>13100</v>
      </c>
      <c r="C92" t="str">
        <f>INDEX(TextData!B:B,MATCH(B92,TextData!A:A))</f>
        <v>ルミナスカバー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13110</v>
      </c>
      <c r="B93">
        <v>13110</v>
      </c>
      <c r="C93" t="str">
        <f>INDEX(TextData!B:B,MATCH(B93,TextData!A:A))</f>
        <v>デコイプラス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13111</v>
      </c>
      <c r="B94">
        <v>13111</v>
      </c>
      <c r="C94" t="str">
        <f>INDEX(TextData!B:B,MATCH(B94,TextData!A:A))</f>
        <v>デコイプラス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PierceIce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11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14010</v>
      </c>
      <c r="B95">
        <v>14010</v>
      </c>
      <c r="C95" t="str">
        <f>INDEX(TextData!B:B,MATCH(B95,TextData!A:A))</f>
        <v>ディバインシールド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10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14020</v>
      </c>
      <c r="B96">
        <v>14020</v>
      </c>
      <c r="C96" t="str">
        <f>INDEX(TextData!B:B,MATCH(B96,TextData!A:A))</f>
        <v>ライフディバイド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1</v>
      </c>
    </row>
    <row r="97" ht="12" customHeight="1" spans="1:24">
      <c r="A97">
        <v>14030</v>
      </c>
      <c r="B97">
        <v>14030</v>
      </c>
      <c r="C97" t="str">
        <f>INDEX(TextData!B:B,MATCH(B97,TextData!A:A))</f>
        <v>エイミングスコープ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3</v>
      </c>
      <c r="T97" t="str">
        <f>INDEX(Define!N:N,MATCH(S97,Define!M:M))</f>
        <v>全体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14040</v>
      </c>
      <c r="B98">
        <v>14040</v>
      </c>
      <c r="C98" t="str">
        <f>INDEX(TextData!B:B,MATCH(B98,TextData!A:A))</f>
        <v>リジェネレーション</v>
      </c>
      <c r="D98">
        <v>6</v>
      </c>
      <c r="E98" t="str">
        <f>INDEX(Define!X:X,MATCH(D98,Define!W:W))</f>
        <v>自己強化</v>
      </c>
      <c r="F98">
        <v>3023</v>
      </c>
      <c r="G98" t="str">
        <f>INDEX([1]Animations!B:B,MATCH(F98,[1]Animations!A:A))</f>
        <v>Genfulew_Effect/B&amp;S_MinMax_Cure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30</v>
      </c>
      <c r="M98">
        <v>4</v>
      </c>
      <c r="N98" t="str">
        <f>INDEX(Define!E:E,MATCH(M98,Define!D:D))</f>
        <v>光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14050</v>
      </c>
      <c r="B99">
        <v>14050</v>
      </c>
      <c r="C99" t="str">
        <f>INDEX(TextData!B:B,MATCH(B99,TextData!A:A))</f>
        <v>ホープフルアイリス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4</v>
      </c>
      <c r="N99" t="str">
        <f>INDEX(Define!E:E,MATCH(M99,Define!D:D))</f>
        <v>光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14060</v>
      </c>
      <c r="B100">
        <v>14060</v>
      </c>
      <c r="C100" t="str">
        <f>INDEX(TextData!B:B,MATCH(B100,TextData!A:A))</f>
        <v>パッシブサプライ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6</v>
      </c>
      <c r="R100" t="str">
        <f>INDEX(Define!K:K,MATCH(Q100,Define!J:J))</f>
        <v>反撃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14070</v>
      </c>
      <c r="B101">
        <v>14070</v>
      </c>
      <c r="C101" t="str">
        <f>INDEX(TextData!B:B,MATCH(B101,TextData!A:A))</f>
        <v>ホーミングクルセイド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14080</v>
      </c>
      <c r="B102">
        <v>14080</v>
      </c>
      <c r="C102" t="str">
        <f>INDEX(TextData!B:B,MATCH(B102,TextData!A:A))</f>
        <v>クイックヒール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14090</v>
      </c>
      <c r="B103">
        <v>14090</v>
      </c>
      <c r="C103" t="str">
        <f>INDEX(TextData!B:B,MATCH(B103,TextData!A:A))</f>
        <v>リレイズ</v>
      </c>
      <c r="D103">
        <v>6</v>
      </c>
      <c r="E103" t="str">
        <f>INDEX(Define!X:X,MATCH(D103,Define!W:W))</f>
        <v>自己強化</v>
      </c>
      <c r="F103">
        <v>3027</v>
      </c>
      <c r="G103" t="str">
        <f>INDEX([1]Animations!B:B,MATCH(F103,[1]Animations!A:A))</f>
        <v>Genfulew_Effect/B&amp;S_MinMax_Regeneration1</v>
      </c>
      <c r="H103">
        <v>1</v>
      </c>
      <c r="I103" t="str">
        <f>INDEX(Define!B:B,MATCH(H103,Define!A:A))</f>
        <v>単体</v>
      </c>
      <c r="J103">
        <v>0</v>
      </c>
      <c r="K103">
        <v>5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14100</v>
      </c>
      <c r="B104">
        <v>14100</v>
      </c>
      <c r="C104" t="str">
        <f>INDEX(TextData!B:B,MATCH(B104,TextData!A:A))</f>
        <v>ファストヒール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3</v>
      </c>
      <c r="T104" t="str">
        <f>INDEX(Define!N:N,MATCH(S104,Define!M:M))</f>
        <v>全体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14110</v>
      </c>
      <c r="B105">
        <v>14110</v>
      </c>
      <c r="C105" t="str">
        <f>INDEX(TextData!B:B,MATCH(B105,TextData!A:A))</f>
        <v>セルフケア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15010</v>
      </c>
      <c r="B106">
        <v>15010</v>
      </c>
      <c r="C106" t="str">
        <f>INDEX(TextData!B:B,MATCH(B106,TextData!A:A))</f>
        <v>イーグルアイ</v>
      </c>
      <c r="D106">
        <v>6</v>
      </c>
      <c r="E106" t="str">
        <f>INDEX(Define!X:X,MATCH(D106,Define!W:W))</f>
        <v>自己強化</v>
      </c>
      <c r="F106">
        <v>3009</v>
      </c>
      <c r="G106" t="str">
        <f>INDEX([1]Animations!B:B,MATCH(F106,[1]Animations!A:A))</f>
        <v>Genfulew_Effect/B&amp;S_MinMax_MagicAttackUp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15020</v>
      </c>
      <c r="B107">
        <v>15020</v>
      </c>
      <c r="C107" t="str">
        <f>INDEX(TextData!B:B,MATCH(B107,TextData!A:A))</f>
        <v>ネヴァーエンド</v>
      </c>
      <c r="D107">
        <v>6</v>
      </c>
      <c r="E107" t="str">
        <f>INDEX(Define!X:X,MATCH(D107,Define!W:W))</f>
        <v>自己強化</v>
      </c>
      <c r="F107">
        <v>3047</v>
      </c>
      <c r="G107" t="str">
        <f>INDEX([1]Animations!B:B,MATCH(F107,[1]Animations!A:A))</f>
        <v>Genfulew_Effect/B&amp;S_MinMax_Dispel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5</v>
      </c>
      <c r="N107" t="str">
        <f>INDEX(Define!E:E,MATCH(M107,Define!D:D))</f>
        <v>闇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15030</v>
      </c>
      <c r="B108">
        <v>15030</v>
      </c>
      <c r="C108" t="str">
        <f>INDEX(TextData!B:B,MATCH(B108,TextData!A:A))</f>
        <v>グレイブアクト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5</v>
      </c>
      <c r="N108" t="str">
        <f>INDEX(Define!E:E,MATCH(M108,Define!D:D))</f>
        <v>闇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15040</v>
      </c>
      <c r="B109">
        <v>15040</v>
      </c>
      <c r="C109" t="str">
        <f>INDEX(TextData!B:B,MATCH(B109,TextData!A:A))</f>
        <v>スカルグラッジ</v>
      </c>
      <c r="D109">
        <v>6</v>
      </c>
      <c r="E109" t="str">
        <f>INDEX(Define!X:X,MATCH(D109,Define!W:W))</f>
        <v>自己強化</v>
      </c>
      <c r="F109">
        <v>3047</v>
      </c>
      <c r="G109" t="str">
        <f>INDEX([1]Animations!B:B,MATCH(F109,[1]Animations!A:A))</f>
        <v>Genfulew_Effect/B&amp;S_MinMax_Dispel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5</v>
      </c>
      <c r="N109" t="str">
        <f>INDEX(Define!E:E,MATCH(M109,Define!D:D))</f>
        <v>闇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15050</v>
      </c>
      <c r="B110">
        <v>15050</v>
      </c>
      <c r="C110" t="str">
        <f>INDEX(TextData!B:B,MATCH(B110,TextData!A:A))</f>
        <v>ネガティブドレイン</v>
      </c>
      <c r="D110">
        <v>6</v>
      </c>
      <c r="E110" t="str">
        <f>INDEX(Define!X:X,MATCH(D110,Define!W:W))</f>
        <v>自己強化</v>
      </c>
      <c r="F110">
        <v>0</v>
      </c>
      <c r="G110" t="e">
        <f>INDEX([1]Animations!B:B,MATCH(F110,[1]Animations!A:A))</f>
        <v>#N/A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5</v>
      </c>
      <c r="N110" t="str">
        <f>INDEX(Define!E:E,MATCH(M110,Define!D:D))</f>
        <v>闇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15060</v>
      </c>
      <c r="B111">
        <v>15060</v>
      </c>
      <c r="C111" t="str">
        <f>INDEX(TextData!B:B,MATCH(B111,TextData!A:A))</f>
        <v>アンデッドペイン</v>
      </c>
      <c r="D111">
        <v>6</v>
      </c>
      <c r="E111" t="str">
        <f>INDEX(Define!X:X,MATCH(D111,Define!W:W))</f>
        <v>自己強化</v>
      </c>
      <c r="F111">
        <v>3047</v>
      </c>
      <c r="G111" t="str">
        <f>INDEX([1]Animations!B:B,MATCH(F111,[1]Animations!A:A))</f>
        <v>Genfulew_Effect/B&amp;S_MinMax_Dispel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15070</v>
      </c>
      <c r="B112">
        <v>15070</v>
      </c>
      <c r="C112" t="str">
        <f>INDEX(TextData!B:B,MATCH(B112,TextData!A:A))</f>
        <v>ジャックポッド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11</v>
      </c>
      <c r="R112" t="str">
        <f>INDEX(Define!K:K,MATCH(Q112,Define!J:J))</f>
        <v>Triggerの条件を満たす</v>
      </c>
      <c r="S112">
        <v>1</v>
      </c>
      <c r="T112" t="str">
        <f>INDEX(Define!N:N,MATCH(S112,Define!M:M))</f>
        <v>単体</v>
      </c>
      <c r="U112">
        <v>1</v>
      </c>
      <c r="V112">
        <v>1</v>
      </c>
      <c r="W112">
        <v>1</v>
      </c>
      <c r="X112">
        <v>1</v>
      </c>
    </row>
    <row r="113" ht="12" customHeight="1" spans="1:24">
      <c r="A113">
        <v>15080</v>
      </c>
      <c r="B113">
        <v>15080</v>
      </c>
      <c r="C113" t="str">
        <f>INDEX(TextData!B:B,MATCH(B113,TextData!A:A))</f>
        <v>ヒールハント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2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6</v>
      </c>
      <c r="R113" t="str">
        <f>INDEX(Define!K:K,MATCH(Q113,Define!J:J))</f>
        <v>反撃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15090</v>
      </c>
      <c r="B114">
        <v>15090</v>
      </c>
      <c r="C114" t="str">
        <f>INDEX(TextData!B:B,MATCH(B114,TextData!A:A))</f>
        <v>クイックカース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2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ht="12" customHeight="1" spans="1:24">
      <c r="A115">
        <v>15100</v>
      </c>
      <c r="B115">
        <v>15100</v>
      </c>
      <c r="C115" t="str">
        <f>INDEX(TextData!B:B,MATCH(B115,TextData!A:A))</f>
        <v>リヴェンジャー</v>
      </c>
      <c r="D115">
        <v>6</v>
      </c>
      <c r="E115" t="str">
        <f>INDEX(Define!X:X,MATCH(D115,Define!W:W))</f>
        <v>自己強化</v>
      </c>
      <c r="F115">
        <v>3302</v>
      </c>
      <c r="G115" t="str">
        <f>INDEX([1]Animations!B:B,MATCH(F115,[1]Animations!A:A))</f>
        <v>Genfulew_Effect/Enemy_CR_ActivationMagic</v>
      </c>
      <c r="H115">
        <v>1</v>
      </c>
      <c r="I115" t="str">
        <f>INDEX(Define!B:B,MATCH(H115,Define!A:A))</f>
        <v>単体</v>
      </c>
      <c r="J115">
        <v>0</v>
      </c>
      <c r="K115">
        <v>3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15110</v>
      </c>
      <c r="B116">
        <v>15110</v>
      </c>
      <c r="C116" t="str">
        <f>INDEX(TextData!B:B,MATCH(B116,TextData!A:A))</f>
        <v>リープリアクト</v>
      </c>
      <c r="D116">
        <v>6</v>
      </c>
      <c r="E116" t="str">
        <f>INDEX(Define!X:X,MATCH(D116,Define!W:W))</f>
        <v>自己強化</v>
      </c>
      <c r="F116">
        <v>3302</v>
      </c>
      <c r="G116" t="str">
        <f>INDEX([1]Animations!B:B,MATCH(F116,[1]Animations!A:A))</f>
        <v>Genfulew_Effect/Enemy_CR_ActivationMagic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15112</v>
      </c>
      <c r="B117">
        <v>15112</v>
      </c>
      <c r="C117" t="str">
        <f>INDEX(TextData!B:B,MATCH(B117,TextData!A:A))</f>
        <v>リープリアクト</v>
      </c>
      <c r="D117">
        <v>6</v>
      </c>
      <c r="E117" t="str">
        <f>INDEX(Define!X:X,MATCH(D117,Define!W:W))</f>
        <v>自己強化</v>
      </c>
      <c r="F117">
        <v>3302</v>
      </c>
      <c r="G117" t="str">
        <f>INDEX([1]Animations!B:B,MATCH(F117,[1]Animations!A:A))</f>
        <v>Genfulew_Effect/Enemy_CR_ActivationMagic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11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20010</v>
      </c>
      <c r="B118">
        <v>20010</v>
      </c>
      <c r="C118" t="str">
        <f>INDEX(TextData!B:B,MATCH(B118,TextData!A:A))</f>
        <v>ウェイトユニゾン</v>
      </c>
      <c r="D118">
        <v>99</v>
      </c>
      <c r="E118" t="str">
        <f>INDEX(Define!X:X,MATCH(D118,Define!W:W))</f>
        <v>その他</v>
      </c>
      <c r="F118">
        <v>0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0</v>
      </c>
      <c r="M118">
        <v>6</v>
      </c>
      <c r="N118" t="str">
        <f>INDEX(Define!E:E,MATCH(M118,Define!D:D))</f>
        <v>無</v>
      </c>
      <c r="O118">
        <v>1</v>
      </c>
      <c r="P118" t="str">
        <f>INDEX(Define!H:H,MATCH(O118,Define!G:G))</f>
        <v>魔法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30010</v>
      </c>
      <c r="B119">
        <v>30010</v>
      </c>
      <c r="C119" t="str">
        <f>INDEX(TextData!B:B,MATCH(B119,TextData!A:A))</f>
        <v>ラーニングピアス</v>
      </c>
      <c r="D119">
        <v>6</v>
      </c>
      <c r="E119" t="str">
        <f>INDEX(Define!X:X,MATCH(D119,Define!W:W))</f>
        <v>自己強化</v>
      </c>
      <c r="F119">
        <v>0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320</v>
      </c>
      <c r="M119">
        <v>6</v>
      </c>
      <c r="N119" t="str">
        <f>INDEX(Define!E:E,MATCH(M119,Define!D:D))</f>
        <v>無</v>
      </c>
      <c r="O119">
        <v>7</v>
      </c>
      <c r="P119" t="str">
        <f>INDEX(Define!H:H,MATCH(O119,Define!G:G))</f>
        <v>装備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30020</v>
      </c>
      <c r="B120">
        <v>30020</v>
      </c>
      <c r="C120" t="str">
        <f>INDEX(TextData!B:B,MATCH(B120,TextData!A:A))</f>
        <v>スティールヒール</v>
      </c>
      <c r="D120">
        <v>6</v>
      </c>
      <c r="E120" t="str">
        <f>INDEX(Define!X:X,MATCH(D120,Define!W:W))</f>
        <v>自己強化</v>
      </c>
      <c r="F120">
        <v>0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320</v>
      </c>
      <c r="M120">
        <v>6</v>
      </c>
      <c r="N120" t="str">
        <f>INDEX(Define!E:E,MATCH(M120,Define!D:D))</f>
        <v>無</v>
      </c>
      <c r="O120">
        <v>7</v>
      </c>
      <c r="P120" t="str">
        <f>INDEX(Define!H:H,MATCH(O120,Define!G:G))</f>
        <v>装備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30030</v>
      </c>
      <c r="B121">
        <v>30030</v>
      </c>
      <c r="C121" t="str">
        <f>INDEX(TextData!B:B,MATCH(B121,TextData!A:A))</f>
        <v>ガッツ</v>
      </c>
      <c r="D121">
        <v>6</v>
      </c>
      <c r="E121" t="str">
        <f>INDEX(Define!X:X,MATCH(D121,Define!W:W))</f>
        <v>自己強化</v>
      </c>
      <c r="F121">
        <v>0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330</v>
      </c>
      <c r="M121">
        <v>6</v>
      </c>
      <c r="N121" t="str">
        <f>INDEX(Define!E:E,MATCH(M121,Define!D:D))</f>
        <v>無</v>
      </c>
      <c r="O121">
        <v>7</v>
      </c>
      <c r="P121" t="str">
        <f>INDEX(Define!H:H,MATCH(O121,Define!G:G))</f>
        <v>装備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100110</v>
      </c>
      <c r="B122">
        <v>100110</v>
      </c>
      <c r="C122" t="str">
        <f>INDEX(TextData!B:B,MATCH(B122,TextData!A:A))</f>
        <v>ソーイングアームド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4</v>
      </c>
      <c r="R122" t="str">
        <f>INDEX(Define!K:K,MATCH(Q122,Define!J:J))</f>
        <v>自身</v>
      </c>
      <c r="S122">
        <v>2</v>
      </c>
      <c r="T122" t="str">
        <f>INDEX(Define!N:N,MATCH(S122,Define!M:M))</f>
        <v>列</v>
      </c>
      <c r="U122">
        <v>2</v>
      </c>
      <c r="V122">
        <v>1</v>
      </c>
      <c r="W122">
        <v>1</v>
      </c>
      <c r="X122">
        <v>0</v>
      </c>
    </row>
    <row r="123" spans="1:24">
      <c r="A123">
        <v>100120</v>
      </c>
      <c r="B123">
        <v>100120</v>
      </c>
      <c r="C123" t="str">
        <f>INDEX(TextData!B:B,MATCH(B123,TextData!A:A))</f>
        <v>エターナルロンド</v>
      </c>
      <c r="D123">
        <v>11</v>
      </c>
      <c r="E123" t="str">
        <f>INDEX(Define!X:X,MATCH(D123,Define!W:W))</f>
        <v>覚醒</v>
      </c>
      <c r="F123">
        <v>101</v>
      </c>
      <c r="G123" t="str">
        <f>INDEX([1]Animations!B:B,MATCH(F123,[1]Animations!A:A))</f>
        <v>FireOne1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2</v>
      </c>
      <c r="T123" t="str">
        <f>INDEX(Define!N:N,MATCH(S123,Define!M:M))</f>
        <v>列</v>
      </c>
      <c r="U123">
        <v>1</v>
      </c>
      <c r="V123">
        <v>1</v>
      </c>
      <c r="W123">
        <v>1</v>
      </c>
      <c r="X123">
        <v>0</v>
      </c>
    </row>
    <row r="124" spans="1:24">
      <c r="A124">
        <v>100210</v>
      </c>
      <c r="B124">
        <v>100210</v>
      </c>
      <c r="C124" t="str">
        <f>INDEX(TextData!B:B,MATCH(B124,TextData!A:A))</f>
        <v>アブソリュートパリィ</v>
      </c>
      <c r="D124">
        <v>10</v>
      </c>
      <c r="E124" t="str">
        <f>INDEX(Define!X:X,MATCH(D124,Define!W:W))</f>
        <v>半神</v>
      </c>
      <c r="F124">
        <v>51</v>
      </c>
      <c r="G124" t="str">
        <f>INDEX([1]Animations!B:B,MATCH(F124,[1]Animations!A:A))</f>
        <v>NA_Effekseer/NA_aura_001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3</v>
      </c>
      <c r="P124" t="str">
        <f>INDEX(Define!H:H,MATCH(O124,Define!G:G))</f>
        <v>神化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spans="1:24">
      <c r="A125">
        <v>100220</v>
      </c>
      <c r="B125">
        <v>100220</v>
      </c>
      <c r="C125" t="str">
        <f>INDEX(TextData!B:B,MATCH(B125,TextData!A:A))</f>
        <v>レヴェリー</v>
      </c>
      <c r="D125">
        <v>11</v>
      </c>
      <c r="E125" t="str">
        <f>INDEX(Define!X:X,MATCH(D125,Define!W:W))</f>
        <v>覚醒</v>
      </c>
      <c r="F125">
        <v>1002</v>
      </c>
      <c r="G125" t="str">
        <f>INDEX([1]Animations!B:B,MATCH(F125,[1]Animations!A:A))</f>
        <v>HitEffect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2</v>
      </c>
      <c r="N125" t="str">
        <f>INDEX(Define!E:E,MATCH(M125,Define!D:D))</f>
        <v>雷</v>
      </c>
      <c r="O125">
        <v>4</v>
      </c>
      <c r="P125" t="str">
        <f>INDEX(Define!H:H,MATCH(O125,Define!G:G))</f>
        <v>覚醒</v>
      </c>
      <c r="Q125">
        <v>1</v>
      </c>
      <c r="R125" t="str">
        <f>INDEX(Define!K:K,MATCH(Q125,Define!J:J))</f>
        <v>相手</v>
      </c>
      <c r="S125">
        <v>3</v>
      </c>
      <c r="T125" t="str">
        <f>INDEX(Define!N:N,MATCH(S125,Define!M:M))</f>
        <v>全体</v>
      </c>
      <c r="U125">
        <v>2</v>
      </c>
      <c r="V125">
        <v>7</v>
      </c>
      <c r="W125">
        <v>1</v>
      </c>
      <c r="X125">
        <v>0</v>
      </c>
    </row>
    <row r="126" spans="1:24">
      <c r="A126">
        <v>100310</v>
      </c>
      <c r="B126">
        <v>100310</v>
      </c>
      <c r="C126" t="str">
        <f>INDEX(TextData!B:B,MATCH(B126,TextData!A:A))</f>
        <v>セイクリッドバリア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3</v>
      </c>
      <c r="P126" t="str">
        <f>INDEX(Define!H:H,MATCH(O126,Define!G:G))</f>
        <v>神化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spans="1:24">
      <c r="A127">
        <v>100320</v>
      </c>
      <c r="B127">
        <v>100320</v>
      </c>
      <c r="C127" t="str">
        <f>INDEX(TextData!B:B,MATCH(B127,TextData!A:A))</f>
        <v>リベンジニードル</v>
      </c>
      <c r="D127">
        <v>11</v>
      </c>
      <c r="E127" t="str">
        <f>INDEX(Define!X:X,MATCH(D127,Define!W:W))</f>
        <v>覚醒</v>
      </c>
      <c r="F127">
        <v>1003</v>
      </c>
      <c r="G127" t="str">
        <f>INDEX([1]Animations!B:B,MATCH(F127,[1]Animations!A:A))</f>
        <v>HitFire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3</v>
      </c>
      <c r="N127" t="str">
        <f>INDEX(Define!E:E,MATCH(M127,Define!D:D))</f>
        <v>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1</v>
      </c>
      <c r="V127">
        <v>1</v>
      </c>
      <c r="W127">
        <v>1</v>
      </c>
      <c r="X127">
        <v>0</v>
      </c>
    </row>
    <row r="128" spans="1:24">
      <c r="A128">
        <v>100410</v>
      </c>
      <c r="B128">
        <v>100410</v>
      </c>
      <c r="C128" t="str">
        <f>INDEX(TextData!B:B,MATCH(B128,TextData!A:A))</f>
        <v>アバンデンス</v>
      </c>
      <c r="D128">
        <v>10</v>
      </c>
      <c r="E128" t="str">
        <f>INDEX(Define!X:X,MATCH(D128,Define!W:W))</f>
        <v>半神</v>
      </c>
      <c r="F128">
        <v>401</v>
      </c>
      <c r="G128" t="str">
        <f>INDEX([1]Animations!B:B,MATCH(F128,[1]Animations!A:A))</f>
        <v>LightOne1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4</v>
      </c>
      <c r="N128" t="str">
        <f>INDEX(Define!E:E,MATCH(M128,Define!D:D))</f>
        <v>光</v>
      </c>
      <c r="O128">
        <v>3</v>
      </c>
      <c r="P128" t="str">
        <f>INDEX(Define!H:H,MATCH(O128,Define!G:G))</f>
        <v>神化</v>
      </c>
      <c r="Q128">
        <v>2</v>
      </c>
      <c r="R128" t="str">
        <f>INDEX(Define!K:K,MATCH(Q128,Define!J:J))</f>
        <v>味方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0</v>
      </c>
      <c r="X128">
        <v>0</v>
      </c>
    </row>
    <row r="129" spans="1:24">
      <c r="A129">
        <v>100420</v>
      </c>
      <c r="B129">
        <v>100420</v>
      </c>
      <c r="C129" t="str">
        <f>INDEX(TextData!B:B,MATCH(B129,TextData!A:A))</f>
        <v>ハーヴェスト</v>
      </c>
      <c r="D129">
        <v>11</v>
      </c>
      <c r="E129" t="str">
        <f>INDEX(Define!X:X,MATCH(D129,Define!W:W))</f>
        <v>覚醒</v>
      </c>
      <c r="F129">
        <v>1004</v>
      </c>
      <c r="G129" t="str">
        <f>INDEX([1]Animations!B:B,MATCH(F129,[1]Animations!A:A))</f>
        <v>HitIce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4</v>
      </c>
      <c r="N129" t="str">
        <f>INDEX(Define!E:E,MATCH(M129,Define!D:D))</f>
        <v>光</v>
      </c>
      <c r="O129">
        <v>4</v>
      </c>
      <c r="P129" t="str">
        <f>INDEX(Define!H:H,MATCH(O129,Define!G:G))</f>
        <v>覚醒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100510</v>
      </c>
      <c r="B130">
        <v>100510</v>
      </c>
      <c r="C130" t="str">
        <f>INDEX(TextData!B:B,MATCH(B130,TextData!A:A))</f>
        <v>カースドブレイク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5</v>
      </c>
      <c r="N130" t="str">
        <f>INDEX(Define!E:E,MATCH(M130,Define!D:D))</f>
        <v>闇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100520</v>
      </c>
      <c r="B131">
        <v>100520</v>
      </c>
      <c r="C131" t="str">
        <f>INDEX(TextData!B:B,MATCH(B131,TextData!A:A))</f>
        <v>ムーンライトレイ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5</v>
      </c>
      <c r="N131" t="str">
        <f>INDEX(Define!E:E,MATCH(M131,Define!D:D))</f>
        <v>闇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100610</v>
      </c>
      <c r="B132">
        <v>100610</v>
      </c>
      <c r="C132" t="str">
        <f>INDEX(TextData!B:B,MATCH(B132,TextData!A:A))</f>
        <v>サンフレイム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31</v>
      </c>
      <c r="T132" t="str">
        <f>INDEX(Define!N:N,MATCH(S132,Define!M:M))</f>
        <v>単体と両隣</v>
      </c>
      <c r="U132">
        <v>2</v>
      </c>
      <c r="V132">
        <v>1</v>
      </c>
      <c r="W132">
        <v>1</v>
      </c>
      <c r="X132">
        <v>0</v>
      </c>
    </row>
    <row r="133" spans="1:24">
      <c r="A133">
        <v>100620</v>
      </c>
      <c r="B133">
        <v>100620</v>
      </c>
      <c r="C133" t="str">
        <f>INDEX(TextData!B:B,MATCH(B133,TextData!A:A))</f>
        <v>フレイムタン</v>
      </c>
      <c r="D133">
        <v>11</v>
      </c>
      <c r="E133" t="str">
        <f>INDEX(Define!X:X,MATCH(D133,Define!W:W))</f>
        <v>覚醒</v>
      </c>
      <c r="F133">
        <v>1005</v>
      </c>
      <c r="G133" t="str">
        <f>INDEX([1]Animations!B:B,MATCH(F133,[1]Animations!A:A))</f>
        <v>HitThunder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100710</v>
      </c>
      <c r="B134">
        <v>100710</v>
      </c>
      <c r="C134" t="str">
        <f>INDEX(TextData!B:B,MATCH(B134,TextData!A:A))</f>
        <v>ライズザフラッグ</v>
      </c>
      <c r="D134">
        <v>10</v>
      </c>
      <c r="E134" t="str">
        <f>INDEX(Define!X:X,MATCH(D134,Define!W:W))</f>
        <v>半神</v>
      </c>
      <c r="F134">
        <v>201</v>
      </c>
      <c r="G134" t="str">
        <f>INDEX([1]Animations!B:B,MATCH(F134,[1]Animations!A:A))</f>
        <v>ThunderOne1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2</v>
      </c>
      <c r="N134" t="str">
        <f>INDEX(Define!E:E,MATCH(M134,Define!D:D))</f>
        <v>雷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100720</v>
      </c>
      <c r="B135">
        <v>100720</v>
      </c>
      <c r="C135" t="str">
        <f>INDEX(TextData!B:B,MATCH(B135,TextData!A:A))</f>
        <v>オーバーリミット</v>
      </c>
      <c r="D135">
        <v>11</v>
      </c>
      <c r="E135" t="str">
        <f>INDEX(Define!X:X,MATCH(D135,Define!W:W))</f>
        <v>覚醒</v>
      </c>
      <c r="F135">
        <v>1005</v>
      </c>
      <c r="G135" t="str">
        <f>INDEX([1]Animations!B:B,MATCH(F135,[1]Animations!A:A))</f>
        <v>HitThunder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2</v>
      </c>
      <c r="T135" t="str">
        <f>INDEX(Define!N:N,MATCH(S135,Define!M:M))</f>
        <v>列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100810</v>
      </c>
      <c r="B136">
        <v>100810</v>
      </c>
      <c r="C136" t="str">
        <f>INDEX(TextData!B:B,MATCH(B136,TextData!A:A))</f>
        <v>テンパランス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3</v>
      </c>
      <c r="N136" t="str">
        <f>INDEX(Define!E:E,MATCH(M136,Define!D:D))</f>
        <v>氷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ht="12" customHeight="1" spans="1:24">
      <c r="A137">
        <v>100820</v>
      </c>
      <c r="B137">
        <v>100820</v>
      </c>
      <c r="C137" t="str">
        <f>INDEX(TextData!B:B,MATCH(B137,TextData!A:A))</f>
        <v>シエルクルセイダー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100910</v>
      </c>
      <c r="B138">
        <v>100910</v>
      </c>
      <c r="C138" t="str">
        <f>INDEX(TextData!B:B,MATCH(B138,TextData!A:A))</f>
        <v>バーニングカウンター</v>
      </c>
      <c r="D138">
        <v>10</v>
      </c>
      <c r="E138" t="str">
        <f>INDEX(Define!X:X,MATCH(D138,Define!W:W))</f>
        <v>半神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100911</v>
      </c>
      <c r="B139">
        <v>100911</v>
      </c>
      <c r="C139" t="str">
        <f>INDEX(TextData!B:B,MATCH(B139,TextData!A:A))</f>
        <v>バーニングカウンター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100920</v>
      </c>
      <c r="B140">
        <v>100920</v>
      </c>
      <c r="C140" t="str">
        <f>INDEX(TextData!B:B,MATCH(B140,TextData!A:A))</f>
        <v>プロミネンス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1</v>
      </c>
      <c r="N140" t="str">
        <f>INDEX(Define!E:E,MATCH(M140,Define!D:D))</f>
        <v>炎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100921</v>
      </c>
      <c r="B141">
        <v>100921</v>
      </c>
      <c r="C141" t="str">
        <f>INDEX(TextData!B:B,MATCH(B141,TextData!A:A))</f>
        <v>プロミネンス</v>
      </c>
      <c r="D141">
        <v>11</v>
      </c>
      <c r="E141" t="str">
        <f>INDEX(Define!X:X,MATCH(D141,Define!W:W))</f>
        <v>覚醒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1</v>
      </c>
      <c r="N141" t="str">
        <f>INDEX(Define!E:E,MATCH(M141,Define!D:D))</f>
        <v>炎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101010</v>
      </c>
      <c r="B142">
        <v>101010</v>
      </c>
      <c r="C142" t="str">
        <f>INDEX(TextData!B:B,MATCH(B142,TextData!A:A))</f>
        <v>エウロス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3</v>
      </c>
      <c r="P142" t="str">
        <f>INDEX(Define!H:H,MATCH(O142,Define!G:G))</f>
        <v>神化</v>
      </c>
      <c r="Q142">
        <v>6</v>
      </c>
      <c r="R142" t="str">
        <f>INDEX(Define!K:K,MATCH(Q142,Define!J:J))</f>
        <v>反撃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101020</v>
      </c>
      <c r="B143">
        <v>101020</v>
      </c>
      <c r="C143" t="str">
        <f>INDEX(TextData!B:B,MATCH(B143,TextData!A:A))</f>
        <v>ボレアス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101110</v>
      </c>
      <c r="B144">
        <v>101110</v>
      </c>
      <c r="C144" t="str">
        <f>INDEX(TextData!B:B,MATCH(B144,TextData!A:A))</f>
        <v>アバランシュ</v>
      </c>
      <c r="D144">
        <v>10</v>
      </c>
      <c r="E144" t="str">
        <f>INDEX(Define!X:X,MATCH(D144,Define!W:W))</f>
        <v>半神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3</v>
      </c>
      <c r="P144" t="str">
        <f>INDEX(Define!H:H,MATCH(O144,Define!G:G))</f>
        <v>神化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101120</v>
      </c>
      <c r="B145">
        <v>101120</v>
      </c>
      <c r="C145" t="str">
        <f>INDEX(TextData!B:B,MATCH(B145,TextData!A:A))</f>
        <v>ブリザードコフィン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2</v>
      </c>
      <c r="T145" t="str">
        <f>INDEX(Define!N:N,MATCH(S145,Define!M:M))</f>
        <v>列</v>
      </c>
      <c r="U145">
        <v>2</v>
      </c>
      <c r="V145">
        <v>1</v>
      </c>
      <c r="W145">
        <v>1</v>
      </c>
      <c r="X145">
        <v>0</v>
      </c>
    </row>
    <row r="146" spans="1:24">
      <c r="A146">
        <v>110110</v>
      </c>
      <c r="B146">
        <v>110110</v>
      </c>
      <c r="C146" t="str">
        <f>INDEX(TextData!B:B,MATCH(B146,TextData!A:A))</f>
        <v>ウィビングヒストリー</v>
      </c>
      <c r="D146">
        <v>10</v>
      </c>
      <c r="E146" t="str">
        <f>INDEX(Define!X:X,MATCH(D146,Define!W:W))</f>
        <v>半神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110120</v>
      </c>
      <c r="B147">
        <v>110120</v>
      </c>
      <c r="C147" t="str">
        <f>INDEX(TextData!B:B,MATCH(B147,TextData!A:A))</f>
        <v>アンライバルド</v>
      </c>
      <c r="D147">
        <v>11</v>
      </c>
      <c r="E147" t="str">
        <f>INDEX(Define!X:X,MATCH(D147,Define!W:W))</f>
        <v>覚醒</v>
      </c>
      <c r="F147">
        <v>1003</v>
      </c>
      <c r="G147" t="str">
        <f>INDEX([1]Animations!B:B,MATCH(F147,[1]Animations!A:A))</f>
        <v>HitFire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spans="1:24">
      <c r="A148">
        <v>200110</v>
      </c>
      <c r="B148">
        <v>200110</v>
      </c>
      <c r="C148" t="str">
        <f>INDEX(TextData!B:B,MATCH(B148,TextData!A:A))</f>
        <v>スリータイムス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3</v>
      </c>
      <c r="P148" t="str">
        <f>INDEX(Define!H:H,MATCH(O148,Define!G:G))</f>
        <v>神化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200120</v>
      </c>
      <c r="B149">
        <v>200120</v>
      </c>
      <c r="C149" t="str">
        <f>INDEX(TextData!B:B,MATCH(B149,TextData!A:A))</f>
        <v>アングリークライ</v>
      </c>
      <c r="D149">
        <v>11</v>
      </c>
      <c r="E149" t="str">
        <f>INDEX(Define!X:X,MATCH(D149,Define!W:W))</f>
        <v>覚醒</v>
      </c>
      <c r="F149">
        <v>101</v>
      </c>
      <c r="G149" t="str">
        <f>INDEX([1]Animations!B:B,MATCH(F149,[1]Animations!A:A))</f>
        <v>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spans="1:24">
      <c r="A150">
        <v>200210</v>
      </c>
      <c r="B150">
        <v>200210</v>
      </c>
      <c r="C150" t="str">
        <f>INDEX(TextData!B:B,MATCH(B150,TextData!A:A))</f>
        <v>マイトレインフォース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200220</v>
      </c>
      <c r="B151">
        <v>200220</v>
      </c>
      <c r="C151" t="str">
        <f>INDEX(TextData!B:B,MATCH(B151,TextData!A:A))</f>
        <v>カタストロフィ</v>
      </c>
      <c r="D151">
        <v>11</v>
      </c>
      <c r="E151" t="str">
        <f>INDEX(Define!X:X,MATCH(D151,Define!W:W))</f>
        <v>覚醒</v>
      </c>
      <c r="F151">
        <v>101</v>
      </c>
      <c r="G151" t="str">
        <f>INDEX([1]Animations!B:B,MATCH(F151,[1]Animations!A:A))</f>
        <v>FireOne1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spans="1:24">
      <c r="A152">
        <v>200230</v>
      </c>
      <c r="B152">
        <v>200230</v>
      </c>
      <c r="C152" t="str">
        <f>INDEX(TextData!B:B,MATCH(B152,TextData!A:A))</f>
        <v>悪魔(ベリト)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200310</v>
      </c>
      <c r="B153">
        <v>200310</v>
      </c>
      <c r="C153" t="str">
        <f>INDEX(TextData!B:B,MATCH(B153,TextData!A:A))</f>
        <v>プルガシオン</v>
      </c>
      <c r="D153">
        <v>10</v>
      </c>
      <c r="E153" t="str">
        <f>INDEX(Define!X:X,MATCH(D153,Define!W:W))</f>
        <v>半神</v>
      </c>
      <c r="F153">
        <v>21</v>
      </c>
      <c r="G153" t="str">
        <f>INDEX([1]Animations!B:B,MATCH(F153,[1]Animations!A:A))</f>
        <v>tktk01/Magic2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200320</v>
      </c>
      <c r="B154">
        <v>200320</v>
      </c>
      <c r="C154" t="str">
        <f>INDEX(TextData!B:B,MATCH(B154,TextData!A:A))</f>
        <v>プリエステス</v>
      </c>
      <c r="D154">
        <v>11</v>
      </c>
      <c r="E154" t="str">
        <f>INDEX(Define!X:X,MATCH(D154,Define!W:W))</f>
        <v>覚醒</v>
      </c>
      <c r="F154">
        <v>21</v>
      </c>
      <c r="G154" t="str">
        <f>INDEX([1]Animations!B:B,MATCH(F154,[1]Animations!A:A))</f>
        <v>tktk01/Magic2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200330</v>
      </c>
      <c r="B155">
        <v>200330</v>
      </c>
      <c r="C155" t="str">
        <f>INDEX(TextData!B:B,MATCH(B155,TextData!A:A))</f>
        <v>悪魔(パイモン)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0</v>
      </c>
      <c r="M155">
        <v>0</v>
      </c>
      <c r="N155" t="str">
        <f>INDEX(Define!E:E,MATCH(M155,Define!D:D))</f>
        <v>なし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200410</v>
      </c>
      <c r="B156">
        <v>200410</v>
      </c>
      <c r="C156" t="str">
        <f>INDEX(TextData!B:B,MATCH(B156,TextData!A:A))</f>
        <v>コウソクテンショウ</v>
      </c>
      <c r="D156">
        <v>10</v>
      </c>
      <c r="E156" t="str">
        <f>INDEX(Define!X:X,MATCH(D156,Define!W:W))</f>
        <v>半神</v>
      </c>
      <c r="F156">
        <v>201</v>
      </c>
      <c r="G156" t="str">
        <f>INDEX([1]Animations!B:B,MATCH(F156,[1]Animations!A:A))</f>
        <v>ThunderOne1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200411</v>
      </c>
      <c r="B157">
        <v>200411</v>
      </c>
      <c r="C157" t="str">
        <f>INDEX(TextData!B:B,MATCH(B157,TextData!A:A))</f>
        <v>コウソクテンショウ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2</v>
      </c>
      <c r="N157" t="str">
        <f>INDEX(Define!E:E,MATCH(M157,Define!D:D))</f>
        <v>雷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200420</v>
      </c>
      <c r="B158">
        <v>200420</v>
      </c>
      <c r="C158" t="str">
        <f>INDEX(TextData!B:B,MATCH(B158,TextData!A:A))</f>
        <v>アンチバフ</v>
      </c>
      <c r="D158">
        <v>11</v>
      </c>
      <c r="E158" t="str">
        <f>INDEX(Define!X:X,MATCH(D158,Define!W:W))</f>
        <v>覚醒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2</v>
      </c>
      <c r="N158" t="str">
        <f>INDEX(Define!E:E,MATCH(M158,Define!D:D))</f>
        <v>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200430</v>
      </c>
      <c r="B159">
        <v>200430</v>
      </c>
      <c r="C159" t="str">
        <f>INDEX(TextData!B:B,MATCH(B159,TextData!A:A))</f>
        <v>悪魔(アンドラス)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0</v>
      </c>
      <c r="M159">
        <v>0</v>
      </c>
      <c r="N159" t="str">
        <f>INDEX(Define!E:E,MATCH(M159,Define!D:D))</f>
        <v>なし</v>
      </c>
      <c r="O159">
        <v>6</v>
      </c>
      <c r="P159" t="str">
        <f>INDEX(Define!H:H,MATCH(O159,Define!G:G))</f>
        <v>強化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200510</v>
      </c>
      <c r="B160">
        <v>200510</v>
      </c>
      <c r="C160" t="str">
        <f>INDEX(TextData!B:B,MATCH(B160,TextData!A:A))</f>
        <v>カウントダウン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3</v>
      </c>
      <c r="N160" t="str">
        <f>INDEX(Define!E:E,MATCH(M160,Define!D:D))</f>
        <v>氷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200520</v>
      </c>
      <c r="B161">
        <v>200520</v>
      </c>
      <c r="C161" t="str">
        <f>INDEX(TextData!B:B,MATCH(B161,TextData!A:A))</f>
        <v>グラウンドゼロ</v>
      </c>
      <c r="D161">
        <v>11</v>
      </c>
      <c r="E161" t="str">
        <f>INDEX(Define!X:X,MATCH(D161,Define!W:W))</f>
        <v>覚醒</v>
      </c>
      <c r="F161">
        <v>301</v>
      </c>
      <c r="G161" t="str">
        <f>INDEX([1]Animations!B:B,MATCH(F161,[1]Animations!A:A))</f>
        <v>IceOne1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200530</v>
      </c>
      <c r="B162">
        <v>200530</v>
      </c>
      <c r="C162" t="str">
        <f>INDEX(TextData!B:B,MATCH(B162,TextData!A:A))</f>
        <v>悪魔(ビフロンス)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99</v>
      </c>
      <c r="L162">
        <v>0</v>
      </c>
      <c r="M162">
        <v>0</v>
      </c>
      <c r="N162" t="str">
        <f>INDEX(Define!E:E,MATCH(M162,Define!D:D))</f>
        <v>なし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201010</v>
      </c>
      <c r="B163">
        <v>201010</v>
      </c>
      <c r="C163" t="str">
        <f>INDEX(TextData!B:B,MATCH(B163,TextData!A:A))</f>
        <v>カオスペイン</v>
      </c>
      <c r="D163">
        <v>10</v>
      </c>
      <c r="E163" t="str">
        <f>INDEX(Define!X:X,MATCH(D163,Define!W:W))</f>
        <v>半神</v>
      </c>
      <c r="F163">
        <v>501</v>
      </c>
      <c r="G163" t="str">
        <f>INDEX([1]Animations!B:B,MATCH(F163,[1]Animations!A:A))</f>
        <v>DarknessOne1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3</v>
      </c>
      <c r="P163" t="str">
        <f>INDEX(Define!H:H,MATCH(O163,Define!G:G))</f>
        <v>神化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201020</v>
      </c>
      <c r="B164">
        <v>201020</v>
      </c>
      <c r="C164" t="str">
        <f>INDEX(TextData!B:B,MATCH(B164,TextData!A:A))</f>
        <v>フォールンワン</v>
      </c>
      <c r="D164">
        <v>11</v>
      </c>
      <c r="E164" t="str">
        <f>INDEX(Define!X:X,MATCH(D164,Define!W:W))</f>
        <v>覚醒</v>
      </c>
      <c r="F164">
        <v>501</v>
      </c>
      <c r="G164" t="str">
        <f>INDEX([1]Animations!B:B,MATCH(F164,[1]Animations!A:A))</f>
        <v>DarknessOne1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201030</v>
      </c>
      <c r="B165">
        <v>201030</v>
      </c>
      <c r="C165" t="str">
        <f>INDEX(TextData!B:B,MATCH(B165,TextData!A:A))</f>
        <v>アンリマユ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300010</v>
      </c>
      <c r="B166">
        <v>300010</v>
      </c>
      <c r="C166" t="str">
        <f>INDEX(TextData!B:B,MATCH(B166,TextData!A:A))</f>
        <v>ライフブースト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200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300020</v>
      </c>
      <c r="B167">
        <v>300020</v>
      </c>
      <c r="C167" t="str">
        <f>INDEX(TextData!B:B,MATCH(B167,TextData!A:A))</f>
        <v>スピリットチャージ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200</v>
      </c>
      <c r="M167">
        <v>5</v>
      </c>
      <c r="N167" t="str">
        <f>INDEX(Define!E:E,MATCH(M167,Define!D:D))</f>
        <v>闇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300030</v>
      </c>
      <c r="B168">
        <v>300030</v>
      </c>
      <c r="C168" t="str">
        <f>INDEX(TextData!B:B,MATCH(B168,TextData!A:A))</f>
        <v>フォースライズ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200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300040</v>
      </c>
      <c r="B169">
        <v>300040</v>
      </c>
      <c r="C169" t="str">
        <f>INDEX(TextData!B:B,MATCH(B169,TextData!A:A))</f>
        <v>ディフェンスオーラ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300050</v>
      </c>
      <c r="B170">
        <v>300050</v>
      </c>
      <c r="C170" t="str">
        <f>INDEX(TextData!B:B,MATCH(B170,TextData!A:A))</f>
        <v>ラピッドムーブ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300130</v>
      </c>
      <c r="B171">
        <v>300130</v>
      </c>
      <c r="C171" t="str">
        <f>INDEX(TextData!B:B,MATCH(B171,TextData!A:A))</f>
        <v>アタックブレイク</v>
      </c>
      <c r="D171">
        <v>6</v>
      </c>
      <c r="E171" t="str">
        <f>INDEX(Define!X:X,MATCH(D171,Define!W:W))</f>
        <v>自己強化</v>
      </c>
      <c r="F171">
        <v>61</v>
      </c>
      <c r="G171" t="str">
        <f>INDEX([1]Animations!B:B,MATCH(F171,[1]Animations!A:A))</f>
        <v>NA_Effekseer/NA_aura_002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5</v>
      </c>
      <c r="N171" t="str">
        <f>INDEX(Define!E:E,MATCH(M171,Define!D:D))</f>
        <v>闇</v>
      </c>
      <c r="O171">
        <v>5</v>
      </c>
      <c r="P171" t="str">
        <f>INDEX(Define!H:H,MATCH(O171,Define!G:G))</f>
        <v>レリック</v>
      </c>
      <c r="Q171">
        <v>1</v>
      </c>
      <c r="R171" t="str">
        <f>INDEX(Define!K:K,MATCH(Q171,Define!J:J))</f>
        <v>相手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300140</v>
      </c>
      <c r="B172">
        <v>300140</v>
      </c>
      <c r="C172" t="str">
        <f>INDEX(TextData!B:B,MATCH(B172,TextData!A:A))</f>
        <v>シールドバニッシュ</v>
      </c>
      <c r="D172">
        <v>6</v>
      </c>
      <c r="E172" t="str">
        <f>INDEX(Define!X:X,MATCH(D172,Define!W:W))</f>
        <v>自己強化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300210</v>
      </c>
      <c r="B173">
        <v>300210</v>
      </c>
      <c r="C173" t="str">
        <f>INDEX(TextData!B:B,MATCH(B173,TextData!A:A))</f>
        <v>エーテルリチャージ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300220</v>
      </c>
      <c r="B174">
        <v>300220</v>
      </c>
      <c r="C174" t="str">
        <f>INDEX(TextData!B:B,MATCH(B174,TextData!A:A))</f>
        <v>リカバリーエンハンス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300230</v>
      </c>
      <c r="B175">
        <v>300230</v>
      </c>
      <c r="C175" t="str">
        <f>INDEX(TextData!B:B,MATCH(B175,TextData!A:A))</f>
        <v>ヴェンジェンス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301010</v>
      </c>
      <c r="B176">
        <v>301010</v>
      </c>
      <c r="C176" t="str">
        <f>INDEX(TextData!B:B,MATCH(B176,TextData!A:A))</f>
        <v>ディケイドリセット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210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301020</v>
      </c>
      <c r="B177">
        <v>301020</v>
      </c>
      <c r="C177" t="str">
        <f>INDEX(TextData!B:B,MATCH(B177,TextData!A:A))</f>
        <v>ウォーリアーブラッド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210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301030</v>
      </c>
      <c r="B178">
        <v>301030</v>
      </c>
      <c r="C178" t="str">
        <f>INDEX(TextData!B:B,MATCH(B178,TextData!A:A))</f>
        <v>トライアングルガード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210</v>
      </c>
      <c r="M178">
        <v>3</v>
      </c>
      <c r="N178" t="str">
        <f>INDEX(Define!E:E,MATCH(M178,Define!D:D))</f>
        <v>氷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301040</v>
      </c>
      <c r="B179">
        <v>301040</v>
      </c>
      <c r="C179" t="str">
        <f>INDEX(TextData!B:B,MATCH(B179,TextData!A:A))</f>
        <v>セーフティバリア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210</v>
      </c>
      <c r="M179">
        <v>3</v>
      </c>
      <c r="N179" t="str">
        <f>INDEX(Define!E:E,MATCH(M179,Define!D:D))</f>
        <v>氷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301050</v>
      </c>
      <c r="B180">
        <v>301050</v>
      </c>
      <c r="C180" t="str">
        <f>INDEX(TextData!B:B,MATCH(B180,TextData!A:A))</f>
        <v>ヒロインズハイ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210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301060</v>
      </c>
      <c r="B181">
        <v>301060</v>
      </c>
      <c r="C181" t="str">
        <f>INDEX(TextData!B:B,MATCH(B181,TextData!A:A))</f>
        <v>セカンドステージ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0</v>
      </c>
      <c r="X181">
        <v>0</v>
      </c>
    </row>
    <row r="182" spans="1:24">
      <c r="A182">
        <v>301070</v>
      </c>
      <c r="B182">
        <v>301070</v>
      </c>
      <c r="C182" t="str">
        <f>INDEX(TextData!B:B,MATCH(B182,TextData!A:A))</f>
        <v>ハイヒットポイント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301080</v>
      </c>
      <c r="B183">
        <v>301080</v>
      </c>
      <c r="C183" t="str">
        <f>INDEX(TextData!B:B,MATCH(B183,TextData!A:A))</f>
        <v>セプタブラスト</v>
      </c>
      <c r="D183">
        <v>6</v>
      </c>
      <c r="E183" t="str">
        <f>INDEX(Define!X:X,MATCH(D183,Define!W:W))</f>
        <v>自己強化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1</v>
      </c>
      <c r="N183" t="str">
        <f>INDEX(Define!E:E,MATCH(M183,Define!D:D))</f>
        <v>炎</v>
      </c>
      <c r="O183">
        <v>5</v>
      </c>
      <c r="P183" t="str">
        <f>INDEX(Define!H:H,MATCH(O183,Define!G:G))</f>
        <v>レリック</v>
      </c>
      <c r="Q183">
        <v>7</v>
      </c>
      <c r="R183" t="str">
        <f>INDEX(Define!K:K,MATCH(Q183,Define!J:J))</f>
        <v>追撃</v>
      </c>
      <c r="S183">
        <v>1</v>
      </c>
      <c r="T183" t="str">
        <f>INDEX(Define!N:N,MATCH(S183,Define!M:M))</f>
        <v>単体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301090</v>
      </c>
      <c r="B184">
        <v>301090</v>
      </c>
      <c r="C184" t="str">
        <f>INDEX(TextData!B:B,MATCH(B184,TextData!A:A))</f>
        <v>イニシャルブロッカー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301100</v>
      </c>
      <c r="B185">
        <v>301100</v>
      </c>
      <c r="C185" t="str">
        <f>INDEX(TextData!B:B,MATCH(B185,TextData!A:A))</f>
        <v>ファーストテイク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2</v>
      </c>
      <c r="N185" t="str">
        <f>INDEX(Define!E:E,MATCH(M185,Define!D:D))</f>
        <v>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310010</v>
      </c>
      <c r="B186">
        <v>310010</v>
      </c>
      <c r="C186" t="str">
        <f>INDEX(TextData!B:B,MATCH(B186,TextData!A:A))</f>
        <v>妖精の祈り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310020</v>
      </c>
      <c r="B187">
        <v>310020</v>
      </c>
      <c r="C187" t="str">
        <f>INDEX(TextData!B:B,MATCH(B187,TextData!A:A))</f>
        <v>月のかけら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310030</v>
      </c>
      <c r="B188">
        <v>310030</v>
      </c>
      <c r="C188" t="str">
        <f>INDEX(TextData!B:B,MATCH(B188,TextData!A:A))</f>
        <v>商売の才覚書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310040</v>
      </c>
      <c r="B189">
        <v>310040</v>
      </c>
      <c r="C189" t="str">
        <f>INDEX(TextData!B:B,MATCH(B189,TextData!A:A))</f>
        <v>メビウスの砂時計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310050</v>
      </c>
      <c r="B190">
        <v>310050</v>
      </c>
      <c r="C190" t="str">
        <f>INDEX(TextData!B:B,MATCH(B190,TextData!A:A))</f>
        <v>先陣の心得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310060</v>
      </c>
      <c r="B191">
        <v>310060</v>
      </c>
      <c r="C191" t="str">
        <f>INDEX(TextData!B:B,MATCH(B191,TextData!A:A))</f>
        <v>ヒスイの勾玉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310070</v>
      </c>
      <c r="B192">
        <v>310070</v>
      </c>
      <c r="C192" t="str">
        <f>INDEX(TextData!B:B,MATCH(B192,TextData!A:A))</f>
        <v>英傑の盾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310080</v>
      </c>
      <c r="B193">
        <v>310080</v>
      </c>
      <c r="C193" t="str">
        <f>INDEX(TextData!B:B,MATCH(B193,TextData!A:A))</f>
        <v>鷹の目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310130</v>
      </c>
      <c r="B194">
        <v>310130</v>
      </c>
      <c r="C194" t="str">
        <f>INDEX(TextData!B:B,MATCH(B194,TextData!A:A))</f>
        <v>ヒールユニット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320010</v>
      </c>
      <c r="B195">
        <v>320010</v>
      </c>
      <c r="C195" t="str">
        <f>INDEX(TextData!B:B,MATCH(B195,TextData!A:A))</f>
        <v>訓練所Lv1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320011</v>
      </c>
      <c r="B196">
        <v>320011</v>
      </c>
      <c r="C196" t="str">
        <f>INDEX(TextData!B:B,MATCH(B196,TextData!A:A))</f>
        <v>訓練所Lv2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320012</v>
      </c>
      <c r="B197">
        <v>320012</v>
      </c>
      <c r="C197" t="str">
        <f>INDEX(TextData!B:B,MATCH(B197,TextData!A:A))</f>
        <v>訓練所Lv3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320020</v>
      </c>
      <c r="B198">
        <v>320020</v>
      </c>
      <c r="C198" t="str">
        <f>INDEX(TextData!B:B,MATCH(B198,TextData!A:A))</f>
        <v>研究施設Lv1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320021</v>
      </c>
      <c r="B199">
        <v>320021</v>
      </c>
      <c r="C199" t="str">
        <f>INDEX(TextData!B:B,MATCH(B199,TextData!A:A))</f>
        <v>研究施設Lv2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320022</v>
      </c>
      <c r="B200">
        <v>320022</v>
      </c>
      <c r="C200" t="str">
        <f>INDEX(TextData!B:B,MATCH(B200,TextData!A:A))</f>
        <v>研究施設Lv3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320030</v>
      </c>
      <c r="B201">
        <v>320030</v>
      </c>
      <c r="C201" t="str">
        <f>INDEX(TextData!B:B,MATCH(B201,TextData!A:A))</f>
        <v>資料館Lv1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320031</v>
      </c>
      <c r="B202">
        <v>320031</v>
      </c>
      <c r="C202" t="str">
        <f>INDEX(TextData!B:B,MATCH(B202,TextData!A:A))</f>
        <v>資料館Lv2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施設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320032</v>
      </c>
      <c r="B203">
        <v>320032</v>
      </c>
      <c r="C203" t="str">
        <f>INDEX(TextData!B:B,MATCH(B203,TextData!A:A))</f>
        <v>資料館Lv3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施設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320040</v>
      </c>
      <c r="B204">
        <v>320040</v>
      </c>
      <c r="C204" t="str">
        <f>INDEX(TextData!B:B,MATCH(B204,TextData!A:A))</f>
        <v>潜伏技術Lv1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施設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321010</v>
      </c>
      <c r="B205">
        <v>321010</v>
      </c>
      <c r="C205" t="str">
        <f>INDEX(TextData!B:B,MATCH(B205,TextData!A:A))</f>
        <v>炎の祭壇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施設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321020</v>
      </c>
      <c r="B206">
        <v>321020</v>
      </c>
      <c r="C206" t="str">
        <f>INDEX(TextData!B:B,MATCH(B206,TextData!A:A))</f>
        <v>稲妻の祭壇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施設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321030</v>
      </c>
      <c r="B207">
        <v>321030</v>
      </c>
      <c r="C207" t="str">
        <f>INDEX(TextData!B:B,MATCH(B207,TextData!A:A))</f>
        <v>蒼の祭壇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施設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321040</v>
      </c>
      <c r="B208">
        <v>321040</v>
      </c>
      <c r="C208" t="str">
        <f>INDEX(TextData!B:B,MATCH(B208,TextData!A:A))</f>
        <v>光の祭壇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施設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321050</v>
      </c>
      <c r="B209">
        <v>321050</v>
      </c>
      <c r="C209" t="str">
        <f>INDEX(TextData!B:B,MATCH(B209,TextData!A:A))</f>
        <v>月の祭壇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施設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322010</v>
      </c>
      <c r="B210">
        <v>322010</v>
      </c>
      <c r="C210" t="str">
        <f>INDEX(TextData!B:B,MATCH(B210,TextData!A:A))</f>
        <v>食糧庫Lv1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施設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322020</v>
      </c>
      <c r="B211">
        <v>322020</v>
      </c>
      <c r="C211" t="str">
        <f>INDEX(TextData!B:B,MATCH(B211,TextData!A:A))</f>
        <v>攻撃技術Lv1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施設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322030</v>
      </c>
      <c r="B212">
        <v>322030</v>
      </c>
      <c r="C212" t="str">
        <f>INDEX(TextData!B:B,MATCH(B212,TextData!A:A))</f>
        <v>防御技術Lv1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施設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322040</v>
      </c>
      <c r="B213">
        <v>322040</v>
      </c>
      <c r="C213" t="str">
        <f>INDEX(TextData!B:B,MATCH(B213,TextData!A:A))</f>
        <v>詠唱技術Lv1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施設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401010</v>
      </c>
      <c r="B214">
        <v>401010</v>
      </c>
      <c r="C214" t="str">
        <f>INDEX(TextData!B:B,MATCH(B214,TextData!A:A))</f>
        <v>ファイアボール+</v>
      </c>
      <c r="D214">
        <v>1</v>
      </c>
      <c r="E214" t="str">
        <f>INDEX(Define!X:X,MATCH(D214,Define!W:W))</f>
        <v>元素</v>
      </c>
      <c r="F214">
        <v>101</v>
      </c>
      <c r="G214" t="str">
        <f>INDEX([1]Animations!B:B,MATCH(F214,[1]Animations!A:A))</f>
        <v>FireOne1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401020</v>
      </c>
      <c r="B215">
        <v>401020</v>
      </c>
      <c r="C215" t="str">
        <f>INDEX(TextData!B:B,MATCH(B215,TextData!A:A))</f>
        <v>バーンストーム+</v>
      </c>
      <c r="D215">
        <v>1</v>
      </c>
      <c r="E215" t="str">
        <f>INDEX(Define!X:X,MATCH(D215,Define!W:W))</f>
        <v>元素</v>
      </c>
      <c r="F215">
        <v>101</v>
      </c>
      <c r="G215" t="str">
        <f>INDEX([1]Animations!B:B,MATCH(F215,[1]Animations!A:A))</f>
        <v>FireOne1</v>
      </c>
      <c r="H215">
        <v>2</v>
      </c>
      <c r="I215" t="str">
        <f>INDEX(Define!B:B,MATCH(H215,Define!A:A))</f>
        <v>列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401030</v>
      </c>
      <c r="B216">
        <v>401030</v>
      </c>
      <c r="C216" t="str">
        <f>INDEX(TextData!B:B,MATCH(B216,TextData!A:A))</f>
        <v>ヒートスタンプ+</v>
      </c>
      <c r="D216">
        <v>2</v>
      </c>
      <c r="E216" t="str">
        <f>INDEX(Define!X:X,MATCH(D216,Define!W:W))</f>
        <v>光</v>
      </c>
      <c r="F216">
        <v>21</v>
      </c>
      <c r="G216" t="str">
        <f>INDEX([1]Animations!B:B,MATCH(F216,[1]Animations!A:A))</f>
        <v>tktk01/Magic2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401040</v>
      </c>
      <c r="B217">
        <v>401040</v>
      </c>
      <c r="C217" t="str">
        <f>INDEX(TextData!B:B,MATCH(B217,TextData!A:A))</f>
        <v>ソードアダプト+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ht="12" customHeight="1" spans="1:24">
      <c r="A218">
        <v>401050</v>
      </c>
      <c r="B218">
        <v>401050</v>
      </c>
      <c r="C218" t="str">
        <f>INDEX(TextData!B:B,MATCH(B218,TextData!A:A))</f>
        <v>フレイムレイン+</v>
      </c>
      <c r="D218">
        <v>1</v>
      </c>
      <c r="E218" t="str">
        <f>INDEX(Define!X:X,MATCH(D218,Define!W:W))</f>
        <v>元素</v>
      </c>
      <c r="F218">
        <v>101</v>
      </c>
      <c r="G218" t="str">
        <f>INDEX([1]Animations!B:B,MATCH(F218,[1]Animations!A:A))</f>
        <v>FireOne1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401060</v>
      </c>
      <c r="B219">
        <v>401060</v>
      </c>
      <c r="C219" t="str">
        <f>INDEX(TextData!B:B,MATCH(B219,TextData!A:A))</f>
        <v>イクスティンクション+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401070</v>
      </c>
      <c r="B220">
        <v>401070</v>
      </c>
      <c r="C220" t="str">
        <f>INDEX(TextData!B:B,MATCH(B220,TextData!A:A))</f>
        <v>バーニングソウル+</v>
      </c>
      <c r="D220">
        <v>2</v>
      </c>
      <c r="E220" t="str">
        <f>INDEX(Define!X:X,MATCH(D220,Define!W:W))</f>
        <v>光</v>
      </c>
      <c r="F220">
        <v>101</v>
      </c>
      <c r="G220" t="str">
        <f>INDEX([1]Animations!B:B,MATCH(F220,[1]Animations!A:A))</f>
        <v>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401080</v>
      </c>
      <c r="B221">
        <v>401080</v>
      </c>
      <c r="C221" t="str">
        <f>INDEX(TextData!B:B,MATCH(B221,TextData!A:A))</f>
        <v>レイジングバウンサー+</v>
      </c>
      <c r="D221">
        <v>1</v>
      </c>
      <c r="E221" t="str">
        <f>INDEX(Define!X:X,MATCH(D221,Define!W:W))</f>
        <v>元素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402010</v>
      </c>
      <c r="B222">
        <v>402010</v>
      </c>
      <c r="C222" t="str">
        <f>INDEX(TextData!B:B,MATCH(B222,TextData!A:A))</f>
        <v>ディスチャージ+</v>
      </c>
      <c r="D222">
        <v>1</v>
      </c>
      <c r="E222" t="str">
        <f>INDEX(Define!X:X,MATCH(D222,Define!W:W))</f>
        <v>元素</v>
      </c>
      <c r="F222">
        <v>201</v>
      </c>
      <c r="G222" t="str">
        <f>INDEX([1]Animations!B:B,MATCH(F222,[1]Animations!A:A))</f>
        <v>ThunderOne1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402020</v>
      </c>
      <c r="B223">
        <v>402020</v>
      </c>
      <c r="C223" t="str">
        <f>INDEX(TextData!B:B,MATCH(B223,TextData!A:A))</f>
        <v>イベイドコード+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402030</v>
      </c>
      <c r="B224">
        <v>402030</v>
      </c>
      <c r="C224" t="str">
        <f>INDEX(TextData!B:B,MATCH(B224,TextData!A:A))</f>
        <v>ショックインパルス+</v>
      </c>
      <c r="D224">
        <v>3</v>
      </c>
      <c r="E224" t="str">
        <f>INDEX(Define!X:X,MATCH(D224,Define!W:W))</f>
        <v>理術</v>
      </c>
      <c r="F224">
        <v>201</v>
      </c>
      <c r="G224" t="str">
        <f>INDEX([1]Animations!B:B,MATCH(F224,[1]Animations!A:A))</f>
        <v>ThunderOne1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402040</v>
      </c>
      <c r="B225">
        <v>402040</v>
      </c>
      <c r="C225" t="str">
        <f>INDEX(TextData!B:B,MATCH(B225,TextData!A:A))</f>
        <v>トラストチェイン+</v>
      </c>
      <c r="D225">
        <v>1</v>
      </c>
      <c r="E225" t="str">
        <f>INDEX(Define!X:X,MATCH(D225,Define!W:W))</f>
        <v>元素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402050</v>
      </c>
      <c r="B226">
        <v>402050</v>
      </c>
      <c r="C226" t="str">
        <f>INDEX(TextData!B:B,MATCH(B226,TextData!A:A))</f>
        <v>スペルバニシング+</v>
      </c>
      <c r="D226">
        <v>1</v>
      </c>
      <c r="E226" t="str">
        <f>INDEX(Define!X:X,MATCH(D226,Define!W:W))</f>
        <v>元素</v>
      </c>
      <c r="F226">
        <v>201</v>
      </c>
      <c r="G226" t="str">
        <f>INDEX([1]Animations!B:B,MATCH(F226,[1]Animations!A:A))</f>
        <v>ThunderOne1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402060</v>
      </c>
      <c r="B227">
        <v>402060</v>
      </c>
      <c r="C227" t="str">
        <f>INDEX(TextData!B:B,MATCH(B227,TextData!A:A))</f>
        <v>アーテニーストライク+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402070</v>
      </c>
      <c r="B228">
        <v>402070</v>
      </c>
      <c r="C228" t="str">
        <f>INDEX(TextData!B:B,MATCH(B228,TextData!A:A))</f>
        <v>コンセントレイト+</v>
      </c>
      <c r="D228">
        <v>3</v>
      </c>
      <c r="E228" t="str">
        <f>INDEX(Define!X:X,MATCH(D228,Define!W:W))</f>
        <v>理術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402080</v>
      </c>
      <c r="B229">
        <v>402080</v>
      </c>
      <c r="C229" t="str">
        <f>INDEX(TextData!B:B,MATCH(B229,TextData!A:A))</f>
        <v>ディレイマジック+</v>
      </c>
      <c r="D229">
        <v>5</v>
      </c>
      <c r="E229" t="str">
        <f>INDEX(Define!X:X,MATCH(D229,Define!W:W))</f>
        <v>超次元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403010</v>
      </c>
      <c r="B230">
        <v>403010</v>
      </c>
      <c r="C230" t="str">
        <f>INDEX(TextData!B:B,MATCH(B230,TextData!A:A))</f>
        <v>アイスブレイド+</v>
      </c>
      <c r="D230">
        <v>1</v>
      </c>
      <c r="E230" t="str">
        <f>INDEX(Define!X:X,MATCH(D230,Define!W:W))</f>
        <v>元素</v>
      </c>
      <c r="F230">
        <v>301</v>
      </c>
      <c r="G230" t="str">
        <f>INDEX([1]Animations!B:B,MATCH(F230,[1]Animations!A:A))</f>
        <v>IceOne1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403020</v>
      </c>
      <c r="B231">
        <v>403020</v>
      </c>
      <c r="C231" t="str">
        <f>INDEX(TextData!B:B,MATCH(B231,TextData!A:A))</f>
        <v>カウンターオーラ+</v>
      </c>
      <c r="D231">
        <v>2</v>
      </c>
      <c r="E231" t="str">
        <f>INDEX(Define!X:X,MATCH(D231,Define!W:W))</f>
        <v>光</v>
      </c>
      <c r="F231">
        <v>301</v>
      </c>
      <c r="G231" t="str">
        <f>INDEX([1]Animations!B:B,MATCH(F231,[1]Animations!A:A))</f>
        <v>IceOne1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403030</v>
      </c>
      <c r="B232">
        <v>403030</v>
      </c>
      <c r="C232" t="str">
        <f>INDEX(TextData!B:B,MATCH(B232,TextData!A:A))</f>
        <v>ラインプロテクト+</v>
      </c>
      <c r="D232">
        <v>4</v>
      </c>
      <c r="E232" t="str">
        <f>INDEX(Define!X:X,MATCH(D232,Define!W:W))</f>
        <v>精神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403040</v>
      </c>
      <c r="B233">
        <v>403040</v>
      </c>
      <c r="C233" t="str">
        <f>INDEX(TextData!B:B,MATCH(B233,TextData!A:A))</f>
        <v>エスコートソール+</v>
      </c>
      <c r="D233">
        <v>3</v>
      </c>
      <c r="E233" t="str">
        <f>INDEX(Define!X:X,MATCH(D233,Define!W:W))</f>
        <v>理術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403050</v>
      </c>
      <c r="B234">
        <v>403050</v>
      </c>
      <c r="C234" t="str">
        <f>INDEX(TextData!B:B,MATCH(B234,TextData!A:A))</f>
        <v>ディープフリーズ+</v>
      </c>
      <c r="D234">
        <v>3</v>
      </c>
      <c r="E234" t="str">
        <f>INDEX(Define!X:X,MATCH(D234,Define!W:W))</f>
        <v>理術</v>
      </c>
      <c r="F234">
        <v>301</v>
      </c>
      <c r="G234" t="str">
        <f>INDEX([1]Animations!B:B,MATCH(F234,[1]Animations!A:A))</f>
        <v>IceOne1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403060</v>
      </c>
      <c r="B235">
        <v>403060</v>
      </c>
      <c r="C235" t="str">
        <f>INDEX(TextData!B:B,MATCH(B235,TextData!A:A))</f>
        <v>バブルブロウ+</v>
      </c>
      <c r="D235">
        <v>3</v>
      </c>
      <c r="E235" t="str">
        <f>INDEX(Define!X:X,MATCH(D235,Define!W:W))</f>
        <v>理術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403070</v>
      </c>
      <c r="B236">
        <v>403070</v>
      </c>
      <c r="C236" t="str">
        <f>INDEX(TextData!B:B,MATCH(B236,TextData!A:A))</f>
        <v>アクアミラージュ+</v>
      </c>
      <c r="D236">
        <v>4</v>
      </c>
      <c r="E236" t="str">
        <f>INDEX(Define!X:X,MATCH(D236,Define!W:W))</f>
        <v>精神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403080</v>
      </c>
      <c r="B237">
        <v>403080</v>
      </c>
      <c r="C237" t="str">
        <f>INDEX(TextData!B:B,MATCH(B237,TextData!A:A))</f>
        <v>フロストシールド+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404010</v>
      </c>
      <c r="B238">
        <v>404010</v>
      </c>
      <c r="C238" t="str">
        <f>INDEX(TextData!B:B,MATCH(B238,TextData!A:A))</f>
        <v>セイントレーザー+</v>
      </c>
      <c r="D238">
        <v>1</v>
      </c>
      <c r="E238" t="str">
        <f>INDEX(Define!X:X,MATCH(D238,Define!W:W))</f>
        <v>元素</v>
      </c>
      <c r="F238">
        <v>401</v>
      </c>
      <c r="G238" t="str">
        <f>INDEX([1]Animations!B:B,MATCH(F238,[1]Animations!A:A))</f>
        <v>LightOne1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404020</v>
      </c>
      <c r="B239">
        <v>404020</v>
      </c>
      <c r="C239" t="str">
        <f>INDEX(TextData!B:B,MATCH(B239,TextData!A:A))</f>
        <v>ペネトレイト+</v>
      </c>
      <c r="D239">
        <v>1</v>
      </c>
      <c r="E239" t="str">
        <f>INDEX(Define!X:X,MATCH(D239,Define!W:W))</f>
        <v>元素</v>
      </c>
      <c r="F239">
        <v>401</v>
      </c>
      <c r="G239" t="str">
        <f>INDEX([1]Animations!B:B,MATCH(F239,[1]Animations!A:A))</f>
        <v>LightOne1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404030</v>
      </c>
      <c r="B240">
        <v>404030</v>
      </c>
      <c r="C240" t="str">
        <f>INDEX(TextData!B:B,MATCH(B240,TextData!A:A))</f>
        <v>ヒーリング+</v>
      </c>
      <c r="D240">
        <v>2</v>
      </c>
      <c r="E240" t="str">
        <f>INDEX(Define!X:X,MATCH(D240,Define!W:W))</f>
        <v>光</v>
      </c>
      <c r="F240">
        <v>21</v>
      </c>
      <c r="G240" t="str">
        <f>INDEX([1]Animations!B:B,MATCH(F240,[1]Animations!A:A))</f>
        <v>tktk01/Magic2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404040</v>
      </c>
      <c r="B241">
        <v>404040</v>
      </c>
      <c r="C241" t="str">
        <f>INDEX(TextData!B:B,MATCH(B241,TextData!A:A))</f>
        <v>リザイアフォトン+</v>
      </c>
      <c r="D241">
        <v>2</v>
      </c>
      <c r="E241" t="str">
        <f>INDEX(Define!X:X,MATCH(D241,Define!W:W))</f>
        <v>光</v>
      </c>
      <c r="F241">
        <v>401</v>
      </c>
      <c r="G241" t="str">
        <f>INDEX([1]Animations!B:B,MATCH(F241,[1]Animations!A:A))</f>
        <v>LightOne1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404050</v>
      </c>
      <c r="B242">
        <v>404050</v>
      </c>
      <c r="C242" t="str">
        <f>INDEX(TextData!B:B,MATCH(B242,TextData!A:A))</f>
        <v>べネディクション+</v>
      </c>
      <c r="D242">
        <v>2</v>
      </c>
      <c r="E242" t="str">
        <f>INDEX(Define!X:X,MATCH(D242,Define!W:W))</f>
        <v>光</v>
      </c>
      <c r="F242">
        <v>21</v>
      </c>
      <c r="G242" t="str">
        <f>INDEX([1]Animations!B:B,MATCH(F242,[1]Animations!A:A))</f>
        <v>tktk01/Magic2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404060</v>
      </c>
      <c r="B243">
        <v>404060</v>
      </c>
      <c r="C243" t="str">
        <f>INDEX(TextData!B:B,MATCH(B243,TextData!A:A))</f>
        <v>ホーリーグレイス+</v>
      </c>
      <c r="D243">
        <v>2</v>
      </c>
      <c r="E243" t="str">
        <f>INDEX(Define!X:X,MATCH(D243,Define!W:W))</f>
        <v>光</v>
      </c>
      <c r="F243">
        <v>21</v>
      </c>
      <c r="G243" t="str">
        <f>INDEX([1]Animations!B:B,MATCH(F243,[1]Animations!A:A))</f>
        <v>tktk01/Magic2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404070</v>
      </c>
      <c r="B244">
        <v>404070</v>
      </c>
      <c r="C244" t="str">
        <f>INDEX(TextData!B:B,MATCH(B244,TextData!A:A))</f>
        <v>キュアエール+</v>
      </c>
      <c r="D244">
        <v>2</v>
      </c>
      <c r="E244" t="str">
        <f>INDEX(Define!X:X,MATCH(D244,Define!W:W))</f>
        <v>光</v>
      </c>
      <c r="F244">
        <v>21</v>
      </c>
      <c r="G244" t="str">
        <f>INDEX([1]Animations!B:B,MATCH(F244,[1]Animations!A:A))</f>
        <v>tktk01/Magic2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404080</v>
      </c>
      <c r="B245">
        <v>404080</v>
      </c>
      <c r="C245" t="str">
        <f>INDEX(TextData!B:B,MATCH(B245,TextData!A:A))</f>
        <v>ラインバリア+</v>
      </c>
      <c r="D245">
        <v>2</v>
      </c>
      <c r="E245" t="str">
        <f>INDEX(Define!X:X,MATCH(D245,Define!W:W))</f>
        <v>光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405010</v>
      </c>
      <c r="B246">
        <v>405010</v>
      </c>
      <c r="C246" t="str">
        <f>INDEX(TextData!B:B,MATCH(B246,TextData!A:A))</f>
        <v>ダークプリズン+</v>
      </c>
      <c r="D246">
        <v>5</v>
      </c>
      <c r="E246" t="str">
        <f>INDEX(Define!X:X,MATCH(D246,Define!W:W))</f>
        <v>超次元</v>
      </c>
      <c r="F246">
        <v>501</v>
      </c>
      <c r="G246" t="str">
        <f>INDEX([1]Animations!B:B,MATCH(F246,[1]Animations!A:A))</f>
        <v>DarknessOne1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405020</v>
      </c>
      <c r="B247">
        <v>405020</v>
      </c>
      <c r="C247" t="str">
        <f>INDEX(TextData!B:B,MATCH(B247,TextData!A:A))</f>
        <v>ユーサネイジア+</v>
      </c>
      <c r="D247">
        <v>5</v>
      </c>
      <c r="E247" t="str">
        <f>INDEX(Define!X:X,MATCH(D247,Define!W:W))</f>
        <v>超次元</v>
      </c>
      <c r="F247">
        <v>501</v>
      </c>
      <c r="G247" t="str">
        <f>INDEX([1]Animations!B:B,MATCH(F247,[1]Animations!A:A))</f>
        <v>DarknessOne1</v>
      </c>
      <c r="H247">
        <v>3</v>
      </c>
      <c r="I247" t="str">
        <f>INDEX(Define!B:B,MATCH(H247,Define!A:A))</f>
        <v>全体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405030</v>
      </c>
      <c r="B248">
        <v>405030</v>
      </c>
      <c r="C248" t="str">
        <f>INDEX(TextData!B:B,MATCH(B248,TextData!A:A))</f>
        <v>ドレインヒール+</v>
      </c>
      <c r="D248">
        <v>5</v>
      </c>
      <c r="E248" t="str">
        <f>INDEX(Define!X:X,MATCH(D248,Define!W:W))</f>
        <v>超次元</v>
      </c>
      <c r="F248">
        <v>501</v>
      </c>
      <c r="G248" t="str">
        <f>INDEX([1]Animations!B:B,MATCH(F248,[1]Animations!A:A))</f>
        <v>DarknessOne1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405040</v>
      </c>
      <c r="B249">
        <v>405040</v>
      </c>
      <c r="C249" t="str">
        <f>INDEX(TextData!B:B,MATCH(B249,TextData!A:A))</f>
        <v>アビサルデスペア+</v>
      </c>
      <c r="D249">
        <v>5</v>
      </c>
      <c r="E249" t="str">
        <f>INDEX(Define!X:X,MATCH(D249,Define!W:W))</f>
        <v>超次元</v>
      </c>
      <c r="F249">
        <v>501</v>
      </c>
      <c r="G249" t="str">
        <f>INDEX([1]Animations!B:B,MATCH(F249,[1]Animations!A:A))</f>
        <v>DarknessOne1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405050</v>
      </c>
      <c r="B250">
        <v>405050</v>
      </c>
      <c r="C250" t="str">
        <f>INDEX(TextData!B:B,MATCH(B250,TextData!A:A))</f>
        <v>ディプラヴィティ+</v>
      </c>
      <c r="D250">
        <v>3</v>
      </c>
      <c r="E250" t="str">
        <f>INDEX(Define!X:X,MATCH(D250,Define!W:W))</f>
        <v>理術</v>
      </c>
      <c r="F250">
        <v>501</v>
      </c>
      <c r="G250" t="str">
        <f>INDEX([1]Animations!B:B,MATCH(F250,[1]Animations!A:A))</f>
        <v>DarknessOne1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405060</v>
      </c>
      <c r="B251">
        <v>405060</v>
      </c>
      <c r="C251" t="str">
        <f>INDEX(TextData!B:B,MATCH(B251,TextData!A:A))</f>
        <v>ダークネス+</v>
      </c>
      <c r="D251">
        <v>3</v>
      </c>
      <c r="E251" t="str">
        <f>INDEX(Define!X:X,MATCH(D251,Define!W:W))</f>
        <v>理術</v>
      </c>
      <c r="F251">
        <v>61</v>
      </c>
      <c r="G251" t="str">
        <f>INDEX([1]Animations!B:B,MATCH(F251,[1]Animations!A:A))</f>
        <v>NA_Effekseer/NA_aura_002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405070</v>
      </c>
      <c r="B252">
        <v>405070</v>
      </c>
      <c r="C252" t="str">
        <f>INDEX(TextData!B:B,MATCH(B252,TextData!A:A))</f>
        <v>シェイディークラウド+</v>
      </c>
      <c r="D252">
        <v>5</v>
      </c>
      <c r="E252" t="str">
        <f>INDEX(Define!X:X,MATCH(D252,Define!W:W))</f>
        <v>超次元</v>
      </c>
      <c r="F252">
        <v>61</v>
      </c>
      <c r="G252" t="str">
        <f>INDEX([1]Animations!B:B,MATCH(F252,[1]Animations!A:A))</f>
        <v>NA_Effekseer/NA_aura_002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405080</v>
      </c>
      <c r="B253">
        <v>405080</v>
      </c>
      <c r="C253" t="str">
        <f>INDEX(TextData!B:B,MATCH(B253,TextData!A:A))</f>
        <v>ポイズンブロウ+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411010</v>
      </c>
      <c r="B254">
        <v>411010</v>
      </c>
      <c r="C254" t="str">
        <f>INDEX(TextData!B:B,MATCH(B254,TextData!A:A))</f>
        <v>ウルフソウル+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1</v>
      </c>
      <c r="N254" t="str">
        <f>INDEX(Define!E:E,MATCH(M254,Define!D:D))</f>
        <v>炎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411020</v>
      </c>
      <c r="B255">
        <v>411020</v>
      </c>
      <c r="C255" t="str">
        <f>INDEX(TextData!B:B,MATCH(B255,TextData!A:A))</f>
        <v>プリディカメント+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1</v>
      </c>
      <c r="N255" t="str">
        <f>INDEX(Define!E:E,MATCH(M255,Define!D:D))</f>
        <v>炎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411030</v>
      </c>
      <c r="B256">
        <v>411030</v>
      </c>
      <c r="C256" t="str">
        <f>INDEX(TextData!B:B,MATCH(B256,TextData!A:A))</f>
        <v>アサルトシフト+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1</v>
      </c>
      <c r="N256" t="str">
        <f>INDEX(Define!E:E,MATCH(M256,Define!D:D))</f>
        <v>炎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411040</v>
      </c>
      <c r="B257">
        <v>411040</v>
      </c>
      <c r="C257" t="str">
        <f>INDEX(TextData!B:B,MATCH(B257,TextData!A:A))</f>
        <v>アクティブギフト+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1</v>
      </c>
      <c r="N257" t="str">
        <f>INDEX(Define!E:E,MATCH(M257,Define!D:D))</f>
        <v>炎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411050</v>
      </c>
      <c r="B258">
        <v>411050</v>
      </c>
      <c r="C258" t="str">
        <f>INDEX(TextData!B:B,MATCH(B258,TextData!A:A))</f>
        <v>イグナイテッド+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1</v>
      </c>
      <c r="N258" t="str">
        <f>INDEX(Define!E:E,MATCH(M258,Define!D:D))</f>
        <v>炎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411060</v>
      </c>
      <c r="B259">
        <v>411060</v>
      </c>
      <c r="C259" t="str">
        <f>INDEX(TextData!B:B,MATCH(B259,TextData!A:A))</f>
        <v>ライジングファイア+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411070</v>
      </c>
      <c r="B260">
        <v>411070</v>
      </c>
      <c r="C260" t="str">
        <f>INDEX(TextData!B:B,MATCH(B260,TextData!A:A))</f>
        <v>ルージュバック+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411080</v>
      </c>
      <c r="B261">
        <v>411080</v>
      </c>
      <c r="C261" t="str">
        <f>INDEX(TextData!B:B,MATCH(B261,TextData!A:A))</f>
        <v>パワーエール+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411090</v>
      </c>
      <c r="B262">
        <v>411090</v>
      </c>
      <c r="C262" t="str">
        <f>INDEX(TextData!B:B,MATCH(B262,TextData!A:A))</f>
        <v>スレイプニル+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412010</v>
      </c>
      <c r="B263">
        <v>412010</v>
      </c>
      <c r="C263" t="str">
        <f>INDEX(TextData!B:B,MATCH(B263,TextData!A:A))</f>
        <v>エクステンション+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2</v>
      </c>
      <c r="N263" t="str">
        <f>INDEX(Define!E:E,MATCH(M263,Define!D:D))</f>
        <v>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412020</v>
      </c>
      <c r="B264">
        <v>412020</v>
      </c>
      <c r="C264" t="str">
        <f>INDEX(TextData!B:B,MATCH(B264,TextData!A:A))</f>
        <v>ヘブンリーラック+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2</v>
      </c>
      <c r="N264" t="str">
        <f>INDEX(Define!E:E,MATCH(M264,Define!D:D))</f>
        <v>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412030</v>
      </c>
      <c r="B265">
        <v>412030</v>
      </c>
      <c r="C265" t="str">
        <f>INDEX(TextData!B:B,MATCH(B265,TextData!A:A))</f>
        <v>スウィフトカレント+</v>
      </c>
      <c r="D265">
        <v>6</v>
      </c>
      <c r="E265" t="str">
        <f>INDEX(Define!X:X,MATCH(D265,Define!W:W))</f>
        <v>自己強化</v>
      </c>
      <c r="H265">
        <v>1</v>
      </c>
      <c r="I265" t="s">
        <v>18</v>
      </c>
      <c r="J265">
        <v>0</v>
      </c>
      <c r="K265">
        <v>0</v>
      </c>
      <c r="L265">
        <v>110</v>
      </c>
      <c r="M265">
        <v>2</v>
      </c>
      <c r="N265" t="str">
        <f>INDEX(Define!E:E,MATCH(M265,Define!D:D))</f>
        <v>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412040</v>
      </c>
      <c r="B266">
        <v>412040</v>
      </c>
      <c r="C266" t="str">
        <f>INDEX(TextData!B:B,MATCH(B266,TextData!A:A))</f>
        <v>イヴェイドオール+</v>
      </c>
      <c r="D266">
        <v>6</v>
      </c>
      <c r="E266" t="str">
        <f>INDEX(Define!X:X,MATCH(D266,Define!W:W))</f>
        <v>自己強化</v>
      </c>
      <c r="H266">
        <v>1</v>
      </c>
      <c r="I266" t="s">
        <v>18</v>
      </c>
      <c r="J266">
        <v>0</v>
      </c>
      <c r="K266">
        <v>0</v>
      </c>
      <c r="L266">
        <v>110</v>
      </c>
      <c r="M266">
        <v>2</v>
      </c>
      <c r="N266" t="str">
        <f>INDEX(Define!E:E,MATCH(M266,Define!D:D))</f>
        <v>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412050</v>
      </c>
      <c r="B267">
        <v>412050</v>
      </c>
      <c r="C267" t="str">
        <f>INDEX(TextData!B:B,MATCH(B267,TextData!A:A))</f>
        <v>クイックムーブ+</v>
      </c>
      <c r="D267">
        <v>6</v>
      </c>
      <c r="E267" t="str">
        <f>INDEX(Define!X:X,MATCH(D267,Define!W:W))</f>
        <v>自己強化</v>
      </c>
      <c r="H267">
        <v>1</v>
      </c>
      <c r="I267" t="s">
        <v>18</v>
      </c>
      <c r="J267">
        <v>0</v>
      </c>
      <c r="K267">
        <v>0</v>
      </c>
      <c r="L267">
        <v>110</v>
      </c>
      <c r="M267">
        <v>2</v>
      </c>
      <c r="N267" t="str">
        <f>INDEX(Define!E:E,MATCH(M267,Define!D:D))</f>
        <v>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412060</v>
      </c>
      <c r="B268">
        <v>412060</v>
      </c>
      <c r="C268" t="str">
        <f>INDEX(TextData!B:B,MATCH(B268,TextData!A:A))</f>
        <v>チェイスマジック+</v>
      </c>
      <c r="D268">
        <v>6</v>
      </c>
      <c r="E268" t="str">
        <f>INDEX(Define!X:X,MATCH(D268,Define!W:W))</f>
        <v>自己強化</v>
      </c>
      <c r="H268">
        <v>1</v>
      </c>
      <c r="I268" t="s">
        <v>18</v>
      </c>
      <c r="J268">
        <v>0</v>
      </c>
      <c r="K268">
        <v>0</v>
      </c>
      <c r="L268">
        <v>120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412070</v>
      </c>
      <c r="B269">
        <v>412070</v>
      </c>
      <c r="C269" t="str">
        <f>INDEX(TextData!B:B,MATCH(B269,TextData!A:A))</f>
        <v>ソーサリーコネクト+</v>
      </c>
      <c r="D269">
        <v>6</v>
      </c>
      <c r="E269" t="str">
        <f>INDEX(Define!X:X,MATCH(D269,Define!W:W))</f>
        <v>自己強化</v>
      </c>
      <c r="H269">
        <v>1</v>
      </c>
      <c r="I269" t="s">
        <v>18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412080</v>
      </c>
      <c r="B270">
        <v>412080</v>
      </c>
      <c r="C270" t="str">
        <f>INDEX(TextData!B:B,MATCH(B270,TextData!A:A))</f>
        <v>ウィンドライズ+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412090</v>
      </c>
      <c r="B271">
        <v>412090</v>
      </c>
      <c r="C271" t="str">
        <f>INDEX(TextData!B:B,MATCH(B271,TextData!A:A))</f>
        <v>アウトオブオーダー+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413010</v>
      </c>
      <c r="B272">
        <v>413010</v>
      </c>
      <c r="C272" t="str">
        <f>INDEX(TextData!B:B,MATCH(B272,TextData!A:A))</f>
        <v>アーマーコード+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3</v>
      </c>
      <c r="N272" t="str">
        <f>INDEX(Define!E:E,MATCH(M272,Define!D:D))</f>
        <v>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413020</v>
      </c>
      <c r="B273">
        <v>413020</v>
      </c>
      <c r="C273" t="str">
        <f>INDEX(TextData!B:B,MATCH(B273,TextData!A:A))</f>
        <v>クイックバリア+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3</v>
      </c>
      <c r="N273" t="str">
        <f>INDEX(Define!E:E,MATCH(M273,Define!D:D))</f>
        <v>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413030</v>
      </c>
      <c r="B274">
        <v>413030</v>
      </c>
      <c r="C274" t="str">
        <f>INDEX(TextData!B:B,MATCH(B274,TextData!A:A))</f>
        <v>クイックキュア+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3</v>
      </c>
      <c r="N274" t="str">
        <f>INDEX(Define!E:E,MATCH(M274,Define!D:D))</f>
        <v>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413040</v>
      </c>
      <c r="B275">
        <v>413040</v>
      </c>
      <c r="C275" t="str">
        <f>INDEX(TextData!B:B,MATCH(B275,TextData!A:A))</f>
        <v>セルフシールド+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3</v>
      </c>
      <c r="N275" t="str">
        <f>INDEX(Define!E:E,MATCH(M275,Define!D:D))</f>
        <v>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413050</v>
      </c>
      <c r="B276">
        <v>413050</v>
      </c>
      <c r="C276" t="str">
        <f>INDEX(TextData!B:B,MATCH(B276,TextData!A:A))</f>
        <v>パッシブジャミング+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3</v>
      </c>
      <c r="N276" t="str">
        <f>INDEX(Define!E:E,MATCH(M276,Define!D:D))</f>
        <v>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413060</v>
      </c>
      <c r="B277">
        <v>413060</v>
      </c>
      <c r="C277" t="str">
        <f>INDEX(TextData!B:B,MATCH(B277,TextData!A:A))</f>
        <v>サプライカバー+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413070</v>
      </c>
      <c r="B278">
        <v>413070</v>
      </c>
      <c r="C278" t="str">
        <f>INDEX(TextData!B:B,MATCH(B278,TextData!A:A))</f>
        <v>アシッドラッシュ+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413080</v>
      </c>
      <c r="B279">
        <v>413080</v>
      </c>
      <c r="C279" t="str">
        <f>INDEX(TextData!B:B,MATCH(B279,TextData!A:A))</f>
        <v>ライフスティール+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413090</v>
      </c>
      <c r="B280">
        <v>413090</v>
      </c>
      <c r="C280" t="str">
        <f>INDEX(TextData!B:B,MATCH(B280,TextData!A:A))</f>
        <v>アイスセイバー+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414010</v>
      </c>
      <c r="B281">
        <v>414010</v>
      </c>
      <c r="C281" t="str">
        <f>INDEX(TextData!B:B,MATCH(B281,TextData!A:A))</f>
        <v>ディバインシールド+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4</v>
      </c>
      <c r="N281" t="str">
        <f>INDEX(Define!E:E,MATCH(M281,Define!D:D))</f>
        <v>光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414020</v>
      </c>
      <c r="B282">
        <v>414020</v>
      </c>
      <c r="C282" t="str">
        <f>INDEX(TextData!B:B,MATCH(B282,TextData!A:A))</f>
        <v>ライフディバイド+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4</v>
      </c>
      <c r="N282" t="str">
        <f>INDEX(Define!E:E,MATCH(M282,Define!D:D))</f>
        <v>光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414030</v>
      </c>
      <c r="B283">
        <v>414030</v>
      </c>
      <c r="C283" t="str">
        <f>INDEX(TextData!B:B,MATCH(B283,TextData!A:A))</f>
        <v>エイミングスコープ+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4</v>
      </c>
      <c r="N283" t="str">
        <f>INDEX(Define!E:E,MATCH(M283,Define!D:D))</f>
        <v>光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414040</v>
      </c>
      <c r="B284">
        <v>414040</v>
      </c>
      <c r="C284" t="str">
        <f>INDEX(TextData!B:B,MATCH(B284,TextData!A:A))</f>
        <v>リジェネレーション+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4</v>
      </c>
      <c r="N284" t="str">
        <f>INDEX(Define!E:E,MATCH(M284,Define!D:D))</f>
        <v>光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414050</v>
      </c>
      <c r="B285">
        <v>414050</v>
      </c>
      <c r="C285" t="str">
        <f>INDEX(TextData!B:B,MATCH(B285,TextData!A:A))</f>
        <v>ホープフルアイリス+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414060</v>
      </c>
      <c r="B286">
        <v>414060</v>
      </c>
      <c r="C286" t="str">
        <f>INDEX(TextData!B:B,MATCH(B286,TextData!A:A))</f>
        <v>パッシブサプライ+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414070</v>
      </c>
      <c r="B287">
        <v>414070</v>
      </c>
      <c r="C287" t="str">
        <f>INDEX(TextData!B:B,MATCH(B287,TextData!A:A))</f>
        <v>ホーミングクルセイド+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414080</v>
      </c>
      <c r="B288">
        <v>414080</v>
      </c>
      <c r="C288" t="str">
        <f>INDEX(TextData!B:B,MATCH(B288,TextData!A:A))</f>
        <v>クイックヒール+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414090</v>
      </c>
      <c r="B289">
        <v>414090</v>
      </c>
      <c r="C289" t="str">
        <f>INDEX(TextData!B:B,MATCH(B289,TextData!A:A))</f>
        <v>リレイズ+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415010</v>
      </c>
      <c r="B290">
        <v>415010</v>
      </c>
      <c r="C290" t="str">
        <f>INDEX(TextData!B:B,MATCH(B290,TextData!A:A))</f>
        <v>イーグルアイ+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5</v>
      </c>
      <c r="N290" t="str">
        <f>INDEX(Define!E:E,MATCH(M290,Define!D:D))</f>
        <v>闇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415020</v>
      </c>
      <c r="B291">
        <v>415020</v>
      </c>
      <c r="C291" t="str">
        <f>INDEX(TextData!B:B,MATCH(B291,TextData!A:A))</f>
        <v>ネヴァーエンド+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5</v>
      </c>
      <c r="N291" t="str">
        <f>INDEX(Define!E:E,MATCH(M291,Define!D:D))</f>
        <v>闇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415030</v>
      </c>
      <c r="B292">
        <v>415030</v>
      </c>
      <c r="C292" t="str">
        <f>INDEX(TextData!B:B,MATCH(B292,TextData!A:A))</f>
        <v>グレイブアクト+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5</v>
      </c>
      <c r="N292" t="str">
        <f>INDEX(Define!E:E,MATCH(M292,Define!D:D))</f>
        <v>闇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415040</v>
      </c>
      <c r="B293">
        <v>415040</v>
      </c>
      <c r="C293" t="str">
        <f>INDEX(TextData!B:B,MATCH(B293,TextData!A:A))</f>
        <v>スカルグラッジ+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415050</v>
      </c>
      <c r="B294">
        <v>415050</v>
      </c>
      <c r="C294" t="str">
        <f>INDEX(TextData!B:B,MATCH(B294,TextData!A:A))</f>
        <v>ネガティブドレイン+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415060</v>
      </c>
      <c r="B295">
        <v>415060</v>
      </c>
      <c r="C295" t="str">
        <f>INDEX(TextData!B:B,MATCH(B295,TextData!A:A))</f>
        <v>アンデッドペイン+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415070</v>
      </c>
      <c r="B296">
        <v>415070</v>
      </c>
      <c r="C296" t="str">
        <f>INDEX(TextData!B:B,MATCH(B296,TextData!A:A))</f>
        <v>ジャックポッド+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415080</v>
      </c>
      <c r="B297">
        <v>415080</v>
      </c>
      <c r="C297" t="str">
        <f>INDEX(TextData!B:B,MATCH(B297,TextData!A:A))</f>
        <v>ヒールハント+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415090</v>
      </c>
      <c r="B298">
        <v>415090</v>
      </c>
      <c r="C298" t="str">
        <f>INDEX(TextData!B:B,MATCH(B298,TextData!A:A))</f>
        <v>クイックカース+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</sheetData>
  <autoFilter ref="F1:F25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topLeftCell="A77" workbookViewId="0">
      <selection activeCell="G96" sqref="G9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85"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4"/>
  <sheetViews>
    <sheetView topLeftCell="A33" workbookViewId="0">
      <selection activeCell="C35" sqref="C3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ht="26" spans="1:3">
      <c r="A57">
        <v>11010</v>
      </c>
      <c r="B57" t="s">
        <v>169</v>
      </c>
      <c r="C57" s="4" t="s">
        <v>170</v>
      </c>
    </row>
    <row r="58" ht="39" spans="1:3">
      <c r="A58">
        <v>11020</v>
      </c>
      <c r="B58" t="s">
        <v>171</v>
      </c>
      <c r="C58" s="4" t="s">
        <v>172</v>
      </c>
    </row>
    <row r="59" ht="39" spans="1:3">
      <c r="A59">
        <v>11030</v>
      </c>
      <c r="B59" t="s">
        <v>173</v>
      </c>
      <c r="C59" s="4" t="s">
        <v>174</v>
      </c>
    </row>
    <row r="60" ht="26" spans="1:4">
      <c r="A60">
        <v>11040</v>
      </c>
      <c r="B60" t="s">
        <v>175</v>
      </c>
      <c r="C60" s="3" t="s">
        <v>176</v>
      </c>
      <c r="D60" t="s">
        <v>175</v>
      </c>
    </row>
    <row r="61" ht="39" spans="1:3">
      <c r="A61">
        <v>11050</v>
      </c>
      <c r="B61" t="s">
        <v>177</v>
      </c>
      <c r="C61" s="3" t="s">
        <v>178</v>
      </c>
    </row>
    <row r="62" ht="26" spans="1:3">
      <c r="A62">
        <v>11060</v>
      </c>
      <c r="B62" t="s">
        <v>179</v>
      </c>
      <c r="C62" s="3" t="s">
        <v>180</v>
      </c>
    </row>
    <row r="63" ht="39" spans="1:3">
      <c r="A63">
        <v>11070</v>
      </c>
      <c r="B63" t="s">
        <v>181</v>
      </c>
      <c r="C63" s="3" t="s">
        <v>182</v>
      </c>
    </row>
    <row r="64" ht="26" spans="1:3">
      <c r="A64">
        <v>11080</v>
      </c>
      <c r="B64" t="s">
        <v>183</v>
      </c>
      <c r="C64" s="3" t="s">
        <v>184</v>
      </c>
    </row>
    <row r="65" ht="39" spans="1:3">
      <c r="A65">
        <v>11090</v>
      </c>
      <c r="B65" t="s">
        <v>185</v>
      </c>
      <c r="C65" s="3" t="s">
        <v>186</v>
      </c>
    </row>
    <row r="66" customFormat="1" ht="26" spans="1:3">
      <c r="A66">
        <v>11100</v>
      </c>
      <c r="B66" t="s">
        <v>187</v>
      </c>
      <c r="C66" s="3" t="s">
        <v>188</v>
      </c>
    </row>
    <row r="67" customFormat="1" ht="65" spans="1:3">
      <c r="A67">
        <v>11110</v>
      </c>
      <c r="B67" t="s">
        <v>189</v>
      </c>
      <c r="C67" s="3" t="s">
        <v>190</v>
      </c>
    </row>
    <row r="68" spans="1:3">
      <c r="A68">
        <v>12010</v>
      </c>
      <c r="B68" t="s">
        <v>104</v>
      </c>
      <c r="C68" s="3" t="s">
        <v>191</v>
      </c>
    </row>
    <row r="69" spans="1:3">
      <c r="A69">
        <v>12020</v>
      </c>
      <c r="B69" t="s">
        <v>192</v>
      </c>
      <c r="C69" s="3" t="s">
        <v>193</v>
      </c>
    </row>
    <row r="70" ht="26" spans="1:3">
      <c r="A70">
        <v>12030</v>
      </c>
      <c r="B70" t="s">
        <v>194</v>
      </c>
      <c r="C70" s="3" t="s">
        <v>195</v>
      </c>
    </row>
    <row r="71" ht="52" spans="1:3">
      <c r="A71">
        <v>12040</v>
      </c>
      <c r="B71" t="s">
        <v>196</v>
      </c>
      <c r="C71" s="3" t="s">
        <v>197</v>
      </c>
    </row>
    <row r="72" ht="39" spans="1:3">
      <c r="A72">
        <v>12050</v>
      </c>
      <c r="B72" t="s">
        <v>198</v>
      </c>
      <c r="C72" s="3" t="s">
        <v>199</v>
      </c>
    </row>
    <row r="73" ht="26" spans="1:3">
      <c r="A73">
        <v>12060</v>
      </c>
      <c r="B73" t="s">
        <v>200</v>
      </c>
      <c r="C73" s="3" t="s">
        <v>201</v>
      </c>
    </row>
    <row r="74" ht="39" spans="1:3">
      <c r="A74">
        <v>12070</v>
      </c>
      <c r="B74" t="s">
        <v>202</v>
      </c>
      <c r="C74" s="3" t="s">
        <v>203</v>
      </c>
    </row>
    <row r="75" ht="26" spans="1:3">
      <c r="A75">
        <v>12080</v>
      </c>
      <c r="B75" t="s">
        <v>204</v>
      </c>
      <c r="C75" s="3" t="s">
        <v>205</v>
      </c>
    </row>
    <row r="76" ht="26" spans="1:3">
      <c r="A76">
        <v>12090</v>
      </c>
      <c r="B76" t="s">
        <v>206</v>
      </c>
      <c r="C76" s="3" t="s">
        <v>207</v>
      </c>
    </row>
    <row r="77" customFormat="1" ht="39" spans="1:3">
      <c r="A77">
        <v>12100</v>
      </c>
      <c r="B77" t="s">
        <v>208</v>
      </c>
      <c r="C77" s="3" t="s">
        <v>209</v>
      </c>
    </row>
    <row r="78" customFormat="1" ht="52" spans="1:3">
      <c r="A78">
        <v>12110</v>
      </c>
      <c r="B78" t="s">
        <v>210</v>
      </c>
      <c r="C78" s="3" t="s">
        <v>211</v>
      </c>
    </row>
    <row r="79" ht="26" spans="1:3">
      <c r="A79">
        <v>13010</v>
      </c>
      <c r="B79" t="s">
        <v>212</v>
      </c>
      <c r="C79" s="3" t="s">
        <v>213</v>
      </c>
    </row>
    <row r="80" ht="26" spans="1:3">
      <c r="A80">
        <v>13020</v>
      </c>
      <c r="B80" t="s">
        <v>214</v>
      </c>
      <c r="C80" s="3" t="s">
        <v>215</v>
      </c>
    </row>
    <row r="81" ht="26" spans="1:3">
      <c r="A81">
        <v>13030</v>
      </c>
      <c r="B81" t="s">
        <v>216</v>
      </c>
      <c r="C81" s="3" t="s">
        <v>217</v>
      </c>
    </row>
    <row r="82" ht="39" spans="1:3">
      <c r="A82">
        <v>13040</v>
      </c>
      <c r="B82" t="s">
        <v>218</v>
      </c>
      <c r="C82" s="3" t="s">
        <v>219</v>
      </c>
    </row>
    <row r="83" ht="39" spans="1:3">
      <c r="A83">
        <v>13050</v>
      </c>
      <c r="B83" t="s">
        <v>220</v>
      </c>
      <c r="C83" s="3" t="s">
        <v>221</v>
      </c>
    </row>
    <row r="84" ht="26" spans="1:3">
      <c r="A84">
        <v>13060</v>
      </c>
      <c r="B84" t="s">
        <v>222</v>
      </c>
      <c r="C84" s="3" t="s">
        <v>223</v>
      </c>
    </row>
    <row r="85" ht="39" spans="1:3">
      <c r="A85">
        <v>13070</v>
      </c>
      <c r="B85" t="s">
        <v>224</v>
      </c>
      <c r="C85" s="3" t="s">
        <v>225</v>
      </c>
    </row>
    <row r="86" ht="39" spans="1:3">
      <c r="A86">
        <v>13080</v>
      </c>
      <c r="B86" t="s">
        <v>226</v>
      </c>
      <c r="C86" s="3" t="s">
        <v>227</v>
      </c>
    </row>
    <row r="87" ht="39" spans="1:3">
      <c r="A87">
        <v>13090</v>
      </c>
      <c r="B87" t="s">
        <v>228</v>
      </c>
      <c r="C87" s="3" t="s">
        <v>229</v>
      </c>
    </row>
    <row r="88" customFormat="1" ht="39" spans="1:3">
      <c r="A88">
        <v>13100</v>
      </c>
      <c r="B88" t="s">
        <v>230</v>
      </c>
      <c r="C88" s="3" t="s">
        <v>231</v>
      </c>
    </row>
    <row r="89" customFormat="1" ht="65" spans="1:3">
      <c r="A89">
        <v>13110</v>
      </c>
      <c r="B89" t="s">
        <v>232</v>
      </c>
      <c r="C89" s="3" t="s">
        <v>233</v>
      </c>
    </row>
    <row r="90" customFormat="1" ht="65" spans="1:3">
      <c r="A90">
        <v>13111</v>
      </c>
      <c r="B90" t="s">
        <v>232</v>
      </c>
      <c r="C90" s="3" t="s">
        <v>233</v>
      </c>
    </row>
    <row r="91" ht="52" spans="1:3">
      <c r="A91">
        <v>14010</v>
      </c>
      <c r="B91" t="s">
        <v>234</v>
      </c>
      <c r="C91" s="3" t="s">
        <v>235</v>
      </c>
    </row>
    <row r="92" ht="39" spans="1:3">
      <c r="A92">
        <v>14020</v>
      </c>
      <c r="B92" t="s">
        <v>236</v>
      </c>
      <c r="C92" s="3" t="s">
        <v>237</v>
      </c>
    </row>
    <row r="93" ht="39" spans="1:3">
      <c r="A93">
        <v>14030</v>
      </c>
      <c r="B93" t="s">
        <v>238</v>
      </c>
      <c r="C93" s="3" t="s">
        <v>239</v>
      </c>
    </row>
    <row r="94" spans="1:3">
      <c r="A94">
        <v>14040</v>
      </c>
      <c r="B94" t="s">
        <v>240</v>
      </c>
      <c r="C94" t="s">
        <v>241</v>
      </c>
    </row>
    <row r="95" ht="26" spans="1:3">
      <c r="A95">
        <v>14050</v>
      </c>
      <c r="B95" t="s">
        <v>242</v>
      </c>
      <c r="C95" s="3" t="s">
        <v>243</v>
      </c>
    </row>
    <row r="96" ht="39" spans="1:3">
      <c r="A96">
        <v>14060</v>
      </c>
      <c r="B96" t="s">
        <v>244</v>
      </c>
      <c r="C96" s="3" t="s">
        <v>245</v>
      </c>
    </row>
    <row r="97" ht="39" spans="1:3">
      <c r="A97">
        <v>14070</v>
      </c>
      <c r="B97" t="s">
        <v>246</v>
      </c>
      <c r="C97" s="3" t="s">
        <v>247</v>
      </c>
    </row>
    <row r="98" ht="39" spans="1:3">
      <c r="A98">
        <v>14080</v>
      </c>
      <c r="B98" t="s">
        <v>248</v>
      </c>
      <c r="C98" s="3" t="s">
        <v>249</v>
      </c>
    </row>
    <row r="99" ht="52" spans="1:4">
      <c r="A99">
        <v>14090</v>
      </c>
      <c r="B99" t="s">
        <v>250</v>
      </c>
      <c r="C99" s="3" t="s">
        <v>251</v>
      </c>
      <c r="D99" t="s">
        <v>252</v>
      </c>
    </row>
    <row r="100" customFormat="1" ht="26" spans="1:3">
      <c r="A100">
        <v>14100</v>
      </c>
      <c r="B100" t="s">
        <v>253</v>
      </c>
      <c r="C100" s="3" t="s">
        <v>254</v>
      </c>
    </row>
    <row r="101" customFormat="1" ht="39" spans="1:3">
      <c r="A101">
        <v>14110</v>
      </c>
      <c r="B101" t="s">
        <v>255</v>
      </c>
      <c r="C101" s="3" t="s">
        <v>256</v>
      </c>
    </row>
    <row r="102" spans="1:3">
      <c r="A102">
        <v>15010</v>
      </c>
      <c r="B102" t="s">
        <v>257</v>
      </c>
      <c r="C102" s="3" t="s">
        <v>258</v>
      </c>
    </row>
    <row r="103" ht="39" spans="1:3">
      <c r="A103">
        <v>15020</v>
      </c>
      <c r="B103" t="s">
        <v>259</v>
      </c>
      <c r="C103" s="3" t="s">
        <v>260</v>
      </c>
    </row>
    <row r="104" ht="26" spans="1:3">
      <c r="A104">
        <v>15030</v>
      </c>
      <c r="B104" t="s">
        <v>261</v>
      </c>
      <c r="C104" s="3" t="s">
        <v>262</v>
      </c>
    </row>
    <row r="105" ht="39" spans="1:3">
      <c r="A105">
        <v>15040</v>
      </c>
      <c r="B105" t="s">
        <v>263</v>
      </c>
      <c r="C105" s="3" t="s">
        <v>264</v>
      </c>
    </row>
    <row r="106" ht="39" spans="1:3">
      <c r="A106">
        <v>15050</v>
      </c>
      <c r="B106" t="s">
        <v>265</v>
      </c>
      <c r="C106" s="3" t="s">
        <v>266</v>
      </c>
    </row>
    <row r="107" ht="26" spans="1:3">
      <c r="A107">
        <v>15060</v>
      </c>
      <c r="B107" t="s">
        <v>267</v>
      </c>
      <c r="C107" s="3" t="s">
        <v>268</v>
      </c>
    </row>
    <row r="108" ht="26" spans="1:4">
      <c r="A108">
        <v>15070</v>
      </c>
      <c r="B108" t="s">
        <v>269</v>
      </c>
      <c r="C108" s="3" t="s">
        <v>270</v>
      </c>
      <c r="D108" t="s">
        <v>271</v>
      </c>
    </row>
    <row r="109" ht="26" spans="1:3">
      <c r="A109">
        <v>15080</v>
      </c>
      <c r="B109" t="s">
        <v>272</v>
      </c>
      <c r="C109" s="3" t="s">
        <v>273</v>
      </c>
    </row>
    <row r="110" ht="26" spans="1:3">
      <c r="A110">
        <v>15090</v>
      </c>
      <c r="B110" t="s">
        <v>274</v>
      </c>
      <c r="C110" s="3" t="s">
        <v>275</v>
      </c>
    </row>
    <row r="111" customFormat="1" ht="39" spans="1:3">
      <c r="A111">
        <v>15100</v>
      </c>
      <c r="B111" t="s">
        <v>276</v>
      </c>
      <c r="C111" s="3" t="s">
        <v>277</v>
      </c>
    </row>
    <row r="112" customFormat="1" ht="52" spans="1:3">
      <c r="A112">
        <v>15110</v>
      </c>
      <c r="B112" t="s">
        <v>278</v>
      </c>
      <c r="C112" s="3" t="s">
        <v>279</v>
      </c>
    </row>
    <row r="113" customFormat="1" ht="52" spans="1:3">
      <c r="A113">
        <v>15112</v>
      </c>
      <c r="B113" t="s">
        <v>278</v>
      </c>
      <c r="C113" s="3" t="s">
        <v>279</v>
      </c>
    </row>
    <row r="114" spans="1:3">
      <c r="A114">
        <v>20010</v>
      </c>
      <c r="B114" t="s">
        <v>280</v>
      </c>
      <c r="C114" s="4" t="s">
        <v>281</v>
      </c>
    </row>
    <row r="115" customFormat="1" ht="26" spans="1:3">
      <c r="A115">
        <v>30010</v>
      </c>
      <c r="B115" t="s">
        <v>282</v>
      </c>
      <c r="C115" s="4" t="s">
        <v>283</v>
      </c>
    </row>
    <row r="116" customFormat="1" ht="26" spans="1:3">
      <c r="A116">
        <v>30020</v>
      </c>
      <c r="B116" t="s">
        <v>284</v>
      </c>
      <c r="C116" s="4" t="s">
        <v>285</v>
      </c>
    </row>
    <row r="117" customFormat="1" ht="26" spans="1:3">
      <c r="A117">
        <v>30030</v>
      </c>
      <c r="B117" t="s">
        <v>286</v>
      </c>
      <c r="C117" s="4" t="s">
        <v>287</v>
      </c>
    </row>
    <row r="118" ht="52" spans="1:3">
      <c r="A118">
        <v>100110</v>
      </c>
      <c r="B118" t="s">
        <v>288</v>
      </c>
      <c r="C118" s="3" t="s">
        <v>289</v>
      </c>
    </row>
    <row r="119" ht="26" spans="1:3">
      <c r="A119">
        <v>100120</v>
      </c>
      <c r="B119" t="s">
        <v>290</v>
      </c>
      <c r="C119" s="3" t="s">
        <v>291</v>
      </c>
    </row>
    <row r="120" ht="39" spans="1:3">
      <c r="A120">
        <v>100210</v>
      </c>
      <c r="B120" t="s">
        <v>292</v>
      </c>
      <c r="C120" s="3" t="s">
        <v>293</v>
      </c>
    </row>
    <row r="121" ht="28" customHeight="1" spans="1:3">
      <c r="A121">
        <v>100220</v>
      </c>
      <c r="B121" t="s">
        <v>294</v>
      </c>
      <c r="C121" s="3" t="s">
        <v>295</v>
      </c>
    </row>
    <row r="122" ht="52" spans="1:3">
      <c r="A122">
        <v>100310</v>
      </c>
      <c r="B122" t="s">
        <v>296</v>
      </c>
      <c r="C122" s="3" t="s">
        <v>297</v>
      </c>
    </row>
    <row r="123" ht="26" spans="1:3">
      <c r="A123">
        <v>100320</v>
      </c>
      <c r="B123" t="s">
        <v>298</v>
      </c>
      <c r="C123" s="3" t="s">
        <v>299</v>
      </c>
    </row>
    <row r="124" ht="39" spans="1:3">
      <c r="A124">
        <v>100410</v>
      </c>
      <c r="B124" t="s">
        <v>300</v>
      </c>
      <c r="C124" s="3" t="s">
        <v>301</v>
      </c>
    </row>
    <row r="125" ht="52" spans="1:3">
      <c r="A125">
        <v>100420</v>
      </c>
      <c r="B125" t="s">
        <v>302</v>
      </c>
      <c r="C125" s="3" t="s">
        <v>303</v>
      </c>
    </row>
    <row r="126" ht="52" spans="1:3">
      <c r="A126">
        <v>100510</v>
      </c>
      <c r="B126" t="s">
        <v>304</v>
      </c>
      <c r="C126" s="3" t="s">
        <v>305</v>
      </c>
    </row>
    <row r="127" ht="52" spans="1:3">
      <c r="A127">
        <v>100520</v>
      </c>
      <c r="B127" t="s">
        <v>306</v>
      </c>
      <c r="C127" s="3" t="s">
        <v>307</v>
      </c>
    </row>
    <row r="128" ht="39" spans="1:3">
      <c r="A128">
        <v>100610</v>
      </c>
      <c r="B128" t="s">
        <v>308</v>
      </c>
      <c r="C128" s="3" t="s">
        <v>309</v>
      </c>
    </row>
    <row r="129" ht="39" spans="1:3">
      <c r="A129">
        <v>100620</v>
      </c>
      <c r="B129" t="s">
        <v>310</v>
      </c>
      <c r="C129" s="3" t="s">
        <v>311</v>
      </c>
    </row>
    <row r="130" ht="52" spans="1:3">
      <c r="A130">
        <v>100710</v>
      </c>
      <c r="B130" t="s">
        <v>312</v>
      </c>
      <c r="C130" s="3" t="s">
        <v>313</v>
      </c>
    </row>
    <row r="131" ht="26" spans="1:3">
      <c r="A131">
        <v>100720</v>
      </c>
      <c r="B131" t="s">
        <v>314</v>
      </c>
      <c r="C131" s="3" t="s">
        <v>315</v>
      </c>
    </row>
    <row r="132" ht="39" spans="1:3">
      <c r="A132">
        <v>100810</v>
      </c>
      <c r="B132" t="s">
        <v>316</v>
      </c>
      <c r="C132" s="3" t="s">
        <v>317</v>
      </c>
    </row>
    <row r="133" ht="26" spans="1:3">
      <c r="A133">
        <v>100820</v>
      </c>
      <c r="B133" t="s">
        <v>318</v>
      </c>
      <c r="C133" s="3" t="s">
        <v>291</v>
      </c>
    </row>
    <row r="134" ht="39" spans="1:3">
      <c r="A134">
        <v>100910</v>
      </c>
      <c r="B134" t="s">
        <v>319</v>
      </c>
      <c r="C134" s="3" t="s">
        <v>320</v>
      </c>
    </row>
    <row r="135" ht="39" spans="1:3">
      <c r="A135">
        <v>100911</v>
      </c>
      <c r="B135" t="s">
        <v>319</v>
      </c>
      <c r="C135" s="3" t="s">
        <v>320</v>
      </c>
    </row>
    <row r="136" ht="39" spans="1:3">
      <c r="A136">
        <v>100920</v>
      </c>
      <c r="B136" t="s">
        <v>321</v>
      </c>
      <c r="C136" s="3" t="s">
        <v>322</v>
      </c>
    </row>
    <row r="137" ht="39" spans="1:3">
      <c r="A137">
        <v>100921</v>
      </c>
      <c r="B137" t="s">
        <v>321</v>
      </c>
      <c r="C137" s="3" t="s">
        <v>322</v>
      </c>
    </row>
    <row r="138" ht="39" spans="1:4">
      <c r="A138">
        <v>101010</v>
      </c>
      <c r="B138" t="s">
        <v>323</v>
      </c>
      <c r="C138" s="3" t="s">
        <v>324</v>
      </c>
      <c r="D138" s="3"/>
    </row>
    <row r="139" ht="26" spans="1:3">
      <c r="A139">
        <v>101020</v>
      </c>
      <c r="B139" t="s">
        <v>325</v>
      </c>
      <c r="C139" s="3" t="s">
        <v>291</v>
      </c>
    </row>
    <row r="140" ht="39" spans="1:3">
      <c r="A140">
        <v>101110</v>
      </c>
      <c r="B140" t="s">
        <v>326</v>
      </c>
      <c r="C140" s="3" t="s">
        <v>327</v>
      </c>
    </row>
    <row r="141" ht="39" spans="1:3">
      <c r="A141">
        <v>101120</v>
      </c>
      <c r="B141" t="s">
        <v>328</v>
      </c>
      <c r="C141" s="3" t="s">
        <v>329</v>
      </c>
    </row>
    <row r="142" customFormat="1" ht="52" spans="1:3">
      <c r="A142">
        <v>110110</v>
      </c>
      <c r="B142" t="s">
        <v>330</v>
      </c>
      <c r="C142" s="3" t="s">
        <v>331</v>
      </c>
    </row>
    <row r="143" customFormat="1" ht="26" spans="1:3">
      <c r="A143">
        <v>110120</v>
      </c>
      <c r="B143" t="s">
        <v>332</v>
      </c>
      <c r="C143" s="3" t="s">
        <v>333</v>
      </c>
    </row>
    <row r="144" customFormat="1" ht="26" spans="1:3">
      <c r="A144">
        <v>200110</v>
      </c>
      <c r="B144" t="s">
        <v>334</v>
      </c>
      <c r="C144" s="3" t="s">
        <v>335</v>
      </c>
    </row>
    <row r="145" customFormat="1" ht="26" spans="1:3">
      <c r="A145">
        <v>200120</v>
      </c>
      <c r="B145" t="s">
        <v>336</v>
      </c>
      <c r="C145" s="3" t="s">
        <v>291</v>
      </c>
    </row>
    <row r="146" ht="26" spans="1:3">
      <c r="A146">
        <v>200210</v>
      </c>
      <c r="B146" t="s">
        <v>337</v>
      </c>
      <c r="C146" s="3" t="s">
        <v>338</v>
      </c>
    </row>
    <row r="147" ht="26" spans="1:3">
      <c r="A147">
        <v>200220</v>
      </c>
      <c r="B147" t="s">
        <v>339</v>
      </c>
      <c r="C147" s="3" t="s">
        <v>291</v>
      </c>
    </row>
    <row r="148" ht="26" spans="1:3">
      <c r="A148">
        <v>200230</v>
      </c>
      <c r="B148" t="s">
        <v>340</v>
      </c>
      <c r="C148" s="4" t="s">
        <v>341</v>
      </c>
    </row>
    <row r="149" ht="52" spans="1:3">
      <c r="A149">
        <v>200310</v>
      </c>
      <c r="B149" t="s">
        <v>342</v>
      </c>
      <c r="C149" s="3" t="s">
        <v>343</v>
      </c>
    </row>
    <row r="150" ht="52" spans="1:3">
      <c r="A150">
        <v>200320</v>
      </c>
      <c r="B150" t="s">
        <v>344</v>
      </c>
      <c r="C150" s="3" t="s">
        <v>345</v>
      </c>
    </row>
    <row r="151" ht="26" spans="1:3">
      <c r="A151">
        <v>200330</v>
      </c>
      <c r="B151" t="s">
        <v>346</v>
      </c>
      <c r="C151" s="4" t="s">
        <v>347</v>
      </c>
    </row>
    <row r="152" ht="52" spans="1:3">
      <c r="A152">
        <v>200410</v>
      </c>
      <c r="B152" t="s">
        <v>348</v>
      </c>
      <c r="C152" s="3" t="s">
        <v>349</v>
      </c>
    </row>
    <row r="153" ht="52" spans="1:3">
      <c r="A153">
        <v>200411</v>
      </c>
      <c r="B153" t="s">
        <v>348</v>
      </c>
      <c r="C153" s="3" t="s">
        <v>350</v>
      </c>
    </row>
    <row r="154" ht="39" spans="1:3">
      <c r="A154">
        <v>200420</v>
      </c>
      <c r="B154" t="s">
        <v>351</v>
      </c>
      <c r="C154" s="3" t="s">
        <v>352</v>
      </c>
    </row>
    <row r="155" spans="1:3">
      <c r="A155">
        <v>200430</v>
      </c>
      <c r="B155" t="s">
        <v>353</v>
      </c>
      <c r="C155" s="3" t="s">
        <v>354</v>
      </c>
    </row>
    <row r="156" ht="52" spans="1:3">
      <c r="A156">
        <v>200510</v>
      </c>
      <c r="B156" t="s">
        <v>355</v>
      </c>
      <c r="C156" s="3" t="s">
        <v>356</v>
      </c>
    </row>
    <row r="157" ht="39" spans="1:3">
      <c r="A157">
        <v>200520</v>
      </c>
      <c r="B157" t="s">
        <v>357</v>
      </c>
      <c r="C157" s="3" t="s">
        <v>358</v>
      </c>
    </row>
    <row r="158" ht="39" spans="1:3">
      <c r="A158">
        <v>200530</v>
      </c>
      <c r="B158" t="s">
        <v>359</v>
      </c>
      <c r="C158" s="4" t="s">
        <v>360</v>
      </c>
    </row>
    <row r="159" ht="52" spans="1:3">
      <c r="A159">
        <v>201010</v>
      </c>
      <c r="B159" t="s">
        <v>361</v>
      </c>
      <c r="C159" s="3" t="s">
        <v>362</v>
      </c>
    </row>
    <row r="160" ht="39" spans="1:3">
      <c r="A160">
        <v>201020</v>
      </c>
      <c r="B160" t="s">
        <v>363</v>
      </c>
      <c r="C160" s="3" t="s">
        <v>364</v>
      </c>
    </row>
    <row r="161" ht="39" spans="1:3">
      <c r="A161">
        <v>201030</v>
      </c>
      <c r="B161" t="s">
        <v>365</v>
      </c>
      <c r="C161" s="4" t="s">
        <v>366</v>
      </c>
    </row>
    <row r="162" ht="26" spans="1:3">
      <c r="A162">
        <v>300010</v>
      </c>
      <c r="B162" t="s">
        <v>367</v>
      </c>
      <c r="C162" s="3" t="s">
        <v>368</v>
      </c>
    </row>
    <row r="163" ht="26" spans="1:3">
      <c r="A163">
        <v>300020</v>
      </c>
      <c r="B163" t="s">
        <v>369</v>
      </c>
      <c r="C163" s="3" t="s">
        <v>370</v>
      </c>
    </row>
    <row r="164" ht="26" spans="1:3">
      <c r="A164">
        <v>300030</v>
      </c>
      <c r="B164" t="s">
        <v>371</v>
      </c>
      <c r="C164" s="3" t="s">
        <v>372</v>
      </c>
    </row>
    <row r="165" ht="26" spans="1:3">
      <c r="A165">
        <v>300040</v>
      </c>
      <c r="B165" t="s">
        <v>373</v>
      </c>
      <c r="C165" s="3" t="s">
        <v>374</v>
      </c>
    </row>
    <row r="166" ht="26" spans="1:3">
      <c r="A166">
        <v>300050</v>
      </c>
      <c r="B166" t="s">
        <v>375</v>
      </c>
      <c r="C166" s="3" t="s">
        <v>376</v>
      </c>
    </row>
    <row r="167" ht="26" spans="1:3">
      <c r="A167">
        <v>300130</v>
      </c>
      <c r="B167" t="s">
        <v>377</v>
      </c>
      <c r="C167" s="3" t="s">
        <v>378</v>
      </c>
    </row>
    <row r="168" ht="26" spans="1:3">
      <c r="A168">
        <v>300140</v>
      </c>
      <c r="B168" t="s">
        <v>379</v>
      </c>
      <c r="C168" s="3" t="s">
        <v>380</v>
      </c>
    </row>
    <row r="169" ht="26" spans="1:3">
      <c r="A169">
        <v>300210</v>
      </c>
      <c r="B169" t="s">
        <v>381</v>
      </c>
      <c r="C169" s="3" t="s">
        <v>382</v>
      </c>
    </row>
    <row r="170" ht="26" spans="1:3">
      <c r="A170">
        <v>300220</v>
      </c>
      <c r="B170" t="s">
        <v>383</v>
      </c>
      <c r="C170" s="3" t="s">
        <v>384</v>
      </c>
    </row>
    <row r="171" ht="39" spans="1:3">
      <c r="A171">
        <v>300230</v>
      </c>
      <c r="B171" t="s">
        <v>385</v>
      </c>
      <c r="C171" s="3" t="s">
        <v>386</v>
      </c>
    </row>
    <row r="172" ht="26" spans="1:3">
      <c r="A172">
        <v>301010</v>
      </c>
      <c r="B172" t="s">
        <v>387</v>
      </c>
      <c r="C172" s="3" t="s">
        <v>388</v>
      </c>
    </row>
    <row r="173" ht="26" spans="1:3">
      <c r="A173">
        <v>301020</v>
      </c>
      <c r="B173" t="s">
        <v>389</v>
      </c>
      <c r="C173" s="3" t="s">
        <v>390</v>
      </c>
    </row>
    <row r="174" ht="26" spans="1:3">
      <c r="A174">
        <v>301030</v>
      </c>
      <c r="B174" t="s">
        <v>391</v>
      </c>
      <c r="C174" s="3" t="s">
        <v>392</v>
      </c>
    </row>
    <row r="175" ht="52" spans="1:3">
      <c r="A175">
        <v>301040</v>
      </c>
      <c r="B175" t="s">
        <v>393</v>
      </c>
      <c r="C175" s="3" t="s">
        <v>394</v>
      </c>
    </row>
    <row r="176" ht="26" spans="1:3">
      <c r="A176">
        <v>301050</v>
      </c>
      <c r="B176" t="s">
        <v>395</v>
      </c>
      <c r="C176" s="3" t="s">
        <v>396</v>
      </c>
    </row>
    <row r="177" ht="39" spans="1:3">
      <c r="A177">
        <v>301060</v>
      </c>
      <c r="B177" t="s">
        <v>397</v>
      </c>
      <c r="C177" s="3" t="s">
        <v>398</v>
      </c>
    </row>
    <row r="178" ht="26" spans="1:3">
      <c r="A178">
        <v>301070</v>
      </c>
      <c r="B178" t="s">
        <v>399</v>
      </c>
      <c r="C178" s="3" t="s">
        <v>368</v>
      </c>
    </row>
    <row r="179" ht="39" spans="1:3">
      <c r="A179">
        <v>301080</v>
      </c>
      <c r="B179" t="s">
        <v>400</v>
      </c>
      <c r="C179" s="3" t="s">
        <v>401</v>
      </c>
    </row>
    <row r="180" ht="39" spans="1:3">
      <c r="A180">
        <v>301090</v>
      </c>
      <c r="B180" t="s">
        <v>402</v>
      </c>
      <c r="C180" s="3" t="s">
        <v>403</v>
      </c>
    </row>
    <row r="181" ht="26" spans="1:3">
      <c r="A181">
        <v>301100</v>
      </c>
      <c r="B181" t="s">
        <v>404</v>
      </c>
      <c r="C181" s="3" t="s">
        <v>405</v>
      </c>
    </row>
    <row r="182" ht="26" spans="1:3">
      <c r="A182">
        <v>310010</v>
      </c>
      <c r="B182" t="s">
        <v>406</v>
      </c>
      <c r="C182" s="3" t="s">
        <v>254</v>
      </c>
    </row>
    <row r="183" customFormat="1" ht="26" spans="1:3">
      <c r="A183">
        <v>310020</v>
      </c>
      <c r="B183" t="s">
        <v>407</v>
      </c>
      <c r="C183" s="3" t="s">
        <v>408</v>
      </c>
    </row>
    <row r="184" customFormat="1" spans="1:3">
      <c r="A184">
        <v>310030</v>
      </c>
      <c r="B184" t="s">
        <v>409</v>
      </c>
      <c r="C184" s="3" t="s">
        <v>410</v>
      </c>
    </row>
    <row r="185" customFormat="1" ht="26" spans="1:3">
      <c r="A185">
        <v>310040</v>
      </c>
      <c r="B185" t="s">
        <v>411</v>
      </c>
      <c r="C185" s="3" t="s">
        <v>412</v>
      </c>
    </row>
    <row r="186" customFormat="1" ht="26" spans="1:3">
      <c r="A186">
        <v>310050</v>
      </c>
      <c r="B186" t="s">
        <v>413</v>
      </c>
      <c r="C186" s="3" t="s">
        <v>414</v>
      </c>
    </row>
    <row r="187" customFormat="1" ht="26" spans="1:3">
      <c r="A187">
        <v>310060</v>
      </c>
      <c r="B187" t="s">
        <v>415</v>
      </c>
      <c r="C187" s="3" t="s">
        <v>372</v>
      </c>
    </row>
    <row r="188" customFormat="1" ht="26" spans="1:3">
      <c r="A188">
        <v>310070</v>
      </c>
      <c r="B188" t="s">
        <v>416</v>
      </c>
      <c r="C188" s="3" t="s">
        <v>374</v>
      </c>
    </row>
    <row r="189" customFormat="1" ht="26" spans="1:3">
      <c r="A189">
        <v>310080</v>
      </c>
      <c r="B189" t="s">
        <v>417</v>
      </c>
      <c r="C189" s="3" t="s">
        <v>376</v>
      </c>
    </row>
    <row r="190" customFormat="1" ht="26" spans="1:3">
      <c r="A190">
        <v>310130</v>
      </c>
      <c r="B190" t="s">
        <v>418</v>
      </c>
      <c r="C190" s="3" t="s">
        <v>419</v>
      </c>
    </row>
    <row r="191" customFormat="1" ht="26" spans="1:3">
      <c r="A191">
        <v>320010</v>
      </c>
      <c r="B191" t="s">
        <v>420</v>
      </c>
      <c r="C191" s="3" t="s">
        <v>421</v>
      </c>
    </row>
    <row r="192" customFormat="1" ht="26" spans="1:3">
      <c r="A192">
        <v>320011</v>
      </c>
      <c r="B192" t="s">
        <v>422</v>
      </c>
      <c r="C192" s="3" t="s">
        <v>423</v>
      </c>
    </row>
    <row r="193" customFormat="1" ht="26" spans="1:3">
      <c r="A193">
        <v>320012</v>
      </c>
      <c r="B193" t="s">
        <v>424</v>
      </c>
      <c r="C193" s="3" t="s">
        <v>425</v>
      </c>
    </row>
    <row r="194" customFormat="1" ht="26" spans="1:3">
      <c r="A194">
        <v>320020</v>
      </c>
      <c r="B194" t="s">
        <v>426</v>
      </c>
      <c r="C194" s="3" t="s">
        <v>427</v>
      </c>
    </row>
    <row r="195" customFormat="1" ht="26" spans="1:3">
      <c r="A195">
        <v>320021</v>
      </c>
      <c r="B195" t="s">
        <v>428</v>
      </c>
      <c r="C195" s="3" t="s">
        <v>429</v>
      </c>
    </row>
    <row r="196" customFormat="1" ht="26" spans="1:3">
      <c r="A196">
        <v>320022</v>
      </c>
      <c r="B196" t="s">
        <v>430</v>
      </c>
      <c r="C196" s="3" t="s">
        <v>431</v>
      </c>
    </row>
    <row r="197" customFormat="1" ht="26" spans="1:3">
      <c r="A197">
        <v>320030</v>
      </c>
      <c r="B197" t="s">
        <v>432</v>
      </c>
      <c r="C197" s="3" t="s">
        <v>433</v>
      </c>
    </row>
    <row r="198" customFormat="1" ht="26" spans="1:3">
      <c r="A198">
        <v>320031</v>
      </c>
      <c r="B198" t="s">
        <v>434</v>
      </c>
      <c r="C198" s="3" t="s">
        <v>435</v>
      </c>
    </row>
    <row r="199" customFormat="1" ht="26" spans="1:3">
      <c r="A199">
        <v>320032</v>
      </c>
      <c r="B199" t="s">
        <v>436</v>
      </c>
      <c r="C199" s="3" t="s">
        <v>437</v>
      </c>
    </row>
    <row r="200" customFormat="1" spans="1:3">
      <c r="A200">
        <v>320040</v>
      </c>
      <c r="B200" t="s">
        <v>438</v>
      </c>
      <c r="C200" s="3" t="s">
        <v>439</v>
      </c>
    </row>
    <row r="201" customFormat="1" spans="1:3">
      <c r="A201">
        <v>321010</v>
      </c>
      <c r="B201" t="s">
        <v>440</v>
      </c>
      <c r="C201" t="s">
        <v>441</v>
      </c>
    </row>
    <row r="202" customFormat="1" spans="1:3">
      <c r="A202">
        <v>321020</v>
      </c>
      <c r="B202" t="s">
        <v>442</v>
      </c>
      <c r="C202" t="s">
        <v>443</v>
      </c>
    </row>
    <row r="203" customFormat="1" spans="1:3">
      <c r="A203">
        <v>321030</v>
      </c>
      <c r="B203" t="s">
        <v>444</v>
      </c>
      <c r="C203" t="s">
        <v>445</v>
      </c>
    </row>
    <row r="204" customFormat="1" spans="1:3">
      <c r="A204">
        <v>321040</v>
      </c>
      <c r="B204" t="s">
        <v>446</v>
      </c>
      <c r="C204" t="s">
        <v>447</v>
      </c>
    </row>
    <row r="205" customFormat="1" spans="1:3">
      <c r="A205">
        <v>321050</v>
      </c>
      <c r="B205" t="s">
        <v>448</v>
      </c>
      <c r="C205" t="s">
        <v>449</v>
      </c>
    </row>
    <row r="206" customFormat="1" spans="1:3">
      <c r="A206">
        <v>322010</v>
      </c>
      <c r="B206" t="s">
        <v>450</v>
      </c>
      <c r="C206" t="s">
        <v>451</v>
      </c>
    </row>
    <row r="207" customFormat="1" spans="1:3">
      <c r="A207">
        <v>322020</v>
      </c>
      <c r="B207" t="s">
        <v>452</v>
      </c>
      <c r="C207" t="s">
        <v>453</v>
      </c>
    </row>
    <row r="208" customFormat="1" spans="1:3">
      <c r="A208">
        <v>322030</v>
      </c>
      <c r="B208" t="s">
        <v>454</v>
      </c>
      <c r="C208" t="s">
        <v>455</v>
      </c>
    </row>
    <row r="209" customFormat="1" spans="1:3">
      <c r="A209">
        <v>322040</v>
      </c>
      <c r="B209" t="s">
        <v>456</v>
      </c>
      <c r="C209" t="s">
        <v>457</v>
      </c>
    </row>
    <row r="210" spans="1:3">
      <c r="A210">
        <v>401010</v>
      </c>
      <c r="B210" t="s">
        <v>458</v>
      </c>
      <c r="C210" s="3" t="s">
        <v>459</v>
      </c>
    </row>
    <row r="211" spans="1:3">
      <c r="A211">
        <v>401020</v>
      </c>
      <c r="B211" t="s">
        <v>460</v>
      </c>
      <c r="C211" s="3" t="s">
        <v>459</v>
      </c>
    </row>
    <row r="212" spans="1:3">
      <c r="A212">
        <v>401030</v>
      </c>
      <c r="B212" t="s">
        <v>461</v>
      </c>
      <c r="C212" s="3" t="s">
        <v>462</v>
      </c>
    </row>
    <row r="213" spans="1:3">
      <c r="A213">
        <v>401040</v>
      </c>
      <c r="B213" t="s">
        <v>463</v>
      </c>
      <c r="C213" t="s">
        <v>464</v>
      </c>
    </row>
    <row r="214" spans="1:3">
      <c r="A214">
        <v>401050</v>
      </c>
      <c r="B214" t="s">
        <v>465</v>
      </c>
      <c r="C214" s="3" t="s">
        <v>459</v>
      </c>
    </row>
    <row r="215" spans="1:3">
      <c r="A215">
        <v>401060</v>
      </c>
      <c r="B215" t="s">
        <v>466</v>
      </c>
      <c r="C215" s="3" t="s">
        <v>459</v>
      </c>
    </row>
    <row r="216" spans="1:3">
      <c r="A216">
        <v>401070</v>
      </c>
      <c r="B216" t="s">
        <v>467</v>
      </c>
      <c r="C216" s="3" t="s">
        <v>468</v>
      </c>
    </row>
    <row r="217" spans="1:3">
      <c r="A217">
        <v>401080</v>
      </c>
      <c r="B217" t="s">
        <v>469</v>
      </c>
      <c r="C217" s="3" t="s">
        <v>470</v>
      </c>
    </row>
    <row r="218" spans="1:3">
      <c r="A218">
        <v>402010</v>
      </c>
      <c r="B218" t="s">
        <v>471</v>
      </c>
      <c r="C218" s="3" t="s">
        <v>459</v>
      </c>
    </row>
    <row r="219" spans="1:3">
      <c r="A219">
        <v>402020</v>
      </c>
      <c r="B219" t="s">
        <v>472</v>
      </c>
      <c r="C219" t="s">
        <v>473</v>
      </c>
    </row>
    <row r="220" spans="1:3">
      <c r="A220">
        <v>402030</v>
      </c>
      <c r="B220" t="s">
        <v>474</v>
      </c>
      <c r="C220" s="3" t="s">
        <v>468</v>
      </c>
    </row>
    <row r="221" spans="1:3">
      <c r="A221">
        <v>402040</v>
      </c>
      <c r="B221" t="s">
        <v>475</v>
      </c>
      <c r="C221" s="4" t="s">
        <v>476</v>
      </c>
    </row>
    <row r="222" spans="1:3">
      <c r="A222">
        <v>402050</v>
      </c>
      <c r="B222" t="s">
        <v>477</v>
      </c>
      <c r="C222" s="3" t="s">
        <v>468</v>
      </c>
    </row>
    <row r="223" spans="1:3">
      <c r="A223">
        <v>402060</v>
      </c>
      <c r="B223" t="s">
        <v>478</v>
      </c>
      <c r="C223" s="3" t="s">
        <v>459</v>
      </c>
    </row>
    <row r="224" spans="1:3">
      <c r="A224">
        <v>402070</v>
      </c>
      <c r="B224" t="s">
        <v>479</v>
      </c>
      <c r="C224" s="3" t="s">
        <v>480</v>
      </c>
    </row>
    <row r="225" spans="1:3">
      <c r="A225">
        <v>402080</v>
      </c>
      <c r="B225" t="s">
        <v>481</v>
      </c>
      <c r="C225" s="3" t="s">
        <v>482</v>
      </c>
    </row>
    <row r="226" spans="1:3">
      <c r="A226">
        <v>403010</v>
      </c>
      <c r="B226" t="s">
        <v>483</v>
      </c>
      <c r="C226" s="3" t="s">
        <v>459</v>
      </c>
    </row>
    <row r="227" spans="1:3">
      <c r="A227">
        <v>403020</v>
      </c>
      <c r="B227" t="s">
        <v>484</v>
      </c>
      <c r="C227" s="3" t="s">
        <v>485</v>
      </c>
    </row>
    <row r="228" spans="1:3">
      <c r="A228">
        <v>403030</v>
      </c>
      <c r="B228" t="s">
        <v>486</v>
      </c>
      <c r="C228" s="4" t="s">
        <v>487</v>
      </c>
    </row>
    <row r="229" spans="1:3">
      <c r="A229">
        <v>403040</v>
      </c>
      <c r="B229" t="s">
        <v>488</v>
      </c>
      <c r="C229" s="3" t="s">
        <v>489</v>
      </c>
    </row>
    <row r="230" spans="1:3">
      <c r="A230">
        <v>403050</v>
      </c>
      <c r="B230" t="s">
        <v>490</v>
      </c>
      <c r="C230" s="3" t="s">
        <v>491</v>
      </c>
    </row>
    <row r="231" spans="1:3">
      <c r="A231">
        <v>403060</v>
      </c>
      <c r="B231" t="s">
        <v>492</v>
      </c>
      <c r="C231" s="4" t="s">
        <v>493</v>
      </c>
    </row>
    <row r="232" spans="1:3">
      <c r="A232">
        <v>403070</v>
      </c>
      <c r="B232" t="s">
        <v>494</v>
      </c>
      <c r="C232" s="4" t="s">
        <v>495</v>
      </c>
    </row>
    <row r="233" spans="1:3">
      <c r="A233">
        <v>403080</v>
      </c>
      <c r="B233" t="s">
        <v>496</v>
      </c>
      <c r="C233" s="3" t="s">
        <v>497</v>
      </c>
    </row>
    <row r="234" spans="1:3">
      <c r="A234">
        <v>404010</v>
      </c>
      <c r="B234" t="s">
        <v>498</v>
      </c>
      <c r="C234" s="3" t="s">
        <v>459</v>
      </c>
    </row>
    <row r="235" spans="1:3">
      <c r="A235">
        <v>404020</v>
      </c>
      <c r="B235" t="s">
        <v>499</v>
      </c>
      <c r="C235" s="3" t="s">
        <v>459</v>
      </c>
    </row>
    <row r="236" spans="1:3">
      <c r="A236">
        <v>404030</v>
      </c>
      <c r="B236" t="s">
        <v>500</v>
      </c>
      <c r="C236" s="3" t="s">
        <v>501</v>
      </c>
    </row>
    <row r="237" spans="1:3">
      <c r="A237">
        <v>404040</v>
      </c>
      <c r="B237" t="s">
        <v>502</v>
      </c>
      <c r="C237" s="3" t="s">
        <v>503</v>
      </c>
    </row>
    <row r="238" spans="1:3">
      <c r="A238">
        <v>404050</v>
      </c>
      <c r="B238" t="s">
        <v>504</v>
      </c>
      <c r="C238" s="4" t="s">
        <v>505</v>
      </c>
    </row>
    <row r="239" spans="1:3">
      <c r="A239">
        <v>404060</v>
      </c>
      <c r="B239" t="s">
        <v>506</v>
      </c>
      <c r="C239" s="3" t="s">
        <v>468</v>
      </c>
    </row>
    <row r="240" spans="1:3">
      <c r="A240">
        <v>404070</v>
      </c>
      <c r="B240" t="s">
        <v>507</v>
      </c>
      <c r="C240" s="3" t="s">
        <v>508</v>
      </c>
    </row>
    <row r="241" spans="1:3">
      <c r="A241">
        <v>404080</v>
      </c>
      <c r="B241" t="s">
        <v>509</v>
      </c>
      <c r="C241" s="3" t="s">
        <v>468</v>
      </c>
    </row>
    <row r="242" spans="1:3">
      <c r="A242">
        <v>405010</v>
      </c>
      <c r="B242" t="s">
        <v>510</v>
      </c>
      <c r="C242" s="3" t="s">
        <v>459</v>
      </c>
    </row>
    <row r="243" spans="1:3">
      <c r="A243">
        <v>405020</v>
      </c>
      <c r="B243" t="s">
        <v>511</v>
      </c>
      <c r="C243" s="3" t="s">
        <v>459</v>
      </c>
    </row>
    <row r="244" spans="1:3">
      <c r="A244">
        <v>405030</v>
      </c>
      <c r="B244" t="s">
        <v>512</v>
      </c>
      <c r="C244" s="3" t="s">
        <v>503</v>
      </c>
    </row>
    <row r="245" spans="1:3">
      <c r="A245">
        <v>405040</v>
      </c>
      <c r="B245" t="s">
        <v>513</v>
      </c>
      <c r="C245" s="3" t="s">
        <v>514</v>
      </c>
    </row>
    <row r="246" spans="1:3">
      <c r="A246">
        <v>405050</v>
      </c>
      <c r="B246" t="s">
        <v>515</v>
      </c>
      <c r="C246" s="3" t="s">
        <v>482</v>
      </c>
    </row>
    <row r="247" spans="1:3">
      <c r="A247">
        <v>405060</v>
      </c>
      <c r="B247" t="s">
        <v>516</v>
      </c>
      <c r="C247" s="3" t="s">
        <v>517</v>
      </c>
    </row>
    <row r="248" spans="1:3">
      <c r="A248">
        <v>405070</v>
      </c>
      <c r="B248" t="s">
        <v>518</v>
      </c>
      <c r="C248" s="4" t="s">
        <v>519</v>
      </c>
    </row>
    <row r="249" spans="1:3">
      <c r="A249">
        <v>405080</v>
      </c>
      <c r="B249" t="s">
        <v>520</v>
      </c>
      <c r="C249" s="3" t="s">
        <v>521</v>
      </c>
    </row>
    <row r="250" spans="1:3">
      <c r="A250">
        <v>411010</v>
      </c>
      <c r="B250" t="s">
        <v>522</v>
      </c>
      <c r="C250" s="4" t="s">
        <v>523</v>
      </c>
    </row>
    <row r="251" spans="1:3">
      <c r="A251">
        <v>411020</v>
      </c>
      <c r="B251" t="s">
        <v>524</v>
      </c>
      <c r="C251" s="4" t="s">
        <v>523</v>
      </c>
    </row>
    <row r="252" spans="1:3">
      <c r="A252">
        <v>411030</v>
      </c>
      <c r="B252" t="s">
        <v>525</v>
      </c>
      <c r="C252" s="4" t="s">
        <v>526</v>
      </c>
    </row>
    <row r="253" spans="1:3">
      <c r="A253">
        <v>411040</v>
      </c>
      <c r="B253" t="s">
        <v>527</v>
      </c>
      <c r="C253" s="4" t="s">
        <v>468</v>
      </c>
    </row>
    <row r="254" spans="1:3">
      <c r="A254">
        <v>411050</v>
      </c>
      <c r="B254" t="s">
        <v>528</v>
      </c>
      <c r="C254" s="4" t="s">
        <v>505</v>
      </c>
    </row>
    <row r="255" spans="1:3">
      <c r="A255">
        <v>411060</v>
      </c>
      <c r="B255" t="s">
        <v>529</v>
      </c>
      <c r="C255" s="4" t="s">
        <v>505</v>
      </c>
    </row>
    <row r="256" spans="1:3">
      <c r="A256">
        <v>411070</v>
      </c>
      <c r="B256" t="s">
        <v>530</v>
      </c>
      <c r="C256" s="4" t="s">
        <v>523</v>
      </c>
    </row>
    <row r="257" spans="1:3">
      <c r="A257">
        <v>411080</v>
      </c>
      <c r="B257" t="s">
        <v>531</v>
      </c>
      <c r="C257" s="4" t="s">
        <v>523</v>
      </c>
    </row>
    <row r="258" spans="1:3">
      <c r="A258">
        <v>411090</v>
      </c>
      <c r="B258" t="s">
        <v>532</v>
      </c>
      <c r="C258" s="4" t="s">
        <v>533</v>
      </c>
    </row>
    <row r="259" spans="1:3">
      <c r="A259">
        <v>412010</v>
      </c>
      <c r="B259" t="s">
        <v>534</v>
      </c>
      <c r="C259" t="s">
        <v>535</v>
      </c>
    </row>
    <row r="260" spans="1:3">
      <c r="A260">
        <v>412020</v>
      </c>
      <c r="B260" t="s">
        <v>536</v>
      </c>
      <c r="C260" s="4" t="s">
        <v>473</v>
      </c>
    </row>
    <row r="261" spans="1:3">
      <c r="A261">
        <v>412030</v>
      </c>
      <c r="B261" t="s">
        <v>537</v>
      </c>
      <c r="C261" s="4" t="s">
        <v>538</v>
      </c>
    </row>
    <row r="262" spans="1:3">
      <c r="A262">
        <v>412040</v>
      </c>
      <c r="B262" t="s">
        <v>539</v>
      </c>
      <c r="C262" s="4" t="s">
        <v>540</v>
      </c>
    </row>
    <row r="263" spans="1:3">
      <c r="A263">
        <v>412050</v>
      </c>
      <c r="B263" t="s">
        <v>541</v>
      </c>
      <c r="C263" s="4" t="s">
        <v>476</v>
      </c>
    </row>
    <row r="264" spans="1:3">
      <c r="A264">
        <v>412060</v>
      </c>
      <c r="B264" t="s">
        <v>542</v>
      </c>
      <c r="C264" s="3" t="s">
        <v>459</v>
      </c>
    </row>
    <row r="265" spans="1:3">
      <c r="A265">
        <v>412070</v>
      </c>
      <c r="B265" t="s">
        <v>543</v>
      </c>
      <c r="C265" s="4" t="s">
        <v>523</v>
      </c>
    </row>
    <row r="266" spans="1:3">
      <c r="A266">
        <v>412080</v>
      </c>
      <c r="B266" t="s">
        <v>544</v>
      </c>
      <c r="C266" s="3" t="s">
        <v>459</v>
      </c>
    </row>
    <row r="267" spans="1:3">
      <c r="A267">
        <v>412090</v>
      </c>
      <c r="B267" t="s">
        <v>545</v>
      </c>
      <c r="C267" s="4" t="s">
        <v>546</v>
      </c>
    </row>
    <row r="268" spans="1:3">
      <c r="A268">
        <v>413010</v>
      </c>
      <c r="B268" t="s">
        <v>547</v>
      </c>
      <c r="C268" s="4" t="s">
        <v>487</v>
      </c>
    </row>
    <row r="269" spans="1:3">
      <c r="A269">
        <v>413020</v>
      </c>
      <c r="B269" t="s">
        <v>548</v>
      </c>
      <c r="C269" s="3" t="s">
        <v>489</v>
      </c>
    </row>
    <row r="270" spans="1:3">
      <c r="A270">
        <v>413030</v>
      </c>
      <c r="B270" t="s">
        <v>549</v>
      </c>
      <c r="C270" s="3" t="s">
        <v>468</v>
      </c>
    </row>
    <row r="271" spans="1:3">
      <c r="A271">
        <v>413040</v>
      </c>
      <c r="B271" t="s">
        <v>550</v>
      </c>
      <c r="C271" s="3" t="s">
        <v>489</v>
      </c>
    </row>
    <row r="272" spans="1:3">
      <c r="A272">
        <v>413050</v>
      </c>
      <c r="B272" t="s">
        <v>551</v>
      </c>
      <c r="C272" s="3" t="s">
        <v>468</v>
      </c>
    </row>
    <row r="273" spans="1:3">
      <c r="A273">
        <v>413060</v>
      </c>
      <c r="B273" t="s">
        <v>552</v>
      </c>
      <c r="C273" s="3" t="s">
        <v>468</v>
      </c>
    </row>
    <row r="274" spans="1:3">
      <c r="A274">
        <v>413070</v>
      </c>
      <c r="B274" t="s">
        <v>553</v>
      </c>
      <c r="C274" s="4" t="s">
        <v>554</v>
      </c>
    </row>
    <row r="275" spans="1:3">
      <c r="A275">
        <v>413080</v>
      </c>
      <c r="B275" t="s">
        <v>555</v>
      </c>
      <c r="C275" s="3" t="s">
        <v>503</v>
      </c>
    </row>
    <row r="276" spans="1:3">
      <c r="A276">
        <v>413090</v>
      </c>
      <c r="B276" t="s">
        <v>556</v>
      </c>
      <c r="C276" s="3" t="s">
        <v>557</v>
      </c>
    </row>
    <row r="277" spans="1:3">
      <c r="A277">
        <v>414010</v>
      </c>
      <c r="B277" t="s">
        <v>558</v>
      </c>
      <c r="C277" s="3" t="s">
        <v>559</v>
      </c>
    </row>
    <row r="278" spans="1:3">
      <c r="A278">
        <v>414020</v>
      </c>
      <c r="B278" t="s">
        <v>560</v>
      </c>
      <c r="C278" s="3" t="s">
        <v>561</v>
      </c>
    </row>
    <row r="279" spans="1:3">
      <c r="A279">
        <v>414030</v>
      </c>
      <c r="B279" t="s">
        <v>562</v>
      </c>
      <c r="C279" s="3" t="s">
        <v>480</v>
      </c>
    </row>
    <row r="280" spans="1:3">
      <c r="A280">
        <v>414040</v>
      </c>
      <c r="B280" t="s">
        <v>563</v>
      </c>
      <c r="C280" s="3" t="s">
        <v>508</v>
      </c>
    </row>
    <row r="281" spans="1:3">
      <c r="A281">
        <v>414050</v>
      </c>
      <c r="B281" t="s">
        <v>564</v>
      </c>
      <c r="C281" s="3" t="s">
        <v>565</v>
      </c>
    </row>
    <row r="282" spans="1:3">
      <c r="A282">
        <v>414060</v>
      </c>
      <c r="B282" t="s">
        <v>566</v>
      </c>
      <c r="C282" s="4" t="s">
        <v>505</v>
      </c>
    </row>
    <row r="283" spans="1:3">
      <c r="A283">
        <v>414070</v>
      </c>
      <c r="B283" t="s">
        <v>567</v>
      </c>
      <c r="C283" s="4" t="s">
        <v>568</v>
      </c>
    </row>
    <row r="284" spans="1:3">
      <c r="A284">
        <v>414080</v>
      </c>
      <c r="B284" t="s">
        <v>569</v>
      </c>
      <c r="C284" s="3" t="s">
        <v>508</v>
      </c>
    </row>
    <row r="285" spans="1:3">
      <c r="A285">
        <v>414090</v>
      </c>
      <c r="B285" t="s">
        <v>570</v>
      </c>
      <c r="C285" s="3" t="s">
        <v>468</v>
      </c>
    </row>
    <row r="286" spans="1:3">
      <c r="A286">
        <v>415010</v>
      </c>
      <c r="B286" t="s">
        <v>571</v>
      </c>
      <c r="C286" s="3" t="s">
        <v>572</v>
      </c>
    </row>
    <row r="287" spans="1:3">
      <c r="A287">
        <v>415020</v>
      </c>
      <c r="B287" t="s">
        <v>573</v>
      </c>
      <c r="C287" s="3" t="s">
        <v>572</v>
      </c>
    </row>
    <row r="288" spans="1:3">
      <c r="A288">
        <v>415030</v>
      </c>
      <c r="B288" t="s">
        <v>574</v>
      </c>
      <c r="C288" s="4" t="s">
        <v>505</v>
      </c>
    </row>
    <row r="289" spans="1:3">
      <c r="A289">
        <v>415040</v>
      </c>
      <c r="B289" t="s">
        <v>575</v>
      </c>
      <c r="C289" s="4" t="s">
        <v>576</v>
      </c>
    </row>
    <row r="290" spans="1:3">
      <c r="A290">
        <v>415050</v>
      </c>
      <c r="B290" t="s">
        <v>577</v>
      </c>
      <c r="C290" s="3" t="s">
        <v>503</v>
      </c>
    </row>
    <row r="291" spans="1:3">
      <c r="A291">
        <v>415060</v>
      </c>
      <c r="B291" t="s">
        <v>578</v>
      </c>
      <c r="C291" s="3" t="s">
        <v>503</v>
      </c>
    </row>
    <row r="292" spans="1:3">
      <c r="A292">
        <v>415070</v>
      </c>
      <c r="B292" t="s">
        <v>579</v>
      </c>
      <c r="C292" s="3" t="s">
        <v>572</v>
      </c>
    </row>
    <row r="293" spans="1:3">
      <c r="A293">
        <v>415080</v>
      </c>
      <c r="B293" t="s">
        <v>580</v>
      </c>
      <c r="C293" s="3" t="s">
        <v>581</v>
      </c>
    </row>
    <row r="294" spans="1:3">
      <c r="A294">
        <v>415090</v>
      </c>
      <c r="B294" t="s">
        <v>582</v>
      </c>
      <c r="C294" s="3" t="s">
        <v>583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67" workbookViewId="0">
      <selection activeCell="U85" sqref="U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584</v>
      </c>
      <c r="P1" t="s">
        <v>585</v>
      </c>
      <c r="S1" t="s">
        <v>586</v>
      </c>
      <c r="U1" t="s">
        <v>587</v>
      </c>
      <c r="W1" t="s">
        <v>588</v>
      </c>
      <c r="Y1" t="s">
        <v>65</v>
      </c>
    </row>
    <row r="2" spans="1:29">
      <c r="A2">
        <v>0</v>
      </c>
      <c r="B2" t="s">
        <v>589</v>
      </c>
      <c r="D2">
        <v>0</v>
      </c>
      <c r="E2" t="s">
        <v>589</v>
      </c>
      <c r="G2">
        <v>0</v>
      </c>
      <c r="H2" t="s">
        <v>589</v>
      </c>
      <c r="J2">
        <v>0</v>
      </c>
      <c r="K2" t="s">
        <v>589</v>
      </c>
      <c r="M2">
        <v>0</v>
      </c>
      <c r="N2" t="s">
        <v>589</v>
      </c>
      <c r="P2">
        <v>0</v>
      </c>
      <c r="Q2" t="s">
        <v>590</v>
      </c>
      <c r="U2">
        <v>0</v>
      </c>
      <c r="V2" t="s">
        <v>589</v>
      </c>
      <c r="W2">
        <v>0</v>
      </c>
      <c r="X2" t="s">
        <v>589</v>
      </c>
      <c r="Y2">
        <v>0</v>
      </c>
      <c r="Z2" t="s">
        <v>589</v>
      </c>
      <c r="AB2">
        <v>301</v>
      </c>
      <c r="AC2" t="s">
        <v>591</v>
      </c>
    </row>
    <row r="3" spans="1:29">
      <c r="A3">
        <v>1</v>
      </c>
      <c r="B3" t="s">
        <v>18</v>
      </c>
      <c r="D3">
        <v>1</v>
      </c>
      <c r="E3" t="s">
        <v>592</v>
      </c>
      <c r="G3">
        <v>1</v>
      </c>
      <c r="H3" t="s">
        <v>593</v>
      </c>
      <c r="J3">
        <v>1</v>
      </c>
      <c r="K3" t="s">
        <v>594</v>
      </c>
      <c r="M3">
        <v>1</v>
      </c>
      <c r="N3" t="s">
        <v>18</v>
      </c>
      <c r="P3">
        <v>1010</v>
      </c>
      <c r="Q3" t="s">
        <v>595</v>
      </c>
      <c r="U3">
        <v>1010</v>
      </c>
      <c r="V3" t="s">
        <v>596</v>
      </c>
      <c r="W3">
        <v>1</v>
      </c>
      <c r="X3" t="s">
        <v>597</v>
      </c>
      <c r="Y3">
        <v>1</v>
      </c>
      <c r="Z3" t="s">
        <v>598</v>
      </c>
      <c r="AB3">
        <v>302</v>
      </c>
      <c r="AC3" t="s">
        <v>599</v>
      </c>
    </row>
    <row r="4" spans="1:29">
      <c r="A4">
        <v>2</v>
      </c>
      <c r="B4" t="s">
        <v>600</v>
      </c>
      <c r="D4">
        <v>2</v>
      </c>
      <c r="E4" t="s">
        <v>601</v>
      </c>
      <c r="G4">
        <v>2</v>
      </c>
      <c r="H4" t="s">
        <v>602</v>
      </c>
      <c r="J4">
        <v>2</v>
      </c>
      <c r="K4" t="s">
        <v>603</v>
      </c>
      <c r="M4">
        <v>2</v>
      </c>
      <c r="N4" t="s">
        <v>600</v>
      </c>
      <c r="P4">
        <v>1020</v>
      </c>
      <c r="Q4" t="s">
        <v>604</v>
      </c>
      <c r="U4">
        <v>1020</v>
      </c>
      <c r="V4" t="s">
        <v>605</v>
      </c>
      <c r="W4">
        <v>2</v>
      </c>
      <c r="X4" t="s">
        <v>606</v>
      </c>
      <c r="Y4">
        <v>2</v>
      </c>
      <c r="Z4" t="s">
        <v>607</v>
      </c>
      <c r="AB4" s="2">
        <v>303</v>
      </c>
      <c r="AC4" s="2" t="s">
        <v>608</v>
      </c>
    </row>
    <row r="5" spans="1:29">
      <c r="A5">
        <v>3</v>
      </c>
      <c r="B5" t="s">
        <v>609</v>
      </c>
      <c r="D5">
        <v>3</v>
      </c>
      <c r="E5" t="s">
        <v>610</v>
      </c>
      <c r="G5">
        <v>3</v>
      </c>
      <c r="H5" t="s">
        <v>611</v>
      </c>
      <c r="J5">
        <v>3</v>
      </c>
      <c r="K5" t="s">
        <v>612</v>
      </c>
      <c r="M5">
        <v>3</v>
      </c>
      <c r="N5" t="s">
        <v>609</v>
      </c>
      <c r="P5">
        <v>1030</v>
      </c>
      <c r="Q5" t="s">
        <v>613</v>
      </c>
      <c r="U5">
        <v>1030</v>
      </c>
      <c r="V5" t="s">
        <v>614</v>
      </c>
      <c r="W5">
        <v>3</v>
      </c>
      <c r="X5" t="s">
        <v>615</v>
      </c>
      <c r="Y5">
        <v>3</v>
      </c>
      <c r="Z5" t="s">
        <v>616</v>
      </c>
      <c r="AB5">
        <v>304</v>
      </c>
      <c r="AC5" t="s">
        <v>617</v>
      </c>
    </row>
    <row r="6" spans="4:29">
      <c r="D6">
        <v>4</v>
      </c>
      <c r="E6" t="s">
        <v>606</v>
      </c>
      <c r="G6">
        <v>4</v>
      </c>
      <c r="H6" t="s">
        <v>71</v>
      </c>
      <c r="J6">
        <v>4</v>
      </c>
      <c r="K6" t="s">
        <v>618</v>
      </c>
      <c r="M6">
        <v>4</v>
      </c>
      <c r="N6" t="s">
        <v>618</v>
      </c>
      <c r="P6">
        <v>1040</v>
      </c>
      <c r="Q6" t="s">
        <v>619</v>
      </c>
      <c r="U6">
        <v>1040</v>
      </c>
      <c r="V6" t="s">
        <v>620</v>
      </c>
      <c r="W6">
        <v>4</v>
      </c>
      <c r="X6" t="s">
        <v>621</v>
      </c>
      <c r="Y6">
        <v>4</v>
      </c>
      <c r="Z6" t="s">
        <v>622</v>
      </c>
      <c r="AB6">
        <v>305</v>
      </c>
      <c r="AC6" t="s">
        <v>623</v>
      </c>
    </row>
    <row r="7" spans="4:29">
      <c r="D7">
        <v>5</v>
      </c>
      <c r="E7" t="s">
        <v>624</v>
      </c>
      <c r="G7">
        <v>5</v>
      </c>
      <c r="H7" t="s">
        <v>625</v>
      </c>
      <c r="J7">
        <v>6</v>
      </c>
      <c r="K7" t="s">
        <v>626</v>
      </c>
      <c r="M7">
        <v>5</v>
      </c>
      <c r="N7" t="s">
        <v>627</v>
      </c>
      <c r="P7">
        <v>1050</v>
      </c>
      <c r="Q7" t="s">
        <v>628</v>
      </c>
      <c r="U7">
        <v>1050</v>
      </c>
      <c r="V7" t="s">
        <v>629</v>
      </c>
      <c r="W7">
        <v>5</v>
      </c>
      <c r="X7" t="s">
        <v>630</v>
      </c>
      <c r="Y7">
        <v>5</v>
      </c>
      <c r="Z7" t="s">
        <v>631</v>
      </c>
      <c r="AB7">
        <v>306</v>
      </c>
      <c r="AC7" t="s">
        <v>632</v>
      </c>
    </row>
    <row r="8" spans="4:29">
      <c r="D8">
        <v>6</v>
      </c>
      <c r="E8" t="s">
        <v>633</v>
      </c>
      <c r="G8">
        <v>6</v>
      </c>
      <c r="H8" t="s">
        <v>634</v>
      </c>
      <c r="J8">
        <v>7</v>
      </c>
      <c r="K8" t="s">
        <v>635</v>
      </c>
      <c r="M8">
        <v>11</v>
      </c>
      <c r="N8" t="s">
        <v>636</v>
      </c>
      <c r="P8">
        <v>1060</v>
      </c>
      <c r="Q8" t="s">
        <v>637</v>
      </c>
      <c r="U8">
        <v>1060</v>
      </c>
      <c r="V8" t="s">
        <v>638</v>
      </c>
      <c r="W8">
        <v>6</v>
      </c>
      <c r="X8" t="s">
        <v>639</v>
      </c>
      <c r="Y8">
        <v>11</v>
      </c>
      <c r="Z8" t="s">
        <v>640</v>
      </c>
      <c r="AB8">
        <v>307</v>
      </c>
      <c r="AC8" t="s">
        <v>641</v>
      </c>
    </row>
    <row r="9" spans="7:29">
      <c r="G9">
        <v>7</v>
      </c>
      <c r="H9" t="s">
        <v>642</v>
      </c>
      <c r="J9">
        <v>11</v>
      </c>
      <c r="K9" t="s">
        <v>643</v>
      </c>
      <c r="M9">
        <v>12</v>
      </c>
      <c r="N9" s="1" t="s">
        <v>644</v>
      </c>
      <c r="P9">
        <v>1070</v>
      </c>
      <c r="Q9" t="s">
        <v>645</v>
      </c>
      <c r="U9">
        <v>1130</v>
      </c>
      <c r="V9" t="s">
        <v>646</v>
      </c>
      <c r="W9">
        <v>7</v>
      </c>
      <c r="X9" t="s">
        <v>647</v>
      </c>
      <c r="Y9">
        <v>20</v>
      </c>
      <c r="Z9" t="s">
        <v>648</v>
      </c>
      <c r="AB9">
        <v>308</v>
      </c>
      <c r="AC9" t="s">
        <v>649</v>
      </c>
    </row>
    <row r="10" spans="7:29">
      <c r="G10">
        <v>8</v>
      </c>
      <c r="H10" t="s">
        <v>650</v>
      </c>
      <c r="J10">
        <v>101</v>
      </c>
      <c r="K10" t="s">
        <v>651</v>
      </c>
      <c r="M10">
        <v>13</v>
      </c>
      <c r="N10" s="1" t="s">
        <v>652</v>
      </c>
      <c r="P10">
        <v>1080</v>
      </c>
      <c r="Q10" t="s">
        <v>653</v>
      </c>
      <c r="U10">
        <v>1140</v>
      </c>
      <c r="V10" t="s">
        <v>654</v>
      </c>
      <c r="W10">
        <v>10</v>
      </c>
      <c r="X10" t="s">
        <v>655</v>
      </c>
      <c r="Y10">
        <v>24</v>
      </c>
      <c r="Z10" t="s">
        <v>656</v>
      </c>
      <c r="AB10">
        <v>309</v>
      </c>
      <c r="AC10" t="s">
        <v>657</v>
      </c>
    </row>
    <row r="11" spans="7:29">
      <c r="G11">
        <v>11</v>
      </c>
      <c r="H11" t="s">
        <v>658</v>
      </c>
      <c r="M11">
        <v>21</v>
      </c>
      <c r="N11" t="s">
        <v>659</v>
      </c>
      <c r="P11">
        <v>1090</v>
      </c>
      <c r="Q11" t="s">
        <v>660</v>
      </c>
      <c r="U11">
        <v>1150</v>
      </c>
      <c r="V11" t="s">
        <v>661</v>
      </c>
      <c r="W11">
        <v>11</v>
      </c>
      <c r="X11" t="s">
        <v>71</v>
      </c>
      <c r="Y11">
        <v>31</v>
      </c>
      <c r="Z11" t="s">
        <v>662</v>
      </c>
      <c r="AB11">
        <v>310</v>
      </c>
      <c r="AC11" t="s">
        <v>663</v>
      </c>
    </row>
    <row r="12" spans="7:29">
      <c r="G12">
        <v>12</v>
      </c>
      <c r="H12" t="s">
        <v>664</v>
      </c>
      <c r="M12">
        <v>31</v>
      </c>
      <c r="N12" t="s">
        <v>665</v>
      </c>
      <c r="P12">
        <v>1100</v>
      </c>
      <c r="Q12" t="s">
        <v>666</v>
      </c>
      <c r="U12">
        <v>1160</v>
      </c>
      <c r="V12" t="s">
        <v>667</v>
      </c>
      <c r="W12">
        <v>99</v>
      </c>
      <c r="X12" t="s">
        <v>668</v>
      </c>
      <c r="Y12">
        <v>32</v>
      </c>
      <c r="Z12" t="s">
        <v>669</v>
      </c>
      <c r="AB12">
        <v>311</v>
      </c>
      <c r="AC12" t="s">
        <v>670</v>
      </c>
    </row>
    <row r="13" spans="13:29">
      <c r="M13">
        <v>32</v>
      </c>
      <c r="N13" t="s">
        <v>671</v>
      </c>
      <c r="P13">
        <v>1110</v>
      </c>
      <c r="Q13" t="s">
        <v>672</v>
      </c>
      <c r="U13">
        <v>2010</v>
      </c>
      <c r="V13" t="s">
        <v>673</v>
      </c>
      <c r="W13" t="s">
        <v>674</v>
      </c>
      <c r="Y13">
        <v>33</v>
      </c>
      <c r="Z13" t="s">
        <v>675</v>
      </c>
      <c r="AB13">
        <v>401</v>
      </c>
      <c r="AC13" t="s">
        <v>676</v>
      </c>
    </row>
    <row r="14" spans="16:29">
      <c r="P14">
        <v>2010</v>
      </c>
      <c r="Q14" t="s">
        <v>677</v>
      </c>
      <c r="U14">
        <v>3010</v>
      </c>
      <c r="V14" t="s">
        <v>678</v>
      </c>
      <c r="Y14">
        <v>41</v>
      </c>
      <c r="Z14" t="s">
        <v>679</v>
      </c>
      <c r="AB14">
        <v>402</v>
      </c>
      <c r="AC14" t="s">
        <v>680</v>
      </c>
    </row>
    <row r="15" spans="16:29">
      <c r="P15">
        <v>2011</v>
      </c>
      <c r="Q15" t="s">
        <v>681</v>
      </c>
      <c r="U15">
        <v>3020</v>
      </c>
      <c r="V15" t="s">
        <v>682</v>
      </c>
      <c r="Y15">
        <v>42</v>
      </c>
      <c r="Z15" t="s">
        <v>683</v>
      </c>
      <c r="AB15">
        <v>403</v>
      </c>
      <c r="AC15" t="s">
        <v>684</v>
      </c>
    </row>
    <row r="16" spans="16:29">
      <c r="P16">
        <v>2020</v>
      </c>
      <c r="Q16" t="s">
        <v>685</v>
      </c>
      <c r="U16">
        <v>3030</v>
      </c>
      <c r="V16" t="s">
        <v>686</v>
      </c>
      <c r="Y16">
        <v>51</v>
      </c>
      <c r="Z16" t="s">
        <v>687</v>
      </c>
      <c r="AB16">
        <v>404</v>
      </c>
      <c r="AC16" t="s">
        <v>688</v>
      </c>
    </row>
    <row r="17" spans="16:29">
      <c r="P17">
        <v>2030</v>
      </c>
      <c r="Q17" t="s">
        <v>689</v>
      </c>
      <c r="U17">
        <v>3040</v>
      </c>
      <c r="V17" t="s">
        <v>690</v>
      </c>
      <c r="Y17">
        <v>52</v>
      </c>
      <c r="Z17" t="s">
        <v>691</v>
      </c>
      <c r="AB17">
        <v>501</v>
      </c>
      <c r="AC17" t="s">
        <v>692</v>
      </c>
    </row>
    <row r="18" spans="16:29">
      <c r="P18">
        <v>2040</v>
      </c>
      <c r="Q18" t="s">
        <v>693</v>
      </c>
      <c r="U18">
        <v>3050</v>
      </c>
      <c r="V18" t="s">
        <v>694</v>
      </c>
      <c r="AB18">
        <v>502</v>
      </c>
      <c r="AC18" t="s">
        <v>695</v>
      </c>
    </row>
    <row r="19" spans="16:29">
      <c r="P19">
        <v>2110</v>
      </c>
      <c r="Q19" t="s">
        <v>696</v>
      </c>
      <c r="U19">
        <v>3060</v>
      </c>
      <c r="V19" t="s">
        <v>697</v>
      </c>
      <c r="AB19">
        <v>503</v>
      </c>
      <c r="AC19" t="s">
        <v>698</v>
      </c>
    </row>
    <row r="20" spans="16:29">
      <c r="P20">
        <v>2120</v>
      </c>
      <c r="Q20" t="s">
        <v>699</v>
      </c>
      <c r="U20">
        <v>4010</v>
      </c>
      <c r="V20" t="s">
        <v>700</v>
      </c>
      <c r="AB20">
        <v>504</v>
      </c>
      <c r="AC20" t="s">
        <v>701</v>
      </c>
    </row>
    <row r="21" spans="16:29">
      <c r="P21">
        <v>2130</v>
      </c>
      <c r="Q21" t="s">
        <v>702</v>
      </c>
      <c r="U21">
        <v>4020</v>
      </c>
      <c r="V21" t="s">
        <v>703</v>
      </c>
      <c r="AB21">
        <v>505</v>
      </c>
      <c r="AC21" t="s">
        <v>704</v>
      </c>
    </row>
    <row r="22" spans="16:29">
      <c r="P22">
        <v>3010</v>
      </c>
      <c r="Q22" t="s">
        <v>705</v>
      </c>
      <c r="U22">
        <v>5010</v>
      </c>
      <c r="V22" t="s">
        <v>706</v>
      </c>
      <c r="AB22">
        <v>506</v>
      </c>
      <c r="AC22" t="s">
        <v>707</v>
      </c>
    </row>
    <row r="23" spans="16:29">
      <c r="P23">
        <v>3020</v>
      </c>
      <c r="Q23" t="s">
        <v>708</v>
      </c>
      <c r="U23">
        <v>5020</v>
      </c>
      <c r="V23" t="s">
        <v>709</v>
      </c>
      <c r="AB23">
        <v>507</v>
      </c>
      <c r="AC23" t="s">
        <v>710</v>
      </c>
    </row>
    <row r="24" spans="16:29">
      <c r="P24">
        <v>3030</v>
      </c>
      <c r="Q24" t="s">
        <v>711</v>
      </c>
      <c r="U24">
        <v>5030</v>
      </c>
      <c r="V24" t="s">
        <v>712</v>
      </c>
      <c r="AB24">
        <v>508</v>
      </c>
      <c r="AC24" t="s">
        <v>676</v>
      </c>
    </row>
    <row r="25" spans="16:29">
      <c r="P25">
        <v>3040</v>
      </c>
      <c r="Q25" t="s">
        <v>713</v>
      </c>
      <c r="U25">
        <v>5040</v>
      </c>
      <c r="V25" t="s">
        <v>714</v>
      </c>
      <c r="AB25">
        <v>509</v>
      </c>
      <c r="AC25" t="s">
        <v>684</v>
      </c>
    </row>
    <row r="26" spans="16:22">
      <c r="P26">
        <v>3050</v>
      </c>
      <c r="Q26" t="s">
        <v>715</v>
      </c>
      <c r="U26">
        <v>5050</v>
      </c>
      <c r="V26" t="s">
        <v>716</v>
      </c>
    </row>
    <row r="27" spans="16:22">
      <c r="P27">
        <v>3060</v>
      </c>
      <c r="Q27" t="s">
        <v>717</v>
      </c>
      <c r="U27">
        <v>5060</v>
      </c>
      <c r="V27" t="s">
        <v>718</v>
      </c>
    </row>
    <row r="28" spans="16:22">
      <c r="P28">
        <v>3070</v>
      </c>
      <c r="Q28" t="s">
        <v>719</v>
      </c>
      <c r="U28">
        <v>5070</v>
      </c>
      <c r="V28" t="s">
        <v>720</v>
      </c>
    </row>
    <row r="29" spans="16:22">
      <c r="P29">
        <v>4010</v>
      </c>
      <c r="Q29" t="s">
        <v>721</v>
      </c>
      <c r="U29">
        <v>5080</v>
      </c>
      <c r="V29" t="s">
        <v>722</v>
      </c>
    </row>
    <row r="30" spans="16:22">
      <c r="P30">
        <v>4020</v>
      </c>
      <c r="Q30" t="s">
        <v>723</v>
      </c>
      <c r="U30">
        <v>5090</v>
      </c>
      <c r="V30" t="s">
        <v>724</v>
      </c>
    </row>
    <row r="31" spans="16:22">
      <c r="P31">
        <v>4030</v>
      </c>
      <c r="Q31" t="s">
        <v>725</v>
      </c>
      <c r="U31">
        <v>5100</v>
      </c>
      <c r="V31" t="s">
        <v>726</v>
      </c>
    </row>
    <row r="32" spans="16:22">
      <c r="P32">
        <v>4040</v>
      </c>
      <c r="Q32" t="s">
        <v>727</v>
      </c>
      <c r="U32">
        <v>5110</v>
      </c>
      <c r="V32" t="s">
        <v>728</v>
      </c>
    </row>
    <row r="33" spans="16:22">
      <c r="P33">
        <v>4041</v>
      </c>
      <c r="Q33" t="s">
        <v>729</v>
      </c>
      <c r="U33">
        <v>5120</v>
      </c>
      <c r="V33" t="s">
        <v>730</v>
      </c>
    </row>
    <row r="34" spans="16:22">
      <c r="P34">
        <v>5010</v>
      </c>
      <c r="Q34" t="s">
        <v>731</v>
      </c>
      <c r="U34">
        <v>5130</v>
      </c>
      <c r="V34" t="s">
        <v>732</v>
      </c>
    </row>
    <row r="35" spans="16:22">
      <c r="P35">
        <v>5011</v>
      </c>
      <c r="Q35" t="s">
        <v>733</v>
      </c>
      <c r="U35">
        <v>5140</v>
      </c>
      <c r="V35" t="s">
        <v>734</v>
      </c>
    </row>
    <row r="36" spans="16:22">
      <c r="P36">
        <v>5012</v>
      </c>
      <c r="Q36" t="s">
        <v>735</v>
      </c>
      <c r="U36">
        <v>5150</v>
      </c>
      <c r="V36" t="s">
        <v>736</v>
      </c>
    </row>
    <row r="37" spans="16:22">
      <c r="P37">
        <v>5020</v>
      </c>
      <c r="Q37" t="s">
        <v>737</v>
      </c>
      <c r="U37">
        <v>6010</v>
      </c>
      <c r="V37" t="s">
        <v>738</v>
      </c>
    </row>
    <row r="38" spans="16:22">
      <c r="P38">
        <v>5030</v>
      </c>
      <c r="Q38" t="s">
        <v>739</v>
      </c>
      <c r="U38">
        <v>6020</v>
      </c>
      <c r="V38" t="s">
        <v>740</v>
      </c>
    </row>
    <row r="39" spans="16:22">
      <c r="P39">
        <v>5040</v>
      </c>
      <c r="Q39" t="s">
        <v>741</v>
      </c>
      <c r="U39">
        <v>6030</v>
      </c>
      <c r="V39" t="s">
        <v>742</v>
      </c>
    </row>
    <row r="40" spans="16:22">
      <c r="P40">
        <v>5050</v>
      </c>
      <c r="Q40" t="s">
        <v>743</v>
      </c>
      <c r="U40">
        <v>6040</v>
      </c>
      <c r="V40" t="s">
        <v>744</v>
      </c>
    </row>
    <row r="41" spans="16:22">
      <c r="P41">
        <v>6010</v>
      </c>
      <c r="Q41" t="s">
        <v>745</v>
      </c>
      <c r="U41">
        <v>6050</v>
      </c>
      <c r="V41" t="s">
        <v>746</v>
      </c>
    </row>
    <row r="42" spans="16:22">
      <c r="P42">
        <v>6020</v>
      </c>
      <c r="Q42" t="s">
        <v>747</v>
      </c>
      <c r="U42">
        <v>6060</v>
      </c>
      <c r="V42" t="s">
        <v>748</v>
      </c>
    </row>
    <row r="43" spans="16:22">
      <c r="P43">
        <v>6030</v>
      </c>
      <c r="Q43" t="s">
        <v>749</v>
      </c>
      <c r="U43">
        <v>6110</v>
      </c>
      <c r="V43" t="s">
        <v>750</v>
      </c>
    </row>
    <row r="44" spans="16:22">
      <c r="P44">
        <v>6040</v>
      </c>
      <c r="Q44" t="s">
        <v>751</v>
      </c>
      <c r="U44">
        <v>6120</v>
      </c>
      <c r="V44" t="s">
        <v>752</v>
      </c>
    </row>
    <row r="45" spans="16:22">
      <c r="P45">
        <v>6050</v>
      </c>
      <c r="Q45" t="s">
        <v>753</v>
      </c>
      <c r="U45">
        <v>6130</v>
      </c>
      <c r="V45" t="s">
        <v>754</v>
      </c>
    </row>
    <row r="46" spans="16:22">
      <c r="P46">
        <v>6060</v>
      </c>
      <c r="Q46" t="s">
        <v>755</v>
      </c>
      <c r="U46">
        <v>6140</v>
      </c>
      <c r="V46" t="s">
        <v>756</v>
      </c>
    </row>
    <row r="47" spans="16:22">
      <c r="P47">
        <v>6070</v>
      </c>
      <c r="Q47" t="s">
        <v>757</v>
      </c>
      <c r="U47">
        <v>6150</v>
      </c>
      <c r="V47" t="s">
        <v>758</v>
      </c>
    </row>
    <row r="48" spans="16:22">
      <c r="P48">
        <v>6080</v>
      </c>
      <c r="Q48" t="s">
        <v>759</v>
      </c>
      <c r="U48">
        <v>6210</v>
      </c>
      <c r="V48" t="s">
        <v>760</v>
      </c>
    </row>
    <row r="49" spans="16:22">
      <c r="P49">
        <v>6100</v>
      </c>
      <c r="Q49" t="s">
        <v>761</v>
      </c>
      <c r="U49">
        <v>6220</v>
      </c>
      <c r="V49" t="s">
        <v>762</v>
      </c>
    </row>
    <row r="50" spans="16:22">
      <c r="P50">
        <v>6210</v>
      </c>
      <c r="Q50" t="s">
        <v>763</v>
      </c>
      <c r="U50">
        <v>6230</v>
      </c>
      <c r="V50" t="s">
        <v>764</v>
      </c>
    </row>
    <row r="51" spans="16:22">
      <c r="P51">
        <v>6310</v>
      </c>
      <c r="Q51" t="s">
        <v>765</v>
      </c>
      <c r="U51">
        <v>6240</v>
      </c>
      <c r="V51" t="s">
        <v>766</v>
      </c>
    </row>
    <row r="52" spans="16:22">
      <c r="P52">
        <v>7010</v>
      </c>
      <c r="Q52" t="s">
        <v>767</v>
      </c>
      <c r="U52">
        <v>6250</v>
      </c>
      <c r="V52" t="s">
        <v>768</v>
      </c>
    </row>
    <row r="53" spans="16:22">
      <c r="P53">
        <v>7020</v>
      </c>
      <c r="Q53" t="s">
        <v>769</v>
      </c>
      <c r="U53">
        <v>6310</v>
      </c>
      <c r="V53" t="s">
        <v>770</v>
      </c>
    </row>
    <row r="54" spans="16:22">
      <c r="P54">
        <v>7030</v>
      </c>
      <c r="Q54" t="s">
        <v>771</v>
      </c>
      <c r="U54">
        <v>6320</v>
      </c>
      <c r="V54" t="s">
        <v>772</v>
      </c>
    </row>
    <row r="55" spans="16:22">
      <c r="P55">
        <v>8010</v>
      </c>
      <c r="Q55" t="s">
        <v>773</v>
      </c>
      <c r="U55">
        <v>6330</v>
      </c>
      <c r="V55" t="s">
        <v>774</v>
      </c>
    </row>
    <row r="56" spans="16:22">
      <c r="P56">
        <v>8020</v>
      </c>
      <c r="Q56" t="s">
        <v>775</v>
      </c>
      <c r="U56">
        <v>6340</v>
      </c>
      <c r="V56" t="s">
        <v>776</v>
      </c>
    </row>
    <row r="57" spans="16:22">
      <c r="P57">
        <v>9010</v>
      </c>
      <c r="Q57" t="s">
        <v>777</v>
      </c>
      <c r="U57">
        <v>6350</v>
      </c>
      <c r="V57" t="s">
        <v>778</v>
      </c>
    </row>
    <row r="58" spans="16:22">
      <c r="P58">
        <v>10010</v>
      </c>
      <c r="Q58" t="s">
        <v>779</v>
      </c>
      <c r="U58">
        <v>7010</v>
      </c>
      <c r="V58" t="s">
        <v>780</v>
      </c>
    </row>
    <row r="59" spans="16:22">
      <c r="P59">
        <v>10020</v>
      </c>
      <c r="Q59" t="s">
        <v>781</v>
      </c>
      <c r="U59">
        <v>7020</v>
      </c>
      <c r="V59" t="s">
        <v>782</v>
      </c>
    </row>
    <row r="60" spans="16:22">
      <c r="P60">
        <v>11010</v>
      </c>
      <c r="Q60" t="s">
        <v>783</v>
      </c>
      <c r="U60">
        <v>7030</v>
      </c>
      <c r="V60" t="s">
        <v>784</v>
      </c>
    </row>
    <row r="61" spans="16:22">
      <c r="P61">
        <v>12010</v>
      </c>
      <c r="Q61" t="s">
        <v>785</v>
      </c>
      <c r="U61">
        <v>7040</v>
      </c>
      <c r="V61" t="s">
        <v>786</v>
      </c>
    </row>
    <row r="62" spans="16:22">
      <c r="P62">
        <v>13010</v>
      </c>
      <c r="Q62" t="s">
        <v>787</v>
      </c>
      <c r="U62">
        <v>7050</v>
      </c>
      <c r="V62" t="s">
        <v>788</v>
      </c>
    </row>
    <row r="63" spans="16:22">
      <c r="P63">
        <v>40010</v>
      </c>
      <c r="Q63" t="s">
        <v>789</v>
      </c>
      <c r="U63">
        <v>7060</v>
      </c>
      <c r="V63" t="s">
        <v>790</v>
      </c>
    </row>
    <row r="64" spans="16:22">
      <c r="P64">
        <v>40020</v>
      </c>
      <c r="Q64" t="s">
        <v>791</v>
      </c>
      <c r="U64">
        <v>7070</v>
      </c>
      <c r="V64" t="s">
        <v>792</v>
      </c>
    </row>
    <row r="65" spans="16:22">
      <c r="P65">
        <v>40030</v>
      </c>
      <c r="Q65" t="s">
        <v>793</v>
      </c>
      <c r="U65">
        <v>8010</v>
      </c>
      <c r="V65" t="s">
        <v>794</v>
      </c>
    </row>
    <row r="66" spans="16:22">
      <c r="P66">
        <v>40040</v>
      </c>
      <c r="Q66" t="s">
        <v>795</v>
      </c>
      <c r="U66">
        <v>8020</v>
      </c>
      <c r="V66" t="s">
        <v>796</v>
      </c>
    </row>
    <row r="67" spans="16:22">
      <c r="P67">
        <v>40050</v>
      </c>
      <c r="Q67" t="s">
        <v>797</v>
      </c>
      <c r="U67">
        <v>8030</v>
      </c>
      <c r="V67" t="s">
        <v>798</v>
      </c>
    </row>
    <row r="68" spans="16:22">
      <c r="P68">
        <v>40060</v>
      </c>
      <c r="Q68" t="s">
        <v>799</v>
      </c>
      <c r="U68">
        <v>8040</v>
      </c>
      <c r="V68" t="s">
        <v>800</v>
      </c>
    </row>
    <row r="69" spans="16:22">
      <c r="P69">
        <v>40070</v>
      </c>
      <c r="Q69" t="s">
        <v>801</v>
      </c>
      <c r="U69">
        <v>8050</v>
      </c>
      <c r="V69" t="s">
        <v>802</v>
      </c>
    </row>
    <row r="70" spans="16:22">
      <c r="P70">
        <v>40080</v>
      </c>
      <c r="Q70" t="s">
        <v>803</v>
      </c>
      <c r="U70">
        <v>8060</v>
      </c>
      <c r="V70" t="s">
        <v>804</v>
      </c>
    </row>
    <row r="71" spans="21:22">
      <c r="U71">
        <v>9010</v>
      </c>
      <c r="V71" t="s">
        <v>805</v>
      </c>
    </row>
    <row r="72" spans="21:22">
      <c r="U72">
        <v>9020</v>
      </c>
      <c r="V72" t="s">
        <v>806</v>
      </c>
    </row>
    <row r="73" spans="21:22">
      <c r="U73">
        <v>9030</v>
      </c>
      <c r="V73" t="s">
        <v>807</v>
      </c>
    </row>
    <row r="74" spans="21:22">
      <c r="U74">
        <v>9031</v>
      </c>
      <c r="V74" t="s">
        <v>808</v>
      </c>
    </row>
    <row r="75" spans="21:22">
      <c r="U75">
        <v>9040</v>
      </c>
      <c r="V75" t="s">
        <v>809</v>
      </c>
    </row>
    <row r="76" spans="21:22">
      <c r="U76">
        <v>9110</v>
      </c>
      <c r="V76" t="s">
        <v>810</v>
      </c>
    </row>
    <row r="77" spans="21:22">
      <c r="U77">
        <v>9120</v>
      </c>
      <c r="V77" t="s">
        <v>811</v>
      </c>
    </row>
    <row r="78" spans="21:22">
      <c r="U78">
        <v>10010</v>
      </c>
      <c r="V78" t="s">
        <v>812</v>
      </c>
    </row>
    <row r="79" spans="21:22">
      <c r="U79">
        <v>10020</v>
      </c>
      <c r="V79" t="s">
        <v>813</v>
      </c>
    </row>
    <row r="80" spans="21:22">
      <c r="U80">
        <v>10030</v>
      </c>
      <c r="V80" t="s">
        <v>814</v>
      </c>
    </row>
    <row r="81" spans="21:22">
      <c r="U81">
        <v>10110</v>
      </c>
      <c r="V81" t="s">
        <v>815</v>
      </c>
    </row>
    <row r="82" spans="21:22">
      <c r="U82">
        <v>10120</v>
      </c>
      <c r="V82" t="s">
        <v>816</v>
      </c>
    </row>
    <row r="83" spans="21:22">
      <c r="U83">
        <v>10130</v>
      </c>
      <c r="V83" t="s">
        <v>817</v>
      </c>
    </row>
    <row r="84" spans="21:22">
      <c r="U84">
        <v>11010</v>
      </c>
      <c r="V84" t="s">
        <v>818</v>
      </c>
    </row>
    <row r="85" spans="21:22">
      <c r="U85">
        <v>11011</v>
      </c>
      <c r="V85" t="s">
        <v>819</v>
      </c>
    </row>
    <row r="86" spans="21:22">
      <c r="U86">
        <v>11020</v>
      </c>
      <c r="V86" t="s">
        <v>820</v>
      </c>
    </row>
    <row r="87" spans="21:22">
      <c r="U87">
        <v>12010</v>
      </c>
      <c r="V87" t="s">
        <v>821</v>
      </c>
    </row>
    <row r="88" spans="21:22">
      <c r="U88">
        <v>12011</v>
      </c>
      <c r="V88" t="s">
        <v>822</v>
      </c>
    </row>
    <row r="89" spans="21:22">
      <c r="U89">
        <v>12030</v>
      </c>
      <c r="V89" t="s">
        <v>823</v>
      </c>
    </row>
    <row r="90" spans="21:22">
      <c r="U90">
        <v>12040</v>
      </c>
      <c r="V90" t="s">
        <v>824</v>
      </c>
    </row>
    <row r="91" spans="21:22">
      <c r="U91">
        <v>12041</v>
      </c>
      <c r="V91" t="s">
        <v>825</v>
      </c>
    </row>
    <row r="92" spans="21:22">
      <c r="U92">
        <v>12042</v>
      </c>
      <c r="V92" t="s">
        <v>826</v>
      </c>
    </row>
    <row r="93" spans="21:22">
      <c r="U93">
        <v>12043</v>
      </c>
      <c r="V93" t="s">
        <v>827</v>
      </c>
    </row>
    <row r="94" spans="21:22">
      <c r="U94">
        <v>12050</v>
      </c>
      <c r="V94" t="s">
        <v>828</v>
      </c>
    </row>
    <row r="95" spans="21:22">
      <c r="U95">
        <v>12060</v>
      </c>
      <c r="V95" t="s">
        <v>829</v>
      </c>
    </row>
    <row r="96" spans="21:22">
      <c r="U96">
        <v>12063</v>
      </c>
      <c r="V96" t="s">
        <v>830</v>
      </c>
    </row>
    <row r="97" spans="21:22">
      <c r="U97">
        <v>12064</v>
      </c>
      <c r="V97" t="s">
        <v>831</v>
      </c>
    </row>
    <row r="98" spans="21:22">
      <c r="U98">
        <v>12066</v>
      </c>
      <c r="V98" t="s">
        <v>832</v>
      </c>
    </row>
    <row r="99" spans="21:22">
      <c r="U99">
        <v>12067</v>
      </c>
      <c r="V99" t="s">
        <v>833</v>
      </c>
    </row>
    <row r="100" spans="21:22">
      <c r="U100">
        <v>12070</v>
      </c>
      <c r="V100" t="s">
        <v>834</v>
      </c>
    </row>
    <row r="101" spans="21:22">
      <c r="U101">
        <v>12071</v>
      </c>
      <c r="V101" t="s">
        <v>835</v>
      </c>
    </row>
    <row r="102" spans="21:22">
      <c r="U102">
        <v>12072</v>
      </c>
      <c r="V102" t="s">
        <v>836</v>
      </c>
    </row>
    <row r="103" spans="21:22">
      <c r="U103">
        <v>12082</v>
      </c>
      <c r="V103" t="s">
        <v>837</v>
      </c>
    </row>
    <row r="104" spans="21:22">
      <c r="U104">
        <v>12092</v>
      </c>
      <c r="V104" t="s">
        <v>838</v>
      </c>
    </row>
    <row r="105" spans="21:22">
      <c r="U105">
        <v>13010</v>
      </c>
      <c r="V105" t="s">
        <v>839</v>
      </c>
    </row>
    <row r="106" spans="21:22">
      <c r="U106">
        <v>13020</v>
      </c>
      <c r="V106" t="s">
        <v>840</v>
      </c>
    </row>
    <row r="107" spans="21:22">
      <c r="U107">
        <v>14010</v>
      </c>
      <c r="V107" t="s">
        <v>841</v>
      </c>
    </row>
    <row r="108" spans="21:22">
      <c r="U108">
        <v>14110</v>
      </c>
      <c r="V108" t="s">
        <v>842</v>
      </c>
    </row>
    <row r="109" spans="21:22">
      <c r="U109">
        <v>14210</v>
      </c>
      <c r="V109" t="s">
        <v>843</v>
      </c>
    </row>
    <row r="110" spans="21:22">
      <c r="U110">
        <v>14310</v>
      </c>
      <c r="V110" t="s">
        <v>844</v>
      </c>
    </row>
    <row r="111" spans="21:22">
      <c r="U111">
        <v>14410</v>
      </c>
      <c r="V111" t="s">
        <v>845</v>
      </c>
    </row>
    <row r="112" spans="21:22">
      <c r="U112">
        <v>14420</v>
      </c>
      <c r="V112" t="s">
        <v>846</v>
      </c>
    </row>
    <row r="113" spans="21:22">
      <c r="U113">
        <v>14520</v>
      </c>
      <c r="V113" t="s">
        <v>847</v>
      </c>
    </row>
    <row r="114" spans="21:22">
      <c r="U114">
        <v>15010</v>
      </c>
      <c r="V114" t="s">
        <v>848</v>
      </c>
    </row>
    <row r="115" spans="21:22">
      <c r="U115">
        <v>15011</v>
      </c>
      <c r="V115" t="s">
        <v>849</v>
      </c>
    </row>
    <row r="116" spans="21:22">
      <c r="U116">
        <v>15022</v>
      </c>
      <c r="V116" t="s">
        <v>850</v>
      </c>
    </row>
    <row r="117" spans="21:22">
      <c r="U117">
        <v>16010</v>
      </c>
      <c r="V117" t="s">
        <v>851</v>
      </c>
    </row>
    <row r="118" spans="21:22">
      <c r="U118">
        <v>17010</v>
      </c>
      <c r="V118" t="s">
        <v>852</v>
      </c>
    </row>
    <row r="119" spans="21:22">
      <c r="U119">
        <v>17020</v>
      </c>
      <c r="V119" t="s">
        <v>853</v>
      </c>
    </row>
    <row r="120" spans="21:22">
      <c r="U120">
        <v>17030</v>
      </c>
      <c r="V120" t="s">
        <v>854</v>
      </c>
    </row>
    <row r="121" spans="21:22">
      <c r="U121">
        <v>17040</v>
      </c>
      <c r="V121" t="s">
        <v>855</v>
      </c>
    </row>
    <row r="122" spans="21:22">
      <c r="U122">
        <v>17050</v>
      </c>
      <c r="V122" t="s">
        <v>856</v>
      </c>
    </row>
    <row r="123" spans="21:22">
      <c r="U123">
        <v>17060</v>
      </c>
      <c r="V123" t="s">
        <v>857</v>
      </c>
    </row>
    <row r="124" spans="21:22">
      <c r="U124">
        <v>18010</v>
      </c>
      <c r="V124" t="s">
        <v>858</v>
      </c>
    </row>
    <row r="125" spans="21:22">
      <c r="U125">
        <v>18020</v>
      </c>
      <c r="V125" t="s">
        <v>859</v>
      </c>
    </row>
    <row r="126" spans="21:22">
      <c r="U126">
        <v>19010</v>
      </c>
      <c r="V126" t="s">
        <v>860</v>
      </c>
    </row>
    <row r="127" spans="21:22">
      <c r="U127">
        <v>19020</v>
      </c>
      <c r="V127" t="s">
        <v>861</v>
      </c>
    </row>
    <row r="128" spans="21:22">
      <c r="U128">
        <v>19030</v>
      </c>
      <c r="V128" t="s">
        <v>862</v>
      </c>
    </row>
    <row r="129" spans="21:22">
      <c r="U129">
        <v>20030</v>
      </c>
      <c r="V129" t="s">
        <v>863</v>
      </c>
    </row>
    <row r="130" spans="21:22">
      <c r="U130">
        <v>20040</v>
      </c>
      <c r="V130" t="s">
        <v>864</v>
      </c>
    </row>
    <row r="131" spans="21:22">
      <c r="U131">
        <v>20050</v>
      </c>
      <c r="V131" t="s">
        <v>865</v>
      </c>
    </row>
    <row r="132" spans="21:22">
      <c r="U132">
        <v>20070</v>
      </c>
      <c r="V132" t="s">
        <v>866</v>
      </c>
    </row>
    <row r="133" spans="21:22">
      <c r="U133">
        <v>20071</v>
      </c>
      <c r="V133" t="s">
        <v>867</v>
      </c>
    </row>
    <row r="134" spans="21:22">
      <c r="U134">
        <v>20110</v>
      </c>
      <c r="V134" t="s">
        <v>868</v>
      </c>
    </row>
    <row r="135" spans="21:22">
      <c r="U135">
        <v>20120</v>
      </c>
      <c r="V135" t="s">
        <v>869</v>
      </c>
    </row>
    <row r="136" spans="21:22">
      <c r="U136">
        <v>20130</v>
      </c>
      <c r="V136" t="s">
        <v>870</v>
      </c>
    </row>
    <row r="137" spans="21:22">
      <c r="U137">
        <v>20140</v>
      </c>
      <c r="V137" t="s">
        <v>871</v>
      </c>
    </row>
    <row r="138" spans="21:22">
      <c r="U138">
        <v>20150</v>
      </c>
      <c r="V138" t="s">
        <v>872</v>
      </c>
    </row>
    <row r="139" spans="21:22">
      <c r="U139">
        <v>20160</v>
      </c>
      <c r="V139" t="s">
        <v>873</v>
      </c>
    </row>
    <row r="140" spans="21:22">
      <c r="U140">
        <v>23010</v>
      </c>
      <c r="V140" t="s">
        <v>874</v>
      </c>
    </row>
    <row r="141" spans="21:22">
      <c r="U141">
        <v>24010</v>
      </c>
      <c r="V141" t="s">
        <v>875</v>
      </c>
    </row>
    <row r="142" spans="21:22">
      <c r="U142">
        <v>30010</v>
      </c>
      <c r="V142" t="s">
        <v>876</v>
      </c>
    </row>
    <row r="143" spans="21:22">
      <c r="U143">
        <v>30020</v>
      </c>
      <c r="V143" t="s">
        <v>877</v>
      </c>
    </row>
    <row r="144" spans="21:22">
      <c r="U144">
        <v>40010</v>
      </c>
      <c r="V144" t="s">
        <v>878</v>
      </c>
    </row>
    <row r="145" spans="21:22">
      <c r="U145">
        <v>40020</v>
      </c>
      <c r="V145" t="s">
        <v>879</v>
      </c>
    </row>
    <row r="146" spans="21:22">
      <c r="U146">
        <v>40030</v>
      </c>
      <c r="V146" t="s">
        <v>880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2025-11-01T12:37:52Z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