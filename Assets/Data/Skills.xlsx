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Skills!$F$1:$F$265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<sst xmlns="http://schemas.openxmlformats.org/spreadsheetml/2006/main" count="1183" uniqueCount="934">
  <si>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</si>
  <si>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</si>
  <si>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</si>
  <si>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</si>
  <si>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</si>
  <si>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</si>
  <si>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</si>
  <si>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</si>
  <si>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</si>
  <si>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</si>
  <si>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</si>
  <si>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</si>
  <si>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</si>
  <si>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</si>
  <si>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</si>
  <si>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</si>
  <si>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</si>
  <si>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</si>
  <si>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</si>
  <si>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</si>
  <si>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</si>
  <si>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</si>
  <si>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</si>
  <si>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</si>
  <si>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</si>
  <si>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</si>
  <si>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</si>
  <si>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</si>
  <si>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</si>
  <si>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</si>
  <si>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</si>
  <si>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</si>
  <si>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</si>
  <si>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</si>
  <si>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</si>
  <si>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</si>
  <si>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</si>
  <si>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</si>
  <si>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</si>
  <si>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</si>
  <si>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</si>
  <si>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</si>
  <si>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</si>
  <si>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</si>
  <si>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</si>
  <si>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</si>
  <si>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</si>
  <si>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</si>
  <si>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</si>
  <si>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</si>
  <si>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</si>
  <si>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</si>
  <si>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</si>
  <si>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</si>
  <si>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</si>
  <si>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</si>
  <si>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</si>
  <si>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</si>
  <si>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</si>
  <si>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</si>
  <si>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</si>
  <si>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</si>
  <si>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</si>
  <si>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</si>
  <si>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</si>
  <si>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</si>
  <si>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</si>
  <si>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</si>
  <si>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</si>
  <si>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</si>
  <si>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</si>
  <si>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</si>
  <si>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</si>
  <si>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</si>
  <si>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</si>
  <si>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</si>
  <si>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</si>
  <si>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</si>
  <si>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</si>
  <si>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</si>
  <si>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</si>
  <si>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</si>
  <si>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</si>
  <si>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</si>
  <si>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</si>
  <si>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</si>
  <si>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</si>
  <si>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</si>
  <si>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</si>
  <si>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</si>
  <si>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</si>
  <si>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</si>
  <si>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</si>
  <si>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</si>
  <si>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</si>
  <si>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</si>
  <si>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</si>
  <si>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</si>
  <si>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</si>
  <si>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</si>
  <si>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</si>
  <si>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</si>
  <si>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</si>
  <si>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</si>
  <si>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</si>
  <si>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</si>
  <si>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</si>
  <si>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</si>
  <si>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</si>
  <si>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</si>
  <si>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</si>
  <si>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</si>
  <si>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</si>
  <si>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</si>
  <si>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</si>
  <si>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</si>
  <si>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</si>
  <si>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</si>
  <si>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</si>
  <si>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</si>
  <si>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</si>
  <si>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</si>
  <si>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</si>
  <si>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</si>
  <si>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</si>
  <si>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</si>
  <si>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</si>
  <si>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</si>
  <si>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</si>
  <si>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</si>
  <si>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</si>
  <si>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</si>
  <si>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</si>
  <si>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</si>
  <si>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</si>
  <si>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</si>
  <si>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</si>
  <si>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</si>
  <si>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</si>
  <si>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</si>
  <si>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</si>
  <si>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</si>
  <si>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</si>
  <si>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</si>
  <si>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</si>
  <si>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</si>
  <si>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</si>
  <si>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</si>
  <si>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</si>
  <si>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</si>
  <si>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</si>
  <si>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</si>
  <si>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</si>
  <si>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</si>
  <si>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</si>
  <si>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</si>
  <si>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</si>
  <si>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</si>
  <si>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</si>
  <si>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</si>
  <si>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</si>
  <si>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</si>
  <si>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</si>
  <si>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</si>
  <si>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</si>
  <si>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</si>
  <si>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</si>
  <si>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</si>
  <si>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</si>
  <si>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</si>
  <si>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</si>
  <si>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</si>
  <si>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</si>
  <si>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</si>
  <si>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</si>
  <si>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</si>
  <si>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</si>
  <si>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</si>
  <si>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</si>
  <si>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装備スロット数+1</t>
  </si>
  <si>
    <t>装備スロットが1つ増える</t>
  </si>
  <si>
    <t>ウルフソウル</t>
  </si>
  <si>
    <t>(条件)バトル開始時
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</si>
  <si>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</si>
  <si>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</si>
  <si>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</si>
  <si>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</si>
  <si>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</si>
  <si>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</si>
  <si>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</si>
  <si>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</si>
  <si>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</si>
  <si>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</si>
  <si>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</si>
  <si>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</si>
  <si>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</si>
  <si>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</si>
  <si>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</si>
  <si>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</si>
  <si>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</si>
  <si>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</si>
  <si>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</si>
  <si>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</si>
  <si>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</si>
  <si>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</si>
  <si>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</si>
  <si>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</si>
  <si>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</si>
  <si>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</si>
  <si>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</si>
  <si>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</si>
  <si>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</si>
  <si>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</si>
  <si>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</si>
  <si>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</si>
  <si>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</si>
  <si>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</si>
  <si>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</si>
  <si>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</si>
  <si>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</si>
  <si>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</si>
  <si>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</si>
  <si>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</si>
  <si>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</si>
  <si>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</si>
  <si>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</si>
  <si>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</si>
  <si>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</si>
  <si>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</si>
  <si>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</si>
  <si>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</si>
  <si>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</si>
  <si>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</si>
  <si>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</si>
  <si>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</si>
  <si>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</si>
  <si>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</si>
  <si>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</si>
  <si>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</si>
  <si>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</si>
  <si>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</si>
  <si>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</si>
  <si>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</si>
  <si>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</si>
  <si>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</si>
  <si>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</si>
  <si>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</si>
  <si>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</si>
  <si>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</si>
  <si>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</si>
  <si>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</si>
  <si>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</si>
  <si>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</si>
  <si>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</si>
  <si>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</si>
  <si>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</si>
  <si>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</si>
  <si>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</si>
  <si>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</si>
  <si>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</si>
  <si>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</si>
  <si>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</si>
  <si>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</si>
  <si>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</si>
  <si>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</si>
  <si>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</si>
  <si>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</si>
  <si>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</si>
  <si>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</si>
  <si>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</si>
  <si>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</si>
  <si>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</si>
  <si>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</si>
  <si>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</si>
  <si>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</si>
  <si>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</si>
  <si>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</si>
  <si>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</si>
  <si>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</si>
  <si>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</si>
  <si>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</si>
  <si>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</si>
  <si>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</si>
  <si>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</si>
  <si>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</si>
  <si>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</si>
  <si>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</si>
  <si>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</si>
  <si>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</si>
  <si>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</si>
  <si>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</si>
  <si>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</si>
  <si>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</si>
  <si>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</si>
  <si>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</si>
  <si>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</si>
  <si>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</si>
  <si>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</si>
  <si>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</si>
  <si>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</si>
  <si>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</si>
  <si>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</si>
  <si>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</si>
  <si>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</si>
  <si>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</si>
  <si>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</si>
  <si>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</si>
  <si>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</si>
  <si>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</si>
  <si>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</si>
  <si>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</si>
  <si>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</si>
  <si>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</si>
  <si>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</si>
  <si>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</si>
  <si>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</si>
  <si>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</si>
  <si>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</si>
  <si>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</si>
  <si>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</si>
  <si>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</si>
  <si>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</si>
  <si>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</si>
  <si>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</si>
  <si>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</si>
  <si>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</si>
  <si>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</si>
  <si>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</si>
  <si>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</si>
  <si>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</si>
  <si>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</si>
  <si>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</si>
  <si>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</si>
  <si>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</si>
  <si>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</si>
  <si>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</si>
  <si>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</si>
  <si>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</si>
  <si>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</si>
  <si>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</si>
  <si>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</si>
  <si>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</si>
  <si>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</si>
  <si>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</si>
  <si>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</si>
  <si>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</si>
  <si>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</si>
  <si>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</si>
  <si>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</si>
  <si>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</si>
  <si>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</si>
  <si>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</si>
  <si>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</si>
  <si>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</si>
  <si>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</si>
  <si>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</si>
  <si>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</si>
  <si>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</si>
  <si>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</si>
  <si>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</si>
  <si>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</si>
  <si>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</si>
  <si>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</si>
  <si>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</si>
  <si>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</si>
  <si>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</si>
  <si>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</si>
  <si>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</si>
  <si>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</si>
  <si>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</si>
  <si>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</si>
  <si>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</si>
  <si>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</si>
  <si>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</si>
  <si>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</si>
  <si>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</si>
  <si>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</si>
  <si>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</si>
  <si>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</si>
  <si>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</si>
  <si>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</si>
  <si>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</si>
  <si>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</si>
  <si>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</si>
  <si>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</si>
  <si>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</si>
  <si>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</si>
  <si>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</si>
  <si>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</si>
  <si>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</si>
  <si>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</si>
  <si>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</si>
  <si>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</si>
  <si>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</si>
  <si>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</si>
  <si>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</si>
  <si>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</si>
  <si>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</si>
  <si>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</si>
  <si>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</si>
  <si>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</si>
  <si>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</si>
  <si>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</si>
  <si>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</si>
  <si>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</si>
  <si>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</si>
  <si>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</si>
  <si>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</si>
  <si>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</si>
  <si>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</si>
  <si>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</si>
  <si>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</si>
  <si>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</si>
  <si>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</si>
  <si>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</si>
  <si>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</si>
  <si>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</si>
  <si>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</si>
  <si>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</si>
  <si>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</si>
  <si>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</si>
  <si>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</si>
  <si>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</si>
  <si>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</si>
  <si>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</si>
  <si>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</si>
  <si>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</si>
  <si>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</si>
  <si>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</si>
  <si>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</si>
  <si>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</si>
  <si>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</si>
  <si>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</si>
  <si>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</si>
  <si>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</si>
  <si>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</si>
  <si>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</si>
  <si>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</si>
  <si>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</si>
  <si>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</si>
  <si>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</si>
  <si>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</si>
  <si>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</si>
  <si>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</si>
  <si>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</si>
  <si>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</si>
  <si>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</si>
  <si>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</si>
  <si>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</si>
  <si>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</si>
  <si>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</si>
  <si>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</si>
  <si>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</si>
  <si>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</si>
  <si>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</si>
  <si>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</si>
  <si>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</si>
  <si>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</si>
  <si>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</si>
  <si>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</si>
  <si>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</si>
  <si>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</si>
  <si>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</si>
  <si>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</si>
  <si>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</si>
  <si>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</si>
  <si>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</si>
  <si>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</si>
  <si>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</si>
  <si>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</si>
  <si>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</si>
  <si>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</si>
  <si>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</si>
  <si>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</si>
  <si>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</si>
  <si>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</si>
  <si>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</si>
  <si>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</si>
  <si>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</si>
  <si>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</si>
  <si>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</si>
  <si>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</si>
  <si>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</si>
  <si>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</si>
  <si>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</si>
  <si>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</si>
  <si>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</si>
  <si>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</si>
  <si>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</si>
  <si>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</si>
  <si>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</si>
  <si>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</si>
  <si>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</si>
  <si>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</si>
  <si>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</si>
  <si>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</si>
  <si>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</si>
  <si>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</si>
  <si>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</si>
  <si>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</si>
  <si>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</si>
  <si>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</si>
  <si>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</si>
  <si>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</si>
  <si>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</si>
  <si>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</si>
  <si>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</si>
  <si>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</si>
  <si>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</si>
  <si>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</si>
  <si>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</si>
  <si>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</si>
  <si>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</si>
  <si>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</si>
  <si>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</si>
  <si>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</si>
  <si>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</si>
  <si>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</si>
  <si>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</si>
  <si>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</si>
  <si>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</si>
  <si>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</si>
  <si>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</si>
  <si>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</si>
  <si>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</si>
  <si>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</si>
  <si>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</si>
  <si>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</si>
  <si>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</si>
  <si>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</si>
  <si>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</si>
  <si>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</si>
  <si>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</si>
  <si>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</si>
  <si>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</si>
  <si>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</si>
  <si>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</si>
  <si>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</si>
  <si>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</si>
  <si>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</si>
  <si>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</si>
  <si>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</si>
  <si>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</si>
  <si>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</si>
  <si>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</si>
  <si>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</si>
  <si>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</si>
  <si>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</si>
  <si>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</si>
  <si>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</si>
  <si>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</si>
  <si>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</si>
  <si>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</si>
  <si>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</si>
  <si>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</si>
  <si>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</si>
  <si>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</si>
  <si>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</si>
  <si>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</si>
  <si>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</si>
  <si>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</si>
  <si>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</si>
  <si>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</si>
  <si>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</si>
  <si>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</si>
  <si>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</si>
  <si>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</si>
  <si>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</si>
  <si>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</si>
  <si>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</si>
  <si>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</si>
  <si>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</si>
  <si>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</si>
  <si>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</si>
  <si>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</si>
  <si>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</si>
  <si>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</si>
  <si>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</si>
  <si>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</si>
  <si>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</si>
  <si>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</si>
  <si>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</si>
  <si>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</si>
  <si>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</si>
  <si>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</si>
  <si>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</si>
  <si>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</si>
  <si>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</si>
  <si>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</si>
  <si>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</si>
  <si>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</si>
  <si>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</si>
  <si>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</si>
  <si>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</si>
  <si>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</si>
  <si>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</si>
  <si>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</si>
  <si>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</si>
  <si>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</si>
  <si>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</si>
  <si>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</si>
  <si>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</si>
  <si>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</si>
  <si>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</si>
  <si>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</si>
  <si>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</si>
  <si>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</si>
  <si>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</si>
  <si>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</si>
  <si>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</si>
  <si>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</si>
  <si>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</si>
  <si>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</si>
  <si>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</si>
  <si>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</si>
  <si>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</si>
  <si>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</si>
  <si>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</si>
  <si>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</si>
  <si>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</si>
  <si>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</si>
  <si>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</si>
  <si>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</si>
  <si>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</si>
  <si>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</si>
  <si>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</si>
  <si>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</si>
  <si>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</si>
  <si>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最大HP+3</t>
  </si>
  <si>
    <t>ATK+1</t>
  </si>
  <si>
    <t>DEF+1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</si>
  <si>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</si>
  <si>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</si>
  <si>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</si>
  <si>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</si>
  <si>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</si>
  <si>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</si>
  <si>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</si>
  <si>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</si>
  <si>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</si>
  <si>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</si>
  <si>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</si>
  <si>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</si>
  <si>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</si>
  <si>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</si>
  <si>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</si>
  <si>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</si>
  <si>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</si>
  <si>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</si>
  <si>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</si>
  <si>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</si>
  <si>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</si>
  <si>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</si>
  <si>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</si>
  <si>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</si>
  <si>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</si>
  <si>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</si>
  <si>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</si>
  <si>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</si>
  <si>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</si>
  <si>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</si>
  <si>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</si>
  <si>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</si>
  <si>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</si>
  <si>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</si>
  <si>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</si>
  <si>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</si>
  <si>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</si>
  <si>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</si>
  <si>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</si>
  <si>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</si>
  <si>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</si>
  <si>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</si>
  <si>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</si>
  <si>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</si>
  <si>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</si>
  <si>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</si>
  <si>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</si>
  <si>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</si>
  <si>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</si>
  <si>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</si>
  <si>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</si>
  <si>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</si>
  <si>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</si>
  <si>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</si>
  <si>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</si>
  <si>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</si>
  <si>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</si>
  <si>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</si>
  <si>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</si>
  <si>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</si>
  <si>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</si>
  <si>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</si>
  <si>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</si>
  <si>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</si>
  <si>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</si>
  <si>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</si>
  <si>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</si>
  <si>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</si>
  <si>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</si>
  <si>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</si>
  <si>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</si>
  <si>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</si>
  <si>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</si>
  <si>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</si>
  <si>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</si>
  <si>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</si>
  <si>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</si>
  <si>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</si>
  <si>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</si>
  <si>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</si>
  <si>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</si>
  <si>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</si>
  <si>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</si>
  <si>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</si>
  <si>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</si>
  <si>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</si>
  <si>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</si>
  <si>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</si>
  <si>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</si>
  <si>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</si>
  <si>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</si>
  <si>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</si>
  <si>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</si>
  <si>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</si>
  <si>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</si>
  <si>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</si>
  <si>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</si>
  <si>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</si>
  <si>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</si>
  <si>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</si>
  <si>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</si>
  <si>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</si>
  <si>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</si>
  <si>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</si>
  <si>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</si>
  <si>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</si>
  <si>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</si>
  <si>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</si>
  <si>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</si>
  <si>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</si>
  <si>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</si>
  <si>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</si>
  <si>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</si>
  <si>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</si>
  <si>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</si>
  <si>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</si>
  <si>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</si>
  <si>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</si>
  <si>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</si>
  <si>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</si>
  <si>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</si>
  <si>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</si>
  <si>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</si>
  <si>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</si>
  <si>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</si>
  <si>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</si>
  <si>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</si>
  <si>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</si>
  <si>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</si>
  <si>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</si>
  <si>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</si>
  <si>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</si>
  <si>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</si>
  <si>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</si>
  <si>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</si>
  <si>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</si>
  <si>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</si>
  <si>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</si>
  <si>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</si>
  <si>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</si>
  <si>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</si>
  <si>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</si>
  <si>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</si>
  <si>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</si>
  <si>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</si>
  <si>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</si>
  <si>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</si>
  <si>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</si>
  <si>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</si>
  <si>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</si>
  <si>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</si>
  <si>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</si>
  <si>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</si>
  <si>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</si>
  <si>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</si>
  <si>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</si>
  <si>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</si>
  <si>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</si>
  <si>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</si>
  <si>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</si>
  <si>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</si>
  <si>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</si>
  <si>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</si>
  <si>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</si>
  <si>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</si>
  <si>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</si>
  <si>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</si>
  <si>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</si>
  <si>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</si>
  <si>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</si>
  <si>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</si>
  <si>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</si>
  <si>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</si>
  <si>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</si>
  <si>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</si>
  <si>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</si>
  <si>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</si>
  <si>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</si>
  <si>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</si>
  <si>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</si>
  <si>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</si>
  <si>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</si>
  <si>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</si>
  <si>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</si>
  <si>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</si>
  <si>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</si>
  <si>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</si>
  <si>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</si>
  <si>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</si>
  <si>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</si>
  <si>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</si>
  <si>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</si>
  <si>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</si>
  <si>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</si>
  <si>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</si>
  <si>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</si>
  <si>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</si>
  <si>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</si>
  <si>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</si>
  <si>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</si>
  <si>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</si>
  <si>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</si>
  <si>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</si>
  <si>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</si>
  <si>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</si>
  <si>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</si>
  <si>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</si>
  <si>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</si>
  <si>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</si>
  <si>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</si>
  <si>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</si>
  <si>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</si>
  <si>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</si>
  <si>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</si>
  <si>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</si>
  <si>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</si>
  <si>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</si>
  <si>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</si>
  <si>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</si>
  <si>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</si>
  <si>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</si>
  <si>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</si>
  <si>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</si>
  <si>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</si>
  <si>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</si>
  <si>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</si>
  <si>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</si>
  <si>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</si>
  <si>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装備スロット増加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</si>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</sst>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9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9" borderId="3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8" fillId="9" borderId="4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6" fillId="26" borderId="7" applyNumberFormat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9"/>
  <sheetViews>
    <sheetView zoomScale="115" zoomScaleNormal="115" topLeftCell="H1" workbookViewId="0">
      <pane ySplit="1" topLeftCell="A50" activePane="bottomLeft" state="frozen"/>
      <selection/>
      <selection pane="bottomLeft" activeCell="W64" sqref="W64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10210</v>
      </c>
      <c r="B64">
        <v>10210</v>
      </c>
      <c r="C64" t="str">
        <f>INDEX(TextData!B:B,MATCH(B64,TextData!A:A))</f>
        <v>装備スロット数+1</v>
      </c>
      <c r="D64">
        <v>6</v>
      </c>
      <c r="E64" t="str">
        <f>INDEX(Define!X:X,MATCH(D64,Define!W:W))</f>
        <v>自己強化</v>
      </c>
      <c r="F64">
        <v>0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8</v>
      </c>
      <c r="P64" t="str">
        <f>INDEX(Define!H:H,MATCH(O64,Define!G:G))</f>
        <v>カインド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11010</v>
      </c>
      <c r="B65">
        <v>11010</v>
      </c>
      <c r="C65" t="str">
        <f>INDEX(TextData!B:B,MATCH(B65,TextData!A:A))</f>
        <v>ウルフソウル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11020</v>
      </c>
      <c r="B66">
        <v>11020</v>
      </c>
      <c r="C66" t="str">
        <f>INDEX(TextData!B:B,MATCH(B66,TextData!A:A))</f>
        <v>プリディカメント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11030</v>
      </c>
      <c r="B67">
        <v>11030</v>
      </c>
      <c r="C67" t="str">
        <f>INDEX(TextData!B:B,MATCH(B67,TextData!A:A))</f>
        <v>アサルトシフト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10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11040</v>
      </c>
      <c r="B68">
        <v>11040</v>
      </c>
      <c r="C68" t="str">
        <f>INDEX(TextData!B:B,MATCH(B68,TextData!A:A))</f>
        <v>アクティブギフト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4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1</v>
      </c>
    </row>
    <row r="69" spans="1:24">
      <c r="A69">
        <v>11050</v>
      </c>
      <c r="B69">
        <v>11050</v>
      </c>
      <c r="C69" t="str">
        <f>INDEX(TextData!B:B,MATCH(B69,TextData!A:A))</f>
        <v>イグナイテッド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11060</v>
      </c>
      <c r="B70">
        <v>11060</v>
      </c>
      <c r="C70" t="str">
        <f>INDEX(TextData!B:B,MATCH(B70,TextData!A:A))</f>
        <v>ライジングファイア</v>
      </c>
      <c r="D70">
        <v>6</v>
      </c>
      <c r="E70" t="str">
        <f>INDEX(Define!X:X,MATCH(D70,Define!W:W))</f>
        <v>自己強化</v>
      </c>
      <c r="F70">
        <v>1109</v>
      </c>
      <c r="G70" t="str">
        <f>INDEX([1]Animations!B:B,MATCH(F70,[1]Animations!A:A))</f>
        <v>MakerEffect/Flash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11070</v>
      </c>
      <c r="B71">
        <v>11070</v>
      </c>
      <c r="C71" t="str">
        <f>INDEX(TextData!B:B,MATCH(B71,TextData!A:A))</f>
        <v>ルージュバック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11080</v>
      </c>
      <c r="B72">
        <v>11080</v>
      </c>
      <c r="C72" t="str">
        <f>INDEX(TextData!B:B,MATCH(B72,TextData!A:A))</f>
        <v>パワーエール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20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1</v>
      </c>
    </row>
    <row r="73" spans="1:24">
      <c r="A73">
        <v>11090</v>
      </c>
      <c r="B73">
        <v>11090</v>
      </c>
      <c r="C73" t="str">
        <f>INDEX(TextData!B:B,MATCH(B73,TextData!A:A))</f>
        <v>スレイプニル</v>
      </c>
      <c r="D73">
        <v>6</v>
      </c>
      <c r="E73" t="str">
        <f>INDEX(Define!X:X,MATCH(D73,Define!W:W))</f>
        <v>自己強化</v>
      </c>
      <c r="F73">
        <v>3005</v>
      </c>
      <c r="G73" t="str">
        <f>INDEX([1]Animations!B:B,MATCH(F73,[1]Animations!A:A))</f>
        <v>Genfulew_Effect/B&amp;S_MinMax_AttackUp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11100</v>
      </c>
      <c r="B74">
        <v>11100</v>
      </c>
      <c r="C74" t="str">
        <f>INDEX(TextData!B:B,MATCH(B74,TextData!A:A))</f>
        <v>レストア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11110</v>
      </c>
      <c r="B75">
        <v>11110</v>
      </c>
      <c r="C75" t="str">
        <f>INDEX(TextData!B:B,MATCH(B75,TextData!A:A))</f>
        <v>フレイムセイバー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MakerEffect/Flash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12010</v>
      </c>
      <c r="B76">
        <v>12010</v>
      </c>
      <c r="C76" t="str">
        <f>INDEX(TextData!B:B,MATCH(B76,TextData!A:A))</f>
        <v>コンセントレイト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12020</v>
      </c>
      <c r="B77">
        <v>12020</v>
      </c>
      <c r="C77" t="str">
        <f>INDEX(TextData!B:B,MATCH(B77,TextData!A:A))</f>
        <v>ヘブンリーラック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12040</v>
      </c>
      <c r="B79">
        <v>12040</v>
      </c>
      <c r="C79" t="str">
        <f>INDEX(TextData!B:B,MATCH(B79,TextData!A:A))</f>
        <v>イヴェイドオール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MakerEffect/BallsOfLight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12060</v>
      </c>
      <c r="B81">
        <v>12060</v>
      </c>
      <c r="C81" t="str">
        <f>INDEX(TextData!B:B,MATCH(B81,TextData!A:A))</f>
        <v>チェイスマジック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MakerEffect/Flash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30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7</v>
      </c>
      <c r="R81" t="str">
        <f>INDEX(Define!K:K,MATCH(Q81,Define!J:J))</f>
        <v>追撃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12070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20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12071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3006</v>
      </c>
      <c r="G83" t="str">
        <f>INDEX([1]Animations!B:B,MATCH(F83,[1]Animations!A:A))</f>
        <v>Genfulew_Effect/B&amp;S_MinMax_AttackDown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12080</v>
      </c>
      <c r="B84">
        <v>12080</v>
      </c>
      <c r="C84" t="str">
        <f>INDEX(TextData!B:B,MATCH(B84,TextData!A:A))</f>
        <v>ウィンドライズ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6</v>
      </c>
      <c r="R84" t="str">
        <f>INDEX(Define!K:K,MATCH(Q84,Define!J:J))</f>
        <v>反撃</v>
      </c>
      <c r="S84">
        <v>1</v>
      </c>
      <c r="T84" t="str">
        <f>INDEX(Define!N:N,MATCH(S84,Define!M:M))</f>
        <v>単体</v>
      </c>
      <c r="U84">
        <v>2</v>
      </c>
      <c r="V84">
        <v>1</v>
      </c>
      <c r="W84">
        <v>1</v>
      </c>
      <c r="X84">
        <v>0</v>
      </c>
    </row>
    <row r="85" spans="1:24">
      <c r="A85">
        <v>12090</v>
      </c>
      <c r="B85">
        <v>12090</v>
      </c>
      <c r="C85" t="str">
        <f>INDEX(TextData!B:B,MATCH(B85,TextData!A:A))</f>
        <v>アウトオブオーダー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MakerEffect/BallsOfLight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2</v>
      </c>
      <c r="T85" t="str">
        <f>INDEX(Define!N:N,MATCH(S85,Define!M:M))</f>
        <v>列</v>
      </c>
      <c r="U85">
        <v>2</v>
      </c>
      <c r="V85">
        <v>1</v>
      </c>
      <c r="W85">
        <v>1</v>
      </c>
      <c r="X85">
        <v>0</v>
      </c>
    </row>
    <row r="86" spans="1:24">
      <c r="A86">
        <v>12100</v>
      </c>
      <c r="B86">
        <v>12100</v>
      </c>
      <c r="C86" t="str">
        <f>INDEX(TextData!B:B,MATCH(B86,TextData!A:A))</f>
        <v>ワンスパニッシュ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12110</v>
      </c>
      <c r="B87">
        <v>12110</v>
      </c>
      <c r="C87" t="str">
        <f>INDEX(TextData!B:B,MATCH(B87,TextData!A:A))</f>
        <v>アクトスタンス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13020</v>
      </c>
      <c r="B89">
        <v>13020</v>
      </c>
      <c r="C89" t="str">
        <f>INDEX(TextData!B:B,MATCH(B89,TextData!A:A))</f>
        <v>クイックバリア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MakerEffect/Powerup3</v>
      </c>
      <c r="H89">
        <v>1</v>
      </c>
      <c r="I89" t="str">
        <f>INDEX(Define!B:B,MATCH(H89,Define!A:A))</f>
        <v>単体</v>
      </c>
      <c r="J89">
        <v>0</v>
      </c>
      <c r="K89" s="7">
        <v>3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ht="12" customHeight="1" spans="1:24">
      <c r="A90">
        <v>13030</v>
      </c>
      <c r="B90">
        <v>13030</v>
      </c>
      <c r="C90" t="str">
        <f>INDEX(TextData!B:B,MATCH(B90,TextData!A:A))</f>
        <v>クイックキュア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 s="7">
        <v>2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spans="1:24">
      <c r="A91">
        <v>13040</v>
      </c>
      <c r="B91">
        <v>13040</v>
      </c>
      <c r="C91" t="str">
        <f>INDEX(TextData!B:B,MATCH(B91,TextData!A:A))</f>
        <v>セルフシールド</v>
      </c>
      <c r="D91">
        <v>6</v>
      </c>
      <c r="E91" t="str">
        <f>INDEX(Define!X:X,MATCH(D91,Define!W:W))</f>
        <v>自己強化</v>
      </c>
      <c r="F91">
        <v>803</v>
      </c>
      <c r="G91" t="str">
        <f>INDEX([1]Animations!B:B,MATCH(F91,[1]Animations!A:A))</f>
        <v>MakerEffect/Powerup3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10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13050</v>
      </c>
      <c r="B92">
        <v>13050</v>
      </c>
      <c r="C92" t="str">
        <f>INDEX(TextData!B:B,MATCH(B92,TextData!A:A))</f>
        <v>パッシブジャミング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5</v>
      </c>
      <c r="L92">
        <v>20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spans="1:24">
      <c r="A93">
        <v>13060</v>
      </c>
      <c r="B93">
        <v>13060</v>
      </c>
      <c r="C93" t="str">
        <f>INDEX(TextData!B:B,MATCH(B93,TextData!A:A))</f>
        <v>サプライカバー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2</v>
      </c>
      <c r="L93">
        <v>30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13070</v>
      </c>
      <c r="B94">
        <v>13070</v>
      </c>
      <c r="C94" t="str">
        <f>INDEX(TextData!B:B,MATCH(B94,TextData!A:A))</f>
        <v>アシッドラッシュ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MakerEffect/PierceIce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7</v>
      </c>
      <c r="R94" t="str">
        <f>INDEX(Define!K:K,MATCH(Q94,Define!J:J))</f>
        <v>追撃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spans="1:24">
      <c r="A95">
        <v>13080</v>
      </c>
      <c r="B95">
        <v>13080</v>
      </c>
      <c r="C95" t="str">
        <f>INDEX(TextData!B:B,MATCH(B95,TextData!A:A))</f>
        <v>ライフスティール</v>
      </c>
      <c r="D95">
        <v>6</v>
      </c>
      <c r="E95" t="str">
        <f>INDEX(Define!X:X,MATCH(D95,Define!W:W))</f>
        <v>自己強化</v>
      </c>
      <c r="F95">
        <v>3347</v>
      </c>
      <c r="G95" t="str">
        <f>INDEX([1]Animations!B:B,MATCH(F95,[1]Animations!A:A))</f>
        <v>Genfulew_Effect/Enemy_CR_Charge2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10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13090</v>
      </c>
      <c r="B96">
        <v>13090</v>
      </c>
      <c r="C96" t="str">
        <f>INDEX(TextData!B:B,MATCH(B96,TextData!A:A))</f>
        <v>アイスセイバー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MakerEffect/PierceIce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3</v>
      </c>
      <c r="T96" t="str">
        <f>INDEX(Define!N:N,MATCH(S96,Define!M:M))</f>
        <v>全体</v>
      </c>
      <c r="U96">
        <v>1</v>
      </c>
      <c r="V96">
        <v>1</v>
      </c>
      <c r="W96">
        <v>1</v>
      </c>
      <c r="X96">
        <v>0</v>
      </c>
    </row>
    <row r="97" spans="1:24">
      <c r="A97">
        <v>13100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30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13101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13102</v>
      </c>
      <c r="B99">
        <v>13100</v>
      </c>
      <c r="C99" t="str">
        <f>INDEX(TextData!B:B,MATCH(B99,TextData!A:A))</f>
        <v>ルミナスカバー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3</v>
      </c>
      <c r="T99" t="str">
        <f>INDEX(Define!N:N,MATCH(S99,Define!M:M))</f>
        <v>全体</v>
      </c>
      <c r="U99">
        <v>1</v>
      </c>
      <c r="V99">
        <v>1</v>
      </c>
      <c r="W99">
        <v>1</v>
      </c>
      <c r="X99">
        <v>0</v>
      </c>
    </row>
    <row r="100" spans="1:24">
      <c r="A100">
        <v>13110</v>
      </c>
      <c r="B100">
        <v>13110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MakerEffect/PierceIce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13111</v>
      </c>
      <c r="B101">
        <v>13111</v>
      </c>
      <c r="C101" t="str">
        <f>INDEX(TextData!B:B,MATCH(B101,TextData!A:A))</f>
        <v>デコイプラス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13120</v>
      </c>
      <c r="B102">
        <v>13120</v>
      </c>
      <c r="C102" t="str">
        <f>INDEX(TextData!B:B,MATCH(B102,TextData!A:A))</f>
        <v>アフターシールド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13130</v>
      </c>
      <c r="B103">
        <v>13130</v>
      </c>
      <c r="C103" t="str">
        <f>INDEX(TextData!B:B,MATCH(B103,TextData!A:A))</f>
        <v>カバープラス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14010</v>
      </c>
      <c r="B104">
        <v>14010</v>
      </c>
      <c r="C104" t="str">
        <f>INDEX(TextData!B:B,MATCH(B104,TextData!A:A))</f>
        <v>ディバインシールド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14040</v>
      </c>
      <c r="B107">
        <v>14040</v>
      </c>
      <c r="C107" t="str">
        <f>INDEX(TextData!B:B,MATCH(B107,TextData!A:A))</f>
        <v>リジェネレーション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14050</v>
      </c>
      <c r="B108">
        <v>14050</v>
      </c>
      <c r="C108" t="str">
        <f>INDEX(TextData!B:B,MATCH(B108,TextData!A:A))</f>
        <v>ホープフルアイリス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14060</v>
      </c>
      <c r="B109">
        <v>14060</v>
      </c>
      <c r="C109" t="str">
        <f>INDEX(TextData!B:B,MATCH(B109,TextData!A:A))</f>
        <v>パッシブサプライ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14070</v>
      </c>
      <c r="B110">
        <v>14070</v>
      </c>
      <c r="C110" t="str">
        <f>INDEX(TextData!B:B,MATCH(B110,TextData!A:A))</f>
        <v>ホーミングクルセイド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14080</v>
      </c>
      <c r="B111">
        <v>14080</v>
      </c>
      <c r="C111" t="str">
        <f>INDEX(TextData!B:B,MATCH(B111,TextData!A:A))</f>
        <v>クイックヒール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11</v>
      </c>
      <c r="R111" t="str">
        <f>INDEX(Define!K:K,MATCH(Q111,Define!J:J))</f>
        <v>Triggerの条件を満たす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14090</v>
      </c>
      <c r="B112">
        <v>14090</v>
      </c>
      <c r="C112" t="str">
        <f>INDEX(TextData!B:B,MATCH(B112,TextData!A:A))</f>
        <v>リレイズ</v>
      </c>
      <c r="D112">
        <v>6</v>
      </c>
      <c r="E112" t="str">
        <f>INDEX(Define!X:X,MATCH(D112,Define!W:W))</f>
        <v>自己強化</v>
      </c>
      <c r="F112">
        <v>3027</v>
      </c>
      <c r="G112" t="str">
        <f>INDEX([1]Animations!B:B,MATCH(F112,[1]Animations!A:A))</f>
        <v>Genfulew_Effect/B&amp;S_MinMax_Regeneration1</v>
      </c>
      <c r="H112">
        <v>1</v>
      </c>
      <c r="I112" t="str">
        <f>INDEX(Define!B:B,MATCH(H112,Define!A:A))</f>
        <v>単体</v>
      </c>
      <c r="J112">
        <v>0</v>
      </c>
      <c r="K112">
        <v>5</v>
      </c>
      <c r="L112">
        <v>30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14100</v>
      </c>
      <c r="B113">
        <v>14100</v>
      </c>
      <c r="C113" t="str">
        <f>INDEX(TextData!B:B,MATCH(B113,TextData!A:A))</f>
        <v>ファストヒール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14110</v>
      </c>
      <c r="B114">
        <v>14110</v>
      </c>
      <c r="C114" t="str">
        <f>INDEX(TextData!B:B,MATCH(B114,TextData!A:A))</f>
        <v>セルフケア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14120</v>
      </c>
      <c r="B115">
        <v>14120</v>
      </c>
      <c r="C115" t="str">
        <f>INDEX(TextData!B:B,MATCH(B115,TextData!A:A))</f>
        <v>ファーストエイド</v>
      </c>
      <c r="D115">
        <v>6</v>
      </c>
      <c r="E115" t="str">
        <f>INDEX(Define!X:X,MATCH(D115,Define!W:W))</f>
        <v>自己強化</v>
      </c>
      <c r="F115">
        <v>3023</v>
      </c>
      <c r="G115" t="str">
        <f>INDEX([1]Animations!B:B,MATCH(F115,[1]Animations!A:A))</f>
        <v>Genfulew_Effect/B&amp;S_MinMax_Cure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11</v>
      </c>
      <c r="R115" t="str">
        <f>INDEX(Define!K:K,MATCH(Q115,Define!J:J))</f>
        <v>Triggerの条件を満たす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15010</v>
      </c>
      <c r="B116">
        <v>15010</v>
      </c>
      <c r="C116" t="str">
        <f>INDEX(TextData!B:B,MATCH(B116,TextData!A:A))</f>
        <v>イーグルアイ</v>
      </c>
      <c r="D116">
        <v>6</v>
      </c>
      <c r="E116" t="str">
        <f>INDEX(Define!X:X,MATCH(D116,Define!W:W))</f>
        <v>自己強化</v>
      </c>
      <c r="F116">
        <v>3009</v>
      </c>
      <c r="G116" t="str">
        <f>INDEX([1]Animations!B:B,MATCH(F116,[1]Animations!A:A))</f>
        <v>Genfulew_Effect/B&amp;S_MinMax_MagicAttackUp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15020</v>
      </c>
      <c r="B117">
        <v>15020</v>
      </c>
      <c r="C117" t="str">
        <f>INDEX(TextData!B:B,MATCH(B117,TextData!A:A))</f>
        <v>ネヴァーエンド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15030</v>
      </c>
      <c r="B118">
        <v>15030</v>
      </c>
      <c r="C118" t="str">
        <f>INDEX(TextData!B:B,MATCH(B118,TextData!A:A))</f>
        <v>グレイブアクト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MakerEffect/Flash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15040</v>
      </c>
      <c r="B119">
        <v>15040</v>
      </c>
      <c r="C119" t="str">
        <f>INDEX(TextData!B:B,MATCH(B119,TextData!A:A))</f>
        <v>スカルグラッジ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15050</v>
      </c>
      <c r="B120">
        <v>15050</v>
      </c>
      <c r="C120" t="str">
        <f>INDEX(TextData!B:B,MATCH(B120,TextData!A:A))</f>
        <v>ネガティブドレイン</v>
      </c>
      <c r="D120">
        <v>6</v>
      </c>
      <c r="E120" t="str">
        <f>INDEX(Define!X:X,MATCH(D120,Define!W:W))</f>
        <v>自己強化</v>
      </c>
      <c r="F120">
        <v>0</v>
      </c>
      <c r="G120" t="e">
        <f>INDEX([1]Animations!B:B,MATCH(F120,[1]Animations!A:A))</f>
        <v>#N/A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15060</v>
      </c>
      <c r="B121">
        <v>15060</v>
      </c>
      <c r="C121" t="str">
        <f>INDEX(TextData!B:B,MATCH(B121,TextData!A:A))</f>
        <v>アンデッドペイン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15070</v>
      </c>
      <c r="B122">
        <v>15070</v>
      </c>
      <c r="C122" t="str">
        <f>INDEX(TextData!B:B,MATCH(B122,TextData!A:A))</f>
        <v>ジャックポッド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1</v>
      </c>
    </row>
    <row r="123" ht="12" customHeight="1" spans="1:24">
      <c r="A123">
        <v>15080</v>
      </c>
      <c r="B123">
        <v>15080</v>
      </c>
      <c r="C123" t="str">
        <f>INDEX(TextData!B:B,MATCH(B123,TextData!A:A))</f>
        <v>ヒールハント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15090</v>
      </c>
      <c r="B124">
        <v>15090</v>
      </c>
      <c r="C124" t="str">
        <f>INDEX(TextData!B:B,MATCH(B124,TextData!A:A))</f>
        <v>クイックカース</v>
      </c>
      <c r="D124">
        <v>6</v>
      </c>
      <c r="E124" t="str">
        <f>INDEX(Define!X:X,MATCH(D124,Define!W:W))</f>
        <v>自己強化</v>
      </c>
      <c r="F124">
        <v>3047</v>
      </c>
      <c r="G124" t="str">
        <f>INDEX([1]Animations!B:B,MATCH(F124,[1]Animations!A:A))</f>
        <v>Genfulew_Effect/B&amp;S_MinMax_Dispel</v>
      </c>
      <c r="H124">
        <v>1</v>
      </c>
      <c r="I124" t="str">
        <f>INDEX(Define!B:B,MATCH(H124,Define!A:A))</f>
        <v>単体</v>
      </c>
      <c r="J124">
        <v>0</v>
      </c>
      <c r="K124">
        <v>2</v>
      </c>
      <c r="L124">
        <v>20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15100</v>
      </c>
      <c r="B125">
        <v>15100</v>
      </c>
      <c r="C125" t="str">
        <f>INDEX(TextData!B:B,MATCH(B125,TextData!A:A))</f>
        <v>リヴェンジャー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15110</v>
      </c>
      <c r="B126">
        <v>15110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15112</v>
      </c>
      <c r="B127">
        <v>15112</v>
      </c>
      <c r="C127" t="str">
        <f>INDEX(TextData!B:B,MATCH(B127,TextData!A:A))</f>
        <v>リープリアクト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11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15120</v>
      </c>
      <c r="B128">
        <v>15120</v>
      </c>
      <c r="C128" t="str">
        <f>INDEX(TextData!B:B,MATCH(B128,TextData!A:A))</f>
        <v>ディレイドパッシブ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15130</v>
      </c>
      <c r="B129">
        <v>15130</v>
      </c>
      <c r="C129" t="str">
        <f>INDEX(TextData!B:B,MATCH(B129,TextData!A:A))</f>
        <v>シャドウケイプ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20010</v>
      </c>
      <c r="B130">
        <v>20010</v>
      </c>
      <c r="C130" t="str">
        <f>INDEX(TextData!B:B,MATCH(B130,TextData!A:A))</f>
        <v>ウェイトユニゾン</v>
      </c>
      <c r="D130">
        <v>99</v>
      </c>
      <c r="E130" t="str">
        <f>INDEX(Define!X:X,MATCH(D130,Define!W:W))</f>
        <v>その他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0</v>
      </c>
      <c r="M130">
        <v>6</v>
      </c>
      <c r="N130" t="str">
        <f>INDEX(Define!E:E,MATCH(M130,Define!D:D))</f>
        <v>無</v>
      </c>
      <c r="O130">
        <v>1</v>
      </c>
      <c r="P130" t="str">
        <f>INDEX(Define!H:H,MATCH(O130,Define!G:G))</f>
        <v>魔法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30010</v>
      </c>
      <c r="B131">
        <v>30010</v>
      </c>
      <c r="C131" t="str">
        <f>INDEX(TextData!B:B,MATCH(B131,TextData!A:A))</f>
        <v>ラーニングピアス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30020</v>
      </c>
      <c r="B132">
        <v>30020</v>
      </c>
      <c r="C132" t="str">
        <f>INDEX(TextData!B:B,MATCH(B132,TextData!A:A))</f>
        <v>スティールヒール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30030</v>
      </c>
      <c r="B133">
        <v>30030</v>
      </c>
      <c r="C133" t="str">
        <f>INDEX(TextData!B:B,MATCH(B133,TextData!A:A))</f>
        <v>ガッツ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330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100110</v>
      </c>
      <c r="B134">
        <v>100110</v>
      </c>
      <c r="C134" t="str">
        <f>INDEX(TextData!B:B,MATCH(B134,TextData!A:A))</f>
        <v>ソーイングアームド</v>
      </c>
      <c r="D134">
        <v>10</v>
      </c>
      <c r="E134" t="str">
        <f>INDEX(Define!X:X,MATCH(D134,Define!W:W))</f>
        <v>半神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100120</v>
      </c>
      <c r="B135">
        <v>100120</v>
      </c>
      <c r="C135" t="str">
        <f>INDEX(TextData!B:B,MATCH(B135,TextData!A:A))</f>
        <v>エターナルロンド</v>
      </c>
      <c r="D135">
        <v>11</v>
      </c>
      <c r="E135" t="str">
        <f>INDEX(Define!X:X,MATCH(D135,Define!W:W))</f>
        <v>覚醒</v>
      </c>
      <c r="F135">
        <v>101</v>
      </c>
      <c r="G135" t="str">
        <f>INDEX([1]Animations!B:B,MATCH(F135,[1]Animations!A:A))</f>
        <v>MakerEffect/FireOne1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4</v>
      </c>
      <c r="P135" t="str">
        <f>INDEX(Define!H:H,MATCH(O135,Define!G:G))</f>
        <v>覚醒</v>
      </c>
      <c r="Q135">
        <v>1</v>
      </c>
      <c r="R135" t="str">
        <f>INDEX(Define!K:K,MATCH(Q135,Define!J:J))</f>
        <v>相手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100210</v>
      </c>
      <c r="B136">
        <v>100210</v>
      </c>
      <c r="C136" t="str">
        <f>INDEX(TextData!B:B,MATCH(B136,TextData!A:A))</f>
        <v>アブソリュートパリィ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100220</v>
      </c>
      <c r="B137">
        <v>100220</v>
      </c>
      <c r="C137" t="str">
        <f>INDEX(TextData!B:B,MATCH(B137,TextData!A:A))</f>
        <v>レヴェリー</v>
      </c>
      <c r="D137">
        <v>11</v>
      </c>
      <c r="E137" t="str">
        <f>INDEX(Define!X:X,MATCH(D137,Define!W:W))</f>
        <v>覚醒</v>
      </c>
      <c r="F137">
        <v>1002</v>
      </c>
      <c r="G137" t="str">
        <f>INDEX([1]Animations!B:B,MATCH(F137,[1]Animations!A:A))</f>
        <v>MakerEffect/HitEffect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7</v>
      </c>
      <c r="W137">
        <v>1</v>
      </c>
      <c r="X137">
        <v>0</v>
      </c>
    </row>
    <row r="138" spans="1:24">
      <c r="A138">
        <v>100310</v>
      </c>
      <c r="B138">
        <v>100310</v>
      </c>
      <c r="C138" t="str">
        <f>INDEX(TextData!B:B,MATCH(B138,TextData!A:A))</f>
        <v>セイクリッドバリア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100320</v>
      </c>
      <c r="B139">
        <v>100320</v>
      </c>
      <c r="C139" t="str">
        <f>INDEX(TextData!B:B,MATCH(B139,TextData!A:A))</f>
        <v>リベンジニードル</v>
      </c>
      <c r="D139">
        <v>11</v>
      </c>
      <c r="E139" t="str">
        <f>INDEX(Define!X:X,MATCH(D139,Define!W:W))</f>
        <v>覚醒</v>
      </c>
      <c r="F139">
        <v>1003</v>
      </c>
      <c r="G139" t="str">
        <f>INDEX([1]Animations!B:B,MATCH(F139,[1]Animations!A:A))</f>
        <v>MakerEffect/HitFire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1</v>
      </c>
      <c r="V139">
        <v>1</v>
      </c>
      <c r="W139">
        <v>1</v>
      </c>
      <c r="X139">
        <v>0</v>
      </c>
    </row>
    <row r="140" spans="1:24">
      <c r="A140">
        <v>100410</v>
      </c>
      <c r="B140">
        <v>100410</v>
      </c>
      <c r="C140" t="str">
        <f>INDEX(TextData!B:B,MATCH(B140,TextData!A:A))</f>
        <v>アバンデンス</v>
      </c>
      <c r="D140">
        <v>10</v>
      </c>
      <c r="E140" t="str">
        <f>INDEX(Define!X:X,MATCH(D140,Define!W:W))</f>
        <v>半神</v>
      </c>
      <c r="F140">
        <v>401</v>
      </c>
      <c r="G140" t="str">
        <f>INDEX([1]Animations!B:B,MATCH(F140,[1]Animations!A:A))</f>
        <v>MakerEffect/LightOne1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0</v>
      </c>
      <c r="X140">
        <v>0</v>
      </c>
    </row>
    <row r="141" spans="1:24">
      <c r="A141">
        <v>100420</v>
      </c>
      <c r="B141">
        <v>100420</v>
      </c>
      <c r="C141" t="str">
        <f>INDEX(TextData!B:B,MATCH(B141,TextData!A:A))</f>
        <v>ハーヴェスト</v>
      </c>
      <c r="D141">
        <v>11</v>
      </c>
      <c r="E141" t="str">
        <f>INDEX(Define!X:X,MATCH(D141,Define!W:W))</f>
        <v>覚醒</v>
      </c>
      <c r="F141">
        <v>1004</v>
      </c>
      <c r="G141" t="str">
        <f>INDEX([1]Animations!B:B,MATCH(F141,[1]Animations!A:A))</f>
        <v>MakerEffect/HitIce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100510</v>
      </c>
      <c r="B142">
        <v>100510</v>
      </c>
      <c r="C142" t="str">
        <f>INDEX(TextData!B:B,MATCH(B142,TextData!A:A))</f>
        <v>カースドブレイク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100520</v>
      </c>
      <c r="B143">
        <v>100520</v>
      </c>
      <c r="C143" t="str">
        <f>INDEX(TextData!B:B,MATCH(B143,TextData!A:A))</f>
        <v>ムーンライトレイ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100610</v>
      </c>
      <c r="B144">
        <v>100610</v>
      </c>
      <c r="C144" t="str">
        <f>INDEX(TextData!B:B,MATCH(B144,TextData!A:A))</f>
        <v>サンフレイム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4</v>
      </c>
      <c r="R144" t="str">
        <f>INDEX(Define!K:K,MATCH(Q144,Define!J:J))</f>
        <v>自身</v>
      </c>
      <c r="S144">
        <v>31</v>
      </c>
      <c r="T144" t="str">
        <f>INDEX(Define!N:N,MATCH(S144,Define!M:M))</f>
        <v>単体と両隣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100620</v>
      </c>
      <c r="B145">
        <v>100620</v>
      </c>
      <c r="C145" t="str">
        <f>INDEX(TextData!B:B,MATCH(B145,TextData!A:A))</f>
        <v>フレイムタン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ht="12" customHeight="1" spans="1:24">
      <c r="A146">
        <v>100710</v>
      </c>
      <c r="B146">
        <v>100710</v>
      </c>
      <c r="C146" t="str">
        <f>INDEX(TextData!B:B,MATCH(B146,TextData!A:A))</f>
        <v>ライズザフラッグ</v>
      </c>
      <c r="D146">
        <v>10</v>
      </c>
      <c r="E146" t="str">
        <f>INDEX(Define!X:X,MATCH(D146,Define!W:W))</f>
        <v>半神</v>
      </c>
      <c r="F146">
        <v>201</v>
      </c>
      <c r="G146" t="str">
        <f>INDEX([1]Animations!B:B,MATCH(F146,[1]Animations!A:A))</f>
        <v>MakerEffect/ThunderOne1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100720</v>
      </c>
      <c r="B147">
        <v>100720</v>
      </c>
      <c r="C147" t="str">
        <f>INDEX(TextData!B:B,MATCH(B147,TextData!A:A))</f>
        <v>オーバーリミット</v>
      </c>
      <c r="D147">
        <v>11</v>
      </c>
      <c r="E147" t="str">
        <f>INDEX(Define!X:X,MATCH(D147,Define!W:W))</f>
        <v>覚醒</v>
      </c>
      <c r="F147">
        <v>1005</v>
      </c>
      <c r="G147" t="str">
        <f>INDEX([1]Animations!B:B,MATCH(F147,[1]Animations!A:A))</f>
        <v>MakerEffect/HitThunder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4</v>
      </c>
      <c r="P147" t="str">
        <f>INDEX(Define!H:H,MATCH(O147,Define!G:G))</f>
        <v>覚醒</v>
      </c>
      <c r="Q147">
        <v>2</v>
      </c>
      <c r="R147" t="str">
        <f>INDEX(Define!K:K,MATCH(Q147,Define!J:J))</f>
        <v>味方</v>
      </c>
      <c r="S147">
        <v>2</v>
      </c>
      <c r="T147" t="str">
        <f>INDEX(Define!N:N,MATCH(S147,Define!M:M))</f>
        <v>列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100810</v>
      </c>
      <c r="B148">
        <v>100810</v>
      </c>
      <c r="C148" t="str">
        <f>INDEX(TextData!B:B,MATCH(B148,TextData!A:A))</f>
        <v>テンパランス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3</v>
      </c>
      <c r="P148" t="str">
        <f>INDEX(Define!H:H,MATCH(O148,Define!G:G))</f>
        <v>神化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100820</v>
      </c>
      <c r="B149">
        <v>100820</v>
      </c>
      <c r="C149" t="str">
        <f>INDEX(TextData!B:B,MATCH(B149,TextData!A:A))</f>
        <v>シエルクルセイダー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100910</v>
      </c>
      <c r="B150">
        <v>100910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101</v>
      </c>
      <c r="G150" t="str">
        <f>INDEX([1]Animations!B:B,MATCH(F150,[1]Animations!A:A))</f>
        <v>MakerEffect/FireOne1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3</v>
      </c>
      <c r="P150" t="str">
        <f>INDEX(Define!H:H,MATCH(O150,Define!G:G))</f>
        <v>神化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100911</v>
      </c>
      <c r="B151">
        <v>100911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100920</v>
      </c>
      <c r="B152">
        <v>100920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1005</v>
      </c>
      <c r="G152" t="str">
        <f>INDEX([1]Animations!B:B,MATCH(F152,[1]Animations!A:A))</f>
        <v>MakerEffect/HitThunder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100921</v>
      </c>
      <c r="B153">
        <v>100921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101010</v>
      </c>
      <c r="B154">
        <v>101010</v>
      </c>
      <c r="C154" t="str">
        <f>INDEX(TextData!B:B,MATCH(B154,TextData!A:A))</f>
        <v>エウロス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3</v>
      </c>
      <c r="P154" t="str">
        <f>INDEX(Define!H:H,MATCH(O154,Define!G:G))</f>
        <v>神化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101020</v>
      </c>
      <c r="B155">
        <v>101020</v>
      </c>
      <c r="C155" t="str">
        <f>INDEX(TextData!B:B,MATCH(B155,TextData!A:A))</f>
        <v>ボレアス</v>
      </c>
      <c r="D155">
        <v>11</v>
      </c>
      <c r="E155" t="str">
        <f>INDEX(Define!X:X,MATCH(D155,Define!W:W))</f>
        <v>覚醒</v>
      </c>
      <c r="F155">
        <v>1005</v>
      </c>
      <c r="G155" t="str">
        <f>INDEX([1]Animations!B:B,MATCH(F155,[1]Animations!A:A))</f>
        <v>MakerEffect/HitThunder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101110</v>
      </c>
      <c r="B156">
        <v>101110</v>
      </c>
      <c r="C156" t="str">
        <f>INDEX(TextData!B:B,MATCH(B156,TextData!A:A))</f>
        <v>アバランシュ</v>
      </c>
      <c r="D156">
        <v>10</v>
      </c>
      <c r="E156" t="str">
        <f>INDEX(Define!X:X,MATCH(D156,Define!W:W))</f>
        <v>半神</v>
      </c>
      <c r="F156">
        <v>301</v>
      </c>
      <c r="G156" t="str">
        <f>INDEX([1]Animations!B:B,MATCH(F156,[1]Animations!A:A))</f>
        <v>MakerEffect/IceOne1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101120</v>
      </c>
      <c r="B157">
        <v>101120</v>
      </c>
      <c r="C157" t="str">
        <f>INDEX(TextData!B:B,MATCH(B157,TextData!A:A))</f>
        <v>ブリザードコフィン</v>
      </c>
      <c r="D157">
        <v>11</v>
      </c>
      <c r="E157" t="str">
        <f>INDEX(Define!X:X,MATCH(D157,Define!W:W))</f>
        <v>覚醒</v>
      </c>
      <c r="F157">
        <v>1005</v>
      </c>
      <c r="G157" t="str">
        <f>INDEX([1]Animations!B:B,MATCH(F157,[1]Animations!A:A))</f>
        <v>MakerEffect/HitThunder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2</v>
      </c>
      <c r="T157" t="str">
        <f>INDEX(Define!N:N,MATCH(S157,Define!M:M))</f>
        <v>列</v>
      </c>
      <c r="U157">
        <v>2</v>
      </c>
      <c r="V157">
        <v>1</v>
      </c>
      <c r="W157">
        <v>1</v>
      </c>
      <c r="X157">
        <v>0</v>
      </c>
    </row>
    <row r="158" spans="1:24">
      <c r="A158">
        <v>110110</v>
      </c>
      <c r="B158">
        <v>110110</v>
      </c>
      <c r="C158" t="str">
        <f>INDEX(TextData!B:B,MATCH(B158,TextData!A:A))</f>
        <v>ウィビングヒストリー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110120</v>
      </c>
      <c r="B159">
        <v>110120</v>
      </c>
      <c r="C159" t="str">
        <f>INDEX(TextData!B:B,MATCH(B159,TextData!A:A))</f>
        <v>アンライバルド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200110</v>
      </c>
      <c r="B160">
        <v>200110</v>
      </c>
      <c r="C160" t="str">
        <f>INDEX(TextData!B:B,MATCH(B160,TextData!A:A))</f>
        <v>スリータイムス</v>
      </c>
      <c r="D160">
        <v>10</v>
      </c>
      <c r="E160" t="str">
        <f>INDEX(Define!X:X,MATCH(D160,Define!W:W))</f>
        <v>半神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3</v>
      </c>
      <c r="P160" t="str">
        <f>INDEX(Define!H:H,MATCH(O160,Define!G:G))</f>
        <v>神化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200120</v>
      </c>
      <c r="B161">
        <v>200120</v>
      </c>
      <c r="C161" t="str">
        <f>INDEX(TextData!B:B,MATCH(B161,TextData!A:A))</f>
        <v>アングリークライ</v>
      </c>
      <c r="D161">
        <v>11</v>
      </c>
      <c r="E161" t="str">
        <f>INDEX(Define!X:X,MATCH(D161,Define!W:W))</f>
        <v>覚醒</v>
      </c>
      <c r="F161">
        <v>101</v>
      </c>
      <c r="G161" t="str">
        <f>INDEX([1]Animations!B:B,MATCH(F161,[1]Animations!A:A))</f>
        <v>MakerEffect/FireOne1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1</v>
      </c>
      <c r="N161" t="str">
        <f>INDEX(Define!E:E,MATCH(M161,Define!D:D))</f>
        <v>炎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200210</v>
      </c>
      <c r="B162">
        <v>200210</v>
      </c>
      <c r="C162" t="str">
        <f>INDEX(TextData!B:B,MATCH(B162,TextData!A:A))</f>
        <v>マイトレインフォース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200220</v>
      </c>
      <c r="B163">
        <v>200220</v>
      </c>
      <c r="C163" t="str">
        <f>INDEX(TextData!B:B,MATCH(B163,TextData!A:A))</f>
        <v>カタストロフィ</v>
      </c>
      <c r="D163">
        <v>11</v>
      </c>
      <c r="E163" t="str">
        <f>INDEX(Define!X:X,MATCH(D163,Define!W:W))</f>
        <v>覚醒</v>
      </c>
      <c r="F163">
        <v>101</v>
      </c>
      <c r="G163" t="str">
        <f>INDEX([1]Animations!B:B,MATCH(F163,[1]Animations!A:A))</f>
        <v>MakerEffect/FireOne1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5</v>
      </c>
      <c r="N163" t="str">
        <f>INDEX(Define!E:E,MATCH(M163,Define!D:D))</f>
        <v>闇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spans="1:24">
      <c r="A164">
        <v>200230</v>
      </c>
      <c r="B164">
        <v>200230</v>
      </c>
      <c r="C164" t="str">
        <f>INDEX(TextData!B:B,MATCH(B164,TextData!A:A))</f>
        <v>悪魔(ベリト)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200310</v>
      </c>
      <c r="B165">
        <v>200310</v>
      </c>
      <c r="C165" t="str">
        <f>INDEX(TextData!B:B,MATCH(B165,TextData!A:A))</f>
        <v>プルガシオン</v>
      </c>
      <c r="D165">
        <v>10</v>
      </c>
      <c r="E165" t="str">
        <f>INDEX(Define!X:X,MATCH(D165,Define!W:W))</f>
        <v>半神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3</v>
      </c>
      <c r="P165" t="str">
        <f>INDEX(Define!H:H,MATCH(O165,Define!G:G))</f>
        <v>神化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200320</v>
      </c>
      <c r="B166">
        <v>200320</v>
      </c>
      <c r="C166" t="str">
        <f>INDEX(TextData!B:B,MATCH(B166,TextData!A:A))</f>
        <v>プリエステス</v>
      </c>
      <c r="D166">
        <v>11</v>
      </c>
      <c r="E166" t="str">
        <f>INDEX(Define!X:X,MATCH(D166,Define!W:W))</f>
        <v>覚醒</v>
      </c>
      <c r="F166">
        <v>21</v>
      </c>
      <c r="G166" t="str">
        <f>INDEX([1]Animations!B:B,MATCH(F166,[1]Animations!A:A))</f>
        <v>tktk01/Magic2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4</v>
      </c>
      <c r="N166" t="str">
        <f>INDEX(Define!E:E,MATCH(M166,Define!D:D))</f>
        <v>光</v>
      </c>
      <c r="O166">
        <v>4</v>
      </c>
      <c r="P166" t="str">
        <f>INDEX(Define!H:H,MATCH(O166,Define!G:G))</f>
        <v>覚醒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200330</v>
      </c>
      <c r="B167">
        <v>200330</v>
      </c>
      <c r="C167" t="str">
        <f>INDEX(TextData!B:B,MATCH(B167,TextData!A:A))</f>
        <v>悪魔(パイモン)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200410</v>
      </c>
      <c r="B168">
        <v>200410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201</v>
      </c>
      <c r="G168" t="str">
        <f>INDEX([1]Animations!B:B,MATCH(F168,[1]Animations!A:A))</f>
        <v>MakerEffect/ThunderOne1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2</v>
      </c>
      <c r="T168" t="str">
        <f>INDEX(Define!N:N,MATCH(S168,Define!M:M))</f>
        <v>列</v>
      </c>
      <c r="U168">
        <v>2</v>
      </c>
      <c r="V168">
        <v>1</v>
      </c>
      <c r="W168">
        <v>1</v>
      </c>
      <c r="X168">
        <v>0</v>
      </c>
    </row>
    <row r="169" spans="1:24">
      <c r="A169">
        <v>200411</v>
      </c>
      <c r="B169">
        <v>200411</v>
      </c>
      <c r="C169" t="str">
        <f>INDEX(TextData!B:B,MATCH(B169,TextData!A:A))</f>
        <v>コウソクテンショウ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200420</v>
      </c>
      <c r="B170">
        <v>200420</v>
      </c>
      <c r="C170" t="str">
        <f>INDEX(TextData!B:B,MATCH(B170,TextData!A:A))</f>
        <v>アンチバフ</v>
      </c>
      <c r="D170">
        <v>11</v>
      </c>
      <c r="E170" t="str">
        <f>INDEX(Define!X:X,MATCH(D170,Define!W:W))</f>
        <v>覚醒</v>
      </c>
      <c r="F170">
        <v>61</v>
      </c>
      <c r="G170" t="str">
        <f>INDEX([1]Animations!B:B,MATCH(F170,[1]Animations!A:A))</f>
        <v>NA_Effekseer/NA_aura_002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200430</v>
      </c>
      <c r="B171">
        <v>200430</v>
      </c>
      <c r="C171" t="str">
        <f>INDEX(TextData!B:B,MATCH(B171,TextData!A:A))</f>
        <v>悪魔(アンドラス)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0</v>
      </c>
      <c r="M171">
        <v>0</v>
      </c>
      <c r="N171" t="str">
        <f>INDEX(Define!E:E,MATCH(M171,Define!D:D))</f>
        <v>なし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200510</v>
      </c>
      <c r="B172">
        <v>200510</v>
      </c>
      <c r="C172" t="str">
        <f>INDEX(TextData!B:B,MATCH(B172,TextData!A:A))</f>
        <v>カウントダウン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spans="1:24">
      <c r="A173">
        <v>200520</v>
      </c>
      <c r="B173">
        <v>200520</v>
      </c>
      <c r="C173" t="str">
        <f>INDEX(TextData!B:B,MATCH(B173,TextData!A:A))</f>
        <v>グラウンドゼロ</v>
      </c>
      <c r="D173">
        <v>11</v>
      </c>
      <c r="E173" t="str">
        <f>INDEX(Define!X:X,MATCH(D173,Define!W:W))</f>
        <v>覚醒</v>
      </c>
      <c r="F173">
        <v>301</v>
      </c>
      <c r="G173" t="str">
        <f>INDEX([1]Animations!B:B,MATCH(F173,[1]Animations!A:A))</f>
        <v>MakerEffect/IceOne1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3</v>
      </c>
      <c r="N173" t="str">
        <f>INDEX(Define!E:E,MATCH(M173,Define!D:D))</f>
        <v>氷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200530</v>
      </c>
      <c r="B174">
        <v>200530</v>
      </c>
      <c r="C174" t="str">
        <f>INDEX(TextData!B:B,MATCH(B174,TextData!A:A))</f>
        <v>悪魔(ビフロンス)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99</v>
      </c>
      <c r="L174">
        <v>0</v>
      </c>
      <c r="M174">
        <v>0</v>
      </c>
      <c r="N174" t="str">
        <f>INDEX(Define!E:E,MATCH(M174,Define!D:D))</f>
        <v>なし</v>
      </c>
      <c r="O174">
        <v>2</v>
      </c>
      <c r="P174" t="str">
        <f>INDEX(Define!H:H,MATCH(O174,Define!G:G))</f>
        <v>パッシブ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201010</v>
      </c>
      <c r="B175">
        <v>201010</v>
      </c>
      <c r="C175" t="str">
        <f>INDEX(TextData!B:B,MATCH(B175,TextData!A:A))</f>
        <v>カオスペイン</v>
      </c>
      <c r="D175">
        <v>10</v>
      </c>
      <c r="E175" t="str">
        <f>INDEX(Define!X:X,MATCH(D175,Define!W:W))</f>
        <v>半神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201020</v>
      </c>
      <c r="B176">
        <v>201020</v>
      </c>
      <c r="C176" t="str">
        <f>INDEX(TextData!B:B,MATCH(B176,TextData!A:A))</f>
        <v>フォールンワン</v>
      </c>
      <c r="D176">
        <v>11</v>
      </c>
      <c r="E176" t="str">
        <f>INDEX(Define!X:X,MATCH(D176,Define!W:W))</f>
        <v>覚醒</v>
      </c>
      <c r="F176">
        <v>501</v>
      </c>
      <c r="G176" t="str">
        <f>INDEX([1]Animations!B:B,MATCH(F176,[1]Animations!A:A))</f>
        <v>MakerEffect/DarknessOne1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201030</v>
      </c>
      <c r="B177">
        <v>201030</v>
      </c>
      <c r="C177" t="str">
        <f>INDEX(TextData!B:B,MATCH(B177,TextData!A:A))</f>
        <v>アンリマユ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0</v>
      </c>
      <c r="N177" t="str">
        <f>INDEX(Define!E:E,MATCH(M177,Define!D:D))</f>
        <v>なし</v>
      </c>
      <c r="O177">
        <v>2</v>
      </c>
      <c r="P177" t="str">
        <f>INDEX(Define!H:H,MATCH(O177,Define!G:G))</f>
        <v>パッシブ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300010</v>
      </c>
      <c r="B178">
        <v>300010</v>
      </c>
      <c r="C178" t="str">
        <f>INDEX(TextData!B:B,MATCH(B178,TextData!A:A))</f>
        <v>ライフブースト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300020</v>
      </c>
      <c r="B179">
        <v>300020</v>
      </c>
      <c r="C179" t="str">
        <f>INDEX(TextData!B:B,MATCH(B179,TextData!A:A))</f>
        <v>スピリットチャージ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5</v>
      </c>
      <c r="N179" t="str">
        <f>INDEX(Define!E:E,MATCH(M179,Define!D:D))</f>
        <v>闇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300030</v>
      </c>
      <c r="B180">
        <v>300030</v>
      </c>
      <c r="C180" t="str">
        <f>INDEX(TextData!B:B,MATCH(B180,TextData!A:A))</f>
        <v>フォースライズ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1</v>
      </c>
      <c r="N180" t="str">
        <f>INDEX(Define!E:E,MATCH(M180,Define!D:D))</f>
        <v>炎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300040</v>
      </c>
      <c r="B181">
        <v>300040</v>
      </c>
      <c r="C181" t="str">
        <f>INDEX(TextData!B:B,MATCH(B181,TextData!A:A))</f>
        <v>ディフェンスオーラ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3</v>
      </c>
      <c r="N181" t="str">
        <f>INDEX(Define!E:E,MATCH(M181,Define!D:D))</f>
        <v>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300050</v>
      </c>
      <c r="B182">
        <v>300050</v>
      </c>
      <c r="C182" t="str">
        <f>INDEX(TextData!B:B,MATCH(B182,TextData!A:A))</f>
        <v>ラピッドムーブ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2</v>
      </c>
      <c r="N182" t="str">
        <f>INDEX(Define!E:E,MATCH(M182,Define!D:D))</f>
        <v>雷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300130</v>
      </c>
      <c r="B183">
        <v>300130</v>
      </c>
      <c r="C183" t="str">
        <f>INDEX(TextData!B:B,MATCH(B183,TextData!A:A))</f>
        <v>アタックブレイク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300140</v>
      </c>
      <c r="B184">
        <v>300140</v>
      </c>
      <c r="C184" t="str">
        <f>INDEX(TextData!B:B,MATCH(B184,TextData!A:A))</f>
        <v>シールドバニッシュ</v>
      </c>
      <c r="D184">
        <v>6</v>
      </c>
      <c r="E184" t="str">
        <f>INDEX(Define!X:X,MATCH(D184,Define!W:W))</f>
        <v>自己強化</v>
      </c>
      <c r="F184">
        <v>61</v>
      </c>
      <c r="G184" t="str">
        <f>INDEX([1]Animations!B:B,MATCH(F184,[1]Animations!A:A))</f>
        <v>NA_Effekseer/NA_aura_002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5</v>
      </c>
      <c r="N184" t="str">
        <f>INDEX(Define!E:E,MATCH(M184,Define!D:D))</f>
        <v>闇</v>
      </c>
      <c r="O184">
        <v>5</v>
      </c>
      <c r="P184" t="str">
        <f>INDEX(Define!H:H,MATCH(O184,Define!G:G))</f>
        <v>レリック</v>
      </c>
      <c r="Q184">
        <v>1</v>
      </c>
      <c r="R184" t="str">
        <f>INDEX(Define!K:K,MATCH(Q184,Define!J:J))</f>
        <v>相手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300210</v>
      </c>
      <c r="B185">
        <v>300210</v>
      </c>
      <c r="C185" t="str">
        <f>INDEX(TextData!B:B,MATCH(B185,TextData!A:A))</f>
        <v>エーテルリチャージ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1</v>
      </c>
      <c r="N185" t="str">
        <f>INDEX(Define!E:E,MATCH(M185,Define!D:D))</f>
        <v>炎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300220</v>
      </c>
      <c r="B186">
        <v>300220</v>
      </c>
      <c r="C186" t="str">
        <f>INDEX(TextData!B:B,MATCH(B186,TextData!A:A))</f>
        <v>リカバリーエンハンス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300230</v>
      </c>
      <c r="B187">
        <v>300230</v>
      </c>
      <c r="C187" t="str">
        <f>INDEX(TextData!B:B,MATCH(B187,TextData!A:A))</f>
        <v>ヴェンジェンス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200</v>
      </c>
      <c r="M187">
        <v>3</v>
      </c>
      <c r="N187" t="str">
        <f>INDEX(Define!E:E,MATCH(M187,Define!D:D))</f>
        <v>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301010</v>
      </c>
      <c r="B188">
        <v>301010</v>
      </c>
      <c r="C188" t="str">
        <f>INDEX(TextData!B:B,MATCH(B188,TextData!A:A))</f>
        <v>ディケイドリセット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2</v>
      </c>
      <c r="N188" t="str">
        <f>INDEX(Define!E:E,MATCH(M188,Define!D:D))</f>
        <v>雷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301020</v>
      </c>
      <c r="B189">
        <v>301020</v>
      </c>
      <c r="C189" t="str">
        <f>INDEX(TextData!B:B,MATCH(B189,TextData!A:A))</f>
        <v>ウォーリアーブラッド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5</v>
      </c>
      <c r="N189" t="str">
        <f>INDEX(Define!E:E,MATCH(M189,Define!D:D))</f>
        <v>闇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301030</v>
      </c>
      <c r="B190">
        <v>301030</v>
      </c>
      <c r="C190" t="str">
        <f>INDEX(TextData!B:B,MATCH(B190,TextData!A:A))</f>
        <v>トライアングルガード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301040</v>
      </c>
      <c r="B191">
        <v>301040</v>
      </c>
      <c r="C191" t="str">
        <f>INDEX(TextData!B:B,MATCH(B191,TextData!A:A))</f>
        <v>セーフティバリア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3</v>
      </c>
      <c r="N191" t="str">
        <f>INDEX(Define!E:E,MATCH(M191,Define!D:D))</f>
        <v>氷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301050</v>
      </c>
      <c r="B192">
        <v>301050</v>
      </c>
      <c r="C192" t="str">
        <f>INDEX(TextData!B:B,MATCH(B192,TextData!A:A))</f>
        <v>ヒロインズハイ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301060</v>
      </c>
      <c r="B193">
        <v>301060</v>
      </c>
      <c r="C193" t="str">
        <f>INDEX(TextData!B:B,MATCH(B193,TextData!A:A))</f>
        <v>セカンドステージ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0</v>
      </c>
      <c r="X193">
        <v>0</v>
      </c>
    </row>
    <row r="194" spans="1:24">
      <c r="A194">
        <v>301070</v>
      </c>
      <c r="B194">
        <v>301070</v>
      </c>
      <c r="C194" t="str">
        <f>INDEX(TextData!B:B,MATCH(B194,TextData!A:A))</f>
        <v>ハイヒットポイント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301080</v>
      </c>
      <c r="B195">
        <v>301080</v>
      </c>
      <c r="C195" t="str">
        <f>INDEX(TextData!B:B,MATCH(B195,TextData!A:A))</f>
        <v>セプタブラスト</v>
      </c>
      <c r="D195">
        <v>6</v>
      </c>
      <c r="E195" t="str">
        <f>INDEX(Define!X:X,MATCH(D195,Define!W:W))</f>
        <v>自己強化</v>
      </c>
      <c r="F195">
        <v>101</v>
      </c>
      <c r="G195" t="str">
        <f>INDEX([1]Animations!B:B,MATCH(F195,[1]Animations!A:A))</f>
        <v>MakerEffect/FireOne1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1</v>
      </c>
      <c r="N195" t="str">
        <f>INDEX(Define!E:E,MATCH(M195,Define!D:D))</f>
        <v>炎</v>
      </c>
      <c r="O195">
        <v>5</v>
      </c>
      <c r="P195" t="str">
        <f>INDEX(Define!H:H,MATCH(O195,Define!G:G))</f>
        <v>レリック</v>
      </c>
      <c r="Q195">
        <v>7</v>
      </c>
      <c r="R195" t="str">
        <f>INDEX(Define!K:K,MATCH(Q195,Define!J:J))</f>
        <v>追撃</v>
      </c>
      <c r="S195">
        <v>1</v>
      </c>
      <c r="T195" t="str">
        <f>INDEX(Define!N:N,MATCH(S195,Define!M:M))</f>
        <v>単体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301090</v>
      </c>
      <c r="B196">
        <v>301090</v>
      </c>
      <c r="C196" t="str">
        <f>INDEX(TextData!B:B,MATCH(B196,TextData!A:A))</f>
        <v>イニシャルブロッカー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3</v>
      </c>
      <c r="N196" t="str">
        <f>INDEX(Define!E:E,MATCH(M196,Define!D:D))</f>
        <v>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301100</v>
      </c>
      <c r="B197">
        <v>301100</v>
      </c>
      <c r="C197" t="str">
        <f>INDEX(TextData!B:B,MATCH(B197,TextData!A:A))</f>
        <v>ファーストテイク</v>
      </c>
      <c r="D197">
        <v>6</v>
      </c>
      <c r="E197" t="str">
        <f>INDEX(Define!X:X,MATCH(D197,Define!W:W))</f>
        <v>自己強化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210</v>
      </c>
      <c r="M197">
        <v>2</v>
      </c>
      <c r="N197" t="str">
        <f>INDEX(Define!E:E,MATCH(M197,Define!D:D))</f>
        <v>雷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310010</v>
      </c>
      <c r="B198">
        <v>310010</v>
      </c>
      <c r="C198" t="str">
        <f>INDEX(TextData!B:B,MATCH(B198,TextData!A:A))</f>
        <v>妖精の祈り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310020</v>
      </c>
      <c r="B199">
        <v>310020</v>
      </c>
      <c r="C199" t="str">
        <f>INDEX(TextData!B:B,MATCH(B199,TextData!A:A))</f>
        <v>月のかけら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310030</v>
      </c>
      <c r="B200">
        <v>310030</v>
      </c>
      <c r="C200" t="str">
        <f>INDEX(TextData!B:B,MATCH(B200,TextData!A:A))</f>
        <v>商売の才覚書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310040</v>
      </c>
      <c r="B201">
        <v>310040</v>
      </c>
      <c r="C201" t="str">
        <f>INDEX(TextData!B:B,MATCH(B201,TextData!A:A))</f>
        <v>メビウスの砂時計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1</v>
      </c>
      <c r="T201" t="str">
        <f>INDEX(Define!N:N,MATCH(S201,Define!M:M))</f>
        <v>単体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310050</v>
      </c>
      <c r="B202">
        <v>310050</v>
      </c>
      <c r="C202" t="str">
        <f>INDEX(TextData!B:B,MATCH(B202,TextData!A:A))</f>
        <v>先陣の心得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310060</v>
      </c>
      <c r="B203">
        <v>310060</v>
      </c>
      <c r="C203" t="str">
        <f>INDEX(TextData!B:B,MATCH(B203,TextData!A:A))</f>
        <v>ヒスイの勾玉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310070</v>
      </c>
      <c r="B204">
        <v>310070</v>
      </c>
      <c r="C204" t="str">
        <f>INDEX(TextData!B:B,MATCH(B204,TextData!A:A))</f>
        <v>英傑の盾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310080</v>
      </c>
      <c r="B205">
        <v>310080</v>
      </c>
      <c r="C205" t="str">
        <f>INDEX(TextData!B:B,MATCH(B205,TextData!A:A))</f>
        <v>鷹の目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310130</v>
      </c>
      <c r="B206">
        <v>310130</v>
      </c>
      <c r="C206" t="str">
        <f>INDEX(TextData!B:B,MATCH(B206,TextData!A:A))</f>
        <v>ヒールユニット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320010</v>
      </c>
      <c r="B207">
        <v>320010</v>
      </c>
      <c r="C207" t="str">
        <f>INDEX(TextData!B:B,MATCH(B207,TextData!A:A))</f>
        <v>訓練所Lv1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320011</v>
      </c>
      <c r="B208">
        <v>320011</v>
      </c>
      <c r="C208" t="str">
        <f>INDEX(TextData!B:B,MATCH(B208,TextData!A:A))</f>
        <v>訓練所Lv2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320012</v>
      </c>
      <c r="B209">
        <v>320012</v>
      </c>
      <c r="C209" t="str">
        <f>INDEX(TextData!B:B,MATCH(B209,TextData!A:A))</f>
        <v>訓練所Lv3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320020</v>
      </c>
      <c r="B210">
        <v>320020</v>
      </c>
      <c r="C210" t="str">
        <f>INDEX(TextData!B:B,MATCH(B210,TextData!A:A))</f>
        <v>研究施設Lv1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320021</v>
      </c>
      <c r="B211">
        <v>320021</v>
      </c>
      <c r="C211" t="str">
        <f>INDEX(TextData!B:B,MATCH(B211,TextData!A:A))</f>
        <v>研究施設Lv2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320022</v>
      </c>
      <c r="B212">
        <v>320022</v>
      </c>
      <c r="C212" t="str">
        <f>INDEX(TextData!B:B,MATCH(B212,TextData!A:A))</f>
        <v>研究施設Lv3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320030</v>
      </c>
      <c r="B213">
        <v>320030</v>
      </c>
      <c r="C213" t="str">
        <f>INDEX(TextData!B:B,MATCH(B213,TextData!A:A))</f>
        <v>資料館Lv1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320031</v>
      </c>
      <c r="B214">
        <v>320031</v>
      </c>
      <c r="C214" t="str">
        <f>INDEX(TextData!B:B,MATCH(B214,TextData!A:A))</f>
        <v>資料館Lv2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320032</v>
      </c>
      <c r="B215">
        <v>320032</v>
      </c>
      <c r="C215" t="str">
        <f>INDEX(TextData!B:B,MATCH(B215,TextData!A:A))</f>
        <v>資料館Lv3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320040</v>
      </c>
      <c r="B216">
        <v>320040</v>
      </c>
      <c r="C216" t="str">
        <f>INDEX(TextData!B:B,MATCH(B216,TextData!A:A))</f>
        <v>潜伏技術Lv1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321010</v>
      </c>
      <c r="B217">
        <v>321010</v>
      </c>
      <c r="C217" t="str">
        <f>INDEX(TextData!B:B,MATCH(B217,TextData!A:A))</f>
        <v>炎の祭壇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321020</v>
      </c>
      <c r="B218">
        <v>321020</v>
      </c>
      <c r="C218" t="str">
        <f>INDEX(TextData!B:B,MATCH(B218,TextData!A:A))</f>
        <v>稲妻の祭壇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321030</v>
      </c>
      <c r="B219">
        <v>321030</v>
      </c>
      <c r="C219" t="str">
        <f>INDEX(TextData!B:B,MATCH(B219,TextData!A:A))</f>
        <v>蒼の祭壇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321040</v>
      </c>
      <c r="B220">
        <v>321040</v>
      </c>
      <c r="C220" t="str">
        <f>INDEX(TextData!B:B,MATCH(B220,TextData!A:A))</f>
        <v>光の祭壇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321050</v>
      </c>
      <c r="B221">
        <v>321050</v>
      </c>
      <c r="C221" t="str">
        <f>INDEX(TextData!B:B,MATCH(B221,TextData!A:A))</f>
        <v>月の祭壇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322010</v>
      </c>
      <c r="B222">
        <v>322010</v>
      </c>
      <c r="C222" t="str">
        <f>INDEX(TextData!B:B,MATCH(B222,TextData!A:A))</f>
        <v>食糧庫Lv1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322020</v>
      </c>
      <c r="B223">
        <v>322020</v>
      </c>
      <c r="C223" t="str">
        <f>INDEX(TextData!B:B,MATCH(B223,TextData!A:A))</f>
        <v>攻撃技術Lv1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322030</v>
      </c>
      <c r="B224">
        <v>322030</v>
      </c>
      <c r="C224" t="str">
        <f>INDEX(TextData!B:B,MATCH(B224,TextData!A:A))</f>
        <v>防御技術Lv1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322040</v>
      </c>
      <c r="B225">
        <v>322040</v>
      </c>
      <c r="C225" t="str">
        <f>INDEX(TextData!B:B,MATCH(B225,TextData!A:A))</f>
        <v>詠唱技術Lv1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カインド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401010</v>
      </c>
      <c r="B226">
        <v>401010</v>
      </c>
      <c r="C226" t="str">
        <f>INDEX(TextData!B:B,MATCH(B226,TextData!A:A))</f>
        <v>ファイアボール+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401020</v>
      </c>
      <c r="B227">
        <v>401020</v>
      </c>
      <c r="C227" t="str">
        <f>INDEX(TextData!B:B,MATCH(B227,TextData!A:A))</f>
        <v>バーンストーム+</v>
      </c>
      <c r="D227">
        <v>1</v>
      </c>
      <c r="E227" t="str">
        <f>INDEX(Define!X:X,MATCH(D227,Define!W:W))</f>
        <v>元素</v>
      </c>
      <c r="F227">
        <v>101</v>
      </c>
      <c r="G227" t="str">
        <f>INDEX([1]Animations!B:B,MATCH(F227,[1]Animations!A:A))</f>
        <v>MakerEffect/FireOne1</v>
      </c>
      <c r="H227">
        <v>2</v>
      </c>
      <c r="I227" t="str">
        <f>INDEX(Define!B:B,MATCH(H227,Define!A:A))</f>
        <v>列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401030</v>
      </c>
      <c r="B228">
        <v>401030</v>
      </c>
      <c r="C228" t="str">
        <f>INDEX(TextData!B:B,MATCH(B228,TextData!A:A))</f>
        <v>ヒートスタンプ+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401040</v>
      </c>
      <c r="B229">
        <v>401040</v>
      </c>
      <c r="C229" t="str">
        <f>INDEX(TextData!B:B,MATCH(B229,TextData!A:A))</f>
        <v>ソードアダプト+</v>
      </c>
      <c r="D229">
        <v>4</v>
      </c>
      <c r="E229" t="str">
        <f>INDEX(Define!X:X,MATCH(D229,Define!W:W))</f>
        <v>精神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401050</v>
      </c>
      <c r="B230">
        <v>401050</v>
      </c>
      <c r="C230" t="str">
        <f>INDEX(TextData!B:B,MATCH(B230,TextData!A:A))</f>
        <v>フレイムレイン+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401060</v>
      </c>
      <c r="B231">
        <v>401060</v>
      </c>
      <c r="C231" t="str">
        <f>INDEX(TextData!B:B,MATCH(B231,TextData!A:A))</f>
        <v>イクスティンクション+</v>
      </c>
      <c r="D231">
        <v>1</v>
      </c>
      <c r="E231" t="str">
        <f>INDEX(Define!X:X,MATCH(D231,Define!W:W))</f>
        <v>元素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401070</v>
      </c>
      <c r="B232">
        <v>401070</v>
      </c>
      <c r="C232" t="str">
        <f>INDEX(TextData!B:B,MATCH(B232,TextData!A:A))</f>
        <v>バーニングソウル+</v>
      </c>
      <c r="D232">
        <v>2</v>
      </c>
      <c r="E232" t="str">
        <f>INDEX(Define!X:X,MATCH(D232,Define!W:W))</f>
        <v>光</v>
      </c>
      <c r="F232">
        <v>101</v>
      </c>
      <c r="G232" t="str">
        <f>INDEX([1]Animations!B:B,MATCH(F232,[1]Animations!A:A))</f>
        <v>MakerEffect/FireOne1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401080</v>
      </c>
      <c r="B233">
        <v>401080</v>
      </c>
      <c r="C233" t="str">
        <f>INDEX(TextData!B:B,MATCH(B233,TextData!A:A))</f>
        <v>レイジングバウンサー+</v>
      </c>
      <c r="D233">
        <v>1</v>
      </c>
      <c r="E233" t="str">
        <f>INDEX(Define!X:X,MATCH(D233,Define!W:W))</f>
        <v>元素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402010</v>
      </c>
      <c r="B234">
        <v>402010</v>
      </c>
      <c r="C234" t="str">
        <f>INDEX(TextData!B:B,MATCH(B234,TextData!A:A))</f>
        <v>ディスチャージ+</v>
      </c>
      <c r="D234">
        <v>1</v>
      </c>
      <c r="E234" t="str">
        <f>INDEX(Define!X:X,MATCH(D234,Define!W:W))</f>
        <v>元素</v>
      </c>
      <c r="F234">
        <v>201</v>
      </c>
      <c r="G234" t="str">
        <f>INDEX([1]Animations!B:B,MATCH(F234,[1]Animations!A:A))</f>
        <v>MakerEffect/ThunderOne1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402020</v>
      </c>
      <c r="B235">
        <v>402020</v>
      </c>
      <c r="C235" t="str">
        <f>INDEX(TextData!B:B,MATCH(B235,TextData!A:A))</f>
        <v>イベイドコード+</v>
      </c>
      <c r="D235">
        <v>4</v>
      </c>
      <c r="E235" t="str">
        <f>INDEX(Define!X:X,MATCH(D235,Define!W:W))</f>
        <v>精神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402030</v>
      </c>
      <c r="B236">
        <v>402030</v>
      </c>
      <c r="C236" t="str">
        <f>INDEX(TextData!B:B,MATCH(B236,TextData!A:A))</f>
        <v>ショックインパルス+</v>
      </c>
      <c r="D236">
        <v>3</v>
      </c>
      <c r="E236" t="str">
        <f>INDEX(Define!X:X,MATCH(D236,Define!W:W))</f>
        <v>理術</v>
      </c>
      <c r="F236">
        <v>201</v>
      </c>
      <c r="G236" t="str">
        <f>INDEX([1]Animations!B:B,MATCH(F236,[1]Animations!A:A))</f>
        <v>MakerEffect/ThunderOne1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402040</v>
      </c>
      <c r="B237">
        <v>402040</v>
      </c>
      <c r="C237" t="str">
        <f>INDEX(TextData!B:B,MATCH(B237,TextData!A:A))</f>
        <v>トラストチェイン+</v>
      </c>
      <c r="D237">
        <v>1</v>
      </c>
      <c r="E237" t="str">
        <f>INDEX(Define!X:X,MATCH(D237,Define!W:W))</f>
        <v>元素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402050</v>
      </c>
      <c r="B238">
        <v>402050</v>
      </c>
      <c r="C238" t="str">
        <f>INDEX(TextData!B:B,MATCH(B238,TextData!A:A))</f>
        <v>スペルバニシング+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402060</v>
      </c>
      <c r="B239">
        <v>402060</v>
      </c>
      <c r="C239" t="str">
        <f>INDEX(TextData!B:B,MATCH(B239,TextData!A:A))</f>
        <v>アーテニーストライク+</v>
      </c>
      <c r="D239">
        <v>1</v>
      </c>
      <c r="E239" t="str">
        <f>INDEX(Define!X:X,MATCH(D239,Define!W:W))</f>
        <v>元素</v>
      </c>
      <c r="F239">
        <v>201</v>
      </c>
      <c r="G239" t="str">
        <f>INDEX([1]Animations!B:B,MATCH(F239,[1]Animations!A:A))</f>
        <v>MakerEffect/ThunderOne1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402070</v>
      </c>
      <c r="B240">
        <v>402070</v>
      </c>
      <c r="C240" t="str">
        <f>INDEX(TextData!B:B,MATCH(B240,TextData!A:A))</f>
        <v>コンセントレイト+</v>
      </c>
      <c r="D240">
        <v>3</v>
      </c>
      <c r="E240" t="str">
        <f>INDEX(Define!X:X,MATCH(D240,Define!W:W))</f>
        <v>理術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402080</v>
      </c>
      <c r="B241">
        <v>402080</v>
      </c>
      <c r="C241" t="str">
        <f>INDEX(TextData!B:B,MATCH(B241,TextData!A:A))</f>
        <v>ディレイマジック+</v>
      </c>
      <c r="D241">
        <v>5</v>
      </c>
      <c r="E241" t="str">
        <f>INDEX(Define!X:X,MATCH(D241,Define!W:W))</f>
        <v>超次元</v>
      </c>
      <c r="F241">
        <v>201</v>
      </c>
      <c r="G241" t="str">
        <f>INDEX([1]Animations!B:B,MATCH(F241,[1]Animations!A:A))</f>
        <v>MakerEffect/ThunderOne1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403010</v>
      </c>
      <c r="B242">
        <v>403010</v>
      </c>
      <c r="C242" t="str">
        <f>INDEX(TextData!B:B,MATCH(B242,TextData!A:A))</f>
        <v>アイスブレイド+</v>
      </c>
      <c r="D242">
        <v>1</v>
      </c>
      <c r="E242" t="str">
        <f>INDEX(Define!X:X,MATCH(D242,Define!W:W))</f>
        <v>元素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403020</v>
      </c>
      <c r="B243">
        <v>403020</v>
      </c>
      <c r="C243" t="str">
        <f>INDEX(TextData!B:B,MATCH(B243,TextData!A:A))</f>
        <v>カウンターオーラ+</v>
      </c>
      <c r="D243">
        <v>2</v>
      </c>
      <c r="E243" t="str">
        <f>INDEX(Define!X:X,MATCH(D243,Define!W:W))</f>
        <v>光</v>
      </c>
      <c r="F243">
        <v>301</v>
      </c>
      <c r="G243" t="str">
        <f>INDEX([1]Animations!B:B,MATCH(F243,[1]Animations!A:A))</f>
        <v>MakerEffect/IceOne1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403030</v>
      </c>
      <c r="B244">
        <v>403030</v>
      </c>
      <c r="C244" t="str">
        <f>INDEX(TextData!B:B,MATCH(B244,TextData!A:A))</f>
        <v>ラインプロテクト+</v>
      </c>
      <c r="D244">
        <v>4</v>
      </c>
      <c r="E244" t="str">
        <f>INDEX(Define!X:X,MATCH(D244,Define!W:W))</f>
        <v>精神</v>
      </c>
      <c r="F244">
        <v>51</v>
      </c>
      <c r="G244" t="str">
        <f>INDEX([1]Animations!B:B,MATCH(F244,[1]Animations!A:A))</f>
        <v>NA_Effekseer/NA_aura_001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403040</v>
      </c>
      <c r="B245">
        <v>403040</v>
      </c>
      <c r="C245" t="str">
        <f>INDEX(TextData!B:B,MATCH(B245,TextData!A:A))</f>
        <v>エスコートソール+</v>
      </c>
      <c r="D245">
        <v>3</v>
      </c>
      <c r="E245" t="str">
        <f>INDEX(Define!X:X,MATCH(D245,Define!W:W))</f>
        <v>理術</v>
      </c>
      <c r="F245">
        <v>61</v>
      </c>
      <c r="G245" t="str">
        <f>INDEX([1]Animations!B:B,MATCH(F245,[1]Animations!A:A))</f>
        <v>NA_Effekseer/NA_aura_002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403050</v>
      </c>
      <c r="B246">
        <v>403050</v>
      </c>
      <c r="C246" t="str">
        <f>INDEX(TextData!B:B,MATCH(B246,TextData!A:A))</f>
        <v>ディープフリーズ+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403060</v>
      </c>
      <c r="B247">
        <v>403060</v>
      </c>
      <c r="C247" t="str">
        <f>INDEX(TextData!B:B,MATCH(B247,TextData!A:A))</f>
        <v>バブルブロウ+</v>
      </c>
      <c r="D247">
        <v>3</v>
      </c>
      <c r="E247" t="str">
        <f>INDEX(Define!X:X,MATCH(D247,Define!W:W))</f>
        <v>理術</v>
      </c>
      <c r="F247">
        <v>301</v>
      </c>
      <c r="G247" t="str">
        <f>INDEX([1]Animations!B:B,MATCH(F247,[1]Animations!A:A))</f>
        <v>MakerEffect/IceOne1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403070</v>
      </c>
      <c r="B248">
        <v>403070</v>
      </c>
      <c r="C248" t="str">
        <f>INDEX(TextData!B:B,MATCH(B248,TextData!A:A))</f>
        <v>アクアミラージュ+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403080</v>
      </c>
      <c r="B249">
        <v>403080</v>
      </c>
      <c r="C249" t="str">
        <f>INDEX(TextData!B:B,MATCH(B249,TextData!A:A))</f>
        <v>フロストシールド+</v>
      </c>
      <c r="D249">
        <v>4</v>
      </c>
      <c r="E249" t="str">
        <f>INDEX(Define!X:X,MATCH(D249,Define!W:W))</f>
        <v>精神</v>
      </c>
      <c r="F249">
        <v>51</v>
      </c>
      <c r="G249" t="str">
        <f>INDEX([1]Animations!B:B,MATCH(F249,[1]Animations!A:A))</f>
        <v>NA_Effekseer/NA_aura_001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404010</v>
      </c>
      <c r="B250">
        <v>404010</v>
      </c>
      <c r="C250" t="str">
        <f>INDEX(TextData!B:B,MATCH(B250,TextData!A:A))</f>
        <v>セイントレーザー+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404020</v>
      </c>
      <c r="B251">
        <v>404020</v>
      </c>
      <c r="C251" t="str">
        <f>INDEX(TextData!B:B,MATCH(B251,TextData!A:A))</f>
        <v>ペネトレイト+</v>
      </c>
      <c r="D251">
        <v>1</v>
      </c>
      <c r="E251" t="str">
        <f>INDEX(Define!X:X,MATCH(D251,Define!W:W))</f>
        <v>元素</v>
      </c>
      <c r="F251">
        <v>401</v>
      </c>
      <c r="G251" t="str">
        <f>INDEX([1]Animations!B:B,MATCH(F251,[1]Animations!A:A))</f>
        <v>MakerEffect/LightOne1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404030</v>
      </c>
      <c r="B252">
        <v>404030</v>
      </c>
      <c r="C252" t="str">
        <f>INDEX(TextData!B:B,MATCH(B252,TextData!A:A))</f>
        <v>ヒーリング+</v>
      </c>
      <c r="D252">
        <v>2</v>
      </c>
      <c r="E252" t="str">
        <f>INDEX(Define!X:X,MATCH(D252,Define!W:W))</f>
        <v>光</v>
      </c>
      <c r="F252">
        <v>21</v>
      </c>
      <c r="G252" t="str">
        <f>INDEX([1]Animations!B:B,MATCH(F252,[1]Animations!A:A))</f>
        <v>tktk01/Magic2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404040</v>
      </c>
      <c r="B253">
        <v>404040</v>
      </c>
      <c r="C253" t="str">
        <f>INDEX(TextData!B:B,MATCH(B253,TextData!A:A))</f>
        <v>リザイアフォトン+</v>
      </c>
      <c r="D253">
        <v>2</v>
      </c>
      <c r="E253" t="str">
        <f>INDEX(Define!X:X,MATCH(D253,Define!W:W))</f>
        <v>光</v>
      </c>
      <c r="F253">
        <v>401</v>
      </c>
      <c r="G253" t="str">
        <f>INDEX([1]Animations!B:B,MATCH(F253,[1]Animations!A:A))</f>
        <v>MakerEffect/LightOne1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404050</v>
      </c>
      <c r="B254">
        <v>404050</v>
      </c>
      <c r="C254" t="str">
        <f>INDEX(TextData!B:B,MATCH(B254,TextData!A:A))</f>
        <v>べネディクション+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404060</v>
      </c>
      <c r="B255">
        <v>404060</v>
      </c>
      <c r="C255" t="str">
        <f>INDEX(TextData!B:B,MATCH(B255,TextData!A:A))</f>
        <v>ホーリーグレイス+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404070</v>
      </c>
      <c r="B256">
        <v>404070</v>
      </c>
      <c r="C256" t="str">
        <f>INDEX(TextData!B:B,MATCH(B256,TextData!A:A))</f>
        <v>キュアエール+</v>
      </c>
      <c r="D256">
        <v>2</v>
      </c>
      <c r="E256" t="str">
        <f>INDEX(Define!X:X,MATCH(D256,Define!W:W))</f>
        <v>光</v>
      </c>
      <c r="F256">
        <v>21</v>
      </c>
      <c r="G256" t="str">
        <f>INDEX([1]Animations!B:B,MATCH(F256,[1]Animations!A:A))</f>
        <v>tktk01/Magic2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404080</v>
      </c>
      <c r="B257">
        <v>404080</v>
      </c>
      <c r="C257" t="str">
        <f>INDEX(TextData!B:B,MATCH(B257,TextData!A:A))</f>
        <v>ラインバリア+</v>
      </c>
      <c r="D257">
        <v>2</v>
      </c>
      <c r="E257" t="str">
        <f>INDEX(Define!X:X,MATCH(D257,Define!W:W))</f>
        <v>光</v>
      </c>
      <c r="F257">
        <v>51</v>
      </c>
      <c r="G257" t="str">
        <f>INDEX([1]Animations!B:B,MATCH(F257,[1]Animations!A:A))</f>
        <v>NA_Effekseer/NA_aura_001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405010</v>
      </c>
      <c r="B258">
        <v>405010</v>
      </c>
      <c r="C258" t="str">
        <f>INDEX(TextData!B:B,MATCH(B258,TextData!A:A))</f>
        <v>ダークプリズン+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405020</v>
      </c>
      <c r="B259">
        <v>405020</v>
      </c>
      <c r="C259" t="str">
        <f>INDEX(TextData!B:B,MATCH(B259,TextData!A:A))</f>
        <v>ユーサネイジア+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3</v>
      </c>
      <c r="I259" t="str">
        <f>INDEX(Define!B:B,MATCH(H259,Define!A:A))</f>
        <v>全体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405030</v>
      </c>
      <c r="B260">
        <v>405030</v>
      </c>
      <c r="C260" t="str">
        <f>INDEX(TextData!B:B,MATCH(B260,TextData!A:A))</f>
        <v>ドレインヒール+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405040</v>
      </c>
      <c r="B261">
        <v>405040</v>
      </c>
      <c r="C261" t="str">
        <f>INDEX(TextData!B:B,MATCH(B261,TextData!A:A))</f>
        <v>アビサルデスペア+</v>
      </c>
      <c r="D261">
        <v>5</v>
      </c>
      <c r="E261" t="str">
        <f>INDEX(Define!X:X,MATCH(D261,Define!W:W))</f>
        <v>超次元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405050</v>
      </c>
      <c r="B262">
        <v>405050</v>
      </c>
      <c r="C262" t="str">
        <f>INDEX(TextData!B:B,MATCH(B262,TextData!A:A))</f>
        <v>ディプラヴィティ+</v>
      </c>
      <c r="D262">
        <v>3</v>
      </c>
      <c r="E262" t="str">
        <f>INDEX(Define!X:X,MATCH(D262,Define!W:W))</f>
        <v>理術</v>
      </c>
      <c r="F262">
        <v>501</v>
      </c>
      <c r="G262" t="str">
        <f>INDEX([1]Animations!B:B,MATCH(F262,[1]Animations!A:A))</f>
        <v>MakerEffect/DarknessOne1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405060</v>
      </c>
      <c r="B263">
        <v>405060</v>
      </c>
      <c r="C263" t="str">
        <f>INDEX(TextData!B:B,MATCH(B263,TextData!A:A))</f>
        <v>ダークネス+</v>
      </c>
      <c r="D263">
        <v>3</v>
      </c>
      <c r="E263" t="str">
        <f>INDEX(Define!X:X,MATCH(D263,Define!W:W))</f>
        <v>理術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405070</v>
      </c>
      <c r="B264">
        <v>405070</v>
      </c>
      <c r="C264" t="str">
        <f>INDEX(TextData!B:B,MATCH(B264,TextData!A:A))</f>
        <v>シェイディークラウド+</v>
      </c>
      <c r="D264">
        <v>5</v>
      </c>
      <c r="E264" t="str">
        <f>INDEX(Define!X:X,MATCH(D264,Define!W:W))</f>
        <v>超次元</v>
      </c>
      <c r="F264">
        <v>61</v>
      </c>
      <c r="G264" t="str">
        <f>INDEX([1]Animations!B:B,MATCH(F264,[1]Animations!A:A))</f>
        <v>NA_Effekseer/NA_aura_002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405080</v>
      </c>
      <c r="B265">
        <v>405080</v>
      </c>
      <c r="C265" t="str">
        <f>INDEX(TextData!B:B,MATCH(B265,TextData!A:A))</f>
        <v>ポイズンブロウ+</v>
      </c>
      <c r="D265">
        <v>5</v>
      </c>
      <c r="E265" t="str">
        <f>INDEX(Define!X:X,MATCH(D265,Define!W:W))</f>
        <v>超次元</v>
      </c>
      <c r="F265">
        <v>501</v>
      </c>
      <c r="G265" t="str">
        <f>INDEX([1]Animations!B:B,MATCH(F265,[1]Animations!A:A))</f>
        <v>MakerEffect/DarknessOne1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411010</v>
      </c>
      <c r="B266">
        <v>411010</v>
      </c>
      <c r="C266" t="str">
        <f>INDEX(TextData!B:B,MATCH(B266,TextData!A:A))</f>
        <v>ウルフソウル+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411020</v>
      </c>
      <c r="B267">
        <v>411020</v>
      </c>
      <c r="C267" t="str">
        <f>INDEX(TextData!B:B,MATCH(B267,TextData!A:A))</f>
        <v>プリディカメント+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411030</v>
      </c>
      <c r="B268">
        <v>411030</v>
      </c>
      <c r="C268" t="str">
        <f>INDEX(TextData!B:B,MATCH(B268,TextData!A:A))</f>
        <v>アサルトシフト+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411040</v>
      </c>
      <c r="B269">
        <v>411040</v>
      </c>
      <c r="C269" t="str">
        <f>INDEX(TextData!B:B,MATCH(B269,TextData!A:A))</f>
        <v>アクティブギフト+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411050</v>
      </c>
      <c r="B270">
        <v>411050</v>
      </c>
      <c r="C270" t="str">
        <f>INDEX(TextData!B:B,MATCH(B270,TextData!A:A))</f>
        <v>イグナイテッド+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411060</v>
      </c>
      <c r="B271">
        <v>411060</v>
      </c>
      <c r="C271" t="str">
        <f>INDEX(TextData!B:B,MATCH(B271,TextData!A:A))</f>
        <v>ライジングファイア+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411070</v>
      </c>
      <c r="B272">
        <v>411070</v>
      </c>
      <c r="C272" t="str">
        <f>INDEX(TextData!B:B,MATCH(B272,TextData!A:A))</f>
        <v>ルージュバック+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411080</v>
      </c>
      <c r="B273">
        <v>411080</v>
      </c>
      <c r="C273" t="str">
        <f>INDEX(TextData!B:B,MATCH(B273,TextData!A:A))</f>
        <v>パワーエール+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411090</v>
      </c>
      <c r="B274">
        <v>411090</v>
      </c>
      <c r="C274" t="str">
        <f>INDEX(TextData!B:B,MATCH(B274,TextData!A:A))</f>
        <v>スレイプニル+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412010</v>
      </c>
      <c r="B275">
        <v>412010</v>
      </c>
      <c r="C275" t="str">
        <f>INDEX(TextData!B:B,MATCH(B275,TextData!A:A))</f>
        <v>エクステンション+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412020</v>
      </c>
      <c r="B276">
        <v>412020</v>
      </c>
      <c r="C276" t="str">
        <f>INDEX(TextData!B:B,MATCH(B276,TextData!A:A))</f>
        <v>ヘブンリーラック+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412030</v>
      </c>
      <c r="B277">
        <v>412030</v>
      </c>
      <c r="C277" t="str">
        <f>INDEX(TextData!B:B,MATCH(B277,TextData!A:A))</f>
        <v>スウィフトカレント+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412040</v>
      </c>
      <c r="B278">
        <v>412040</v>
      </c>
      <c r="C278" t="str">
        <f>INDEX(TextData!B:B,MATCH(B278,TextData!A:A))</f>
        <v>イヴェイドオール+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412050</v>
      </c>
      <c r="B279">
        <v>412050</v>
      </c>
      <c r="C279" t="str">
        <f>INDEX(TextData!B:B,MATCH(B279,TextData!A:A))</f>
        <v>クイックムーブ+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110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412060</v>
      </c>
      <c r="B280">
        <v>412060</v>
      </c>
      <c r="C280" t="str">
        <f>INDEX(TextData!B:B,MATCH(B280,TextData!A:A))</f>
        <v>チェイスマジック+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412070</v>
      </c>
      <c r="B281">
        <v>412070</v>
      </c>
      <c r="C281" t="str">
        <f>INDEX(TextData!B:B,MATCH(B281,TextData!A:A))</f>
        <v>ソーサリーコネクト+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412080</v>
      </c>
      <c r="B282">
        <v>412080</v>
      </c>
      <c r="C282" t="str">
        <f>INDEX(TextData!B:B,MATCH(B282,TextData!A:A))</f>
        <v>ウィンドライズ+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412090</v>
      </c>
      <c r="B283">
        <v>412090</v>
      </c>
      <c r="C283" t="str">
        <f>INDEX(TextData!B:B,MATCH(B283,TextData!A:A))</f>
        <v>アウトオブオーダー+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120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413010</v>
      </c>
      <c r="B284">
        <v>413010</v>
      </c>
      <c r="C284" t="str">
        <f>INDEX(TextData!B:B,MATCH(B284,TextData!A:A))</f>
        <v>アーマーコード+</v>
      </c>
      <c r="D284">
        <v>6</v>
      </c>
      <c r="E284" t="str">
        <f>INDEX(Define!X:X,MATCH(D284,Define!W:W))</f>
        <v>自己強化</v>
      </c>
      <c r="H284">
        <v>1</v>
      </c>
      <c r="I284" t="s">
        <v>18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413020</v>
      </c>
      <c r="B285">
        <v>413020</v>
      </c>
      <c r="C285" t="str">
        <f>INDEX(TextData!B:B,MATCH(B285,TextData!A:A))</f>
        <v>クイックバリア+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413030</v>
      </c>
      <c r="B286">
        <v>413030</v>
      </c>
      <c r="C286" t="str">
        <f>INDEX(TextData!B:B,MATCH(B286,TextData!A:A))</f>
        <v>クイックキュア+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413040</v>
      </c>
      <c r="B287">
        <v>413040</v>
      </c>
      <c r="C287" t="str">
        <f>INDEX(TextData!B:B,MATCH(B287,TextData!A:A))</f>
        <v>セルフシールド+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413050</v>
      </c>
      <c r="B288">
        <v>413050</v>
      </c>
      <c r="C288" t="str">
        <f>INDEX(TextData!B:B,MATCH(B288,TextData!A:A))</f>
        <v>パッシブジャミング+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413060</v>
      </c>
      <c r="B289">
        <v>413060</v>
      </c>
      <c r="C289" t="str">
        <f>INDEX(TextData!B:B,MATCH(B289,TextData!A:A))</f>
        <v>サプライカバー+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413070</v>
      </c>
      <c r="B290">
        <v>413070</v>
      </c>
      <c r="C290" t="str">
        <f>INDEX(TextData!B:B,MATCH(B290,TextData!A:A))</f>
        <v>アシッドラッシュ+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413080</v>
      </c>
      <c r="B291">
        <v>413080</v>
      </c>
      <c r="C291" t="str">
        <f>INDEX(TextData!B:B,MATCH(B291,TextData!A:A))</f>
        <v>ライフスティール+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413090</v>
      </c>
      <c r="B292">
        <v>413090</v>
      </c>
      <c r="C292" t="str">
        <f>INDEX(TextData!B:B,MATCH(B292,TextData!A:A))</f>
        <v>アイスセイバー+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414010</v>
      </c>
      <c r="B293">
        <v>414010</v>
      </c>
      <c r="C293" t="str">
        <f>INDEX(TextData!B:B,MATCH(B293,TextData!A:A))</f>
        <v>ディバインシールド+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414020</v>
      </c>
      <c r="B294">
        <v>414020</v>
      </c>
      <c r="C294" t="str">
        <f>INDEX(TextData!B:B,MATCH(B294,TextData!A:A))</f>
        <v>ライフディバイド+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414030</v>
      </c>
      <c r="B295">
        <v>414030</v>
      </c>
      <c r="C295" t="str">
        <f>INDEX(TextData!B:B,MATCH(B295,TextData!A:A))</f>
        <v>エイミングスコープ+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414040</v>
      </c>
      <c r="B296">
        <v>414040</v>
      </c>
      <c r="C296" t="str">
        <f>INDEX(TextData!B:B,MATCH(B296,TextData!A:A))</f>
        <v>リジェネレーション+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414050</v>
      </c>
      <c r="B297">
        <v>414050</v>
      </c>
      <c r="C297" t="str">
        <f>INDEX(TextData!B:B,MATCH(B297,TextData!A:A))</f>
        <v>ホープフルアイリス+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414060</v>
      </c>
      <c r="B298">
        <v>414060</v>
      </c>
      <c r="C298" t="str">
        <f>INDEX(TextData!B:B,MATCH(B298,TextData!A:A))</f>
        <v>パッシブサプライ+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414070</v>
      </c>
      <c r="B299">
        <v>414070</v>
      </c>
      <c r="C299" t="str">
        <f>INDEX(TextData!B:B,MATCH(B299,TextData!A:A))</f>
        <v>ホーミングクルセイド+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414080</v>
      </c>
      <c r="B300">
        <v>414080</v>
      </c>
      <c r="C300" t="str">
        <f>INDEX(TextData!B:B,MATCH(B300,TextData!A:A))</f>
        <v>クイックヒール+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414090</v>
      </c>
      <c r="B301">
        <v>414090</v>
      </c>
      <c r="C301" t="str">
        <f>INDEX(TextData!B:B,MATCH(B301,TextData!A:A))</f>
        <v>リレイズ+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415010</v>
      </c>
      <c r="B302">
        <v>415010</v>
      </c>
      <c r="C302" t="str">
        <f>INDEX(TextData!B:B,MATCH(B302,TextData!A:A))</f>
        <v>イーグルアイ+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415020</v>
      </c>
      <c r="B303">
        <v>415020</v>
      </c>
      <c r="C303" t="str">
        <f>INDEX(TextData!B:B,MATCH(B303,TextData!A:A))</f>
        <v>ネヴァーエンド+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415030</v>
      </c>
      <c r="B304">
        <v>415030</v>
      </c>
      <c r="C304" t="str">
        <f>INDEX(TextData!B:B,MATCH(B304,TextData!A:A))</f>
        <v>グレイブアクト+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415040</v>
      </c>
      <c r="B305">
        <v>415040</v>
      </c>
      <c r="C305" t="str">
        <f>INDEX(TextData!B:B,MATCH(B305,TextData!A:A))</f>
        <v>スカルグラッジ+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415050</v>
      </c>
      <c r="B306">
        <v>415050</v>
      </c>
      <c r="C306" t="str">
        <f>INDEX(TextData!B:B,MATCH(B306,TextData!A:A))</f>
        <v>ネガティブドレイン+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415060</v>
      </c>
      <c r="B307">
        <v>415060</v>
      </c>
      <c r="C307" t="str">
        <f>INDEX(TextData!B:B,MATCH(B307,TextData!A:A))</f>
        <v>アンデッドペイン+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415070</v>
      </c>
      <c r="B308">
        <v>415070</v>
      </c>
      <c r="C308" t="str">
        <f>INDEX(TextData!B:B,MATCH(B308,TextData!A:A))</f>
        <v>ジャックポッド+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415080</v>
      </c>
      <c r="B309">
        <v>415080</v>
      </c>
      <c r="C309" t="str">
        <f>INDEX(TextData!B:B,MATCH(B309,TextData!A:A))</f>
        <v>ヒールハント+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415090</v>
      </c>
      <c r="B310">
        <v>415090</v>
      </c>
      <c r="C310" t="str">
        <f>INDEX(TextData!B:B,MATCH(B310,TextData!A:A))</f>
        <v>クイックカース+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501010</v>
      </c>
      <c r="B311">
        <v>501010</v>
      </c>
      <c r="C311" t="str">
        <f>INDEX(TextData!B:B,MATCH(B311,TextData!A:A))</f>
        <v>ATK+2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501020</v>
      </c>
      <c r="B312">
        <v>501020</v>
      </c>
      <c r="C312" t="str">
        <f>INDEX(TextData!B:B,MATCH(B312,TextData!A:A))</f>
        <v>火傷耐性+25%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501030</v>
      </c>
      <c r="B313">
        <v>501030</v>
      </c>
      <c r="C313" t="str">
        <f>INDEX(TextData!B:B,MATCH(B313,TextData!A:A))</f>
        <v>ATK+2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501040</v>
      </c>
      <c r="B314">
        <v>501040</v>
      </c>
      <c r="C314" t="str">
        <f>INDEX(TextData!B:B,MATCH(B314,TextData!A:A))</f>
        <v>ATK+4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501041</v>
      </c>
      <c r="B315">
        <v>501041</v>
      </c>
      <c r="C315" t="str">
        <f>INDEX(TextData!B:B,MATCH(B315,TextData!A:A))</f>
        <v>会心率+10%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1</v>
      </c>
      <c r="N315" t="str">
        <f>INDEX(Define!E:E,MATCH(M315,Define!D:D))</f>
        <v>炎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502010</v>
      </c>
      <c r="B316">
        <v>502010</v>
      </c>
      <c r="C316" t="str">
        <f>INDEX(TextData!B:B,MATCH(B316,TextData!A:A))</f>
        <v>回避率+5%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502020</v>
      </c>
      <c r="B317">
        <v>502020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502030</v>
      </c>
      <c r="B318">
        <v>502030</v>
      </c>
      <c r="C318" t="str">
        <f>INDEX(TextData!B:B,MATCH(B318,TextData!A:A))</f>
        <v>SPD+1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502040</v>
      </c>
      <c r="B319">
        <v>502040</v>
      </c>
      <c r="C319" t="str">
        <f>INDEX(TextData!B:B,MATCH(B319,TextData!A:A))</f>
        <v>SPD+2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502041</v>
      </c>
      <c r="B320">
        <v>502041</v>
      </c>
      <c r="C320" t="str">
        <f>INDEX(TextData!B:B,MATCH(B320,TextData!A:A))</f>
        <v>回避率+15%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2</v>
      </c>
      <c r="N320" t="str">
        <f>INDEX(Define!E:E,MATCH(M320,Define!D:D))</f>
        <v>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503010</v>
      </c>
      <c r="B321">
        <v>503010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503020</v>
      </c>
      <c r="B322">
        <v>503020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503030</v>
      </c>
      <c r="B323">
        <v>503030</v>
      </c>
      <c r="C323" t="str">
        <f>INDEX(TextData!B:B,MATCH(B323,TextData!A:A))</f>
        <v>DEF+2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503040</v>
      </c>
      <c r="B324">
        <v>503040</v>
      </c>
      <c r="C324" t="str">
        <f>INDEX(TextData!B:B,MATCH(B324,TextData!A:A))</f>
        <v>DEF+4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503041</v>
      </c>
      <c r="B325">
        <v>503041</v>
      </c>
      <c r="C325" t="str">
        <f>INDEX(TextData!B:B,MATCH(B325,TextData!A:A))</f>
        <v>HP回復効果+20%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3</v>
      </c>
      <c r="N325" t="str">
        <f>INDEX(Define!E:E,MATCH(M325,Define!D:D))</f>
        <v>氷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504010</v>
      </c>
      <c r="B326">
        <v>504010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504020</v>
      </c>
      <c r="B327">
        <v>504020</v>
      </c>
      <c r="C327" t="str">
        <f>INDEX(TextData!B:B,MATCH(B327,TextData!A:A))</f>
        <v>最大HP+4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504030</v>
      </c>
      <c r="B328">
        <v>504030</v>
      </c>
      <c r="C328" t="str">
        <f>INDEX(TextData!B:B,MATCH(B328,TextData!A:A))</f>
        <v>命中率+5%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504040</v>
      </c>
      <c r="B329">
        <v>504040</v>
      </c>
      <c r="C329" t="str">
        <f>INDEX(TextData!B:B,MATCH(B329,TextData!A:A))</f>
        <v>最大HP+10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4</v>
      </c>
      <c r="N329" t="str">
        <f>INDEX(Define!E:E,MATCH(M329,Define!D:D))</f>
        <v>光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505010</v>
      </c>
      <c r="B330">
        <v>505010</v>
      </c>
      <c r="C330" t="str">
        <f>INDEX(TextData!B:B,MATCH(B330,TextData!A:A))</f>
        <v>会心率+5%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505020</v>
      </c>
      <c r="B331">
        <v>505020</v>
      </c>
      <c r="C331" t="str">
        <f>INDEX(TextData!B:B,MATCH(B331,TextData!A:A))</f>
        <v>SPD+1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505030</v>
      </c>
      <c r="B332">
        <v>505030</v>
      </c>
      <c r="C332" t="str">
        <f>INDEX(TextData!B:B,MATCH(B332,TextData!A:A))</f>
        <v>回避率+5%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505040</v>
      </c>
      <c r="B333">
        <v>505040</v>
      </c>
      <c r="C333" t="str">
        <f>INDEX(TextData!B:B,MATCH(B333,TextData!A:A))</f>
        <v>暗闇無効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5</v>
      </c>
      <c r="N333" t="str">
        <f>INDEX(Define!E:E,MATCH(M333,Define!D:D))</f>
        <v>闇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506010</v>
      </c>
      <c r="B334">
        <v>506010</v>
      </c>
      <c r="C334" t="str">
        <f>INDEX(TextData!B:B,MATCH(B334,TextData!A:A))</f>
        <v>最大HP+3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506011</v>
      </c>
      <c r="B335">
        <v>506011</v>
      </c>
      <c r="C335" t="str">
        <f>INDEX(TextData!B:B,MATCH(B335,TextData!A:A))</f>
        <v>ATK+1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6</v>
      </c>
      <c r="N335" t="str">
        <f>INDEX(Define!E:E,MATCH(M335,Define!D:D))</f>
        <v>無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506012</v>
      </c>
      <c r="B336">
        <v>506012</v>
      </c>
      <c r="C336" t="str">
        <f>INDEX(TextData!B:B,MATCH(B336,TextData!A:A))</f>
        <v>DEF+1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506013</v>
      </c>
      <c r="B337">
        <v>506013</v>
      </c>
      <c r="C337" t="str">
        <f>INDEX(TextData!B:B,MATCH(B337,TextData!A:A))</f>
        <v>SPD+1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507010</v>
      </c>
      <c r="B338">
        <v>507010</v>
      </c>
      <c r="C338" t="str">
        <f>INDEX(TextData!B:B,MATCH(B338,TextData!A:A))</f>
        <v>獲得Exp+30%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507020</v>
      </c>
      <c r="B339">
        <v>507020</v>
      </c>
      <c r="C339" t="str">
        <f>INDEX(TextData!B:B,MATCH(B339,TextData!A:A))</f>
        <v>ATK⇔DEF交換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6</v>
      </c>
      <c r="N339" t="str">
        <f>INDEX(Define!E:E,MATCH(M339,Define!D:D))</f>
        <v>無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</sheetData>
  <autoFilter ref="F1:F26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8"/>
  <sheetViews>
    <sheetView tabSelected="1" zoomScale="110" zoomScaleNormal="110" topLeftCell="A94" workbookViewId="0">
      <selection activeCell="G114" sqref="G114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">
        <v>25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250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">
        <v>27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">
        <v>28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">
        <v>29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">
        <v>30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">
        <v>27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">
        <v>31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">
        <v>32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">
        <v>33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">
        <v>34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">
        <v>35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">
        <v>36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">
        <v>37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">
        <v>38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">
        <v>39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">
        <v>40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">
        <v>41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">
        <v>42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">
        <v>43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">
        <v>44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">
        <v>45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">
        <v>46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">
        <v>47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">
        <v>48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">
        <v>32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">
        <v>35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">
        <v>48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">
        <v>48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">
        <v>49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11110</v>
      </c>
      <c r="B91" t="str">
        <f>INDEX(TextData!B:B,MATCH(A91,TextData!A:A))</f>
        <v>フレイムセイバー</v>
      </c>
      <c r="C91">
        <v>3010</v>
      </c>
      <c r="D91" t="str">
        <f>INDEX(Define!Q:Q,MATCH(C91,Define!P:P))</f>
        <v>ステート付与</v>
      </c>
      <c r="E91">
        <v>2012</v>
      </c>
      <c r="F91">
        <v>2</v>
      </c>
      <c r="G91">
        <v>5</v>
      </c>
      <c r="H91">
        <v>100</v>
      </c>
      <c r="I91" t="s">
        <v>43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1080</v>
      </c>
      <c r="F92">
        <v>999</v>
      </c>
      <c r="G92">
        <v>10</v>
      </c>
      <c r="H92">
        <v>100</v>
      </c>
      <c r="I92" t="s">
        <v>30</v>
      </c>
    </row>
    <row r="93" spans="1:9">
      <c r="A93">
        <v>12010</v>
      </c>
      <c r="B93" t="str">
        <f>INDEX(TextData!B:B,MATCH(A93,TextData!A:A))</f>
        <v>コンセントレイト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12020</v>
      </c>
      <c r="B94" t="str">
        <f>INDEX(TextData!B:B,MATCH(A94,TextData!A:A))</f>
        <v>ヘブンリーラック</v>
      </c>
      <c r="C94">
        <v>3010</v>
      </c>
      <c r="D94" t="str">
        <f>INDEX(Define!Q:Q,MATCH(C94,Define!P:P))</f>
        <v>ステート付与</v>
      </c>
      <c r="E94">
        <v>1090</v>
      </c>
      <c r="F94">
        <v>999</v>
      </c>
      <c r="G94">
        <v>10</v>
      </c>
      <c r="H94">
        <v>100</v>
      </c>
      <c r="I94" t="s">
        <v>27</v>
      </c>
    </row>
    <row r="95" spans="1:9">
      <c r="A95">
        <v>12030</v>
      </c>
      <c r="B95" t="str">
        <f>INDEX(TextData!B:B,MATCH(A95,TextData!A:A))</f>
        <v>スウィフトカレント</v>
      </c>
      <c r="C95">
        <v>3010</v>
      </c>
      <c r="D95" t="str">
        <f>INDEX(Define!Q:Q,MATCH(C95,Define!P:P))</f>
        <v>ステート付与</v>
      </c>
      <c r="E95">
        <v>1060</v>
      </c>
      <c r="F95">
        <v>999</v>
      </c>
      <c r="G95">
        <v>5</v>
      </c>
      <c r="H95">
        <v>100</v>
      </c>
      <c r="I95" t="s">
        <v>50</v>
      </c>
    </row>
    <row r="96" spans="1:9">
      <c r="A96">
        <v>12040</v>
      </c>
      <c r="B96" t="str">
        <f>INDEX(TextData!B:B,MATCH(A96,TextData!A:A))</f>
        <v>イヴェイドオール</v>
      </c>
      <c r="C96">
        <v>3010</v>
      </c>
      <c r="D96" t="str">
        <f>INDEX(Define!Q:Q,MATCH(C96,Define!P:P))</f>
        <v>ステート付与</v>
      </c>
      <c r="E96">
        <v>1092</v>
      </c>
      <c r="F96">
        <v>999</v>
      </c>
      <c r="G96">
        <v>5</v>
      </c>
      <c r="H96">
        <v>100</v>
      </c>
      <c r="I96" t="s">
        <v>27</v>
      </c>
    </row>
    <row r="97" spans="1:8">
      <c r="A97">
        <v>12050</v>
      </c>
      <c r="B97" t="str">
        <f>INDEX(TextData!B:B,MATCH(A97,TextData!A:A))</f>
        <v>クイックムーブ</v>
      </c>
      <c r="C97">
        <v>5020</v>
      </c>
      <c r="D97" t="str">
        <f>INDEX(Define!Q:Q,MATCH(C97,Define!P:P))</f>
        <v>Ap回復</v>
      </c>
      <c r="E97">
        <v>100</v>
      </c>
      <c r="F97">
        <v>0</v>
      </c>
      <c r="G97">
        <v>0</v>
      </c>
      <c r="H97">
        <v>100</v>
      </c>
    </row>
    <row r="98" spans="1:8">
      <c r="A98">
        <v>12060</v>
      </c>
      <c r="B98" t="str">
        <f>INDEX(TextData!B:B,MATCH(A98,TextData!A:A))</f>
        <v>チェイスマジック</v>
      </c>
      <c r="C98">
        <v>1010</v>
      </c>
      <c r="D98" t="str">
        <f>INDEX(Define!Q:Q,MATCH(C98,Define!P:P))</f>
        <v>Hpダメージ</v>
      </c>
      <c r="E98">
        <v>100</v>
      </c>
      <c r="F98">
        <v>0</v>
      </c>
      <c r="G98">
        <v>0</v>
      </c>
      <c r="H98">
        <v>100</v>
      </c>
    </row>
    <row r="99" spans="1:9">
      <c r="A99">
        <v>12070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1040</v>
      </c>
      <c r="F99">
        <v>1</v>
      </c>
      <c r="G99">
        <v>8</v>
      </c>
      <c r="H99">
        <v>100</v>
      </c>
      <c r="I99" t="s">
        <v>48</v>
      </c>
    </row>
    <row r="100" spans="1:8">
      <c r="A100">
        <v>12070</v>
      </c>
      <c r="B100" t="str">
        <f>INDEX(TextData!B:B,MATCH(A100,TextData!A:A))</f>
        <v>ソーサリーコネクト</v>
      </c>
      <c r="C100">
        <v>7010</v>
      </c>
      <c r="D100" t="str">
        <f>INDEX(Define!Q:Q,MATCH(C100,Define!P:P))</f>
        <v>行動後スキル</v>
      </c>
      <c r="E100">
        <v>12071</v>
      </c>
      <c r="F100">
        <v>0</v>
      </c>
      <c r="G100">
        <v>0</v>
      </c>
      <c r="H100">
        <v>100</v>
      </c>
    </row>
    <row r="101" spans="1:9">
      <c r="A101">
        <v>12071</v>
      </c>
      <c r="B101" t="str">
        <f>INDEX(TextData!B:B,MATCH(A101,TextData!A:A))</f>
        <v>ソーサリーコネクト</v>
      </c>
      <c r="C101">
        <v>3010</v>
      </c>
      <c r="D101" t="str">
        <f>INDEX(Define!Q:Q,MATCH(C101,Define!P:P))</f>
        <v>ステート付与</v>
      </c>
      <c r="E101">
        <v>1041</v>
      </c>
      <c r="F101">
        <v>1</v>
      </c>
      <c r="G101">
        <v>8</v>
      </c>
      <c r="H101">
        <v>100</v>
      </c>
      <c r="I101" t="s">
        <v>42</v>
      </c>
    </row>
    <row r="102" spans="1:8">
      <c r="A102">
        <v>12080</v>
      </c>
      <c r="B102" t="str">
        <f>INDEX(TextData!B:B,MATCH(A102,TextData!A:A))</f>
        <v>ウィンドライズ</v>
      </c>
      <c r="C102">
        <v>1010</v>
      </c>
      <c r="D102" t="str">
        <f>INDEX(Define!Q:Q,MATCH(C102,Define!P:P))</f>
        <v>Hpダメージ</v>
      </c>
      <c r="E102">
        <v>150</v>
      </c>
      <c r="F102">
        <v>0</v>
      </c>
      <c r="G102">
        <v>0</v>
      </c>
      <c r="H102">
        <v>100</v>
      </c>
    </row>
    <row r="103" spans="1:8">
      <c r="A103">
        <v>12090</v>
      </c>
      <c r="B103" t="str">
        <f>INDEX(TextData!B:B,MATCH(A103,TextData!A:A))</f>
        <v>アウトオブオーダー</v>
      </c>
      <c r="C103">
        <v>5020</v>
      </c>
      <c r="D103" t="str">
        <f>INDEX(Define!Q:Q,MATCH(C103,Define!P:P))</f>
        <v>Ap回復</v>
      </c>
      <c r="E103">
        <v>200</v>
      </c>
      <c r="F103">
        <v>0</v>
      </c>
      <c r="G103">
        <v>0</v>
      </c>
      <c r="H103">
        <v>100</v>
      </c>
    </row>
    <row r="104" spans="1:9">
      <c r="A104">
        <v>12100</v>
      </c>
      <c r="B104" t="str">
        <f>INDEX(TextData!B:B,MATCH(A104,TextData!A:A))</f>
        <v>ワンスパニッシュ</v>
      </c>
      <c r="C104">
        <v>3010</v>
      </c>
      <c r="D104" t="str">
        <f>INDEX(Define!Q:Q,MATCH(C104,Define!P:P))</f>
        <v>ステート付与</v>
      </c>
      <c r="E104">
        <v>2050</v>
      </c>
      <c r="F104">
        <v>1</v>
      </c>
      <c r="G104">
        <v>0</v>
      </c>
      <c r="H104">
        <v>100</v>
      </c>
      <c r="I104" t="s">
        <v>36</v>
      </c>
    </row>
    <row r="105" spans="1:8">
      <c r="A105">
        <v>12110</v>
      </c>
      <c r="B105" t="str">
        <f>INDEX(TextData!B:B,MATCH(A105,TextData!A:A))</f>
        <v>アクトスタンス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12110</v>
      </c>
      <c r="B106" t="str">
        <f>INDEX(TextData!B:B,MATCH(A106,TextData!A:A))</f>
        <v>アクトスタンス</v>
      </c>
      <c r="C106">
        <v>3010</v>
      </c>
      <c r="D106" t="str">
        <f>INDEX(Define!Q:Q,MATCH(C106,Define!P:P))</f>
        <v>ステート付与</v>
      </c>
      <c r="E106">
        <v>1041</v>
      </c>
      <c r="F106">
        <v>1</v>
      </c>
      <c r="G106">
        <v>8</v>
      </c>
      <c r="H106">
        <v>100</v>
      </c>
      <c r="I106" t="s">
        <v>42</v>
      </c>
    </row>
    <row r="107" spans="1:9">
      <c r="A107">
        <v>13010</v>
      </c>
      <c r="B107" t="str">
        <f>INDEX(TextData!B:B,MATCH(A107,TextData!A:A))</f>
        <v>アーマーコード</v>
      </c>
      <c r="C107">
        <v>3010</v>
      </c>
      <c r="D107" t="str">
        <f>INDEX(Define!Q:Q,MATCH(C107,Define!P:P))</f>
        <v>ステート付与</v>
      </c>
      <c r="E107">
        <v>1050</v>
      </c>
      <c r="F107">
        <v>999</v>
      </c>
      <c r="G107">
        <v>2</v>
      </c>
      <c r="H107">
        <v>100</v>
      </c>
      <c r="I107" t="s">
        <v>32</v>
      </c>
    </row>
    <row r="108" spans="1:9">
      <c r="A108">
        <v>13020</v>
      </c>
      <c r="B108" t="str">
        <f>INDEX(TextData!B:B,MATCH(A108,TextData!A:A))</f>
        <v>クイックバリア</v>
      </c>
      <c r="C108">
        <v>3010</v>
      </c>
      <c r="D108" t="str">
        <f>INDEX(Define!Q:Q,MATCH(C108,Define!P:P))</f>
        <v>ステート付与</v>
      </c>
      <c r="E108">
        <v>1100</v>
      </c>
      <c r="F108">
        <v>1</v>
      </c>
      <c r="G108">
        <v>25</v>
      </c>
      <c r="H108">
        <v>100</v>
      </c>
      <c r="I108" t="s">
        <v>39</v>
      </c>
    </row>
    <row r="109" spans="1:8">
      <c r="A109">
        <v>13030</v>
      </c>
      <c r="B109" t="str">
        <f>INDEX(TextData!B:B,MATCH(A109,TextData!A:A))</f>
        <v>クイックキュア</v>
      </c>
      <c r="C109">
        <v>3030</v>
      </c>
      <c r="D109" t="str">
        <f>INDEX(Define!Q:Q,MATCH(C109,Define!P:P))</f>
        <v>Abnormalステート解除</v>
      </c>
      <c r="E109">
        <v>0</v>
      </c>
      <c r="F109">
        <v>0</v>
      </c>
      <c r="G109">
        <v>0</v>
      </c>
      <c r="H109">
        <v>100</v>
      </c>
    </row>
    <row r="110" spans="1:9">
      <c r="A110">
        <v>13040</v>
      </c>
      <c r="B110" t="str">
        <f>INDEX(TextData!B:B,MATCH(A110,TextData!A:A))</f>
        <v>セルフシールド</v>
      </c>
      <c r="C110">
        <v>3010</v>
      </c>
      <c r="D110" t="str">
        <f>INDEX(Define!Q:Q,MATCH(C110,Define!P:P))</f>
        <v>ステート付与</v>
      </c>
      <c r="E110">
        <v>1100</v>
      </c>
      <c r="F110">
        <v>1</v>
      </c>
      <c r="G110">
        <v>15</v>
      </c>
      <c r="H110">
        <v>100</v>
      </c>
      <c r="I110" t="s">
        <v>39</v>
      </c>
    </row>
    <row r="111" spans="1:9">
      <c r="A111">
        <v>13050</v>
      </c>
      <c r="B111" t="str">
        <f>INDEX(TextData!B:B,MATCH(A111,TextData!A:A))</f>
        <v>パッシブジャミング</v>
      </c>
      <c r="C111">
        <v>3010</v>
      </c>
      <c r="D111" t="str">
        <f>INDEX(Define!Q:Q,MATCH(C111,Define!P:P))</f>
        <v>ステート付与</v>
      </c>
      <c r="E111">
        <v>2090</v>
      </c>
      <c r="F111">
        <v>3</v>
      </c>
      <c r="G111">
        <v>0</v>
      </c>
      <c r="H111">
        <v>100</v>
      </c>
      <c r="I111" t="s">
        <v>51</v>
      </c>
    </row>
    <row r="112" spans="1:9">
      <c r="A112">
        <v>13060</v>
      </c>
      <c r="B112" t="str">
        <f>INDEX(TextData!B:B,MATCH(A112,TextData!A:A))</f>
        <v>サプライカバー</v>
      </c>
      <c r="C112">
        <v>3010</v>
      </c>
      <c r="D112" t="str">
        <f>INDEX(Define!Q:Q,MATCH(C112,Define!P:P))</f>
        <v>ステート付与</v>
      </c>
      <c r="E112">
        <v>2430</v>
      </c>
      <c r="F112">
        <v>1</v>
      </c>
      <c r="G112">
        <v>0</v>
      </c>
      <c r="H112">
        <v>100</v>
      </c>
      <c r="I112" t="s">
        <v>52</v>
      </c>
    </row>
    <row r="113" spans="1:8">
      <c r="A113">
        <v>13070</v>
      </c>
      <c r="B113" t="str">
        <f>INDEX(TextData!B:B,MATCH(A113,TextData!A:A))</f>
        <v>アシッドラッシュ</v>
      </c>
      <c r="C113">
        <v>5050</v>
      </c>
      <c r="D113" t="str">
        <f>INDEX(Define!Q:Q,MATCH(C113,Define!P:P))</f>
        <v>APダメージ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13080</v>
      </c>
      <c r="B114" t="str">
        <f>INDEX(TextData!B:B,MATCH(A114,TextData!A:A))</f>
        <v>ライフスティール</v>
      </c>
      <c r="C114">
        <v>3010</v>
      </c>
      <c r="D114" t="str">
        <f>INDEX(Define!Q:Q,MATCH(C114,Define!P:P))</f>
        <v>ステート付与</v>
      </c>
      <c r="E114">
        <v>2060</v>
      </c>
      <c r="F114">
        <v>1</v>
      </c>
      <c r="G114">
        <v>25</v>
      </c>
      <c r="H114">
        <v>100</v>
      </c>
      <c r="I114" t="s">
        <v>53</v>
      </c>
    </row>
    <row r="115" spans="1:9">
      <c r="A115">
        <v>13090</v>
      </c>
      <c r="B115" t="str">
        <f>INDEX(TextData!B:B,MATCH(A115,TextData!A:A))</f>
        <v>アイスセイバー</v>
      </c>
      <c r="C115">
        <v>3010</v>
      </c>
      <c r="D115" t="str">
        <f>INDEX(Define!Q:Q,MATCH(C115,Define!P:P))</f>
        <v>ステート付与</v>
      </c>
      <c r="E115">
        <v>2140</v>
      </c>
      <c r="F115">
        <v>1</v>
      </c>
      <c r="G115">
        <v>25</v>
      </c>
      <c r="H115">
        <v>100</v>
      </c>
      <c r="I115" t="s">
        <v>34</v>
      </c>
    </row>
    <row r="116" spans="1:9">
      <c r="A116">
        <v>13100</v>
      </c>
      <c r="B116" t="str">
        <f>INDEX(TextData!B:B,MATCH(A116,TextData!A:A))</f>
        <v>ルミナスカバー</v>
      </c>
      <c r="C116">
        <v>3010</v>
      </c>
      <c r="D116" t="str">
        <f>INDEX(Define!Q:Q,MATCH(C116,Define!P:P))</f>
        <v>ステート付与</v>
      </c>
      <c r="E116">
        <v>2430</v>
      </c>
      <c r="F116">
        <v>1</v>
      </c>
      <c r="G116">
        <v>0</v>
      </c>
      <c r="H116">
        <v>100</v>
      </c>
      <c r="I116" t="s">
        <v>52</v>
      </c>
    </row>
    <row r="117" spans="1:8">
      <c r="A117">
        <v>13100</v>
      </c>
      <c r="B117" t="str">
        <f>INDEX(TextData!B:B,MATCH(A117,TextData!A:A))</f>
        <v>ルミナスカバー</v>
      </c>
      <c r="C117">
        <v>7010</v>
      </c>
      <c r="D117" t="str">
        <f>INDEX(Define!Q:Q,MATCH(C117,Define!P:P))</f>
        <v>行動後スキル</v>
      </c>
      <c r="E117">
        <v>13101</v>
      </c>
      <c r="F117">
        <v>0</v>
      </c>
      <c r="G117">
        <v>1</v>
      </c>
      <c r="H117">
        <v>100</v>
      </c>
    </row>
    <row r="118" spans="1:9">
      <c r="A118">
        <v>13101</v>
      </c>
      <c r="B118" t="str">
        <f>INDEX(TextData!B:B,MATCH(A118,TextData!A:A))</f>
        <v>ルミナスカバー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15</v>
      </c>
      <c r="H118">
        <v>100</v>
      </c>
      <c r="I118" t="s">
        <v>39</v>
      </c>
    </row>
    <row r="119" spans="1:8">
      <c r="A119">
        <v>13101</v>
      </c>
      <c r="B119" t="str">
        <f>INDEX(TextData!B:B,MATCH(A119,TextData!A:A))</f>
        <v>ルミナスカバー</v>
      </c>
      <c r="C119">
        <v>7020</v>
      </c>
      <c r="D119" t="str">
        <f>INDEX(Define!Q:Q,MATCH(C119,Define!P:P))</f>
        <v>行動後条件付きスキル</v>
      </c>
      <c r="E119">
        <v>13102</v>
      </c>
      <c r="F119">
        <v>0</v>
      </c>
      <c r="G119">
        <v>0</v>
      </c>
      <c r="H119">
        <v>100</v>
      </c>
    </row>
    <row r="120" spans="1:9">
      <c r="A120">
        <v>13102</v>
      </c>
      <c r="B120" t="str">
        <f>INDEX(TextData!B:B,MATCH(A120,TextData!A:A))</f>
        <v>ルミナスカバー</v>
      </c>
      <c r="C120">
        <v>3010</v>
      </c>
      <c r="D120" t="str">
        <f>INDEX(Define!Q:Q,MATCH(C120,Define!P:P))</f>
        <v>ステート付与</v>
      </c>
      <c r="E120">
        <v>1050</v>
      </c>
      <c r="F120">
        <v>2</v>
      </c>
      <c r="G120">
        <v>4</v>
      </c>
      <c r="H120">
        <v>100</v>
      </c>
      <c r="I120" t="s">
        <v>32</v>
      </c>
    </row>
    <row r="121" spans="1:9">
      <c r="A121">
        <v>13110</v>
      </c>
      <c r="B121" t="str">
        <f>INDEX(TextData!B:B,MATCH(A121,TextData!A:A))</f>
        <v>デコイプラス</v>
      </c>
      <c r="C121">
        <v>3010</v>
      </c>
      <c r="D121" t="str">
        <f>INDEX(Define!Q:Q,MATCH(C121,Define!P:P))</f>
        <v>ステート付与</v>
      </c>
      <c r="E121">
        <v>2130</v>
      </c>
      <c r="F121">
        <v>1</v>
      </c>
      <c r="G121">
        <v>25</v>
      </c>
      <c r="H121">
        <v>100</v>
      </c>
      <c r="I121" t="s">
        <v>33</v>
      </c>
    </row>
    <row r="122" spans="1:8">
      <c r="A122">
        <v>13110</v>
      </c>
      <c r="B122" t="str">
        <f>INDEX(TextData!B:B,MATCH(A122,TextData!A:A))</f>
        <v>デコイプラス</v>
      </c>
      <c r="C122">
        <v>7010</v>
      </c>
      <c r="D122" t="str">
        <f>INDEX(Define!Q:Q,MATCH(C122,Define!P:P))</f>
        <v>行動後スキル</v>
      </c>
      <c r="E122">
        <v>13111</v>
      </c>
      <c r="F122">
        <v>0</v>
      </c>
      <c r="G122">
        <v>0</v>
      </c>
      <c r="H122">
        <v>100</v>
      </c>
    </row>
    <row r="123" spans="1:9">
      <c r="A123">
        <v>13111</v>
      </c>
      <c r="B123" t="str">
        <f>INDEX(TextData!B:B,MATCH(A123,TextData!A:A))</f>
        <v>デコイプラス</v>
      </c>
      <c r="C123">
        <v>3010</v>
      </c>
      <c r="D123" t="str">
        <f>INDEX(Define!Q:Q,MATCH(C123,Define!P:P))</f>
        <v>ステート付与</v>
      </c>
      <c r="E123">
        <v>1050</v>
      </c>
      <c r="F123">
        <v>1</v>
      </c>
      <c r="G123">
        <v>2</v>
      </c>
      <c r="H123">
        <v>100</v>
      </c>
      <c r="I123" t="s">
        <v>32</v>
      </c>
    </row>
    <row r="124" spans="1:9">
      <c r="A124">
        <v>13120</v>
      </c>
      <c r="B124" t="str">
        <f>INDEX(TextData!B:B,MATCH(A124,TextData!A:A))</f>
        <v>アフターシールド</v>
      </c>
      <c r="C124">
        <v>3010</v>
      </c>
      <c r="D124" t="str">
        <f>INDEX(Define!Q:Q,MATCH(C124,Define!P:P))</f>
        <v>ステート付与</v>
      </c>
      <c r="E124">
        <v>1052</v>
      </c>
      <c r="F124">
        <v>1</v>
      </c>
      <c r="G124">
        <v>20</v>
      </c>
      <c r="H124">
        <v>100</v>
      </c>
      <c r="I124" t="s">
        <v>32</v>
      </c>
    </row>
    <row r="125" spans="1:9">
      <c r="A125">
        <v>13130</v>
      </c>
      <c r="B125" t="str">
        <f>INDEX(TextData!B:B,MATCH(A125,TextData!A:A))</f>
        <v>カバープラス</v>
      </c>
      <c r="C125">
        <v>3010</v>
      </c>
      <c r="D125" t="str">
        <f>INDEX(Define!Q:Q,MATCH(C125,Define!P:P))</f>
        <v>ステート付与</v>
      </c>
      <c r="E125">
        <v>1100</v>
      </c>
      <c r="F125">
        <v>1</v>
      </c>
      <c r="G125">
        <v>15</v>
      </c>
      <c r="H125">
        <v>100</v>
      </c>
      <c r="I125" t="s">
        <v>39</v>
      </c>
    </row>
    <row r="126" spans="1:9">
      <c r="A126">
        <v>14010</v>
      </c>
      <c r="B126" t="str">
        <f>INDEX(TextData!B:B,MATCH(A126,TextData!A:A))</f>
        <v>ディバインシールド</v>
      </c>
      <c r="C126">
        <v>3010</v>
      </c>
      <c r="D126" t="str">
        <f>INDEX(Define!Q:Q,MATCH(C126,Define!P:P))</f>
        <v>ステート付与</v>
      </c>
      <c r="E126">
        <v>2180</v>
      </c>
      <c r="F126">
        <v>1</v>
      </c>
      <c r="G126">
        <v>0</v>
      </c>
      <c r="H126">
        <v>100</v>
      </c>
      <c r="I126" t="s">
        <v>54</v>
      </c>
    </row>
    <row r="127" spans="1:8">
      <c r="A127">
        <v>14020</v>
      </c>
      <c r="B127" t="str">
        <f>INDEX(TextData!B:B,MATCH(A127,TextData!A:A))</f>
        <v>ライフディバイド</v>
      </c>
      <c r="C127">
        <v>2040</v>
      </c>
      <c r="D127" t="str">
        <f>INDEX(Define!Q:Q,MATCH(C127,Define!P:P))</f>
        <v>Hpを分け与える</v>
      </c>
      <c r="E127">
        <v>25</v>
      </c>
      <c r="F127">
        <v>0</v>
      </c>
      <c r="G127">
        <v>1</v>
      </c>
      <c r="H127">
        <v>100</v>
      </c>
    </row>
    <row r="128" spans="1:9">
      <c r="A128">
        <v>14030</v>
      </c>
      <c r="B128" t="str">
        <f>INDEX(TextData!B:B,MATCH(A128,TextData!A:A))</f>
        <v>エイミングスコープ</v>
      </c>
      <c r="C128">
        <v>3010</v>
      </c>
      <c r="D128" t="str">
        <f>INDEX(Define!Q:Q,MATCH(C128,Define!P:P))</f>
        <v>ステート付与</v>
      </c>
      <c r="E128">
        <v>1081</v>
      </c>
      <c r="F128">
        <v>999</v>
      </c>
      <c r="G128">
        <v>5</v>
      </c>
      <c r="H128">
        <v>100</v>
      </c>
      <c r="I128" t="s">
        <v>30</v>
      </c>
    </row>
    <row r="129" spans="1:9">
      <c r="A129">
        <v>14040</v>
      </c>
      <c r="B129" t="str">
        <f>INDEX(TextData!B:B,MATCH(A129,TextData!A:A))</f>
        <v>リジェネレーション</v>
      </c>
      <c r="C129">
        <v>3010</v>
      </c>
      <c r="D129" t="str">
        <f>INDEX(Define!Q:Q,MATCH(C129,Define!P:P))</f>
        <v>ステート付与</v>
      </c>
      <c r="E129">
        <v>2040</v>
      </c>
      <c r="F129">
        <v>999</v>
      </c>
      <c r="G129">
        <v>2</v>
      </c>
      <c r="H129">
        <v>100</v>
      </c>
      <c r="I129" t="s">
        <v>55</v>
      </c>
    </row>
    <row r="130" spans="1:9">
      <c r="A130">
        <v>14050</v>
      </c>
      <c r="B130" t="str">
        <f>INDEX(TextData!B:B,MATCH(A130,TextData!A:A))</f>
        <v>ホープフルアイリス</v>
      </c>
      <c r="C130">
        <v>3010</v>
      </c>
      <c r="D130" t="str">
        <f>INDEX(Define!Q:Q,MATCH(C130,Define!P:P))</f>
        <v>ステート付与</v>
      </c>
      <c r="E130">
        <v>1020</v>
      </c>
      <c r="F130">
        <v>999</v>
      </c>
      <c r="G130">
        <v>5</v>
      </c>
      <c r="H130">
        <v>100</v>
      </c>
      <c r="I130" t="s">
        <v>47</v>
      </c>
    </row>
    <row r="131" spans="1:8">
      <c r="A131">
        <v>14060</v>
      </c>
      <c r="B131" t="str">
        <f>INDEX(TextData!B:B,MATCH(A131,TextData!A:A))</f>
        <v>パッシブサプライ</v>
      </c>
      <c r="C131">
        <v>4020</v>
      </c>
      <c r="D131" t="str">
        <f>INDEX(Define!Q:Q,MATCH(C131,Define!P:P))</f>
        <v>Ct回復</v>
      </c>
      <c r="E131">
        <v>1</v>
      </c>
      <c r="F131">
        <v>0</v>
      </c>
      <c r="G131">
        <v>0</v>
      </c>
      <c r="H131">
        <v>100</v>
      </c>
    </row>
    <row r="132" spans="1:9">
      <c r="A132">
        <v>14070</v>
      </c>
      <c r="B132" t="str">
        <f>INDEX(TextData!B:B,MATCH(A132,TextData!A:A))</f>
        <v>ホーミングクルセイド</v>
      </c>
      <c r="C132">
        <v>3010</v>
      </c>
      <c r="D132" t="str">
        <f>INDEX(Define!Q:Q,MATCH(C132,Define!P:P))</f>
        <v>ステート付与</v>
      </c>
      <c r="E132">
        <v>2240</v>
      </c>
      <c r="F132">
        <v>3</v>
      </c>
      <c r="G132">
        <v>0</v>
      </c>
      <c r="H132">
        <v>100</v>
      </c>
      <c r="I132" t="s">
        <v>56</v>
      </c>
    </row>
    <row r="133" spans="1:8">
      <c r="A133">
        <v>14080</v>
      </c>
      <c r="B133" t="str">
        <f>INDEX(TextData!B:B,MATCH(A133,TextData!A:A))</f>
        <v>クイックヒール</v>
      </c>
      <c r="C133">
        <v>2010</v>
      </c>
      <c r="D133" t="str">
        <f>INDEX(Define!Q:Q,MATCH(C133,Define!P:P))</f>
        <v>Hp回復</v>
      </c>
      <c r="E133">
        <v>5</v>
      </c>
      <c r="F133">
        <v>0</v>
      </c>
      <c r="G133">
        <v>0</v>
      </c>
      <c r="H133">
        <v>100</v>
      </c>
    </row>
    <row r="134" spans="1:9">
      <c r="A134">
        <v>14090</v>
      </c>
      <c r="B134" t="str">
        <f>INDEX(TextData!B:B,MATCH(A134,TextData!A:A))</f>
        <v>リレイズ</v>
      </c>
      <c r="C134">
        <v>3010</v>
      </c>
      <c r="D134" t="str">
        <f>INDEX(Define!Q:Q,MATCH(C134,Define!P:P))</f>
        <v>ステート付与</v>
      </c>
      <c r="E134">
        <v>2450</v>
      </c>
      <c r="F134">
        <v>1</v>
      </c>
      <c r="G134">
        <v>1</v>
      </c>
      <c r="H134">
        <v>100</v>
      </c>
      <c r="I134" t="s">
        <v>57</v>
      </c>
    </row>
    <row r="135" spans="1:8">
      <c r="A135">
        <v>14100</v>
      </c>
      <c r="B135" t="str">
        <f>INDEX(TextData!B:B,MATCH(A135,TextData!A:A))</f>
        <v>ファストヒール</v>
      </c>
      <c r="C135">
        <v>2010</v>
      </c>
      <c r="D135" t="str">
        <f>INDEX(Define!Q:Q,MATCH(C135,Define!P:P))</f>
        <v>Hp回復</v>
      </c>
      <c r="E135">
        <v>3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3060</v>
      </c>
      <c r="D136" t="str">
        <f>INDEX(Define!Q:Q,MATCH(C136,Define!P:P))</f>
        <v>デバフステート解除</v>
      </c>
      <c r="E136">
        <v>0</v>
      </c>
      <c r="F136">
        <v>0</v>
      </c>
      <c r="G136">
        <v>0</v>
      </c>
      <c r="H136">
        <v>100</v>
      </c>
    </row>
    <row r="137" spans="1:8">
      <c r="A137">
        <v>14110</v>
      </c>
      <c r="B137" t="str">
        <f>INDEX(TextData!B:B,MATCH(A137,TextData!A:A))</f>
        <v>セルフケア</v>
      </c>
      <c r="C137">
        <v>6080</v>
      </c>
      <c r="D137" t="str">
        <f>INDEX(Define!Q:Q,MATCH(C137,Define!P:P))</f>
        <v>指定魔法のCTリセット値を変更する</v>
      </c>
      <c r="E137">
        <v>14110</v>
      </c>
      <c r="F137">
        <v>0</v>
      </c>
      <c r="G137">
        <v>2</v>
      </c>
      <c r="H137">
        <v>100</v>
      </c>
    </row>
    <row r="138" spans="1:8">
      <c r="A138">
        <v>14120</v>
      </c>
      <c r="B138" t="str">
        <f>INDEX(TextData!B:B,MATCH(A138,TextData!A:A))</f>
        <v>ファーストエイド</v>
      </c>
      <c r="C138">
        <v>2010</v>
      </c>
      <c r="D138" t="str">
        <f>INDEX(Define!Q:Q,MATCH(C138,Define!P:P))</f>
        <v>Hp回復</v>
      </c>
      <c r="E138">
        <v>5</v>
      </c>
      <c r="F138">
        <v>0</v>
      </c>
      <c r="G138">
        <v>0</v>
      </c>
      <c r="H138">
        <v>100</v>
      </c>
    </row>
    <row r="139" spans="1:9">
      <c r="A139">
        <v>15010</v>
      </c>
      <c r="B139" t="str">
        <f>INDEX(TextData!B:B,MATCH(A139,TextData!A:A))</f>
        <v>イーグルアイ</v>
      </c>
      <c r="C139">
        <v>3010</v>
      </c>
      <c r="D139" t="str">
        <f>INDEX(Define!Q:Q,MATCH(C139,Define!P:P))</f>
        <v>ステート付与</v>
      </c>
      <c r="E139">
        <v>1070</v>
      </c>
      <c r="F139">
        <v>999</v>
      </c>
      <c r="G139">
        <v>15</v>
      </c>
      <c r="H139">
        <v>100</v>
      </c>
      <c r="I139" t="s">
        <v>26</v>
      </c>
    </row>
    <row r="140" spans="1:9">
      <c r="A140">
        <v>15010</v>
      </c>
      <c r="B140" t="str">
        <f>INDEX(TextData!B:B,MATCH(A140,TextData!A:A))</f>
        <v>イーグルアイ</v>
      </c>
      <c r="C140">
        <v>6030</v>
      </c>
      <c r="D140" t="str">
        <f>INDEX(Define!Q:Q,MATCH(C140,Define!P:P))</f>
        <v>FeatureのParam3を指定値に上書き</v>
      </c>
      <c r="E140">
        <v>15010</v>
      </c>
      <c r="F140">
        <v>0</v>
      </c>
      <c r="G140">
        <v>30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3010</v>
      </c>
      <c r="D141" t="str">
        <f>INDEX(Define!Q:Q,MATCH(C141,Define!P:P))</f>
        <v>ステート付与</v>
      </c>
      <c r="E141">
        <v>1070</v>
      </c>
      <c r="F141">
        <v>999</v>
      </c>
      <c r="G141">
        <v>25</v>
      </c>
      <c r="H141">
        <v>100</v>
      </c>
      <c r="I141" t="s">
        <v>26</v>
      </c>
    </row>
    <row r="142" spans="1:9">
      <c r="A142">
        <v>15020</v>
      </c>
      <c r="B142" t="str">
        <f>INDEX(TextData!B:B,MATCH(A142,TextData!A:A))</f>
        <v>ネヴァーエンド</v>
      </c>
      <c r="C142">
        <v>6030</v>
      </c>
      <c r="D142" t="str">
        <f>INDEX(Define!Q:Q,MATCH(C142,Define!P:P))</f>
        <v>FeatureのParam3を指定値に上書き</v>
      </c>
      <c r="E142">
        <v>15020</v>
      </c>
      <c r="F142">
        <v>0</v>
      </c>
      <c r="G142">
        <v>50</v>
      </c>
      <c r="H142">
        <v>100</v>
      </c>
      <c r="I142" t="s">
        <v>26</v>
      </c>
    </row>
    <row r="143" spans="1:8">
      <c r="A143">
        <v>15030</v>
      </c>
      <c r="B143" t="str">
        <f>INDEX(TextData!B:B,MATCH(A143,TextData!A:A))</f>
        <v>グレイブアクト</v>
      </c>
      <c r="C143">
        <v>4020</v>
      </c>
      <c r="D143" t="str">
        <f>INDEX(Define!Q:Q,MATCH(C143,Define!P:P))</f>
        <v>Ct回復</v>
      </c>
      <c r="E143">
        <v>2</v>
      </c>
      <c r="F143">
        <v>0</v>
      </c>
      <c r="G143">
        <v>0</v>
      </c>
      <c r="H143">
        <v>100</v>
      </c>
    </row>
    <row r="144" spans="1:9">
      <c r="A144">
        <v>15040</v>
      </c>
      <c r="B144" t="str">
        <f>INDEX(TextData!B:B,MATCH(A144,TextData!A:A))</f>
        <v>スカルグラッジ</v>
      </c>
      <c r="C144">
        <v>3010</v>
      </c>
      <c r="D144" t="str">
        <f>INDEX(Define!Q:Q,MATCH(C144,Define!P:P))</f>
        <v>ステート付与</v>
      </c>
      <c r="E144">
        <v>2220</v>
      </c>
      <c r="F144">
        <v>999</v>
      </c>
      <c r="G144">
        <v>5</v>
      </c>
      <c r="H144">
        <v>100</v>
      </c>
      <c r="I144" t="s">
        <v>58</v>
      </c>
    </row>
    <row r="145" spans="1:9">
      <c r="A145">
        <v>15050</v>
      </c>
      <c r="B145" t="str">
        <f>INDEX(TextData!B:B,MATCH(A145,TextData!A:A))</f>
        <v>ネガティブドレイン</v>
      </c>
      <c r="C145">
        <v>3010</v>
      </c>
      <c r="D145" t="str">
        <f>INDEX(Define!Q:Q,MATCH(C145,Define!P:P))</f>
        <v>ステート付与</v>
      </c>
      <c r="E145">
        <v>2060</v>
      </c>
      <c r="F145">
        <v>0</v>
      </c>
      <c r="G145">
        <v>15</v>
      </c>
      <c r="H145">
        <v>100</v>
      </c>
      <c r="I145" t="s">
        <v>53</v>
      </c>
    </row>
    <row r="146" spans="1:9">
      <c r="A146">
        <v>15050</v>
      </c>
      <c r="B146" t="str">
        <f>INDEX(TextData!B:B,MATCH(A146,TextData!A:A))</f>
        <v>ネガティブドレイン</v>
      </c>
      <c r="C146">
        <v>6030</v>
      </c>
      <c r="D146" t="str">
        <f>INDEX(Define!Q:Q,MATCH(C146,Define!P:P))</f>
        <v>FeatureのParam3を指定値に上書き</v>
      </c>
      <c r="E146">
        <v>15050</v>
      </c>
      <c r="F146">
        <v>0</v>
      </c>
      <c r="G146">
        <v>30</v>
      </c>
      <c r="H146">
        <v>100</v>
      </c>
      <c r="I146" t="s">
        <v>53</v>
      </c>
    </row>
    <row r="147" spans="1:9">
      <c r="A147">
        <v>15060</v>
      </c>
      <c r="B147" t="str">
        <f>INDEX(TextData!B:B,MATCH(A147,TextData!A:A))</f>
        <v>アンデッドペイン</v>
      </c>
      <c r="C147">
        <v>3010</v>
      </c>
      <c r="D147" t="str">
        <f>INDEX(Define!Q:Q,MATCH(C147,Define!P:P))</f>
        <v>ステート付与</v>
      </c>
      <c r="E147">
        <v>2270</v>
      </c>
      <c r="F147">
        <v>0</v>
      </c>
      <c r="G147">
        <v>7</v>
      </c>
      <c r="H147">
        <v>100</v>
      </c>
      <c r="I147" t="s">
        <v>44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1070</v>
      </c>
      <c r="F148">
        <v>1</v>
      </c>
      <c r="G148">
        <v>50</v>
      </c>
      <c r="H148">
        <v>100</v>
      </c>
      <c r="I148" t="s">
        <v>26</v>
      </c>
    </row>
    <row r="149" spans="1:9">
      <c r="A149">
        <v>15070</v>
      </c>
      <c r="B149" t="str">
        <f>INDEX(TextData!B:B,MATCH(A149,TextData!A:A))</f>
        <v>ジャックポッド</v>
      </c>
      <c r="C149">
        <v>3010</v>
      </c>
      <c r="D149" t="str">
        <f>INDEX(Define!Q:Q,MATCH(C149,Define!P:P))</f>
        <v>ステート付与</v>
      </c>
      <c r="E149">
        <v>1082</v>
      </c>
      <c r="F149">
        <v>1</v>
      </c>
      <c r="G149">
        <v>50</v>
      </c>
      <c r="H149">
        <v>100</v>
      </c>
      <c r="I149" t="s">
        <v>41</v>
      </c>
    </row>
    <row r="150" spans="1:8">
      <c r="A150">
        <v>15080</v>
      </c>
      <c r="B150" t="str">
        <f>INDEX(TextData!B:B,MATCH(A150,TextData!A:A))</f>
        <v>ヒールハント</v>
      </c>
      <c r="C150">
        <v>1100</v>
      </c>
      <c r="D150" t="str">
        <f>INDEX(Define!Q:Q,MATCH(C150,Define!P:P))</f>
        <v>Hp貫通ダメージ</v>
      </c>
      <c r="E150">
        <v>100</v>
      </c>
      <c r="F150">
        <v>0</v>
      </c>
      <c r="G150">
        <v>30</v>
      </c>
      <c r="H150">
        <v>100</v>
      </c>
    </row>
    <row r="151" spans="1:9">
      <c r="A151">
        <v>15090</v>
      </c>
      <c r="B151" t="str">
        <f>INDEX(TextData!B:B,MATCH(A151,TextData!A:A))</f>
        <v>クイックカース</v>
      </c>
      <c r="C151">
        <v>3010</v>
      </c>
      <c r="D151" t="str">
        <f>INDEX(Define!Q:Q,MATCH(C151,Define!P:P))</f>
        <v>ステート付与</v>
      </c>
      <c r="E151">
        <v>1043</v>
      </c>
      <c r="F151">
        <v>1</v>
      </c>
      <c r="G151">
        <v>20</v>
      </c>
      <c r="H151">
        <v>100</v>
      </c>
      <c r="I151" t="s">
        <v>59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1040</v>
      </c>
      <c r="F152">
        <v>2</v>
      </c>
      <c r="G152">
        <v>4</v>
      </c>
      <c r="H152">
        <v>100</v>
      </c>
      <c r="I152" t="s">
        <v>48</v>
      </c>
    </row>
    <row r="153" spans="1:9">
      <c r="A153">
        <v>15100</v>
      </c>
      <c r="B153" t="str">
        <f>INDEX(TextData!B:B,MATCH(A153,TextData!A:A))</f>
        <v>リヴェンジャー</v>
      </c>
      <c r="C153">
        <v>3010</v>
      </c>
      <c r="D153" t="str">
        <f>INDEX(Define!Q:Q,MATCH(C153,Define!P:P))</f>
        <v>ステート付与</v>
      </c>
      <c r="E153">
        <v>1050</v>
      </c>
      <c r="F153">
        <v>2</v>
      </c>
      <c r="G153">
        <v>4</v>
      </c>
      <c r="H153">
        <v>100</v>
      </c>
      <c r="I153" t="s">
        <v>32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0</v>
      </c>
      <c r="G154">
        <v>8</v>
      </c>
      <c r="H154">
        <v>100</v>
      </c>
      <c r="I154" t="s">
        <v>48</v>
      </c>
    </row>
    <row r="155" spans="1:9">
      <c r="A155">
        <v>15100</v>
      </c>
      <c r="B155" t="str">
        <f>INDEX(TextData!B:B,MATCH(A155,TextData!A:A))</f>
        <v>リヴェンジャー</v>
      </c>
      <c r="C155">
        <v>6030</v>
      </c>
      <c r="D155" t="str">
        <f>INDEX(Define!Q:Q,MATCH(C155,Define!P:P))</f>
        <v>FeatureのParam3を指定値に上書き</v>
      </c>
      <c r="E155">
        <v>15100</v>
      </c>
      <c r="F155">
        <v>1</v>
      </c>
      <c r="G155">
        <v>8</v>
      </c>
      <c r="H155">
        <v>100</v>
      </c>
      <c r="I155" t="s">
        <v>32</v>
      </c>
    </row>
    <row r="156" spans="1:8">
      <c r="A156">
        <v>15110</v>
      </c>
      <c r="B156" t="str">
        <f>INDEX(TextData!B:B,MATCH(A156,TextData!A:A))</f>
        <v>リープリアクト</v>
      </c>
      <c r="C156">
        <v>5030</v>
      </c>
      <c r="D156" t="str">
        <f>INDEX(Define!Q:Q,MATCH(C156,Define!P:P))</f>
        <v>再行動する</v>
      </c>
      <c r="E156">
        <v>0</v>
      </c>
      <c r="F156">
        <v>0</v>
      </c>
      <c r="G156">
        <v>0</v>
      </c>
      <c r="H156">
        <v>100</v>
      </c>
    </row>
    <row r="157" spans="1:9">
      <c r="A157">
        <v>15110</v>
      </c>
      <c r="B157" t="str">
        <f>INDEX(TextData!B:B,MATCH(A157,TextData!A:A))</f>
        <v>リープリアクト</v>
      </c>
      <c r="C157">
        <v>3010</v>
      </c>
      <c r="D157" t="str">
        <f>INDEX(Define!Q:Q,MATCH(C157,Define!P:P))</f>
        <v>ステート付与</v>
      </c>
      <c r="E157">
        <v>1071</v>
      </c>
      <c r="F157">
        <v>2</v>
      </c>
      <c r="G157">
        <v>30</v>
      </c>
      <c r="H157">
        <v>100</v>
      </c>
      <c r="I157" t="s">
        <v>26</v>
      </c>
    </row>
    <row r="158" spans="1:8">
      <c r="A158">
        <v>15110</v>
      </c>
      <c r="B158" t="str">
        <f>INDEX(TextData!B:B,MATCH(A158,TextData!A:A))</f>
        <v>リープリアクト</v>
      </c>
      <c r="C158">
        <v>6310</v>
      </c>
      <c r="D158" t="str">
        <f>INDEX(Define!Q:Q,MATCH(C158,Define!P:P))</f>
        <v>指定魔法に行動後スキルを追加する</v>
      </c>
      <c r="E158">
        <v>15110</v>
      </c>
      <c r="F158">
        <v>0</v>
      </c>
      <c r="G158">
        <v>15112</v>
      </c>
      <c r="H158">
        <v>100</v>
      </c>
    </row>
    <row r="159" spans="1:8">
      <c r="A159">
        <v>15112</v>
      </c>
      <c r="B159" t="str">
        <f>INDEX(TextData!B:B,MATCH(A159,TextData!A:A))</f>
        <v>リープリアクト</v>
      </c>
      <c r="C159">
        <v>3010</v>
      </c>
      <c r="D159" t="str">
        <f>INDEX(Define!Q:Q,MATCH(C159,Define!P:P))</f>
        <v>ステート付与</v>
      </c>
      <c r="E159">
        <v>1070</v>
      </c>
      <c r="F159">
        <v>2</v>
      </c>
      <c r="G159">
        <v>5</v>
      </c>
      <c r="H159">
        <v>100</v>
      </c>
    </row>
    <row r="160" spans="1:8">
      <c r="A160">
        <v>15120</v>
      </c>
      <c r="B160" t="str">
        <f>INDEX(TextData!B:B,MATCH(A160,TextData!A:A))</f>
        <v>ディレイドパッシブ</v>
      </c>
      <c r="C160">
        <v>4011</v>
      </c>
      <c r="D160" t="str">
        <f>INDEX(Define!Q:Q,MATCH(C160,Define!P:P))</f>
        <v>CTダメージPassiveのみ</v>
      </c>
      <c r="E160">
        <v>1</v>
      </c>
      <c r="F160">
        <v>0</v>
      </c>
      <c r="G160">
        <v>0</v>
      </c>
      <c r="H160">
        <v>100</v>
      </c>
    </row>
    <row r="161" spans="1:9">
      <c r="A161">
        <v>15130</v>
      </c>
      <c r="B161" t="str">
        <f>INDEX(TextData!B:B,MATCH(A161,TextData!A:A))</f>
        <v>シャドウケイプ</v>
      </c>
      <c r="C161">
        <v>3010</v>
      </c>
      <c r="D161" t="str">
        <f>INDEX(Define!Q:Q,MATCH(C161,Define!P:P))</f>
        <v>ステート付与</v>
      </c>
      <c r="E161">
        <v>2050</v>
      </c>
      <c r="F161">
        <v>1</v>
      </c>
      <c r="G161">
        <v>0</v>
      </c>
      <c r="H161">
        <v>100</v>
      </c>
      <c r="I161" t="s">
        <v>36</v>
      </c>
    </row>
    <row r="162" spans="1:8">
      <c r="A162">
        <v>30010</v>
      </c>
      <c r="B162" t="str">
        <f>INDEX(TextData!B:B,MATCH(A162,TextData!A:A))</f>
        <v>ラーニングピアス</v>
      </c>
      <c r="C162">
        <v>40020</v>
      </c>
      <c r="D162" t="str">
        <f>INDEX(Define!Q:Q,MATCH(C162,Define!P:P))</f>
        <v>獲得Eｘｐ％アップ</v>
      </c>
      <c r="E162">
        <v>30</v>
      </c>
      <c r="F162">
        <v>0</v>
      </c>
      <c r="G162">
        <v>0</v>
      </c>
      <c r="H162">
        <v>100</v>
      </c>
    </row>
    <row r="163" spans="1:8">
      <c r="A163">
        <v>30020</v>
      </c>
      <c r="B163" t="str">
        <f>INDEX(TextData!B:B,MATCH(A163,TextData!A:A))</f>
        <v>スティールヒール</v>
      </c>
      <c r="C163">
        <v>2011</v>
      </c>
      <c r="D163" t="str">
        <f>INDEX(Define!Q:Q,MATCH(C163,Define!P:P))</f>
        <v>攻撃対象の最大Hpに比例して回復</v>
      </c>
      <c r="E163">
        <v>5</v>
      </c>
      <c r="F163">
        <v>0</v>
      </c>
      <c r="G163">
        <v>1</v>
      </c>
      <c r="H163">
        <v>100</v>
      </c>
    </row>
    <row r="164" spans="1:9">
      <c r="A164">
        <v>30030</v>
      </c>
      <c r="B164" t="str">
        <f>INDEX(TextData!B:B,MATCH(A164,TextData!A:A))</f>
        <v>ガッツ</v>
      </c>
      <c r="C164">
        <v>3010</v>
      </c>
      <c r="D164" t="str">
        <f>INDEX(Define!Q:Q,MATCH(C164,Define!P:P))</f>
        <v>ステート付与</v>
      </c>
      <c r="E164">
        <v>2450</v>
      </c>
      <c r="F164">
        <v>1</v>
      </c>
      <c r="G164">
        <v>1</v>
      </c>
      <c r="H164">
        <v>100</v>
      </c>
      <c r="I164" t="s">
        <v>57</v>
      </c>
    </row>
    <row r="165" spans="1:9">
      <c r="A165">
        <v>100110</v>
      </c>
      <c r="B165" t="str">
        <f>INDEX(TextData!B:B,MATCH(A165,TextData!A:A))</f>
        <v>ソーイングアームド</v>
      </c>
      <c r="C165">
        <v>3010</v>
      </c>
      <c r="D165" t="str">
        <f>INDEX(Define!Q:Q,MATCH(C165,Define!P:P))</f>
        <v>ステート付与</v>
      </c>
      <c r="E165">
        <v>2330</v>
      </c>
      <c r="F165">
        <v>999</v>
      </c>
      <c r="G165">
        <v>25</v>
      </c>
      <c r="H165">
        <v>100</v>
      </c>
      <c r="I165" t="s">
        <v>49</v>
      </c>
    </row>
    <row r="166" spans="1:8">
      <c r="A166">
        <v>100110</v>
      </c>
      <c r="B166" t="str">
        <f>INDEX(TextData!B:B,MATCH(A166,TextData!A:A))</f>
        <v>ソーイングアームド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100120</v>
      </c>
      <c r="B168" t="str">
        <f>INDEX(TextData!B:B,MATCH(A168,TextData!A:A))</f>
        <v>エターナルロンド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9">
      <c r="A169">
        <v>100210</v>
      </c>
      <c r="B169" t="str">
        <f>INDEX(TextData!B:B,MATCH(A169,TextData!A:A))</f>
        <v>アブソリュートパリィ</v>
      </c>
      <c r="C169">
        <v>3010</v>
      </c>
      <c r="D169" t="str">
        <f>INDEX(Define!Q:Q,MATCH(C169,Define!P:P))</f>
        <v>ステート付与</v>
      </c>
      <c r="E169">
        <v>1090</v>
      </c>
      <c r="F169">
        <v>3</v>
      </c>
      <c r="G169">
        <v>100</v>
      </c>
      <c r="H169">
        <v>100</v>
      </c>
      <c r="I169" t="s">
        <v>27</v>
      </c>
    </row>
    <row r="170" spans="1:8">
      <c r="A170">
        <v>100210</v>
      </c>
      <c r="B170" t="str">
        <f>INDEX(TextData!B:B,MATCH(A170,TextData!A:A))</f>
        <v>アブソリュートパリィ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1010</v>
      </c>
      <c r="D171" t="str">
        <f>INDEX(Define!Q:Q,MATCH(C171,Define!P:P))</f>
        <v>Hpダメージ</v>
      </c>
      <c r="E171">
        <v>50</v>
      </c>
      <c r="F171">
        <v>0</v>
      </c>
      <c r="G171">
        <v>0</v>
      </c>
      <c r="H171">
        <v>100</v>
      </c>
    </row>
    <row r="172" spans="1:8">
      <c r="A172">
        <v>100220</v>
      </c>
      <c r="B172" t="str">
        <f>INDEX(TextData!B:B,MATCH(A172,TextData!A:A))</f>
        <v>レヴェリー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9">
      <c r="A173">
        <v>100310</v>
      </c>
      <c r="B173" t="str">
        <f>INDEX(TextData!B:B,MATCH(A173,TextData!A:A))</f>
        <v>セイクリッドバリア</v>
      </c>
      <c r="C173">
        <v>3010</v>
      </c>
      <c r="D173" t="str">
        <f>INDEX(Define!Q:Q,MATCH(C173,Define!P:P))</f>
        <v>ステート付与</v>
      </c>
      <c r="E173">
        <v>2050</v>
      </c>
      <c r="F173">
        <v>1</v>
      </c>
      <c r="G173">
        <v>0</v>
      </c>
      <c r="H173">
        <v>100</v>
      </c>
      <c r="I173" t="s">
        <v>36</v>
      </c>
    </row>
    <row r="174" spans="1:8">
      <c r="A174">
        <v>100310</v>
      </c>
      <c r="B174" t="str">
        <f>INDEX(TextData!B:B,MATCH(A174,TextData!A:A))</f>
        <v>セイクリッドバリア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1090</v>
      </c>
      <c r="D175" t="str">
        <f>INDEX(Define!Q:Q,MATCH(C175,Define!P:P))</f>
        <v>受けたダメージ総計ダメージ</v>
      </c>
      <c r="E175">
        <v>100</v>
      </c>
      <c r="F175">
        <v>0</v>
      </c>
      <c r="G175">
        <v>0</v>
      </c>
      <c r="H175">
        <v>100</v>
      </c>
    </row>
    <row r="176" spans="1:8">
      <c r="A176">
        <v>100320</v>
      </c>
      <c r="B176" t="str">
        <f>INDEX(TextData!B:B,MATCH(A176,TextData!A:A))</f>
        <v>リベンジニードル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100410</v>
      </c>
      <c r="B177" t="str">
        <f>INDEX(TextData!B:B,MATCH(A177,TextData!A:A))</f>
        <v>アバンデンス</v>
      </c>
      <c r="C177">
        <v>3020</v>
      </c>
      <c r="D177" t="str">
        <f>INDEX(Define!Q:Q,MATCH(C177,Define!P:P))</f>
        <v>ステート解除</v>
      </c>
      <c r="E177">
        <v>1</v>
      </c>
      <c r="F177">
        <v>0</v>
      </c>
      <c r="G177">
        <v>0</v>
      </c>
      <c r="H177">
        <v>100</v>
      </c>
      <c r="I177" t="s">
        <v>38</v>
      </c>
    </row>
    <row r="178" spans="1:8">
      <c r="A178">
        <v>100410</v>
      </c>
      <c r="B178" t="str">
        <f>INDEX(TextData!B:B,MATCH(A178,TextData!A:A))</f>
        <v>アバンデンス</v>
      </c>
      <c r="C178">
        <v>2010</v>
      </c>
      <c r="D178" t="str">
        <f>INDEX(Define!Q:Q,MATCH(C178,Define!P:P))</f>
        <v>Hp回復</v>
      </c>
      <c r="E178">
        <v>25</v>
      </c>
      <c r="F178">
        <v>0</v>
      </c>
      <c r="G178">
        <v>0</v>
      </c>
      <c r="H178">
        <v>100</v>
      </c>
    </row>
    <row r="179" spans="1:8">
      <c r="A179">
        <v>100410</v>
      </c>
      <c r="B179" t="str">
        <f>INDEX(TextData!B:B,MATCH(A179,TextData!A:A))</f>
        <v>アバンデンス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9">
      <c r="A180">
        <v>100420</v>
      </c>
      <c r="B180" t="str">
        <f>INDEX(TextData!B:B,MATCH(A180,TextData!A:A))</f>
        <v>ハーヴェスト</v>
      </c>
      <c r="C180">
        <v>3010</v>
      </c>
      <c r="D180" t="str">
        <f>INDEX(Define!Q:Q,MATCH(C180,Define!P:P))</f>
        <v>ステート付与</v>
      </c>
      <c r="E180">
        <v>2040</v>
      </c>
      <c r="F180">
        <v>999</v>
      </c>
      <c r="G180">
        <v>10</v>
      </c>
      <c r="H180">
        <v>100</v>
      </c>
      <c r="I180" t="s">
        <v>55</v>
      </c>
    </row>
    <row r="181" spans="1:8">
      <c r="A181">
        <v>100420</v>
      </c>
      <c r="B181" t="str">
        <f>INDEX(TextData!B:B,MATCH(A181,TextData!A:A))</f>
        <v>ハーヴェスト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100510</v>
      </c>
      <c r="B182" t="str">
        <f>INDEX(TextData!B:B,MATCH(A182,TextData!A:A))</f>
        <v>カースドブレイク</v>
      </c>
      <c r="C182">
        <v>3010</v>
      </c>
      <c r="D182" t="str">
        <f>INDEX(Define!Q:Q,MATCH(C182,Define!P:P))</f>
        <v>ステート付与</v>
      </c>
      <c r="E182">
        <v>2470</v>
      </c>
      <c r="F182">
        <v>1</v>
      </c>
      <c r="G182">
        <v>100</v>
      </c>
      <c r="H182">
        <v>100</v>
      </c>
      <c r="I182" t="s">
        <v>60</v>
      </c>
    </row>
    <row r="183" spans="1:8">
      <c r="A183">
        <v>100510</v>
      </c>
      <c r="B183" t="str">
        <f>INDEX(TextData!B:B,MATCH(A183,TextData!A:A))</f>
        <v>カースドブレイク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9">
      <c r="A184">
        <v>100520</v>
      </c>
      <c r="B184" t="str">
        <f>INDEX(TextData!B:B,MATCH(A184,TextData!A:A))</f>
        <v>ムーンライトレイ</v>
      </c>
      <c r="C184">
        <v>3010</v>
      </c>
      <c r="D184" t="str">
        <f>INDEX(Define!Q:Q,MATCH(C184,Define!P:P))</f>
        <v>ステート付与</v>
      </c>
      <c r="E184">
        <v>2010</v>
      </c>
      <c r="F184">
        <v>2</v>
      </c>
      <c r="G184">
        <v>25</v>
      </c>
      <c r="H184">
        <v>100</v>
      </c>
      <c r="I184" t="s">
        <v>43</v>
      </c>
    </row>
    <row r="185" spans="1:8">
      <c r="A185">
        <v>100520</v>
      </c>
      <c r="B185" t="str">
        <f>INDEX(TextData!B:B,MATCH(A185,TextData!A:A))</f>
        <v>ムーンライトレイ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4020</v>
      </c>
      <c r="D186" t="str">
        <f>INDEX(Define!Q:Q,MATCH(C186,Define!P:P))</f>
        <v>Ct回復</v>
      </c>
      <c r="E186">
        <v>5</v>
      </c>
      <c r="F186">
        <v>0</v>
      </c>
      <c r="G186">
        <v>0</v>
      </c>
      <c r="H186">
        <v>100</v>
      </c>
    </row>
    <row r="187" spans="1:8">
      <c r="A187">
        <v>100610</v>
      </c>
      <c r="B187" t="str">
        <f>INDEX(TextData!B:B,MATCH(A187,TextData!A:A))</f>
        <v>サンフレイム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1010</v>
      </c>
      <c r="D188" t="str">
        <f>INDEX(Define!Q:Q,MATCH(C188,Define!P:P))</f>
        <v>Hpダメージ</v>
      </c>
      <c r="E188">
        <v>200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4010</v>
      </c>
      <c r="D189" t="str">
        <f>INDEX(Define!Q:Q,MATCH(C189,Define!P:P))</f>
        <v>Ctダメージ</v>
      </c>
      <c r="E189">
        <v>2</v>
      </c>
      <c r="F189">
        <v>0</v>
      </c>
      <c r="G189">
        <v>0</v>
      </c>
      <c r="H189">
        <v>100</v>
      </c>
    </row>
    <row r="190" spans="1:8">
      <c r="A190">
        <v>100620</v>
      </c>
      <c r="B190" t="str">
        <f>INDEX(TextData!B:B,MATCH(A190,TextData!A:A))</f>
        <v>フレイムタン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100710</v>
      </c>
      <c r="B191" t="str">
        <f>INDEX(TextData!B:B,MATCH(A191,TextData!A:A))</f>
        <v>ライズザフラッグ</v>
      </c>
      <c r="C191">
        <v>3010</v>
      </c>
      <c r="D191" t="str">
        <f>INDEX(Define!Q:Q,MATCH(C191,Define!P:P))</f>
        <v>ステート付与</v>
      </c>
      <c r="E191">
        <v>2420</v>
      </c>
      <c r="F191">
        <v>3</v>
      </c>
      <c r="G191">
        <v>0</v>
      </c>
      <c r="H191">
        <v>100</v>
      </c>
      <c r="I191" t="s">
        <v>61</v>
      </c>
    </row>
    <row r="192" spans="1:8">
      <c r="A192">
        <v>100710</v>
      </c>
      <c r="B192" t="str">
        <f>INDEX(TextData!B:B,MATCH(A192,TextData!A:A))</f>
        <v>ライズザフラッグ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8</v>
      </c>
      <c r="H193">
        <v>100</v>
      </c>
      <c r="I193" t="s">
        <v>48</v>
      </c>
    </row>
    <row r="194" spans="1:9">
      <c r="A194">
        <v>100720</v>
      </c>
      <c r="B194" t="str">
        <f>INDEX(TextData!B:B,MATCH(A194,TextData!A:A))</f>
        <v>オーバーリミット</v>
      </c>
      <c r="C194">
        <v>3010</v>
      </c>
      <c r="D194" t="str">
        <f>INDEX(Define!Q:Q,MATCH(C194,Define!P:P))</f>
        <v>ステート付与</v>
      </c>
      <c r="E194">
        <v>1050</v>
      </c>
      <c r="F194">
        <v>999</v>
      </c>
      <c r="G194">
        <v>8</v>
      </c>
      <c r="H194">
        <v>100</v>
      </c>
      <c r="I194" t="s">
        <v>32</v>
      </c>
    </row>
    <row r="195" spans="1:8">
      <c r="A195">
        <v>100720</v>
      </c>
      <c r="B195" t="str">
        <f>INDEX(TextData!B:B,MATCH(A195,TextData!A:A))</f>
        <v>オーバーリミット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8</v>
      </c>
      <c r="H196">
        <v>100</v>
      </c>
      <c r="I196" t="s">
        <v>48</v>
      </c>
    </row>
    <row r="197" spans="1:9">
      <c r="A197">
        <v>100810</v>
      </c>
      <c r="B197" t="str">
        <f>INDEX(TextData!B:B,MATCH(A197,TextData!A:A))</f>
        <v>テンパランス</v>
      </c>
      <c r="C197">
        <v>3010</v>
      </c>
      <c r="D197" t="str">
        <f>INDEX(Define!Q:Q,MATCH(C197,Define!P:P))</f>
        <v>ステート付与</v>
      </c>
      <c r="E197">
        <v>1050</v>
      </c>
      <c r="F197">
        <v>999</v>
      </c>
      <c r="G197">
        <v>8</v>
      </c>
      <c r="H197">
        <v>100</v>
      </c>
      <c r="I197" t="s">
        <v>32</v>
      </c>
    </row>
    <row r="198" spans="1:8">
      <c r="A198">
        <v>100810</v>
      </c>
      <c r="B198" t="str">
        <f>INDEX(TextData!B:B,MATCH(A198,TextData!A:A))</f>
        <v>テンパランス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100820</v>
      </c>
      <c r="B200" t="str">
        <f>INDEX(TextData!B:B,MATCH(A200,TextData!A:A))</f>
        <v>シエルクルセイダー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1010</v>
      </c>
      <c r="D201" t="str">
        <f>INDEX(Define!Q:Q,MATCH(C201,Define!P:P))</f>
        <v>Hpダメージ</v>
      </c>
      <c r="E201">
        <v>350</v>
      </c>
      <c r="F201">
        <v>0</v>
      </c>
      <c r="G201">
        <v>0</v>
      </c>
      <c r="H201">
        <v>100</v>
      </c>
    </row>
    <row r="202" spans="1:8">
      <c r="A202">
        <v>100910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100911</v>
      </c>
      <c r="F202">
        <v>0</v>
      </c>
      <c r="G202">
        <v>0</v>
      </c>
      <c r="H202">
        <v>100</v>
      </c>
    </row>
    <row r="203" spans="1:8">
      <c r="A203">
        <v>100911</v>
      </c>
      <c r="B203" t="str">
        <f>INDEX(TextData!B:B,MATCH(A203,TextData!A:A))</f>
        <v>バーニングカウンター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1010</v>
      </c>
      <c r="D204" t="str">
        <f>INDEX(Define!Q:Q,MATCH(C204,Define!P:P))</f>
        <v>Hpダメージ</v>
      </c>
      <c r="E204">
        <v>400</v>
      </c>
      <c r="F204">
        <v>0</v>
      </c>
      <c r="G204">
        <v>0</v>
      </c>
      <c r="H204">
        <v>100</v>
      </c>
    </row>
    <row r="205" spans="1:8">
      <c r="A205">
        <v>100920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100921</v>
      </c>
      <c r="F205">
        <v>0</v>
      </c>
      <c r="G205">
        <v>0</v>
      </c>
      <c r="H205">
        <v>100</v>
      </c>
    </row>
    <row r="206" spans="1:9">
      <c r="A206">
        <v>100921</v>
      </c>
      <c r="B206" t="str">
        <f>INDEX(TextData!B:B,MATCH(A206,TextData!A:A))</f>
        <v>プロミネンス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30</v>
      </c>
      <c r="H206">
        <v>100</v>
      </c>
      <c r="I206" t="s">
        <v>26</v>
      </c>
    </row>
    <row r="207" spans="1:8">
      <c r="A207">
        <v>100921</v>
      </c>
      <c r="B207" t="str">
        <f>INDEX(TextData!B:B,MATCH(A207,TextData!A:A))</f>
        <v>プロミネンス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12010</v>
      </c>
      <c r="D208" t="str">
        <f>INDEX(Define!Q:Q,MATCH(C208,Define!P:P))</f>
        <v>最後に受けたAbnormalを相手に移す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13010</v>
      </c>
      <c r="D209" t="str">
        <f>INDEX(Define!Q:Q,MATCH(C209,Define!P:P))</f>
        <v>対象のバフを奪い取る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101010</v>
      </c>
      <c r="B210" t="str">
        <f>INDEX(TextData!B:B,MATCH(A210,TextData!A:A))</f>
        <v>エウロス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1010</v>
      </c>
      <c r="D211" t="str">
        <f>INDEX(Define!Q:Q,MATCH(C211,Define!P:P))</f>
        <v>Hpダメージ</v>
      </c>
      <c r="E211">
        <v>300</v>
      </c>
      <c r="F211">
        <v>0</v>
      </c>
      <c r="G211">
        <v>0</v>
      </c>
      <c r="H211">
        <v>100</v>
      </c>
    </row>
    <row r="212" spans="1:8">
      <c r="A212">
        <v>101020</v>
      </c>
      <c r="B212" t="str">
        <f>INDEX(TextData!B:B,MATCH(A212,TextData!A:A))</f>
        <v>ボレアス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101110</v>
      </c>
      <c r="B213" t="str">
        <f>INDEX(TextData!B:B,MATCH(A213,TextData!A:A))</f>
        <v>アバランシュ</v>
      </c>
      <c r="C213">
        <v>3070</v>
      </c>
      <c r="D213" t="str">
        <f>INDEX(Define!Q:Q,MATCH(C213,Define!P:P))</f>
        <v>ステートの効果を変更</v>
      </c>
      <c r="E213">
        <v>2140</v>
      </c>
      <c r="F213">
        <v>1</v>
      </c>
      <c r="G213">
        <v>200</v>
      </c>
      <c r="H213">
        <v>100</v>
      </c>
      <c r="I213" t="s">
        <v>34</v>
      </c>
    </row>
    <row r="214" spans="1:8">
      <c r="A214">
        <v>101110</v>
      </c>
      <c r="B214" t="str">
        <f>INDEX(TextData!B:B,MATCH(A214,TextData!A:A))</f>
        <v>アバランシュ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1040</v>
      </c>
      <c r="D215" t="str">
        <f>INDEX(Define!Q:Q,MATCH(C215,Define!P:P))</f>
        <v>特定ステートダメージ</v>
      </c>
      <c r="E215">
        <v>400</v>
      </c>
      <c r="F215">
        <v>200</v>
      </c>
      <c r="G215">
        <v>2140</v>
      </c>
      <c r="H215">
        <v>100</v>
      </c>
    </row>
    <row r="216" spans="1:8">
      <c r="A216">
        <v>101120</v>
      </c>
      <c r="B216" t="str">
        <f>INDEX(TextData!B:B,MATCH(A216,TextData!A:A))</f>
        <v>ブリザードコフィン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110110</v>
      </c>
      <c r="B217" t="str">
        <f>INDEX(TextData!B:B,MATCH(A217,TextData!A:A))</f>
        <v>ウィビングヒストリー</v>
      </c>
      <c r="C217">
        <v>3010</v>
      </c>
      <c r="D217" t="str">
        <f>INDEX(Define!Q:Q,MATCH(C217,Define!P:P))</f>
        <v>ステート付与</v>
      </c>
      <c r="E217">
        <v>2450</v>
      </c>
      <c r="F217">
        <v>1</v>
      </c>
      <c r="G217">
        <v>0</v>
      </c>
      <c r="H217">
        <v>100</v>
      </c>
      <c r="I217" t="s">
        <v>57</v>
      </c>
    </row>
    <row r="218" spans="1:8">
      <c r="A218">
        <v>110110</v>
      </c>
      <c r="B218" t="str">
        <f>INDEX(TextData!B:B,MATCH(A218,TextData!A:A))</f>
        <v>ウィビングヒストリー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1110</v>
      </c>
      <c r="D219" t="str">
        <f>INDEX(Define!Q:Q,MATCH(C219,Define!P:P))</f>
        <v>残りHp比例ダメージ</v>
      </c>
      <c r="E219">
        <v>100</v>
      </c>
      <c r="F219">
        <v>0</v>
      </c>
      <c r="G219">
        <v>50</v>
      </c>
      <c r="H219">
        <v>100</v>
      </c>
    </row>
    <row r="220" spans="1:8">
      <c r="A220">
        <v>110120</v>
      </c>
      <c r="B220" t="str">
        <f>INDEX(TextData!B:B,MATCH(A220,TextData!A:A))</f>
        <v>アンライバルド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ht="11" customHeight="1" spans="1:9">
      <c r="A221">
        <v>200110</v>
      </c>
      <c r="B221" t="str">
        <f>INDEX(TextData!B:B,MATCH(A221,TextData!A:A))</f>
        <v>スリータイムス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10</v>
      </c>
      <c r="H221">
        <v>100</v>
      </c>
      <c r="I221" t="s">
        <v>48</v>
      </c>
    </row>
    <row r="222" spans="1:8">
      <c r="A222">
        <v>200110</v>
      </c>
      <c r="B222" t="str">
        <f>INDEX(TextData!B:B,MATCH(A222,TextData!A:A))</f>
        <v>スリータイムス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1010</v>
      </c>
      <c r="D223" t="str">
        <f>INDEX(Define!Q:Q,MATCH(C223,Define!P:P))</f>
        <v>Hpダメージ</v>
      </c>
      <c r="E223">
        <v>250</v>
      </c>
      <c r="F223">
        <v>0</v>
      </c>
      <c r="G223">
        <v>0</v>
      </c>
      <c r="H223">
        <v>100</v>
      </c>
    </row>
    <row r="224" spans="1:8">
      <c r="A224">
        <v>200120</v>
      </c>
      <c r="B224" t="str">
        <f>INDEX(TextData!B:B,MATCH(A224,TextData!A:A))</f>
        <v>アングリークライ</v>
      </c>
      <c r="C224">
        <v>7010</v>
      </c>
      <c r="D224" t="str">
        <f>INDEX(Define!Q:Q,MATCH(C224,Define!P:P))</f>
        <v>行動後スキル</v>
      </c>
      <c r="E224">
        <v>21</v>
      </c>
      <c r="F224">
        <v>0</v>
      </c>
      <c r="G224">
        <v>0</v>
      </c>
      <c r="H224">
        <v>100</v>
      </c>
    </row>
    <row r="225" ht="11" customHeight="1" spans="1:9">
      <c r="A225">
        <v>200210</v>
      </c>
      <c r="B225" t="str">
        <f>INDEX(TextData!B:B,MATCH(A225,TextData!A:A))</f>
        <v>マイトレインフォース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20</v>
      </c>
      <c r="H225">
        <v>100</v>
      </c>
      <c r="I225" t="s">
        <v>48</v>
      </c>
    </row>
    <row r="226" spans="1:8">
      <c r="A226">
        <v>200210</v>
      </c>
      <c r="B226" t="str">
        <f>INDEX(TextData!B:B,MATCH(A226,TextData!A:A))</f>
        <v>マイトレインフォース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1010</v>
      </c>
      <c r="D227" t="str">
        <f>INDEX(Define!Q:Q,MATCH(C227,Define!P:P))</f>
        <v>Hpダメージ</v>
      </c>
      <c r="E227">
        <v>500</v>
      </c>
      <c r="F227">
        <v>0</v>
      </c>
      <c r="G227">
        <v>0</v>
      </c>
      <c r="H227">
        <v>100</v>
      </c>
    </row>
    <row r="228" spans="1:8">
      <c r="A228">
        <v>200220</v>
      </c>
      <c r="B228" t="str">
        <f>INDEX(TextData!B:B,MATCH(A228,TextData!A:A))</f>
        <v>カタストロフィ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200230</v>
      </c>
      <c r="B229" t="str">
        <f>INDEX(TextData!B:B,MATCH(A229,TextData!A:A))</f>
        <v>悪魔(ベリト)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20</v>
      </c>
      <c r="H229">
        <v>100</v>
      </c>
      <c r="I229" t="s">
        <v>48</v>
      </c>
    </row>
    <row r="230" spans="1:9">
      <c r="A230">
        <v>200310</v>
      </c>
      <c r="B230" t="str">
        <f>INDEX(TextData!B:B,MATCH(A230,TextData!A:A))</f>
        <v>プルガシオン</v>
      </c>
      <c r="C230">
        <v>3010</v>
      </c>
      <c r="D230" t="str">
        <f>INDEX(Define!Q:Q,MATCH(C230,Define!P:P))</f>
        <v>ステート付与</v>
      </c>
      <c r="E230">
        <v>2040</v>
      </c>
      <c r="F230">
        <v>3</v>
      </c>
      <c r="G230">
        <v>15</v>
      </c>
      <c r="H230">
        <v>100</v>
      </c>
      <c r="I230" t="s">
        <v>55</v>
      </c>
    </row>
    <row r="231" spans="1:8">
      <c r="A231">
        <v>200310</v>
      </c>
      <c r="B231" t="str">
        <f>INDEX(TextData!B:B,MATCH(A231,TextData!A:A))</f>
        <v>プルガシオン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9">
      <c r="A232">
        <v>200320</v>
      </c>
      <c r="B232" t="str">
        <f>INDEX(TextData!B:B,MATCH(A232,TextData!A:A))</f>
        <v>プリエステス</v>
      </c>
      <c r="C232">
        <v>3010</v>
      </c>
      <c r="D232" t="str">
        <f>INDEX(Define!Q:Q,MATCH(C232,Define!P:P))</f>
        <v>ステート付与</v>
      </c>
      <c r="E232">
        <v>2030</v>
      </c>
      <c r="F232">
        <v>999</v>
      </c>
      <c r="G232">
        <v>50</v>
      </c>
      <c r="H232">
        <v>100</v>
      </c>
      <c r="I232" t="s">
        <v>31</v>
      </c>
    </row>
    <row r="233" spans="1:8">
      <c r="A233">
        <v>200320</v>
      </c>
      <c r="B233" t="str">
        <f>INDEX(TextData!B:B,MATCH(A233,TextData!A:A))</f>
        <v>プリエステス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2340</v>
      </c>
      <c r="F234">
        <v>999</v>
      </c>
      <c r="G234">
        <v>0</v>
      </c>
      <c r="H234">
        <v>100</v>
      </c>
      <c r="I234" t="s">
        <v>62</v>
      </c>
    </row>
    <row r="235" spans="1:9">
      <c r="A235">
        <v>200330</v>
      </c>
      <c r="B235" t="str">
        <f>INDEX(TextData!B:B,MATCH(A235,TextData!A:A))</f>
        <v>悪魔(パイモン)</v>
      </c>
      <c r="C235">
        <v>3010</v>
      </c>
      <c r="D235" t="str">
        <f>INDEX(Define!Q:Q,MATCH(C235,Define!P:P))</f>
        <v>ステート付与</v>
      </c>
      <c r="E235">
        <v>2190</v>
      </c>
      <c r="F235">
        <v>999</v>
      </c>
      <c r="G235">
        <v>0</v>
      </c>
      <c r="H235">
        <v>100</v>
      </c>
      <c r="I235" t="s">
        <v>45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1010</v>
      </c>
      <c r="D236" t="str">
        <f>INDEX(Define!Q:Q,MATCH(C236,Define!P:P))</f>
        <v>Hpダメージ</v>
      </c>
      <c r="E236">
        <v>300</v>
      </c>
      <c r="F236">
        <v>0</v>
      </c>
      <c r="G236">
        <v>0</v>
      </c>
      <c r="H236">
        <v>100</v>
      </c>
    </row>
    <row r="237" spans="1:8">
      <c r="A237">
        <v>200410</v>
      </c>
      <c r="B237" t="str">
        <f>INDEX(TextData!B:B,MATCH(A237,TextData!A:A))</f>
        <v>コウソクテンショウ</v>
      </c>
      <c r="C237">
        <v>7010</v>
      </c>
      <c r="D237" t="str">
        <f>INDEX(Define!Q:Q,MATCH(C237,Define!P:P))</f>
        <v>行動後スキル</v>
      </c>
      <c r="E237">
        <v>200411</v>
      </c>
      <c r="F237">
        <v>0</v>
      </c>
      <c r="G237">
        <v>0</v>
      </c>
      <c r="H237">
        <v>100</v>
      </c>
    </row>
    <row r="238" spans="1:9">
      <c r="A238">
        <v>200411</v>
      </c>
      <c r="B238" t="str">
        <f>INDEX(TextData!B:B,MATCH(A238,TextData!A:A))</f>
        <v>コウソクテンショウ</v>
      </c>
      <c r="C238">
        <v>3010</v>
      </c>
      <c r="D238" t="str">
        <f>INDEX(Define!Q:Q,MATCH(C238,Define!P:P))</f>
        <v>ステート付与</v>
      </c>
      <c r="E238">
        <v>2060</v>
      </c>
      <c r="F238">
        <v>999</v>
      </c>
      <c r="G238">
        <v>25</v>
      </c>
      <c r="H238">
        <v>100</v>
      </c>
      <c r="I238" t="s">
        <v>53</v>
      </c>
    </row>
    <row r="239" spans="1:8">
      <c r="A239">
        <v>200411</v>
      </c>
      <c r="B239" t="str">
        <f>INDEX(TextData!B:B,MATCH(A239,TextData!A:A))</f>
        <v>コウソクテンショウ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3050</v>
      </c>
      <c r="D240" t="str">
        <f>INDEX(Define!Q:Q,MATCH(C240,Define!P:P))</f>
        <v>バフステート解除</v>
      </c>
      <c r="E240">
        <v>0</v>
      </c>
      <c r="F240">
        <v>0</v>
      </c>
      <c r="G240">
        <v>0</v>
      </c>
      <c r="H240">
        <v>100</v>
      </c>
    </row>
    <row r="241" spans="1:8">
      <c r="A241">
        <v>200420</v>
      </c>
      <c r="B241" t="str">
        <f>INDEX(TextData!B:B,MATCH(A241,TextData!A:A))</f>
        <v>アンチバフ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8">
      <c r="A242">
        <v>200430</v>
      </c>
      <c r="B242" t="str">
        <f>INDEX(TextData!B:B,MATCH(A242,TextData!A:A))</f>
        <v>悪魔(アンドラス)</v>
      </c>
      <c r="C242">
        <v>6100</v>
      </c>
      <c r="D242" t="str">
        <f>INDEX(Define!Q:Q,MATCH(C242,Define!P:P))</f>
        <v>指定魔法の攻撃回数を増やす(強化限定)</v>
      </c>
      <c r="E242">
        <v>2010</v>
      </c>
      <c r="F242">
        <v>0</v>
      </c>
      <c r="G242">
        <v>3</v>
      </c>
      <c r="H242">
        <v>100</v>
      </c>
    </row>
    <row r="243" spans="1:9">
      <c r="A243">
        <v>200510</v>
      </c>
      <c r="B243" t="str">
        <f>INDEX(TextData!B:B,MATCH(A243,TextData!A:A))</f>
        <v>カウントダウン</v>
      </c>
      <c r="C243">
        <v>3010</v>
      </c>
      <c r="D243" t="str">
        <f>INDEX(Define!Q:Q,MATCH(C243,Define!P:P))</f>
        <v>ステート付与</v>
      </c>
      <c r="E243">
        <v>2050</v>
      </c>
      <c r="F243">
        <v>10</v>
      </c>
      <c r="G243">
        <v>0</v>
      </c>
      <c r="H243">
        <v>100</v>
      </c>
      <c r="I243" t="s">
        <v>36</v>
      </c>
    </row>
    <row r="244" spans="1:8">
      <c r="A244">
        <v>200510</v>
      </c>
      <c r="B244" t="str">
        <f>INDEX(TextData!B:B,MATCH(A244,TextData!A:A))</f>
        <v>カウントダウン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9">
      <c r="A245">
        <v>200520</v>
      </c>
      <c r="B245" t="str">
        <f>INDEX(TextData!B:B,MATCH(A245,TextData!A:A))</f>
        <v>グラウンドゼロ</v>
      </c>
      <c r="C245">
        <v>3010</v>
      </c>
      <c r="D245" t="str">
        <f>INDEX(Define!Q:Q,MATCH(C245,Define!P:P))</f>
        <v>ステート付与</v>
      </c>
      <c r="E245">
        <v>1</v>
      </c>
      <c r="F245">
        <v>0</v>
      </c>
      <c r="G245">
        <v>0</v>
      </c>
      <c r="H245">
        <v>100</v>
      </c>
      <c r="I245" t="s">
        <v>38</v>
      </c>
    </row>
    <row r="246" spans="1:8">
      <c r="A246">
        <v>200520</v>
      </c>
      <c r="B246" t="str">
        <f>INDEX(TextData!B:B,MATCH(A246,TextData!A:A))</f>
        <v>グラウンドゼロ</v>
      </c>
      <c r="C246">
        <v>11010</v>
      </c>
      <c r="D246" t="str">
        <f>INDEX(Define!Q:Q,MATCH(C246,Define!P:P))</f>
        <v>命中判定しない</v>
      </c>
      <c r="E246">
        <v>0</v>
      </c>
      <c r="F246">
        <v>0</v>
      </c>
      <c r="G246">
        <v>0</v>
      </c>
      <c r="H246">
        <v>100</v>
      </c>
    </row>
    <row r="247" spans="1:8">
      <c r="A247">
        <v>200520</v>
      </c>
      <c r="B247" t="str">
        <f>INDEX(TextData!B:B,MATCH(A247,TextData!A:A))</f>
        <v>グラウンドゼロ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9">
      <c r="A248">
        <v>200530</v>
      </c>
      <c r="B248" t="str">
        <f>INDEX(TextData!B:B,MATCH(A248,TextData!A:A))</f>
        <v>悪魔(ビフロンス)</v>
      </c>
      <c r="C248">
        <v>3010</v>
      </c>
      <c r="D248" t="str">
        <f>INDEX(Define!Q:Q,MATCH(C248,Define!P:P))</f>
        <v>ステート付与</v>
      </c>
      <c r="E248">
        <v>2410</v>
      </c>
      <c r="F248">
        <v>999</v>
      </c>
      <c r="G248">
        <v>25</v>
      </c>
      <c r="H248">
        <v>100</v>
      </c>
      <c r="I248" t="s">
        <v>37</v>
      </c>
    </row>
    <row r="249" spans="1:9">
      <c r="A249">
        <v>201010</v>
      </c>
      <c r="B249" t="str">
        <f>INDEX(TextData!B:B,MATCH(A249,TextData!A:A))</f>
        <v>カオスペイン</v>
      </c>
      <c r="C249">
        <v>3010</v>
      </c>
      <c r="D249" t="str">
        <f>INDEX(Define!Q:Q,MATCH(C249,Define!P:P))</f>
        <v>ステート付与</v>
      </c>
      <c r="E249">
        <v>2010</v>
      </c>
      <c r="F249">
        <v>2</v>
      </c>
      <c r="G249">
        <v>25</v>
      </c>
      <c r="H249">
        <v>100</v>
      </c>
      <c r="I249" t="s">
        <v>43</v>
      </c>
    </row>
    <row r="250" spans="1:8">
      <c r="A250">
        <v>201010</v>
      </c>
      <c r="B250" t="str">
        <f>INDEX(TextData!B:B,MATCH(A250,TextData!A:A))</f>
        <v>カオスペイン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2030</v>
      </c>
      <c r="D251" t="str">
        <f>INDEX(Define!Q:Q,MATCH(C251,Define!P:P))</f>
        <v>対象のHpを1にする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11010</v>
      </c>
      <c r="D252" t="str">
        <f>INDEX(Define!Q:Q,MATCH(C252,Define!P:P))</f>
        <v>命中判定しない</v>
      </c>
      <c r="E252">
        <v>0</v>
      </c>
      <c r="F252">
        <v>0</v>
      </c>
      <c r="G252">
        <v>0</v>
      </c>
      <c r="H252">
        <v>100</v>
      </c>
    </row>
    <row r="253" spans="1:8">
      <c r="A253">
        <v>201020</v>
      </c>
      <c r="B253" t="str">
        <f>INDEX(TextData!B:B,MATCH(A253,TextData!A:A))</f>
        <v>フォールンワン</v>
      </c>
      <c r="C253">
        <v>7010</v>
      </c>
      <c r="D253" t="str">
        <f>INDEX(Define!Q:Q,MATCH(C253,Define!P:P))</f>
        <v>行動後スキル</v>
      </c>
      <c r="E253">
        <v>21</v>
      </c>
      <c r="F253">
        <v>0</v>
      </c>
      <c r="G253">
        <v>0</v>
      </c>
      <c r="H253">
        <v>100</v>
      </c>
    </row>
    <row r="254" spans="1:9">
      <c r="A254">
        <v>201030</v>
      </c>
      <c r="B254" t="str">
        <f>INDEX(TextData!B:B,MATCH(A254,TextData!A:A))</f>
        <v>アンリマユ</v>
      </c>
      <c r="C254">
        <v>3010</v>
      </c>
      <c r="D254" t="str">
        <f>INDEX(Define!Q:Q,MATCH(C254,Define!P:P))</f>
        <v>ステート付与</v>
      </c>
      <c r="E254">
        <v>2050</v>
      </c>
      <c r="F254">
        <v>2</v>
      </c>
      <c r="G254">
        <v>0</v>
      </c>
      <c r="H254">
        <v>100</v>
      </c>
      <c r="I254" t="s">
        <v>36</v>
      </c>
    </row>
    <row r="255" spans="1:9">
      <c r="A255">
        <v>300010</v>
      </c>
      <c r="B255" t="str">
        <f>INDEX(TextData!B:B,MATCH(A255,TextData!A:A))</f>
        <v>ライフブースト</v>
      </c>
      <c r="C255">
        <v>3010</v>
      </c>
      <c r="D255" t="str">
        <f>INDEX(Define!Q:Q,MATCH(C255,Define!P:P))</f>
        <v>ステート付与</v>
      </c>
      <c r="E255">
        <v>1020</v>
      </c>
      <c r="F255">
        <v>999</v>
      </c>
      <c r="G255">
        <v>5</v>
      </c>
      <c r="H255">
        <v>100</v>
      </c>
      <c r="I255" t="s">
        <v>47</v>
      </c>
    </row>
    <row r="256" spans="1:8">
      <c r="A256">
        <v>300020</v>
      </c>
      <c r="B256" t="str">
        <f>INDEX(TextData!B:B,MATCH(A256,TextData!A:A))</f>
        <v>スピリットチャージ</v>
      </c>
      <c r="C256">
        <v>4040</v>
      </c>
      <c r="D256" t="str">
        <f>INDEX(Define!Q:Q,MATCH(C256,Define!P:P))</f>
        <v>指定魔法のCｔ回復</v>
      </c>
      <c r="E256">
        <v>1</v>
      </c>
      <c r="F256">
        <v>0</v>
      </c>
      <c r="G256">
        <v>0</v>
      </c>
      <c r="H256">
        <v>100</v>
      </c>
    </row>
    <row r="257" spans="1:9">
      <c r="A257">
        <v>300030</v>
      </c>
      <c r="B257" t="str">
        <f>INDEX(TextData!B:B,MATCH(A257,TextData!A:A))</f>
        <v>フォースライズ</v>
      </c>
      <c r="C257">
        <v>3010</v>
      </c>
      <c r="D257" t="str">
        <f>INDEX(Define!Q:Q,MATCH(C257,Define!P:P))</f>
        <v>ステート付与</v>
      </c>
      <c r="E257">
        <v>1040</v>
      </c>
      <c r="F257">
        <v>999</v>
      </c>
      <c r="G257">
        <v>4</v>
      </c>
      <c r="H257">
        <v>100</v>
      </c>
      <c r="I257" t="s">
        <v>48</v>
      </c>
    </row>
    <row r="258" spans="1:9">
      <c r="A258">
        <v>300040</v>
      </c>
      <c r="B258" t="str">
        <f>INDEX(TextData!B:B,MATCH(A258,TextData!A:A))</f>
        <v>ディフェンスオーラ</v>
      </c>
      <c r="C258">
        <v>3010</v>
      </c>
      <c r="D258" t="str">
        <f>INDEX(Define!Q:Q,MATCH(C258,Define!P:P))</f>
        <v>ステート付与</v>
      </c>
      <c r="E258">
        <v>1050</v>
      </c>
      <c r="F258">
        <v>999</v>
      </c>
      <c r="G258">
        <v>4</v>
      </c>
      <c r="H258">
        <v>100</v>
      </c>
      <c r="I258" t="s">
        <v>32</v>
      </c>
    </row>
    <row r="259" spans="1:9">
      <c r="A259">
        <v>300050</v>
      </c>
      <c r="B259" t="str">
        <f>INDEX(TextData!B:B,MATCH(A259,TextData!A:A))</f>
        <v>ラピッドムーブ</v>
      </c>
      <c r="C259">
        <v>3010</v>
      </c>
      <c r="D259" t="str">
        <f>INDEX(Define!Q:Q,MATCH(C259,Define!P:P))</f>
        <v>ステート付与</v>
      </c>
      <c r="E259">
        <v>1060</v>
      </c>
      <c r="F259">
        <v>999</v>
      </c>
      <c r="G259">
        <v>3</v>
      </c>
      <c r="H259">
        <v>100</v>
      </c>
      <c r="I259" t="s">
        <v>50</v>
      </c>
    </row>
    <row r="260" spans="1:9">
      <c r="A260">
        <v>300130</v>
      </c>
      <c r="B260" t="str">
        <f>INDEX(TextData!B:B,MATCH(A260,TextData!A:A))</f>
        <v>アタックブレイク</v>
      </c>
      <c r="C260">
        <v>3010</v>
      </c>
      <c r="D260" t="str">
        <f>INDEX(Define!Q:Q,MATCH(C260,Define!P:P))</f>
        <v>ステート付与</v>
      </c>
      <c r="E260">
        <v>1041</v>
      </c>
      <c r="F260">
        <v>999</v>
      </c>
      <c r="G260">
        <v>4</v>
      </c>
      <c r="H260">
        <v>100</v>
      </c>
      <c r="I260" t="s">
        <v>42</v>
      </c>
    </row>
    <row r="261" spans="1:9">
      <c r="A261">
        <v>300140</v>
      </c>
      <c r="B261" t="str">
        <f>INDEX(TextData!B:B,MATCH(A261,TextData!A:A))</f>
        <v>シールドバニッシュ</v>
      </c>
      <c r="C261">
        <v>3010</v>
      </c>
      <c r="D261" t="str">
        <f>INDEX(Define!Q:Q,MATCH(C261,Define!P:P))</f>
        <v>ステート付与</v>
      </c>
      <c r="E261">
        <v>1051</v>
      </c>
      <c r="F261">
        <v>999</v>
      </c>
      <c r="G261">
        <v>4</v>
      </c>
      <c r="H261">
        <v>100</v>
      </c>
      <c r="I261" t="s">
        <v>35</v>
      </c>
    </row>
    <row r="262" spans="1:8">
      <c r="A262">
        <v>300210</v>
      </c>
      <c r="B262" t="str">
        <f>INDEX(TextData!B:B,MATCH(A262,TextData!A:A))</f>
        <v>エーテルリチャージ</v>
      </c>
      <c r="C262">
        <v>4020</v>
      </c>
      <c r="D262" t="str">
        <f>INDEX(Define!Q:Q,MATCH(C262,Define!P:P))</f>
        <v>Ct回復</v>
      </c>
      <c r="E262">
        <v>1</v>
      </c>
      <c r="F262">
        <v>0</v>
      </c>
      <c r="G262">
        <v>0</v>
      </c>
      <c r="H262">
        <v>100</v>
      </c>
    </row>
    <row r="263" spans="1:9">
      <c r="A263">
        <v>300220</v>
      </c>
      <c r="B263" t="str">
        <f>INDEX(TextData!B:B,MATCH(A263,TextData!A:A))</f>
        <v>リカバリーエンハンス</v>
      </c>
      <c r="C263">
        <v>3010</v>
      </c>
      <c r="D263" t="str">
        <f>INDEX(Define!Q:Q,MATCH(C263,Define!P:P))</f>
        <v>ステート付与</v>
      </c>
      <c r="E263">
        <v>2460</v>
      </c>
      <c r="F263">
        <v>999</v>
      </c>
      <c r="G263">
        <v>5</v>
      </c>
      <c r="H263">
        <v>100</v>
      </c>
      <c r="I263" t="s">
        <v>63</v>
      </c>
    </row>
    <row r="264" spans="1:9">
      <c r="A264">
        <v>300230</v>
      </c>
      <c r="B264" t="str">
        <f>INDEX(TextData!B:B,MATCH(A264,TextData!A:A))</f>
        <v>ヴェンジェンス</v>
      </c>
      <c r="C264">
        <v>3010</v>
      </c>
      <c r="D264" t="str">
        <f>INDEX(Define!Q:Q,MATCH(C264,Define!P:P))</f>
        <v>ステート付与</v>
      </c>
      <c r="E264">
        <v>2030</v>
      </c>
      <c r="F264">
        <v>999</v>
      </c>
      <c r="G264">
        <v>30</v>
      </c>
      <c r="H264">
        <v>100</v>
      </c>
      <c r="I264" t="s">
        <v>31</v>
      </c>
    </row>
    <row r="265" spans="1:8">
      <c r="A265">
        <v>301010</v>
      </c>
      <c r="B265" t="str">
        <f>INDEX(TextData!B:B,MATCH(A265,TextData!A:A))</f>
        <v>ディケイドリセット</v>
      </c>
      <c r="C265">
        <v>5012</v>
      </c>
      <c r="D265" t="str">
        <f>INDEX(Define!Q:Q,MATCH(C265,Define!P:P))</f>
        <v>ActionResult扱いでAP指定</v>
      </c>
      <c r="E265">
        <v>0</v>
      </c>
      <c r="F265">
        <v>0</v>
      </c>
      <c r="G265">
        <v>0</v>
      </c>
      <c r="H265">
        <v>100</v>
      </c>
    </row>
    <row r="266" spans="1:9">
      <c r="A266">
        <v>301020</v>
      </c>
      <c r="B266" t="str">
        <f>INDEX(TextData!B:B,MATCH(A266,TextData!A:A))</f>
        <v>ウォーリアーブラッド</v>
      </c>
      <c r="C266">
        <v>3010</v>
      </c>
      <c r="D266" t="str">
        <f>INDEX(Define!Q:Q,MATCH(C266,Define!P:P))</f>
        <v>ステート付与</v>
      </c>
      <c r="E266">
        <v>1040</v>
      </c>
      <c r="F266">
        <v>999</v>
      </c>
      <c r="G266">
        <v>8</v>
      </c>
      <c r="H266">
        <v>100</v>
      </c>
      <c r="I266" t="s">
        <v>48</v>
      </c>
    </row>
    <row r="267" spans="1:9">
      <c r="A267">
        <v>301030</v>
      </c>
      <c r="B267" t="str">
        <f>INDEX(TextData!B:B,MATCH(A267,TextData!A:A))</f>
        <v>トライアングルガード</v>
      </c>
      <c r="C267">
        <v>3010</v>
      </c>
      <c r="D267" t="str">
        <f>INDEX(Define!Q:Q,MATCH(C267,Define!P:P))</f>
        <v>ステート付与</v>
      </c>
      <c r="E267">
        <v>1100</v>
      </c>
      <c r="F267">
        <v>1</v>
      </c>
      <c r="G267">
        <v>30</v>
      </c>
      <c r="H267">
        <v>100</v>
      </c>
      <c r="I267" t="s">
        <v>39</v>
      </c>
    </row>
    <row r="268" spans="1:9">
      <c r="A268">
        <v>301040</v>
      </c>
      <c r="B268" t="str">
        <f>INDEX(TextData!B:B,MATCH(A268,TextData!A:A))</f>
        <v>セーフティバリア</v>
      </c>
      <c r="C268">
        <v>3010</v>
      </c>
      <c r="D268" t="str">
        <f>INDEX(Define!Q:Q,MATCH(C268,Define!P:P))</f>
        <v>ステート付与</v>
      </c>
      <c r="E268">
        <v>2050</v>
      </c>
      <c r="F268">
        <v>1</v>
      </c>
      <c r="G268">
        <v>0</v>
      </c>
      <c r="H268">
        <v>100</v>
      </c>
      <c r="I268" t="s">
        <v>36</v>
      </c>
    </row>
    <row r="269" spans="1:9">
      <c r="A269">
        <v>301050</v>
      </c>
      <c r="B269" t="str">
        <f>INDEX(TextData!B:B,MATCH(A269,TextData!A:A))</f>
        <v>ヒロインズハイ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15</v>
      </c>
      <c r="H269">
        <v>100</v>
      </c>
      <c r="I269" t="s">
        <v>47</v>
      </c>
    </row>
    <row r="270" spans="1:9">
      <c r="A270">
        <v>301060</v>
      </c>
      <c r="B270" t="str">
        <f>INDEX(TextData!B:B,MATCH(A270,TextData!A:A))</f>
        <v>セカンドステージ</v>
      </c>
      <c r="C270">
        <v>3020</v>
      </c>
      <c r="D270" t="str">
        <f>INDEX(Define!Q:Q,MATCH(C270,Define!P:P))</f>
        <v>ステート解除</v>
      </c>
      <c r="E270">
        <v>1</v>
      </c>
      <c r="F270">
        <v>0</v>
      </c>
      <c r="G270">
        <v>0</v>
      </c>
      <c r="H270">
        <v>100</v>
      </c>
      <c r="I270" t="s">
        <v>38</v>
      </c>
    </row>
    <row r="271" spans="1:8">
      <c r="A271">
        <v>301060</v>
      </c>
      <c r="B271" t="str">
        <f>INDEX(TextData!B:B,MATCH(A271,TextData!A:A))</f>
        <v>セカンドステージ</v>
      </c>
      <c r="C271">
        <v>2030</v>
      </c>
      <c r="D271" t="str">
        <f>INDEX(Define!Q:Q,MATCH(C271,Define!P:P))</f>
        <v>対象のHpを1にする</v>
      </c>
      <c r="E271">
        <v>0</v>
      </c>
      <c r="F271">
        <v>0</v>
      </c>
      <c r="G271">
        <v>0</v>
      </c>
      <c r="H271">
        <v>100</v>
      </c>
    </row>
    <row r="272" spans="1:8">
      <c r="A272">
        <v>301060</v>
      </c>
      <c r="B272" t="str">
        <f>INDEX(TextData!B:B,MATCH(A272,TextData!A:A))</f>
        <v>セカンドステージ</v>
      </c>
      <c r="C272">
        <v>2010</v>
      </c>
      <c r="D272" t="str">
        <f>INDEX(Define!Q:Q,MATCH(C272,Define!P:P))</f>
        <v>Hp回復</v>
      </c>
      <c r="E272">
        <v>20</v>
      </c>
      <c r="F272">
        <v>0</v>
      </c>
      <c r="G272">
        <v>0</v>
      </c>
      <c r="H272">
        <v>100</v>
      </c>
    </row>
    <row r="273" spans="1:9">
      <c r="A273">
        <v>301070</v>
      </c>
      <c r="B273" t="str">
        <f>INDEX(TextData!B:B,MATCH(A273,TextData!A:A))</f>
        <v>ハイヒットポイント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10</v>
      </c>
      <c r="H273">
        <v>100</v>
      </c>
      <c r="I273" t="s">
        <v>47</v>
      </c>
    </row>
    <row r="274" spans="1:8">
      <c r="A274">
        <v>301080</v>
      </c>
      <c r="B274" t="str">
        <f>INDEX(TextData!B:B,MATCH(A274,TextData!A:A))</f>
        <v>セプタブラスト</v>
      </c>
      <c r="C274">
        <v>1030</v>
      </c>
      <c r="D274" t="str">
        <f>INDEX(Define!Q:Q,MATCH(C274,Define!P:P))</f>
        <v>Hp固定ダメージ</v>
      </c>
      <c r="E274">
        <v>50</v>
      </c>
      <c r="F274">
        <v>0</v>
      </c>
      <c r="G274">
        <v>0</v>
      </c>
      <c r="H274">
        <v>100</v>
      </c>
    </row>
    <row r="275" spans="1:9">
      <c r="A275">
        <v>301090</v>
      </c>
      <c r="B275" t="str">
        <f>INDEX(TextData!B:B,MATCH(A275,TextData!A:A))</f>
        <v>イニシャルブロッカー</v>
      </c>
      <c r="C275">
        <v>3010</v>
      </c>
      <c r="D275" t="str">
        <f>INDEX(Define!Q:Q,MATCH(C275,Define!P:P))</f>
        <v>ステート付与</v>
      </c>
      <c r="E275">
        <v>2410</v>
      </c>
      <c r="F275">
        <v>3</v>
      </c>
      <c r="G275">
        <v>25</v>
      </c>
      <c r="H275">
        <v>100</v>
      </c>
      <c r="I275" t="s">
        <v>37</v>
      </c>
    </row>
    <row r="276" spans="1:8">
      <c r="A276">
        <v>301100</v>
      </c>
      <c r="B276" t="str">
        <f>INDEX(TextData!B:B,MATCH(A276,TextData!A:A))</f>
        <v>ファーストテイク</v>
      </c>
      <c r="C276">
        <v>5020</v>
      </c>
      <c r="D276" t="str">
        <f>INDEX(Define!Q:Q,MATCH(C276,Define!P:P))</f>
        <v>Ap回復</v>
      </c>
      <c r="E276">
        <v>200</v>
      </c>
      <c r="F276">
        <v>0</v>
      </c>
      <c r="G276">
        <v>0</v>
      </c>
      <c r="H276">
        <v>100</v>
      </c>
    </row>
    <row r="277" spans="1:8">
      <c r="A277">
        <v>310010</v>
      </c>
      <c r="B277" t="str">
        <f>INDEX(TextData!B:B,MATCH(A277,TextData!A:A))</f>
        <v>妖精の祈り</v>
      </c>
      <c r="C277">
        <v>2010</v>
      </c>
      <c r="D277" t="str">
        <f>INDEX(Define!Q:Q,MATCH(C277,Define!P:P))</f>
        <v>Hp回復</v>
      </c>
      <c r="E277">
        <v>3</v>
      </c>
      <c r="F277">
        <v>0</v>
      </c>
      <c r="G277">
        <v>0</v>
      </c>
      <c r="H277">
        <v>100</v>
      </c>
    </row>
    <row r="278" spans="1:8">
      <c r="A278">
        <v>310020</v>
      </c>
      <c r="B278" t="str">
        <f>INDEX(TextData!B:B,MATCH(A278,TextData!A:A))</f>
        <v>月のかけら</v>
      </c>
      <c r="C278">
        <v>40010</v>
      </c>
      <c r="D278" t="str">
        <f>INDEX(Define!Q:Q,MATCH(C278,Define!P:P))</f>
        <v>アイテム入手</v>
      </c>
      <c r="E278">
        <v>11</v>
      </c>
      <c r="F278">
        <v>1</v>
      </c>
      <c r="G278">
        <v>0</v>
      </c>
      <c r="H278">
        <v>100</v>
      </c>
    </row>
    <row r="279" spans="1:8">
      <c r="A279">
        <v>310030</v>
      </c>
      <c r="B279" t="str">
        <f>INDEX(TextData!B:B,MATCH(A279,TextData!A:A))</f>
        <v>商売の才覚書</v>
      </c>
      <c r="C279">
        <v>40070</v>
      </c>
      <c r="D279" t="str">
        <f>INDEX(Define!Q:Q,MATCH(C279,Define!P:P))</f>
        <v>取引レートダウン</v>
      </c>
      <c r="E279">
        <v>20</v>
      </c>
      <c r="F279">
        <v>0</v>
      </c>
      <c r="G279">
        <v>0</v>
      </c>
      <c r="H279">
        <v>100</v>
      </c>
    </row>
    <row r="280" spans="1:8">
      <c r="A280">
        <v>310040</v>
      </c>
      <c r="B280" t="str">
        <f>INDEX(TextData!B:B,MATCH(A280,TextData!A:A))</f>
        <v>メビウスの砂時計</v>
      </c>
      <c r="C280">
        <v>40080</v>
      </c>
      <c r="D280" t="str">
        <f>INDEX(Define!Q:Q,MATCH(C280,Define!P:P))</f>
        <v>ダンジョンから離れる時にPeriodが進まない</v>
      </c>
      <c r="E280">
        <v>1</v>
      </c>
      <c r="F280">
        <v>0</v>
      </c>
      <c r="G280">
        <v>0</v>
      </c>
      <c r="H280">
        <v>100</v>
      </c>
    </row>
    <row r="281" spans="1:8">
      <c r="A281">
        <v>310050</v>
      </c>
      <c r="B281" t="str">
        <f>INDEX(TextData!B:B,MATCH(A281,TextData!A:A))</f>
        <v>先陣の心得</v>
      </c>
      <c r="C281">
        <v>5040</v>
      </c>
      <c r="D281" t="str">
        <f>INDEX(Define!Q:Q,MATCH(C281,Define!P:P))</f>
        <v>先制攻撃</v>
      </c>
      <c r="E281">
        <v>0</v>
      </c>
      <c r="F281">
        <v>0</v>
      </c>
      <c r="G281">
        <v>0</v>
      </c>
      <c r="H281">
        <v>100</v>
      </c>
    </row>
    <row r="282" spans="1:9">
      <c r="A282">
        <v>310060</v>
      </c>
      <c r="B282" t="str">
        <f>INDEX(TextData!B:B,MATCH(A282,TextData!A:A))</f>
        <v>ヒスイの勾玉</v>
      </c>
      <c r="C282">
        <v>3010</v>
      </c>
      <c r="D282" t="str">
        <f>INDEX(Define!Q:Q,MATCH(C282,Define!P:P))</f>
        <v>ステート付与</v>
      </c>
      <c r="E282">
        <v>1040</v>
      </c>
      <c r="F282">
        <v>999</v>
      </c>
      <c r="G282">
        <v>5</v>
      </c>
      <c r="H282">
        <v>100</v>
      </c>
      <c r="I282" t="s">
        <v>48</v>
      </c>
    </row>
    <row r="283" spans="1:9">
      <c r="A283">
        <v>310070</v>
      </c>
      <c r="B283" t="str">
        <f>INDEX(TextData!B:B,MATCH(A283,TextData!A:A))</f>
        <v>英傑の盾</v>
      </c>
      <c r="C283">
        <v>3010</v>
      </c>
      <c r="D283" t="str">
        <f>INDEX(Define!Q:Q,MATCH(C283,Define!P:P))</f>
        <v>ステート付与</v>
      </c>
      <c r="E283">
        <v>1050</v>
      </c>
      <c r="F283">
        <v>999</v>
      </c>
      <c r="G283">
        <v>5</v>
      </c>
      <c r="H283">
        <v>100</v>
      </c>
      <c r="I283" t="s">
        <v>32</v>
      </c>
    </row>
    <row r="284" spans="1:9">
      <c r="A284">
        <v>310080</v>
      </c>
      <c r="B284" t="str">
        <f>INDEX(TextData!B:B,MATCH(A284,TextData!A:A))</f>
        <v>鷹の目</v>
      </c>
      <c r="C284">
        <v>3010</v>
      </c>
      <c r="D284" t="str">
        <f>INDEX(Define!Q:Q,MATCH(C284,Define!P:P))</f>
        <v>ステート付与</v>
      </c>
      <c r="E284">
        <v>1060</v>
      </c>
      <c r="F284">
        <v>999</v>
      </c>
      <c r="G284">
        <v>5</v>
      </c>
      <c r="H284">
        <v>100</v>
      </c>
      <c r="I284" t="s">
        <v>50</v>
      </c>
    </row>
    <row r="285" spans="1:8">
      <c r="A285">
        <v>310130</v>
      </c>
      <c r="B285" t="str">
        <f>INDEX(TextData!B:B,MATCH(A285,TextData!A:A))</f>
        <v>ヒールユニット</v>
      </c>
      <c r="C285">
        <v>2010</v>
      </c>
      <c r="D285" t="str">
        <f>INDEX(Define!Q:Q,MATCH(C285,Define!P:P))</f>
        <v>Hp回復</v>
      </c>
      <c r="E285">
        <v>1</v>
      </c>
      <c r="F285">
        <v>0</v>
      </c>
      <c r="G285">
        <v>0</v>
      </c>
      <c r="H285">
        <v>100</v>
      </c>
    </row>
    <row r="286" spans="1:8">
      <c r="A286">
        <v>320010</v>
      </c>
      <c r="B286" t="str">
        <f>INDEX(TextData!B:B,MATCH(A286,TextData!A:A))</f>
        <v>訓練所Lv1</v>
      </c>
      <c r="C286">
        <v>40030</v>
      </c>
      <c r="D286" t="str">
        <f>INDEX(Define!Q:Q,MATCH(C286,Define!P:P))</f>
        <v>Eｘｐ入手</v>
      </c>
      <c r="E286">
        <v>25</v>
      </c>
      <c r="F286">
        <v>0</v>
      </c>
      <c r="G286">
        <v>0</v>
      </c>
      <c r="H286">
        <v>100</v>
      </c>
    </row>
    <row r="287" spans="1:8">
      <c r="A287">
        <v>320011</v>
      </c>
      <c r="B287" t="str">
        <f>INDEX(TextData!B:B,MATCH(A287,TextData!A:A))</f>
        <v>訓練所Lv2</v>
      </c>
      <c r="C287">
        <v>40030</v>
      </c>
      <c r="D287" t="str">
        <f>INDEX(Define!Q:Q,MATCH(C287,Define!P:P))</f>
        <v>Eｘｐ入手</v>
      </c>
      <c r="E287">
        <v>50</v>
      </c>
      <c r="F287">
        <v>0</v>
      </c>
      <c r="G287">
        <v>0</v>
      </c>
      <c r="H287">
        <v>100</v>
      </c>
    </row>
    <row r="288" spans="1:8">
      <c r="A288">
        <v>320012</v>
      </c>
      <c r="B288" t="str">
        <f>INDEX(TextData!B:B,MATCH(A288,TextData!A:A))</f>
        <v>訓練所Lv3</v>
      </c>
      <c r="C288">
        <v>40030</v>
      </c>
      <c r="D288" t="str">
        <f>INDEX(Define!Q:Q,MATCH(C288,Define!P:P))</f>
        <v>Eｘｐ入手</v>
      </c>
      <c r="E288">
        <v>75</v>
      </c>
      <c r="F288">
        <v>0</v>
      </c>
      <c r="G288">
        <v>0</v>
      </c>
      <c r="H288">
        <v>100</v>
      </c>
    </row>
    <row r="289" spans="1:8">
      <c r="A289">
        <v>320020</v>
      </c>
      <c r="B289" t="str">
        <f>INDEX(TextData!B:B,MATCH(A289,TextData!A:A))</f>
        <v>研究施設Lv1</v>
      </c>
      <c r="C289">
        <v>40040</v>
      </c>
      <c r="D289" t="str">
        <f>INDEX(Define!Q:Q,MATCH(C289,Define!P:P))</f>
        <v>Nu入手</v>
      </c>
      <c r="E289">
        <v>2</v>
      </c>
      <c r="F289">
        <v>0</v>
      </c>
      <c r="G289">
        <v>0</v>
      </c>
      <c r="H289">
        <v>100</v>
      </c>
    </row>
    <row r="290" spans="1:8">
      <c r="A290">
        <v>320021</v>
      </c>
      <c r="B290" t="str">
        <f>INDEX(TextData!B:B,MATCH(A290,TextData!A:A))</f>
        <v>研究施設Lv2</v>
      </c>
      <c r="C290">
        <v>40040</v>
      </c>
      <c r="D290" t="str">
        <f>INDEX(Define!Q:Q,MATCH(C290,Define!P:P))</f>
        <v>Nu入手</v>
      </c>
      <c r="E290">
        <v>4</v>
      </c>
      <c r="F290">
        <v>0</v>
      </c>
      <c r="G290">
        <v>0</v>
      </c>
      <c r="H290">
        <v>100</v>
      </c>
    </row>
    <row r="291" spans="1:8">
      <c r="A291">
        <v>320022</v>
      </c>
      <c r="B291" t="str">
        <f>INDEX(TextData!B:B,MATCH(A291,TextData!A:A))</f>
        <v>研究施設Lv3</v>
      </c>
      <c r="C291">
        <v>40040</v>
      </c>
      <c r="D291" t="str">
        <f>INDEX(Define!Q:Q,MATCH(C291,Define!P:P))</f>
        <v>Nu入手</v>
      </c>
      <c r="E291">
        <v>6</v>
      </c>
      <c r="F291">
        <v>0</v>
      </c>
      <c r="G291">
        <v>0</v>
      </c>
      <c r="H291">
        <v>100</v>
      </c>
    </row>
    <row r="292" spans="1:8">
      <c r="A292">
        <v>320030</v>
      </c>
      <c r="B292" t="str">
        <f>INDEX(TextData!B:B,MATCH(A292,TextData!A:A))</f>
        <v>資料館Lv1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320031</v>
      </c>
      <c r="B293" t="str">
        <f>INDEX(TextData!B:B,MATCH(A293,TextData!A:A))</f>
        <v>資料館Lv2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320032</v>
      </c>
      <c r="B294" t="str">
        <f>INDEX(TextData!B:B,MATCH(A294,TextData!A:A))</f>
        <v>資料館Lv3</v>
      </c>
      <c r="C294">
        <v>40020</v>
      </c>
      <c r="D294" t="str">
        <f>INDEX(Define!Q:Q,MATCH(C294,Define!P:P))</f>
        <v>獲得Eｘｐ％アップ</v>
      </c>
      <c r="E294">
        <v>0</v>
      </c>
      <c r="F294">
        <v>50</v>
      </c>
      <c r="G294">
        <v>0</v>
      </c>
      <c r="H294">
        <v>100</v>
      </c>
    </row>
    <row r="295" spans="1:8">
      <c r="A295">
        <v>320040</v>
      </c>
      <c r="B295" t="str">
        <f>INDEX(TextData!B:B,MATCH(A295,TextData!A:A))</f>
        <v>潜伏技術Lv1</v>
      </c>
      <c r="C295">
        <v>40060</v>
      </c>
      <c r="D295" t="str">
        <f>INDEX(Define!Q:Q,MATCH(C295,Define!P:P))</f>
        <v>ステージ探索猶予アップ</v>
      </c>
      <c r="E295">
        <v>10</v>
      </c>
      <c r="F295">
        <v>0</v>
      </c>
      <c r="G295">
        <v>0</v>
      </c>
      <c r="H295">
        <v>100</v>
      </c>
    </row>
    <row r="296" spans="1:8">
      <c r="A296">
        <v>321010</v>
      </c>
      <c r="B296" t="str">
        <f>INDEX(TextData!B:B,MATCH(A296,TextData!A:A))</f>
        <v>炎の祭壇</v>
      </c>
      <c r="C296">
        <v>40050</v>
      </c>
      <c r="D296" t="str">
        <f>INDEX(Define!Q:Q,MATCH(C296,Define!P:P))</f>
        <v>属性適正アップ</v>
      </c>
      <c r="E296">
        <v>1</v>
      </c>
      <c r="F296">
        <v>1</v>
      </c>
      <c r="G296">
        <v>0</v>
      </c>
      <c r="H296">
        <v>100</v>
      </c>
    </row>
    <row r="297" spans="1:8">
      <c r="A297">
        <v>321020</v>
      </c>
      <c r="B297" t="str">
        <f>INDEX(TextData!B:B,MATCH(A297,TextData!A:A))</f>
        <v>稲妻の祭壇</v>
      </c>
      <c r="C297">
        <v>40050</v>
      </c>
      <c r="D297" t="str">
        <f>INDEX(Define!Q:Q,MATCH(C297,Define!P:P))</f>
        <v>属性適正アップ</v>
      </c>
      <c r="E297">
        <v>2</v>
      </c>
      <c r="F297">
        <v>1</v>
      </c>
      <c r="G297">
        <v>0</v>
      </c>
      <c r="H297">
        <v>100</v>
      </c>
    </row>
    <row r="298" spans="1:8">
      <c r="A298">
        <v>321030</v>
      </c>
      <c r="B298" t="str">
        <f>INDEX(TextData!B:B,MATCH(A298,TextData!A:A))</f>
        <v>蒼の祭壇</v>
      </c>
      <c r="C298">
        <v>40050</v>
      </c>
      <c r="D298" t="str">
        <f>INDEX(Define!Q:Q,MATCH(C298,Define!P:P))</f>
        <v>属性適正アップ</v>
      </c>
      <c r="E298">
        <v>3</v>
      </c>
      <c r="F298">
        <v>1</v>
      </c>
      <c r="G298">
        <v>0</v>
      </c>
      <c r="H298">
        <v>100</v>
      </c>
    </row>
    <row r="299" spans="1:8">
      <c r="A299">
        <v>321040</v>
      </c>
      <c r="B299" t="str">
        <f>INDEX(TextData!B:B,MATCH(A299,TextData!A:A))</f>
        <v>光の祭壇</v>
      </c>
      <c r="C299">
        <v>40050</v>
      </c>
      <c r="D299" t="str">
        <f>INDEX(Define!Q:Q,MATCH(C299,Define!P:P))</f>
        <v>属性適正アップ</v>
      </c>
      <c r="E299">
        <v>4</v>
      </c>
      <c r="F299">
        <v>1</v>
      </c>
      <c r="G299">
        <v>0</v>
      </c>
      <c r="H299">
        <v>100</v>
      </c>
    </row>
    <row r="300" spans="1:8">
      <c r="A300">
        <v>321050</v>
      </c>
      <c r="B300" t="str">
        <f>INDEX(TextData!B:B,MATCH(A300,TextData!A:A))</f>
        <v>月の祭壇</v>
      </c>
      <c r="C300">
        <v>40050</v>
      </c>
      <c r="D300" t="str">
        <f>INDEX(Define!Q:Q,MATCH(C300,Define!P:P))</f>
        <v>属性適正アップ</v>
      </c>
      <c r="E300">
        <v>5</v>
      </c>
      <c r="F300">
        <v>1</v>
      </c>
      <c r="G300">
        <v>0</v>
      </c>
      <c r="H300">
        <v>100</v>
      </c>
    </row>
    <row r="301" spans="1:9">
      <c r="A301">
        <v>322010</v>
      </c>
      <c r="B301" t="str">
        <f>INDEX(TextData!B:B,MATCH(A301,TextData!A:A))</f>
        <v>食糧庫Lv1</v>
      </c>
      <c r="C301">
        <v>3010</v>
      </c>
      <c r="D301" t="str">
        <f>INDEX(Define!Q:Q,MATCH(C301,Define!P:P))</f>
        <v>ステート付与</v>
      </c>
      <c r="E301">
        <v>1020</v>
      </c>
      <c r="F301">
        <v>999</v>
      </c>
      <c r="G301">
        <v>5</v>
      </c>
      <c r="H301">
        <v>100</v>
      </c>
      <c r="I301" t="s">
        <v>47</v>
      </c>
    </row>
    <row r="302" spans="1:9">
      <c r="A302">
        <v>322020</v>
      </c>
      <c r="B302" t="str">
        <f>INDEX(TextData!B:B,MATCH(A302,TextData!A:A))</f>
        <v>攻撃技術Lv1</v>
      </c>
      <c r="C302">
        <v>3010</v>
      </c>
      <c r="D302" t="str">
        <f>INDEX(Define!Q:Q,MATCH(C302,Define!P:P))</f>
        <v>ステート付与</v>
      </c>
      <c r="E302">
        <v>1040</v>
      </c>
      <c r="F302">
        <v>999</v>
      </c>
      <c r="G302">
        <v>2</v>
      </c>
      <c r="H302">
        <v>100</v>
      </c>
      <c r="I302" t="s">
        <v>48</v>
      </c>
    </row>
    <row r="303" spans="1:9">
      <c r="A303">
        <v>322030</v>
      </c>
      <c r="B303" t="str">
        <f>INDEX(TextData!B:B,MATCH(A303,TextData!A:A))</f>
        <v>防御技術Lv1</v>
      </c>
      <c r="C303">
        <v>3010</v>
      </c>
      <c r="D303" t="str">
        <f>INDEX(Define!Q:Q,MATCH(C303,Define!P:P))</f>
        <v>ステート付与</v>
      </c>
      <c r="E303">
        <v>1050</v>
      </c>
      <c r="F303">
        <v>999</v>
      </c>
      <c r="G303">
        <v>2</v>
      </c>
      <c r="H303">
        <v>100</v>
      </c>
      <c r="I303" t="s">
        <v>32</v>
      </c>
    </row>
    <row r="304" spans="1:9">
      <c r="A304">
        <v>322040</v>
      </c>
      <c r="B304" t="str">
        <f>INDEX(TextData!B:B,MATCH(A304,TextData!A:A))</f>
        <v>詠唱技術Lv1</v>
      </c>
      <c r="C304">
        <v>3010</v>
      </c>
      <c r="D304" t="str">
        <f>INDEX(Define!Q:Q,MATCH(C304,Define!P:P))</f>
        <v>ステート付与</v>
      </c>
      <c r="E304">
        <v>1060</v>
      </c>
      <c r="F304">
        <v>999</v>
      </c>
      <c r="G304">
        <v>2</v>
      </c>
      <c r="H304">
        <v>100</v>
      </c>
      <c r="I304" t="s">
        <v>50</v>
      </c>
    </row>
    <row r="305" spans="1:8">
      <c r="A305">
        <v>401020</v>
      </c>
      <c r="B305" t="str">
        <f>INDEX(TextData!B:B,MATCH(A305,TextData!A:A))</f>
        <v>バーンストーム+</v>
      </c>
      <c r="C305">
        <v>6010</v>
      </c>
      <c r="D305" t="str">
        <f>INDEX(Define!Q:Q,MATCH(C305,Define!P:P))</f>
        <v>FeatureのParam1を指定値に上書き</v>
      </c>
      <c r="E305">
        <v>1020</v>
      </c>
      <c r="F305">
        <v>0</v>
      </c>
      <c r="G305">
        <v>250</v>
      </c>
      <c r="H305">
        <v>100</v>
      </c>
    </row>
    <row r="306" spans="1:8">
      <c r="A306">
        <v>401030</v>
      </c>
      <c r="B306" t="str">
        <f>INDEX(TextData!B:B,MATCH(A306,TextData!A:A))</f>
        <v>ヒートスタンプ+</v>
      </c>
      <c r="C306">
        <v>6010</v>
      </c>
      <c r="D306" t="str">
        <f>INDEX(Define!Q:Q,MATCH(C306,Define!P:P))</f>
        <v>FeatureのParam1を指定値に上書き</v>
      </c>
      <c r="E306">
        <v>1030</v>
      </c>
      <c r="F306">
        <v>0</v>
      </c>
      <c r="G306">
        <v>2</v>
      </c>
      <c r="H306">
        <v>100</v>
      </c>
    </row>
    <row r="307" spans="1:8">
      <c r="A307">
        <v>401040</v>
      </c>
      <c r="B307" t="str">
        <f>INDEX(TextData!B:B,MATCH(A307,TextData!A:A))</f>
        <v>ソードアダプト+</v>
      </c>
      <c r="C307">
        <v>6010</v>
      </c>
      <c r="D307" t="str">
        <f>INDEX(Define!Q:Q,MATCH(C307,Define!P:P))</f>
        <v>FeatureのParam1を指定値に上書き</v>
      </c>
      <c r="E307">
        <v>1040</v>
      </c>
      <c r="F307">
        <v>0</v>
      </c>
      <c r="G307">
        <v>15</v>
      </c>
      <c r="H307">
        <v>100</v>
      </c>
    </row>
    <row r="308" spans="1:8">
      <c r="A308">
        <v>401050</v>
      </c>
      <c r="B308" t="str">
        <f>INDEX(TextData!B:B,MATCH(A308,TextData!A:A))</f>
        <v>フレイムレイン+</v>
      </c>
      <c r="C308">
        <v>6010</v>
      </c>
      <c r="D308" t="str">
        <f>INDEX(Define!Q:Q,MATCH(C308,Define!P:P))</f>
        <v>FeatureのParam1を指定値に上書き</v>
      </c>
      <c r="E308">
        <v>1050</v>
      </c>
      <c r="F308">
        <v>0</v>
      </c>
      <c r="G308">
        <v>60</v>
      </c>
      <c r="H308">
        <v>100</v>
      </c>
    </row>
    <row r="309" spans="1:8">
      <c r="A309">
        <v>401060</v>
      </c>
      <c r="B309" t="str">
        <f>INDEX(TextData!B:B,MATCH(A309,TextData!A:A))</f>
        <v>イクスティンクション+</v>
      </c>
      <c r="C309">
        <v>6010</v>
      </c>
      <c r="D309" t="str">
        <f>INDEX(Define!Q:Q,MATCH(C309,Define!P:P))</f>
        <v>FeatureのParam1を指定値に上書き</v>
      </c>
      <c r="E309">
        <v>1060</v>
      </c>
      <c r="F309">
        <v>0</v>
      </c>
      <c r="G309">
        <v>400</v>
      </c>
      <c r="H309">
        <v>100</v>
      </c>
    </row>
    <row r="310" spans="1:8">
      <c r="A310">
        <v>401070</v>
      </c>
      <c r="B310" t="str">
        <f>INDEX(TextData!B:B,MATCH(A310,TextData!A:A))</f>
        <v>バーニングソウル+</v>
      </c>
      <c r="C310">
        <v>6080</v>
      </c>
      <c r="D310" t="str">
        <f>INDEX(Define!Q:Q,MATCH(C310,Define!P:P))</f>
        <v>指定魔法のCTリセット値を変更する</v>
      </c>
      <c r="E310">
        <v>1070</v>
      </c>
      <c r="F310">
        <v>0</v>
      </c>
      <c r="G310">
        <v>2</v>
      </c>
      <c r="H310">
        <v>100</v>
      </c>
    </row>
    <row r="311" spans="1:8">
      <c r="A311">
        <v>401080</v>
      </c>
      <c r="B311" t="str">
        <f>INDEX(TextData!B:B,MATCH(A311,TextData!A:A))</f>
        <v>レイジングバウンサー+</v>
      </c>
      <c r="C311">
        <v>6030</v>
      </c>
      <c r="D311" t="str">
        <f>INDEX(Define!Q:Q,MATCH(C311,Define!P:P))</f>
        <v>FeatureのParam3を指定値に上書き</v>
      </c>
      <c r="E311">
        <v>1080</v>
      </c>
      <c r="F311">
        <v>0</v>
      </c>
      <c r="G311">
        <v>45</v>
      </c>
      <c r="H311">
        <v>100</v>
      </c>
    </row>
    <row r="312" spans="1:8">
      <c r="A312">
        <v>402010</v>
      </c>
      <c r="B312" t="str">
        <f>INDEX(TextData!B:B,MATCH(A312,TextData!A:A))</f>
        <v>ディスチャージ+</v>
      </c>
      <c r="C312">
        <v>6010</v>
      </c>
      <c r="D312" t="str">
        <f>INDEX(Define!Q:Q,MATCH(C312,Define!P:P))</f>
        <v>FeatureのParam1を指定値に上書き</v>
      </c>
      <c r="E312">
        <v>2010</v>
      </c>
      <c r="F312">
        <v>0</v>
      </c>
      <c r="G312">
        <v>250</v>
      </c>
      <c r="H312">
        <v>100</v>
      </c>
    </row>
    <row r="313" spans="1:8">
      <c r="A313">
        <v>402020</v>
      </c>
      <c r="B313" t="str">
        <f>INDEX(TextData!B:B,MATCH(A313,TextData!A:A))</f>
        <v>イベイドコード+</v>
      </c>
      <c r="C313">
        <v>6030</v>
      </c>
      <c r="D313" t="str">
        <f>INDEX(Define!Q:Q,MATCH(C313,Define!P:P))</f>
        <v>FeatureのParam3を指定値に上書き</v>
      </c>
      <c r="E313">
        <v>2020</v>
      </c>
      <c r="F313">
        <v>0</v>
      </c>
      <c r="G313">
        <v>25</v>
      </c>
      <c r="H313">
        <v>100</v>
      </c>
    </row>
    <row r="314" spans="1:8">
      <c r="A314">
        <v>402030</v>
      </c>
      <c r="B314" t="str">
        <f>INDEX(TextData!B:B,MATCH(A314,TextData!A:A))</f>
        <v>ショックインパルス+</v>
      </c>
      <c r="C314">
        <v>6080</v>
      </c>
      <c r="D314" t="str">
        <f>INDEX(Define!Q:Q,MATCH(C314,Define!P:P))</f>
        <v>指定魔法のCTリセット値を変更する</v>
      </c>
      <c r="E314">
        <v>2030</v>
      </c>
      <c r="F314">
        <v>0</v>
      </c>
      <c r="G314">
        <v>2</v>
      </c>
      <c r="H314">
        <v>100</v>
      </c>
    </row>
    <row r="315" spans="1:8">
      <c r="A315">
        <v>402040</v>
      </c>
      <c r="B315" t="str">
        <f>INDEX(TextData!B:B,MATCH(A315,TextData!A:A))</f>
        <v>トラストチェイン+</v>
      </c>
      <c r="C315">
        <v>6010</v>
      </c>
      <c r="D315" t="str">
        <f>INDEX(Define!Q:Q,MATCH(C315,Define!P:P))</f>
        <v>FeatureのParam1を指定値に上書き</v>
      </c>
      <c r="E315">
        <v>2040</v>
      </c>
      <c r="F315">
        <v>0</v>
      </c>
      <c r="G315">
        <v>400</v>
      </c>
      <c r="H315">
        <v>100</v>
      </c>
    </row>
    <row r="316" spans="1:8">
      <c r="A316">
        <v>402050</v>
      </c>
      <c r="B316" t="str">
        <f>INDEX(TextData!B:B,MATCH(A316,TextData!A:A))</f>
        <v>スペルバニシング+</v>
      </c>
      <c r="C316">
        <v>6080</v>
      </c>
      <c r="D316" t="str">
        <f>INDEX(Define!Q:Q,MATCH(C316,Define!P:P))</f>
        <v>指定魔法のCTリセット値を変更する</v>
      </c>
      <c r="E316">
        <v>2050</v>
      </c>
      <c r="F316">
        <v>0</v>
      </c>
      <c r="G316">
        <v>1</v>
      </c>
      <c r="H316">
        <v>100</v>
      </c>
    </row>
    <row r="317" spans="1:8">
      <c r="A317">
        <v>402060</v>
      </c>
      <c r="B317" t="str">
        <f>INDEX(TextData!B:B,MATCH(A317,TextData!A:A))</f>
        <v>アーテニーストライク+</v>
      </c>
      <c r="C317">
        <v>6010</v>
      </c>
      <c r="D317" t="str">
        <f>INDEX(Define!Q:Q,MATCH(C317,Define!P:P))</f>
        <v>FeatureのParam1を指定値に上書き</v>
      </c>
      <c r="E317">
        <v>2060</v>
      </c>
      <c r="F317">
        <v>0</v>
      </c>
      <c r="G317">
        <v>250</v>
      </c>
      <c r="H317">
        <v>100</v>
      </c>
    </row>
    <row r="318" spans="1:8">
      <c r="A318">
        <v>402070</v>
      </c>
      <c r="B318" t="str">
        <f>INDEX(TextData!B:B,MATCH(A318,TextData!A:A))</f>
        <v>コンセントレイト+</v>
      </c>
      <c r="C318">
        <v>6030</v>
      </c>
      <c r="D318" t="str">
        <f>INDEX(Define!Q:Q,MATCH(C318,Define!P:P))</f>
        <v>FeatureのParam3を指定値に上書き</v>
      </c>
      <c r="E318">
        <v>2070</v>
      </c>
      <c r="F318">
        <v>0</v>
      </c>
      <c r="G318">
        <v>40</v>
      </c>
      <c r="H318">
        <v>100</v>
      </c>
    </row>
    <row r="319" spans="1:8">
      <c r="A319">
        <v>402080</v>
      </c>
      <c r="B319" t="str">
        <f>INDEX(TextData!B:B,MATCH(A319,TextData!A:A))</f>
        <v>ディレイマジック+</v>
      </c>
      <c r="C319">
        <v>6010</v>
      </c>
      <c r="D319" t="str">
        <f>INDEX(Define!Q:Q,MATCH(C319,Define!P:P))</f>
        <v>FeatureのParam1を指定値に上書き</v>
      </c>
      <c r="E319">
        <v>2080</v>
      </c>
      <c r="F319">
        <v>1</v>
      </c>
      <c r="G319">
        <v>2</v>
      </c>
      <c r="H319">
        <v>100</v>
      </c>
    </row>
    <row r="320" spans="1:8">
      <c r="A320">
        <v>403010</v>
      </c>
      <c r="B320" t="str">
        <f>INDEX(TextData!B:B,MATCH(A320,TextData!A:A))</f>
        <v>アイスブレイド+</v>
      </c>
      <c r="C320">
        <v>6010</v>
      </c>
      <c r="D320" t="str">
        <f>INDEX(Define!Q:Q,MATCH(C320,Define!P:P))</f>
        <v>FeatureのParam1を指定値に上書き</v>
      </c>
      <c r="E320">
        <v>3010</v>
      </c>
      <c r="F320">
        <v>0</v>
      </c>
      <c r="G320">
        <v>250</v>
      </c>
      <c r="H320">
        <v>100</v>
      </c>
    </row>
    <row r="321" spans="1:8">
      <c r="A321">
        <v>403020</v>
      </c>
      <c r="B321" t="str">
        <f>INDEX(TextData!B:B,MATCH(A321,TextData!A:A))</f>
        <v>カウンターオーラ+</v>
      </c>
      <c r="C321">
        <v>6030</v>
      </c>
      <c r="D321" t="str">
        <f>INDEX(Define!Q:Q,MATCH(C321,Define!P:P))</f>
        <v>FeatureのParam3を指定値に上書き</v>
      </c>
      <c r="E321">
        <v>3020</v>
      </c>
      <c r="F321">
        <v>0</v>
      </c>
      <c r="G321">
        <v>40</v>
      </c>
      <c r="H321">
        <v>100</v>
      </c>
    </row>
    <row r="322" spans="1:8">
      <c r="A322">
        <v>403030</v>
      </c>
      <c r="B322" t="str">
        <f>INDEX(TextData!B:B,MATCH(A322,TextData!A:A))</f>
        <v>ラインプロテクト+</v>
      </c>
      <c r="C322">
        <v>6030</v>
      </c>
      <c r="D322" t="str">
        <f>INDEX(Define!Q:Q,MATCH(C322,Define!P:P))</f>
        <v>FeatureのParam3を指定値に上書き</v>
      </c>
      <c r="E322">
        <v>3030</v>
      </c>
      <c r="F322">
        <v>0</v>
      </c>
      <c r="G322">
        <v>20</v>
      </c>
      <c r="H322">
        <v>100</v>
      </c>
    </row>
    <row r="323" spans="1:8">
      <c r="A323">
        <v>403040</v>
      </c>
      <c r="B323" t="str">
        <f>INDEX(TextData!B:B,MATCH(A323,TextData!A:A))</f>
        <v>エスコートソール+</v>
      </c>
      <c r="C323">
        <v>6030</v>
      </c>
      <c r="D323" t="str">
        <f>INDEX(Define!Q:Q,MATCH(C323,Define!P:P))</f>
        <v>FeatureのParam3を指定値に上書き</v>
      </c>
      <c r="E323">
        <v>3040</v>
      </c>
      <c r="F323">
        <v>0</v>
      </c>
      <c r="G323">
        <v>40</v>
      </c>
      <c r="H323">
        <v>100</v>
      </c>
    </row>
    <row r="324" spans="1:8">
      <c r="A324">
        <v>403050</v>
      </c>
      <c r="B324" t="str">
        <f>INDEX(TextData!B:B,MATCH(A324,TextData!A:A))</f>
        <v>ディープフリーズ+</v>
      </c>
      <c r="C324">
        <v>6030</v>
      </c>
      <c r="D324" t="str">
        <f>INDEX(Define!Q:Q,MATCH(C324,Define!P:P))</f>
        <v>FeatureのParam3を指定値に上書き</v>
      </c>
      <c r="E324">
        <v>3050</v>
      </c>
      <c r="F324">
        <v>0</v>
      </c>
      <c r="G324">
        <v>40</v>
      </c>
      <c r="H324">
        <v>100</v>
      </c>
    </row>
    <row r="325" spans="1:8">
      <c r="A325">
        <v>403060</v>
      </c>
      <c r="B325" t="str">
        <f>INDEX(TextData!B:B,MATCH(A325,TextData!A:A))</f>
        <v>バブルブロウ+</v>
      </c>
      <c r="C325">
        <v>6030</v>
      </c>
      <c r="D325" t="str">
        <f>INDEX(Define!Q:Q,MATCH(C325,Define!P:P))</f>
        <v>FeatureのParam3を指定値に上書き</v>
      </c>
      <c r="E325">
        <v>3060</v>
      </c>
      <c r="F325">
        <v>1</v>
      </c>
      <c r="G325">
        <v>12</v>
      </c>
      <c r="H325">
        <v>100</v>
      </c>
    </row>
    <row r="326" spans="1:8">
      <c r="A326">
        <v>403070</v>
      </c>
      <c r="B326" t="str">
        <f>INDEX(TextData!B:B,MATCH(A326,TextData!A:A))</f>
        <v>アクアミラージュ+</v>
      </c>
      <c r="C326">
        <v>6020</v>
      </c>
      <c r="D326" t="str">
        <f>INDEX(Define!Q:Q,MATCH(C326,Define!P:P))</f>
        <v>FeatureのParam2を指定値に上書き</v>
      </c>
      <c r="E326">
        <v>3070</v>
      </c>
      <c r="F326">
        <v>0</v>
      </c>
      <c r="G326">
        <v>2</v>
      </c>
      <c r="H326">
        <v>100</v>
      </c>
    </row>
    <row r="327" spans="1:8">
      <c r="A327">
        <v>403080</v>
      </c>
      <c r="B327" t="str">
        <f>INDEX(TextData!B:B,MATCH(A327,TextData!A:A))</f>
        <v>フロストシールド+</v>
      </c>
      <c r="C327">
        <v>6030</v>
      </c>
      <c r="D327" t="str">
        <f>INDEX(Define!Q:Q,MATCH(C327,Define!P:P))</f>
        <v>FeatureのParam3を指定値に上書き</v>
      </c>
      <c r="E327">
        <v>3080</v>
      </c>
      <c r="F327">
        <v>0</v>
      </c>
      <c r="G327">
        <v>30</v>
      </c>
      <c r="H327">
        <v>100</v>
      </c>
    </row>
    <row r="328" spans="1:8">
      <c r="A328">
        <v>404010</v>
      </c>
      <c r="B328" t="str">
        <f>INDEX(TextData!B:B,MATCH(A328,TextData!A:A))</f>
        <v>セイントレーザー+</v>
      </c>
      <c r="C328">
        <v>6010</v>
      </c>
      <c r="D328" t="str">
        <f>INDEX(Define!Q:Q,MATCH(C328,Define!P:P))</f>
        <v>FeatureのParam1を指定値に上書き</v>
      </c>
      <c r="E328">
        <v>4010</v>
      </c>
      <c r="F328">
        <v>0</v>
      </c>
      <c r="G328">
        <v>250</v>
      </c>
      <c r="H328">
        <v>100</v>
      </c>
    </row>
    <row r="329" spans="1:8">
      <c r="A329">
        <v>404020</v>
      </c>
      <c r="B329" t="str">
        <f>INDEX(TextData!B:B,MATCH(A329,TextData!A:A))</f>
        <v>ペネトレイト+</v>
      </c>
      <c r="C329">
        <v>6010</v>
      </c>
      <c r="D329" t="str">
        <f>INDEX(Define!Q:Q,MATCH(C329,Define!P:P))</f>
        <v>FeatureのParam1を指定値に上書き</v>
      </c>
      <c r="E329">
        <v>4020</v>
      </c>
      <c r="F329">
        <v>0</v>
      </c>
      <c r="G329">
        <v>250</v>
      </c>
      <c r="H329">
        <v>100</v>
      </c>
    </row>
    <row r="330" spans="1:8">
      <c r="A330">
        <v>404030</v>
      </c>
      <c r="B330" t="str">
        <f>INDEX(TextData!B:B,MATCH(A330,TextData!A:A))</f>
        <v>ヒーリング+</v>
      </c>
      <c r="C330">
        <v>6210</v>
      </c>
      <c r="D330" t="str">
        <f>INDEX(Define!Q:Q,MATCH(C330,Define!P:P))</f>
        <v>指定魔法の対象を変更（強化限定）</v>
      </c>
      <c r="E330">
        <v>4030</v>
      </c>
      <c r="F330">
        <v>0</v>
      </c>
      <c r="G330">
        <v>31</v>
      </c>
      <c r="H330">
        <v>100</v>
      </c>
    </row>
    <row r="331" spans="1:8">
      <c r="A331">
        <v>404040</v>
      </c>
      <c r="B331" t="str">
        <f>INDEX(TextData!B:B,MATCH(A331,TextData!A:A))</f>
        <v>リザイアフォトン+</v>
      </c>
      <c r="C331">
        <v>6030</v>
      </c>
      <c r="D331" t="str">
        <f>INDEX(Define!Q:Q,MATCH(C331,Define!P:P))</f>
        <v>FeatureのParam3を指定値に上書き</v>
      </c>
      <c r="E331">
        <v>4040</v>
      </c>
      <c r="F331">
        <v>1</v>
      </c>
      <c r="G331">
        <v>30</v>
      </c>
      <c r="H331">
        <v>100</v>
      </c>
    </row>
    <row r="332" spans="1:8">
      <c r="A332">
        <v>404050</v>
      </c>
      <c r="B332" t="str">
        <f>INDEX(TextData!B:B,MATCH(A332,TextData!A:A))</f>
        <v>べネディクション+</v>
      </c>
      <c r="C332">
        <v>6080</v>
      </c>
      <c r="D332" t="str">
        <f>INDEX(Define!Q:Q,MATCH(C332,Define!P:P))</f>
        <v>指定魔法のCTリセット値を変更する</v>
      </c>
      <c r="E332">
        <v>4050</v>
      </c>
      <c r="F332">
        <v>0</v>
      </c>
      <c r="G332">
        <v>2</v>
      </c>
      <c r="H332">
        <v>100</v>
      </c>
    </row>
    <row r="333" spans="1:8">
      <c r="A333">
        <v>404060</v>
      </c>
      <c r="B333" t="str">
        <f>INDEX(TextData!B:B,MATCH(A333,TextData!A:A))</f>
        <v>ホーリーグレイス+</v>
      </c>
      <c r="C333">
        <v>6080</v>
      </c>
      <c r="D333" t="str">
        <f>INDEX(Define!Q:Q,MATCH(C333,Define!P:P))</f>
        <v>指定魔法のCTリセット値を変更する</v>
      </c>
      <c r="E333">
        <v>4060</v>
      </c>
      <c r="F333">
        <v>0</v>
      </c>
      <c r="G333">
        <v>5</v>
      </c>
      <c r="H333">
        <v>100</v>
      </c>
    </row>
    <row r="334" spans="1:8">
      <c r="A334">
        <v>404070</v>
      </c>
      <c r="B334" t="str">
        <f>INDEX(TextData!B:B,MATCH(A334,TextData!A:A))</f>
        <v>キュアエール+</v>
      </c>
      <c r="C334">
        <v>6030</v>
      </c>
      <c r="D334" t="str">
        <f>INDEX(Define!Q:Q,MATCH(C334,Define!P:P))</f>
        <v>FeatureのParam3を指定値に上書き</v>
      </c>
      <c r="E334">
        <v>4070</v>
      </c>
      <c r="F334">
        <v>0</v>
      </c>
      <c r="G334">
        <v>25</v>
      </c>
      <c r="H334">
        <v>100</v>
      </c>
    </row>
    <row r="335" spans="1:8">
      <c r="A335">
        <v>404080</v>
      </c>
      <c r="B335" t="str">
        <f>INDEX(TextData!B:B,MATCH(A335,TextData!A:A))</f>
        <v>ラインバリア+</v>
      </c>
      <c r="C335">
        <v>6080</v>
      </c>
      <c r="D335" t="str">
        <f>INDEX(Define!Q:Q,MATCH(C335,Define!P:P))</f>
        <v>指定魔法のCTリセット値を変更する</v>
      </c>
      <c r="E335">
        <v>4080</v>
      </c>
      <c r="F335">
        <v>0</v>
      </c>
      <c r="G335">
        <v>3</v>
      </c>
      <c r="H335">
        <v>100</v>
      </c>
    </row>
    <row r="336" spans="1:8">
      <c r="A336">
        <v>405010</v>
      </c>
      <c r="B336" t="str">
        <f>INDEX(TextData!B:B,MATCH(A336,TextData!A:A))</f>
        <v>ダークプリズン+</v>
      </c>
      <c r="C336">
        <v>6010</v>
      </c>
      <c r="D336" t="str">
        <f>INDEX(Define!Q:Q,MATCH(C336,Define!P:P))</f>
        <v>FeatureのParam1を指定値に上書き</v>
      </c>
      <c r="E336">
        <v>5010</v>
      </c>
      <c r="F336">
        <v>0</v>
      </c>
      <c r="G336">
        <v>250</v>
      </c>
      <c r="H336">
        <v>100</v>
      </c>
    </row>
    <row r="337" spans="1:8">
      <c r="A337">
        <v>405020</v>
      </c>
      <c r="B337" t="str">
        <f>INDEX(TextData!B:B,MATCH(A337,TextData!A:A))</f>
        <v>ユーサネイジア+</v>
      </c>
      <c r="C337">
        <v>6010</v>
      </c>
      <c r="D337" t="str">
        <f>INDEX(Define!Q:Q,MATCH(C337,Define!P:P))</f>
        <v>FeatureのParam1を指定値に上書き</v>
      </c>
      <c r="E337">
        <v>5020</v>
      </c>
      <c r="F337">
        <v>0</v>
      </c>
      <c r="G337">
        <v>200</v>
      </c>
      <c r="H337">
        <v>100</v>
      </c>
    </row>
    <row r="338" spans="1:8">
      <c r="A338">
        <v>405030</v>
      </c>
      <c r="B338" t="str">
        <f>INDEX(TextData!B:B,MATCH(A338,TextData!A:A))</f>
        <v>ドレインヒール+</v>
      </c>
      <c r="C338">
        <v>6030</v>
      </c>
      <c r="D338" t="str">
        <f>INDEX(Define!Q:Q,MATCH(C338,Define!P:P))</f>
        <v>FeatureのParam3を指定値に上書き</v>
      </c>
      <c r="E338">
        <v>5030</v>
      </c>
      <c r="F338">
        <v>0</v>
      </c>
      <c r="G338">
        <v>100</v>
      </c>
      <c r="H338">
        <v>100</v>
      </c>
    </row>
    <row r="339" spans="1:8">
      <c r="A339">
        <v>405040</v>
      </c>
      <c r="B339" t="str">
        <f>INDEX(TextData!B:B,MATCH(A339,TextData!A:A))</f>
        <v>アビサルデスペア+</v>
      </c>
      <c r="C339">
        <v>6020</v>
      </c>
      <c r="D339" t="str">
        <f>INDEX(Define!Q:Q,MATCH(C339,Define!P:P))</f>
        <v>FeatureのParam2を指定値に上書き</v>
      </c>
      <c r="E339">
        <v>5040</v>
      </c>
      <c r="F339">
        <v>0</v>
      </c>
      <c r="G339">
        <v>5</v>
      </c>
      <c r="H339">
        <v>100</v>
      </c>
    </row>
    <row r="340" spans="1:8">
      <c r="A340">
        <v>405050</v>
      </c>
      <c r="B340" t="str">
        <f>INDEX(TextData!B:B,MATCH(A340,TextData!A:A))</f>
        <v>ディプラヴィティ+</v>
      </c>
      <c r="C340">
        <v>6030</v>
      </c>
      <c r="D340" t="str">
        <f>INDEX(Define!Q:Q,MATCH(C340,Define!P:P))</f>
        <v>FeatureのParam3を指定値に上書き</v>
      </c>
      <c r="E340">
        <v>5050</v>
      </c>
      <c r="F340">
        <v>0</v>
      </c>
      <c r="G340">
        <v>3</v>
      </c>
      <c r="H340">
        <v>100</v>
      </c>
    </row>
    <row r="341" spans="1:8">
      <c r="A341">
        <v>405060</v>
      </c>
      <c r="B341" t="str">
        <f>INDEX(TextData!B:B,MATCH(A341,TextData!A:A))</f>
        <v>ダークネス+</v>
      </c>
      <c r="C341">
        <v>6030</v>
      </c>
      <c r="D341" t="str">
        <f>INDEX(Define!Q:Q,MATCH(C341,Define!P:P))</f>
        <v>FeatureのParam3を指定値に上書き</v>
      </c>
      <c r="E341">
        <v>5060</v>
      </c>
      <c r="F341">
        <v>0</v>
      </c>
      <c r="G341">
        <v>50</v>
      </c>
      <c r="H341">
        <v>100</v>
      </c>
    </row>
    <row r="342" spans="1:8">
      <c r="A342">
        <v>405070</v>
      </c>
      <c r="B342" t="str">
        <f>INDEX(TextData!B:B,MATCH(A342,TextData!A:A))</f>
        <v>シェイディークラウド+</v>
      </c>
      <c r="C342">
        <v>6030</v>
      </c>
      <c r="D342" t="str">
        <f>INDEX(Define!Q:Q,MATCH(C342,Define!P:P))</f>
        <v>FeatureのParam3を指定値に上書き</v>
      </c>
      <c r="E342">
        <v>5070</v>
      </c>
      <c r="F342">
        <v>0</v>
      </c>
      <c r="G342">
        <v>12</v>
      </c>
      <c r="H342">
        <v>100</v>
      </c>
    </row>
    <row r="343" spans="1:8">
      <c r="A343">
        <v>405080</v>
      </c>
      <c r="B343" t="str">
        <f>INDEX(TextData!B:B,MATCH(A343,TextData!A:A))</f>
        <v>ポイズンブロウ+</v>
      </c>
      <c r="C343">
        <v>6030</v>
      </c>
      <c r="D343" t="str">
        <f>INDEX(Define!Q:Q,MATCH(C343,Define!P:P))</f>
        <v>FeatureのParam3を指定値に上書き</v>
      </c>
      <c r="E343">
        <v>5080</v>
      </c>
      <c r="F343">
        <v>0</v>
      </c>
      <c r="G343">
        <v>20</v>
      </c>
      <c r="H343">
        <v>100</v>
      </c>
    </row>
    <row r="344" spans="1:8">
      <c r="A344">
        <v>411010</v>
      </c>
      <c r="B344" t="str">
        <f>INDEX(TextData!B:B,MATCH(A344,TextData!A:A))</f>
        <v>ウルフソウル+</v>
      </c>
      <c r="C344">
        <v>6030</v>
      </c>
      <c r="D344" t="str">
        <f>INDEX(Define!Q:Q,MATCH(C344,Define!P:P))</f>
        <v>FeatureのParam3を指定値に上書き</v>
      </c>
      <c r="E344">
        <v>11010</v>
      </c>
      <c r="F344">
        <v>0</v>
      </c>
      <c r="G344">
        <v>8</v>
      </c>
      <c r="H344">
        <v>100</v>
      </c>
    </row>
    <row r="345" spans="1:8">
      <c r="A345">
        <v>411020</v>
      </c>
      <c r="B345" t="str">
        <f>INDEX(TextData!B:B,MATCH(A345,TextData!A:A))</f>
        <v>プリディカメント+</v>
      </c>
      <c r="C345">
        <v>6030</v>
      </c>
      <c r="D345" t="str">
        <f>INDEX(Define!Q:Q,MATCH(C345,Define!P:P))</f>
        <v>FeatureのParam3を指定値に上書き</v>
      </c>
      <c r="E345">
        <v>11020</v>
      </c>
      <c r="F345">
        <v>0</v>
      </c>
      <c r="G345">
        <v>16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0</v>
      </c>
      <c r="G346">
        <v>8</v>
      </c>
      <c r="H346">
        <v>100</v>
      </c>
    </row>
    <row r="347" spans="1:8">
      <c r="A347">
        <v>411030</v>
      </c>
      <c r="B347" t="str">
        <f>INDEX(TextData!B:B,MATCH(A347,TextData!A:A))</f>
        <v>アサルトシフト+</v>
      </c>
      <c r="C347">
        <v>6030</v>
      </c>
      <c r="D347" t="str">
        <f>INDEX(Define!Q:Q,MATCH(C347,Define!P:P))</f>
        <v>FeatureのParam3を指定値に上書き</v>
      </c>
      <c r="E347">
        <v>11030</v>
      </c>
      <c r="F347">
        <v>1</v>
      </c>
      <c r="G347">
        <v>8</v>
      </c>
      <c r="H347">
        <v>100</v>
      </c>
    </row>
    <row r="348" spans="1:8">
      <c r="A348">
        <v>411040</v>
      </c>
      <c r="B348" t="str">
        <f>INDEX(TextData!B:B,MATCH(A348,TextData!A:A))</f>
        <v>アクティブギフト+</v>
      </c>
      <c r="C348">
        <v>6080</v>
      </c>
      <c r="D348" t="str">
        <f>INDEX(Define!Q:Q,MATCH(C348,Define!P:P))</f>
        <v>指定魔法のCTリセット値を変更する</v>
      </c>
      <c r="E348">
        <v>11040</v>
      </c>
      <c r="F348">
        <v>0</v>
      </c>
      <c r="G348">
        <v>3</v>
      </c>
      <c r="H348">
        <v>100</v>
      </c>
    </row>
    <row r="349" spans="1:8">
      <c r="A349">
        <v>411050</v>
      </c>
      <c r="B349" t="str">
        <f>INDEX(TextData!B:B,MATCH(A349,TextData!A:A))</f>
        <v>イグナイテッド+</v>
      </c>
      <c r="C349">
        <v>6010</v>
      </c>
      <c r="D349" t="str">
        <f>INDEX(Define!Q:Q,MATCH(C349,Define!P:P))</f>
        <v>FeatureのParam1を指定値に上書き</v>
      </c>
      <c r="E349">
        <v>11050</v>
      </c>
      <c r="F349">
        <v>0</v>
      </c>
      <c r="G349">
        <v>6</v>
      </c>
      <c r="H349">
        <v>100</v>
      </c>
    </row>
    <row r="350" spans="1:8">
      <c r="A350">
        <v>411060</v>
      </c>
      <c r="B350" t="str">
        <f>INDEX(TextData!B:B,MATCH(A350,TextData!A:A))</f>
        <v>ライジングファイア+</v>
      </c>
      <c r="C350">
        <v>6010</v>
      </c>
      <c r="D350" t="str">
        <f>INDEX(Define!Q:Q,MATCH(C350,Define!P:P))</f>
        <v>FeatureのParam1を指定値に上書き</v>
      </c>
      <c r="E350">
        <v>11060</v>
      </c>
      <c r="F350">
        <v>0</v>
      </c>
      <c r="G350">
        <v>2</v>
      </c>
      <c r="H350">
        <v>100</v>
      </c>
    </row>
    <row r="351" spans="1:8">
      <c r="A351">
        <v>411070</v>
      </c>
      <c r="B351" t="str">
        <f>INDEX(TextData!B:B,MATCH(A351,TextData!A:A))</f>
        <v>ルージュバック+</v>
      </c>
      <c r="C351">
        <v>6030</v>
      </c>
      <c r="D351" t="str">
        <f>INDEX(Define!Q:Q,MATCH(C351,Define!P:P))</f>
        <v>FeatureのParam3を指定値に上書き</v>
      </c>
      <c r="E351">
        <v>11070</v>
      </c>
      <c r="F351">
        <v>0</v>
      </c>
      <c r="G351">
        <v>4</v>
      </c>
      <c r="H351">
        <v>100</v>
      </c>
    </row>
    <row r="352" spans="1:8">
      <c r="A352">
        <v>411080</v>
      </c>
      <c r="B352" t="str">
        <f>INDEX(TextData!B:B,MATCH(A352,TextData!A:A))</f>
        <v>パワーエール+</v>
      </c>
      <c r="C352">
        <v>6030</v>
      </c>
      <c r="D352" t="str">
        <f>INDEX(Define!Q:Q,MATCH(C352,Define!P:P))</f>
        <v>FeatureのParam3を指定値に上書き</v>
      </c>
      <c r="E352">
        <v>11080</v>
      </c>
      <c r="F352">
        <v>0</v>
      </c>
      <c r="G352">
        <v>8</v>
      </c>
      <c r="H352">
        <v>100</v>
      </c>
    </row>
    <row r="353" spans="1:8">
      <c r="A353">
        <v>411090</v>
      </c>
      <c r="B353" t="str">
        <f>INDEX(TextData!B:B,MATCH(A353,TextData!A:A))</f>
        <v>スレイプニル+</v>
      </c>
      <c r="C353">
        <v>6030</v>
      </c>
      <c r="D353" t="str">
        <f>INDEX(Define!Q:Q,MATCH(C353,Define!P:P))</f>
        <v>FeatureのParam3を指定値に上書き</v>
      </c>
      <c r="E353">
        <v>11090</v>
      </c>
      <c r="F353">
        <v>0</v>
      </c>
      <c r="G353">
        <v>25</v>
      </c>
      <c r="H353">
        <v>100</v>
      </c>
    </row>
    <row r="354" spans="1:8">
      <c r="A354">
        <v>412010</v>
      </c>
      <c r="B354" t="str">
        <f>INDEX(TextData!B:B,MATCH(A354,TextData!A:A))</f>
        <v>エクステンション+</v>
      </c>
      <c r="C354">
        <v>6210</v>
      </c>
      <c r="D354" t="str">
        <f>INDEX(Define!Q:Q,MATCH(C354,Define!P:P))</f>
        <v>指定魔法の対象を変更（強化限定）</v>
      </c>
      <c r="E354">
        <v>12010</v>
      </c>
      <c r="F354">
        <v>0</v>
      </c>
      <c r="G354">
        <v>31</v>
      </c>
      <c r="H354">
        <v>100</v>
      </c>
    </row>
    <row r="355" spans="1:8">
      <c r="A355">
        <v>412020</v>
      </c>
      <c r="B355" t="str">
        <f>INDEX(TextData!B:B,MATCH(A355,TextData!A:A))</f>
        <v>ヘブンリーラック+</v>
      </c>
      <c r="C355">
        <v>6030</v>
      </c>
      <c r="D355" t="str">
        <f>INDEX(Define!Q:Q,MATCH(C355,Define!P:P))</f>
        <v>FeatureのParam3を指定値に上書き</v>
      </c>
      <c r="E355">
        <v>12020</v>
      </c>
      <c r="F355">
        <v>0</v>
      </c>
      <c r="G355">
        <v>20</v>
      </c>
      <c r="H355">
        <v>100</v>
      </c>
    </row>
    <row r="356" spans="1:8">
      <c r="A356">
        <v>412030</v>
      </c>
      <c r="B356" t="str">
        <f>INDEX(TextData!B:B,MATCH(A356,TextData!A:A))</f>
        <v>スウィフトカレント+</v>
      </c>
      <c r="C356">
        <v>6030</v>
      </c>
      <c r="D356" t="str">
        <f>INDEX(Define!Q:Q,MATCH(C356,Define!P:P))</f>
        <v>FeatureのParam3を指定値に上書き</v>
      </c>
      <c r="E356">
        <v>12030</v>
      </c>
      <c r="F356">
        <v>0</v>
      </c>
      <c r="G356">
        <v>10</v>
      </c>
      <c r="H356">
        <v>100</v>
      </c>
    </row>
    <row r="357" spans="1:8">
      <c r="A357">
        <v>412040</v>
      </c>
      <c r="B357" t="str">
        <f>INDEX(TextData!B:B,MATCH(A357,TextData!A:A))</f>
        <v>イヴェイドオール+</v>
      </c>
      <c r="C357">
        <v>6030</v>
      </c>
      <c r="D357" t="str">
        <f>INDEX(Define!Q:Q,MATCH(C357,Define!P:P))</f>
        <v>FeatureのParam3を指定値に上書き</v>
      </c>
      <c r="E357">
        <v>12040</v>
      </c>
      <c r="F357">
        <v>0</v>
      </c>
      <c r="G357">
        <v>10</v>
      </c>
      <c r="H357">
        <v>100</v>
      </c>
    </row>
    <row r="358" spans="1:8">
      <c r="A358">
        <v>412050</v>
      </c>
      <c r="B358" t="str">
        <f>INDEX(TextData!B:B,MATCH(A358,TextData!A:A))</f>
        <v>クイックムーブ+</v>
      </c>
      <c r="C358">
        <v>6010</v>
      </c>
      <c r="D358" t="str">
        <f>INDEX(Define!Q:Q,MATCH(C358,Define!P:P))</f>
        <v>FeatureのParam1を指定値に上書き</v>
      </c>
      <c r="E358">
        <v>12050</v>
      </c>
      <c r="F358">
        <v>0</v>
      </c>
      <c r="G358">
        <v>400</v>
      </c>
      <c r="H358">
        <v>100</v>
      </c>
    </row>
    <row r="359" spans="1:8">
      <c r="A359">
        <v>412060</v>
      </c>
      <c r="B359" t="str">
        <f>INDEX(TextData!B:B,MATCH(A359,TextData!A:A))</f>
        <v>チェイスマジック+</v>
      </c>
      <c r="C359">
        <v>6010</v>
      </c>
      <c r="D359" t="str">
        <f>INDEX(Define!Q:Q,MATCH(C359,Define!P:P))</f>
        <v>FeatureのParam1を指定値に上書き</v>
      </c>
      <c r="E359">
        <v>12060</v>
      </c>
      <c r="F359">
        <v>0</v>
      </c>
      <c r="G359">
        <v>300</v>
      </c>
      <c r="H359">
        <v>100</v>
      </c>
    </row>
    <row r="360" spans="1:8">
      <c r="A360">
        <v>412070</v>
      </c>
      <c r="B360" t="str">
        <f>INDEX(TextData!B:B,MATCH(A360,TextData!A:A))</f>
        <v>ソーサリーコネクト+</v>
      </c>
      <c r="C360">
        <v>6030</v>
      </c>
      <c r="D360" t="str">
        <f>INDEX(Define!Q:Q,MATCH(C360,Define!P:P))</f>
        <v>FeatureのParam3を指定値に上書き</v>
      </c>
      <c r="E360">
        <v>12070</v>
      </c>
      <c r="F360">
        <v>0</v>
      </c>
      <c r="G360">
        <v>16</v>
      </c>
      <c r="H360">
        <v>100</v>
      </c>
    </row>
    <row r="361" spans="1:8">
      <c r="A361">
        <v>412080</v>
      </c>
      <c r="B361" t="str">
        <f>INDEX(TextData!B:B,MATCH(A361,TextData!A:A))</f>
        <v>ウィンドライズ+</v>
      </c>
      <c r="C361">
        <v>6010</v>
      </c>
      <c r="D361" t="str">
        <f>INDEX(Define!Q:Q,MATCH(C361,Define!P:P))</f>
        <v>FeatureのParam1を指定値に上書き</v>
      </c>
      <c r="E361">
        <v>12080</v>
      </c>
      <c r="F361">
        <v>0</v>
      </c>
      <c r="G361">
        <v>300</v>
      </c>
      <c r="H361">
        <v>100</v>
      </c>
    </row>
    <row r="362" spans="1:8">
      <c r="A362">
        <v>412090</v>
      </c>
      <c r="B362" t="str">
        <f>INDEX(TextData!B:B,MATCH(A362,TextData!A:A))</f>
        <v>アウトオブオーダー+</v>
      </c>
      <c r="C362">
        <v>6010</v>
      </c>
      <c r="D362" t="str">
        <f>INDEX(Define!Q:Q,MATCH(C362,Define!P:P))</f>
        <v>FeatureのParam1を指定値に上書き</v>
      </c>
      <c r="E362">
        <v>12090</v>
      </c>
      <c r="F362">
        <v>0</v>
      </c>
      <c r="G362">
        <v>400</v>
      </c>
      <c r="H362">
        <v>100</v>
      </c>
    </row>
    <row r="363" spans="1:8">
      <c r="A363">
        <v>413010</v>
      </c>
      <c r="B363" t="str">
        <f>INDEX(TextData!B:B,MATCH(A363,TextData!A:A))</f>
        <v>アーマーコード+</v>
      </c>
      <c r="C363">
        <v>6030</v>
      </c>
      <c r="D363" t="str">
        <f>INDEX(Define!Q:Q,MATCH(C363,Define!P:P))</f>
        <v>FeatureのParam3を指定値に上書き</v>
      </c>
      <c r="E363">
        <v>13010</v>
      </c>
      <c r="F363">
        <v>0</v>
      </c>
      <c r="G363">
        <v>8</v>
      </c>
      <c r="H363">
        <v>100</v>
      </c>
    </row>
    <row r="364" spans="1:8">
      <c r="A364">
        <v>413020</v>
      </c>
      <c r="B364" t="str">
        <f>INDEX(TextData!B:B,MATCH(A364,TextData!A:A))</f>
        <v>クイックバリア+</v>
      </c>
      <c r="C364">
        <v>6030</v>
      </c>
      <c r="D364" t="str">
        <f>INDEX(Define!Q:Q,MATCH(C364,Define!P:P))</f>
        <v>FeatureのParam3を指定値に上書き</v>
      </c>
      <c r="E364">
        <v>13020</v>
      </c>
      <c r="F364">
        <v>0</v>
      </c>
      <c r="G364">
        <v>50</v>
      </c>
      <c r="H364">
        <v>100</v>
      </c>
    </row>
    <row r="365" spans="1:8">
      <c r="A365">
        <v>413030</v>
      </c>
      <c r="B365" t="str">
        <f>INDEX(TextData!B:B,MATCH(A365,TextData!A:A))</f>
        <v>クイックキュア+</v>
      </c>
      <c r="C365">
        <v>6080</v>
      </c>
      <c r="D365" t="str">
        <f>INDEX(Define!Q:Q,MATCH(C365,Define!P:P))</f>
        <v>指定魔法のCTリセット値を変更する</v>
      </c>
      <c r="E365">
        <v>14090</v>
      </c>
      <c r="F365">
        <v>0</v>
      </c>
      <c r="G365">
        <v>1</v>
      </c>
      <c r="H365">
        <v>100</v>
      </c>
    </row>
    <row r="366" spans="1:8">
      <c r="A366">
        <v>413040</v>
      </c>
      <c r="B366" t="str">
        <f>INDEX(TextData!B:B,MATCH(A366,TextData!A:A))</f>
        <v>セルフシールド+</v>
      </c>
      <c r="C366">
        <v>6030</v>
      </c>
      <c r="D366" t="str">
        <f>INDEX(Define!Q:Q,MATCH(C366,Define!P:P))</f>
        <v>FeatureのParam3を指定値に上書き</v>
      </c>
      <c r="E366">
        <v>13040</v>
      </c>
      <c r="F366">
        <v>0</v>
      </c>
      <c r="G366">
        <v>50</v>
      </c>
      <c r="H366">
        <v>100</v>
      </c>
    </row>
    <row r="367" spans="1:8">
      <c r="A367">
        <v>413050</v>
      </c>
      <c r="B367" t="str">
        <f>INDEX(TextData!B:B,MATCH(A367,TextData!A:A))</f>
        <v>パッシブジャミング+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413060</v>
      </c>
      <c r="B368" t="str">
        <f>INDEX(TextData!B:B,MATCH(A368,TextData!A:A))</f>
        <v>サプライカバー+</v>
      </c>
      <c r="C368">
        <v>6080</v>
      </c>
      <c r="D368" t="str">
        <f>INDEX(Define!Q:Q,MATCH(C368,Define!P:P))</f>
        <v>指定魔法のCTリセット値を変更する</v>
      </c>
      <c r="E368">
        <v>14090</v>
      </c>
      <c r="F368">
        <v>0</v>
      </c>
      <c r="G368">
        <v>1</v>
      </c>
      <c r="H368">
        <v>100</v>
      </c>
    </row>
    <row r="369" spans="1:8">
      <c r="A369">
        <v>413070</v>
      </c>
      <c r="B369" t="str">
        <f>INDEX(TextData!B:B,MATCH(A369,TextData!A:A))</f>
        <v>アシッドラッシュ+</v>
      </c>
      <c r="C369">
        <v>6010</v>
      </c>
      <c r="D369" t="str">
        <f>INDEX(Define!Q:Q,MATCH(C369,Define!P:P))</f>
        <v>FeatureのParam1を指定値に上書き</v>
      </c>
      <c r="E369">
        <v>13070</v>
      </c>
      <c r="F369">
        <v>0</v>
      </c>
      <c r="G369">
        <v>400</v>
      </c>
      <c r="H369">
        <v>100</v>
      </c>
    </row>
    <row r="370" spans="1:8">
      <c r="A370">
        <v>413080</v>
      </c>
      <c r="B370" t="str">
        <f>INDEX(TextData!B:B,MATCH(A370,TextData!A:A))</f>
        <v>ライフスティール+</v>
      </c>
      <c r="C370">
        <v>6030</v>
      </c>
      <c r="D370" t="str">
        <f>INDEX(Define!Q:Q,MATCH(C370,Define!P:P))</f>
        <v>FeatureのParam3を指定値に上書き</v>
      </c>
      <c r="E370">
        <v>13080</v>
      </c>
      <c r="F370">
        <v>0</v>
      </c>
      <c r="G370">
        <v>50</v>
      </c>
      <c r="H370">
        <v>100</v>
      </c>
    </row>
    <row r="371" spans="1:8">
      <c r="A371">
        <v>413090</v>
      </c>
      <c r="B371" t="str">
        <f>INDEX(TextData!B:B,MATCH(A371,TextData!A:A))</f>
        <v>アイスセイバー+</v>
      </c>
      <c r="C371">
        <v>6030</v>
      </c>
      <c r="D371" t="str">
        <f>INDEX(Define!Q:Q,MATCH(C371,Define!P:P))</f>
        <v>FeatureのParam3を指定値に上書き</v>
      </c>
      <c r="E371">
        <v>13090</v>
      </c>
      <c r="F371">
        <v>0</v>
      </c>
      <c r="G371">
        <v>50</v>
      </c>
      <c r="H371">
        <v>100</v>
      </c>
    </row>
    <row r="372" spans="1:8">
      <c r="A372">
        <v>414010</v>
      </c>
      <c r="B372" t="str">
        <f>INDEX(TextData!B:B,MATCH(A372,TextData!A:A))</f>
        <v>ディバインシールド+</v>
      </c>
      <c r="C372">
        <v>6020</v>
      </c>
      <c r="D372" t="str">
        <f>INDEX(Define!Q:Q,MATCH(C372,Define!P:P))</f>
        <v>FeatureのParam2を指定値に上書き</v>
      </c>
      <c r="E372">
        <v>14010</v>
      </c>
      <c r="F372">
        <v>0</v>
      </c>
      <c r="G372">
        <v>2</v>
      </c>
      <c r="H372">
        <v>100</v>
      </c>
    </row>
    <row r="373" spans="1:8">
      <c r="A373">
        <v>414020</v>
      </c>
      <c r="B373" t="str">
        <f>INDEX(TextData!B:B,MATCH(A373,TextData!A:A))</f>
        <v>ライフディバイド+</v>
      </c>
      <c r="C373">
        <v>6010</v>
      </c>
      <c r="D373" t="str">
        <f>INDEX(Define!Q:Q,MATCH(C373,Define!P:P))</f>
        <v>FeatureのParam1を指定値に上書き</v>
      </c>
      <c r="E373">
        <v>14020</v>
      </c>
      <c r="F373">
        <v>0</v>
      </c>
      <c r="G373">
        <v>50</v>
      </c>
      <c r="H373">
        <v>100</v>
      </c>
    </row>
    <row r="374" spans="1:8">
      <c r="A374">
        <v>414030</v>
      </c>
      <c r="B374" t="str">
        <f>INDEX(TextData!B:B,MATCH(A374,TextData!A:A))</f>
        <v>エイミングスコープ+</v>
      </c>
      <c r="C374">
        <v>6030</v>
      </c>
      <c r="D374" t="str">
        <f>INDEX(Define!Q:Q,MATCH(C374,Define!P:P))</f>
        <v>FeatureのParam3を指定値に上書き</v>
      </c>
      <c r="E374">
        <v>14030</v>
      </c>
      <c r="F374">
        <v>0</v>
      </c>
      <c r="G374">
        <v>10</v>
      </c>
      <c r="H374">
        <v>100</v>
      </c>
    </row>
    <row r="375" spans="1:8">
      <c r="A375">
        <v>414040</v>
      </c>
      <c r="B375" t="str">
        <f>INDEX(TextData!B:B,MATCH(A375,TextData!A:A))</f>
        <v>リジェネレーション+</v>
      </c>
      <c r="C375">
        <v>6030</v>
      </c>
      <c r="D375" t="str">
        <f>INDEX(Define!Q:Q,MATCH(C375,Define!P:P))</f>
        <v>FeatureのParam3を指定値に上書き</v>
      </c>
      <c r="E375">
        <v>14040</v>
      </c>
      <c r="F375">
        <v>0</v>
      </c>
      <c r="G375">
        <v>10</v>
      </c>
      <c r="H375">
        <v>100</v>
      </c>
    </row>
    <row r="376" spans="1:8">
      <c r="A376">
        <v>414050</v>
      </c>
      <c r="B376" t="str">
        <f>INDEX(TextData!B:B,MATCH(A376,TextData!A:A))</f>
        <v>ホープフルアイリス+</v>
      </c>
      <c r="C376">
        <v>6030</v>
      </c>
      <c r="D376" t="str">
        <f>INDEX(Define!Q:Q,MATCH(C376,Define!P:P))</f>
        <v>FeatureのParam3を指定値に上書き</v>
      </c>
      <c r="E376">
        <v>14050</v>
      </c>
      <c r="F376">
        <v>0</v>
      </c>
      <c r="G376">
        <v>15</v>
      </c>
      <c r="H376">
        <v>100</v>
      </c>
    </row>
    <row r="377" spans="1:8">
      <c r="A377">
        <v>414060</v>
      </c>
      <c r="B377" t="str">
        <f>INDEX(TextData!B:B,MATCH(A377,TextData!A:A))</f>
        <v>パッシブサプライ+</v>
      </c>
      <c r="C377">
        <v>6010</v>
      </c>
      <c r="D377" t="str">
        <f>INDEX(Define!Q:Q,MATCH(C377,Define!P:P))</f>
        <v>FeatureのParam1を指定値に上書き</v>
      </c>
      <c r="E377">
        <v>14060</v>
      </c>
      <c r="F377">
        <v>1</v>
      </c>
      <c r="G377">
        <v>2</v>
      </c>
      <c r="H377">
        <v>100</v>
      </c>
    </row>
    <row r="378" spans="1:8">
      <c r="A378">
        <v>414070</v>
      </c>
      <c r="B378" t="str">
        <f>INDEX(TextData!B:B,MATCH(A378,TextData!A:A))</f>
        <v>ホーミングクルセイド+</v>
      </c>
      <c r="C378">
        <v>6020</v>
      </c>
      <c r="D378" t="str">
        <f>INDEX(Define!Q:Q,MATCH(C378,Define!P:P))</f>
        <v>FeatureのParam2を指定値に上書き</v>
      </c>
      <c r="E378">
        <v>14070</v>
      </c>
      <c r="F378">
        <v>0</v>
      </c>
      <c r="G378">
        <v>5</v>
      </c>
      <c r="H378">
        <v>100</v>
      </c>
    </row>
    <row r="379" spans="1:8">
      <c r="A379">
        <v>414080</v>
      </c>
      <c r="B379" t="str">
        <f>INDEX(TextData!B:B,MATCH(A379,TextData!A:A))</f>
        <v>クイックヒール+</v>
      </c>
      <c r="C379">
        <v>6010</v>
      </c>
      <c r="D379" t="str">
        <f>INDEX(Define!Q:Q,MATCH(C379,Define!P:P))</f>
        <v>FeatureのParam1を指定値に上書き</v>
      </c>
      <c r="E379">
        <v>14080</v>
      </c>
      <c r="F379">
        <v>0</v>
      </c>
      <c r="G379">
        <v>15</v>
      </c>
      <c r="H379">
        <v>100</v>
      </c>
    </row>
    <row r="380" spans="1:8">
      <c r="A380">
        <v>414090</v>
      </c>
      <c r="B380" t="str">
        <f>INDEX(TextData!B:B,MATCH(A380,TextData!A:A))</f>
        <v>リレイズ+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4</v>
      </c>
      <c r="H380">
        <v>100</v>
      </c>
    </row>
    <row r="381" spans="1:8">
      <c r="A381">
        <v>415010</v>
      </c>
      <c r="B381" t="str">
        <f>INDEX(TextData!B:B,MATCH(A381,TextData!A:A))</f>
        <v>イーグルアイ+</v>
      </c>
      <c r="C381">
        <v>6030</v>
      </c>
      <c r="D381" t="str">
        <f>INDEX(Define!Q:Q,MATCH(C381,Define!P:P))</f>
        <v>FeatureのParam3を指定値に上書き</v>
      </c>
      <c r="E381">
        <v>15010</v>
      </c>
      <c r="F381">
        <v>0</v>
      </c>
      <c r="G381">
        <v>25</v>
      </c>
      <c r="H381">
        <v>100</v>
      </c>
    </row>
    <row r="382" spans="1:8">
      <c r="A382">
        <v>415020</v>
      </c>
      <c r="B382" t="str">
        <f>INDEX(TextData!B:B,MATCH(A382,TextData!A:A))</f>
        <v>ネヴァーエンド+</v>
      </c>
      <c r="C382">
        <v>6030</v>
      </c>
      <c r="D382" t="str">
        <f>INDEX(Define!Q:Q,MATCH(C382,Define!P:P))</f>
        <v>FeatureのParam3を指定値に上書き</v>
      </c>
      <c r="E382">
        <v>15020</v>
      </c>
      <c r="F382">
        <v>0</v>
      </c>
      <c r="G382">
        <v>50</v>
      </c>
      <c r="H382">
        <v>100</v>
      </c>
    </row>
    <row r="383" spans="1:8">
      <c r="A383">
        <v>415030</v>
      </c>
      <c r="B383" t="str">
        <f>INDEX(TextData!B:B,MATCH(A383,TextData!A:A))</f>
        <v>グレイブアクト+</v>
      </c>
      <c r="C383">
        <v>6010</v>
      </c>
      <c r="D383" t="str">
        <f>INDEX(Define!Q:Q,MATCH(C383,Define!P:P))</f>
        <v>FeatureのParam1を指定値に上書き</v>
      </c>
      <c r="E383">
        <v>15030</v>
      </c>
      <c r="F383">
        <v>0</v>
      </c>
      <c r="G383">
        <v>2</v>
      </c>
      <c r="H383">
        <v>100</v>
      </c>
    </row>
    <row r="384" spans="1:8">
      <c r="A384">
        <v>415040</v>
      </c>
      <c r="B384" t="str">
        <f>INDEX(TextData!B:B,MATCH(A384,TextData!A:A))</f>
        <v>スカルグラッジ+</v>
      </c>
      <c r="C384">
        <v>6030</v>
      </c>
      <c r="D384" t="str">
        <f>INDEX(Define!Q:Q,MATCH(C384,Define!P:P))</f>
        <v>FeatureのParam3を指定値に上書き</v>
      </c>
      <c r="E384">
        <v>15040</v>
      </c>
      <c r="F384">
        <v>0</v>
      </c>
      <c r="G384">
        <v>10</v>
      </c>
      <c r="H384">
        <v>100</v>
      </c>
    </row>
    <row r="385" spans="1:8">
      <c r="A385">
        <v>415050</v>
      </c>
      <c r="B385" t="str">
        <f>INDEX(TextData!B:B,MATCH(A385,TextData!A:A))</f>
        <v>ネガティブドレイン+</v>
      </c>
      <c r="C385">
        <v>6030</v>
      </c>
      <c r="D385" t="str">
        <f>INDEX(Define!Q:Q,MATCH(C385,Define!P:P))</f>
        <v>FeatureのParam3を指定値に上書き</v>
      </c>
      <c r="E385">
        <v>15050</v>
      </c>
      <c r="F385">
        <v>0</v>
      </c>
      <c r="G385">
        <v>25</v>
      </c>
      <c r="H385">
        <v>100</v>
      </c>
    </row>
    <row r="386" spans="1:8">
      <c r="A386">
        <v>415060</v>
      </c>
      <c r="B386" t="str">
        <f>INDEX(TextData!B:B,MATCH(A386,TextData!A:A))</f>
        <v>アンデッドペイン+</v>
      </c>
      <c r="C386">
        <v>6030</v>
      </c>
      <c r="D386" t="str">
        <f>INDEX(Define!Q:Q,MATCH(C386,Define!P:P))</f>
        <v>FeatureのParam3を指定値に上書き</v>
      </c>
      <c r="E386">
        <v>15060</v>
      </c>
      <c r="F386">
        <v>0</v>
      </c>
      <c r="G386">
        <v>15</v>
      </c>
      <c r="H386">
        <v>100</v>
      </c>
    </row>
    <row r="387" spans="1:8">
      <c r="A387">
        <v>415070</v>
      </c>
      <c r="B387" t="str">
        <f>INDEX(TextData!B:B,MATCH(A387,TextData!A:A))</f>
        <v>ジャックポッド+</v>
      </c>
      <c r="C387">
        <v>6030</v>
      </c>
      <c r="D387" t="str">
        <f>INDEX(Define!Q:Q,MATCH(C387,Define!P:P))</f>
        <v>FeatureのParam3を指定値に上書き</v>
      </c>
      <c r="E387">
        <v>15070</v>
      </c>
      <c r="F387">
        <v>0</v>
      </c>
      <c r="G387">
        <v>75</v>
      </c>
      <c r="H387">
        <v>100</v>
      </c>
    </row>
    <row r="388" spans="1:8">
      <c r="A388">
        <v>415080</v>
      </c>
      <c r="B388" t="str">
        <f>INDEX(TextData!B:B,MATCH(A388,TextData!A:A))</f>
        <v>ヒールハント+</v>
      </c>
      <c r="C388">
        <v>6030</v>
      </c>
      <c r="D388" t="str">
        <f>INDEX(Define!Q:Q,MATCH(C388,Define!P:P))</f>
        <v>FeatureのParam3を指定値に上書き</v>
      </c>
      <c r="E388">
        <v>15080</v>
      </c>
      <c r="F388">
        <v>0</v>
      </c>
      <c r="G388">
        <v>50</v>
      </c>
      <c r="H388">
        <v>100</v>
      </c>
    </row>
    <row r="389" spans="1:8">
      <c r="A389">
        <v>415090</v>
      </c>
      <c r="B389" t="str">
        <f>INDEX(TextData!B:B,MATCH(A389,TextData!A:A))</f>
        <v>クイックカース+</v>
      </c>
      <c r="C389">
        <v>6030</v>
      </c>
      <c r="D389" t="str">
        <f>INDEX(Define!Q:Q,MATCH(C389,Define!P:P))</f>
        <v>FeatureのParam3を指定値に上書き</v>
      </c>
      <c r="E389">
        <v>15090</v>
      </c>
      <c r="F389">
        <v>0</v>
      </c>
      <c r="G389">
        <v>35</v>
      </c>
      <c r="H389">
        <v>100</v>
      </c>
    </row>
    <row r="390" spans="1:8">
      <c r="A390">
        <v>501010</v>
      </c>
      <c r="B390" t="str">
        <f>INDEX(TextData!B:B,MATCH(A390,TextData!A:A))</f>
        <v>ATK+2</v>
      </c>
      <c r="C390">
        <v>14010</v>
      </c>
      <c r="D390" t="str">
        <f>INDEX(Define!Q:Q,MATCH(C390,Define!P:P))</f>
        <v>Param1のステータスをParam3アップ</v>
      </c>
      <c r="E390">
        <v>2</v>
      </c>
      <c r="F390">
        <v>0</v>
      </c>
      <c r="G390">
        <v>2</v>
      </c>
      <c r="H390">
        <v>100</v>
      </c>
    </row>
    <row r="391" spans="1:8">
      <c r="A391">
        <v>501020</v>
      </c>
      <c r="B391" t="str">
        <f>INDEX(TextData!B:B,MATCH(A391,TextData!A:A))</f>
        <v>火傷耐性+25%</v>
      </c>
      <c r="C391">
        <v>3010</v>
      </c>
      <c r="D391" t="str">
        <f>INDEX(Define!Q:Q,MATCH(C391,Define!P:P))</f>
        <v>ステート付与</v>
      </c>
      <c r="E391">
        <v>1210</v>
      </c>
      <c r="F391">
        <v>999</v>
      </c>
      <c r="G391">
        <v>25</v>
      </c>
      <c r="H391">
        <v>100</v>
      </c>
    </row>
    <row r="392" spans="1:8">
      <c r="A392">
        <v>501030</v>
      </c>
      <c r="B392" t="str">
        <f>INDEX(TextData!B:B,MATCH(A392,TextData!A:A))</f>
        <v>ATK+2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501040</v>
      </c>
      <c r="B393" t="str">
        <f>INDEX(TextData!B:B,MATCH(A393,TextData!A:A))</f>
        <v>ATK+4</v>
      </c>
      <c r="C393">
        <v>14010</v>
      </c>
      <c r="D393" t="str">
        <f>INDEX(Define!Q:Q,MATCH(C393,Define!P:P))</f>
        <v>Param1のステータスをParam3アップ</v>
      </c>
      <c r="E393">
        <v>2</v>
      </c>
      <c r="F393">
        <v>0</v>
      </c>
      <c r="G393">
        <v>2</v>
      </c>
      <c r="H393">
        <v>100</v>
      </c>
    </row>
    <row r="394" spans="1:8">
      <c r="A394">
        <v>501041</v>
      </c>
      <c r="B394" t="str">
        <f>INDEX(TextData!B:B,MATCH(A394,TextData!A:A))</f>
        <v>会心率+10%</v>
      </c>
      <c r="C394">
        <v>14010</v>
      </c>
      <c r="D394" t="str">
        <f>INDEX(Define!Q:Q,MATCH(C394,Define!P:P))</f>
        <v>Param1のステータスをParam3アップ</v>
      </c>
      <c r="E394">
        <v>13</v>
      </c>
      <c r="F394">
        <v>0</v>
      </c>
      <c r="G394">
        <v>10</v>
      </c>
      <c r="H394">
        <v>100</v>
      </c>
    </row>
    <row r="395" spans="1:8">
      <c r="A395">
        <v>502010</v>
      </c>
      <c r="B395" t="str">
        <f>INDEX(TextData!B:B,MATCH(A395,TextData!A:A))</f>
        <v>回避率+5%</v>
      </c>
      <c r="C395">
        <v>14010</v>
      </c>
      <c r="D395" t="str">
        <f>INDEX(Define!Q:Q,MATCH(C395,Define!P:P))</f>
        <v>Param1のステータスをParam3アップ</v>
      </c>
      <c r="E395">
        <v>12</v>
      </c>
      <c r="F395">
        <v>0</v>
      </c>
      <c r="G395">
        <v>5</v>
      </c>
      <c r="H395">
        <v>100</v>
      </c>
    </row>
    <row r="396" spans="1:8">
      <c r="A396">
        <v>502020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502030</v>
      </c>
      <c r="B397" t="str">
        <f>INDEX(TextData!B:B,MATCH(A397,TextData!A:A))</f>
        <v>SPD+1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1</v>
      </c>
      <c r="H397">
        <v>100</v>
      </c>
    </row>
    <row r="398" spans="1:8">
      <c r="A398">
        <v>502040</v>
      </c>
      <c r="B398" t="str">
        <f>INDEX(TextData!B:B,MATCH(A398,TextData!A:A))</f>
        <v>SPD+2</v>
      </c>
      <c r="C398">
        <v>14010</v>
      </c>
      <c r="D398" t="str">
        <f>INDEX(Define!Q:Q,MATCH(C398,Define!P:P))</f>
        <v>Param1のステータスをParam3アップ</v>
      </c>
      <c r="E398">
        <v>4</v>
      </c>
      <c r="F398">
        <v>0</v>
      </c>
      <c r="G398">
        <v>2</v>
      </c>
      <c r="H398">
        <v>100</v>
      </c>
    </row>
    <row r="399" spans="1:8">
      <c r="A399">
        <v>502041</v>
      </c>
      <c r="B399" t="str">
        <f>INDEX(TextData!B:B,MATCH(A399,TextData!A:A))</f>
        <v>回避率+15%</v>
      </c>
      <c r="C399">
        <v>14010</v>
      </c>
      <c r="D399" t="str">
        <f>INDEX(Define!Q:Q,MATCH(C399,Define!P:P))</f>
        <v>Param1のステータスをParam3アップ</v>
      </c>
      <c r="E399">
        <v>12</v>
      </c>
      <c r="F399">
        <v>0</v>
      </c>
      <c r="G399">
        <v>15</v>
      </c>
      <c r="H399">
        <v>100</v>
      </c>
    </row>
    <row r="400" spans="1:8">
      <c r="A400">
        <v>503010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503020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503030</v>
      </c>
      <c r="B402" t="str">
        <f>INDEX(TextData!B:B,MATCH(A402,TextData!A:A))</f>
        <v>DEF+2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2</v>
      </c>
      <c r="H402">
        <v>100</v>
      </c>
    </row>
    <row r="403" spans="1:8">
      <c r="A403">
        <v>503040</v>
      </c>
      <c r="B403" t="str">
        <f>INDEX(TextData!B:B,MATCH(A403,TextData!A:A))</f>
        <v>DEF+4</v>
      </c>
      <c r="C403">
        <v>14010</v>
      </c>
      <c r="D403" t="str">
        <f>INDEX(Define!Q:Q,MATCH(C403,Define!P:P))</f>
        <v>Param1のステータスをParam3アップ</v>
      </c>
      <c r="E403">
        <v>3</v>
      </c>
      <c r="F403">
        <v>0</v>
      </c>
      <c r="G403">
        <v>4</v>
      </c>
      <c r="H403">
        <v>100</v>
      </c>
    </row>
    <row r="404" spans="1:8">
      <c r="A404">
        <v>503041</v>
      </c>
      <c r="B404" t="str">
        <f>INDEX(TextData!B:B,MATCH(A404,TextData!A:A))</f>
        <v>HP回復効果+20%</v>
      </c>
      <c r="C404">
        <v>3010</v>
      </c>
      <c r="D404" t="str">
        <f>INDEX(Define!Q:Q,MATCH(C404,Define!P:P))</f>
        <v>ステート付与</v>
      </c>
      <c r="E404">
        <v>2460</v>
      </c>
      <c r="F404">
        <v>999</v>
      </c>
      <c r="G404">
        <v>20</v>
      </c>
      <c r="H404">
        <v>100</v>
      </c>
    </row>
    <row r="405" spans="1:8">
      <c r="A405">
        <v>504010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504020</v>
      </c>
      <c r="B406" t="str">
        <f>INDEX(TextData!B:B,MATCH(A406,TextData!A:A))</f>
        <v>最大HP+4</v>
      </c>
      <c r="C406">
        <v>14010</v>
      </c>
      <c r="D406" t="str">
        <f>INDEX(Define!Q:Q,MATCH(C406,Define!P:P))</f>
        <v>Param1のステータスをParam3アップ</v>
      </c>
      <c r="E406">
        <v>0</v>
      </c>
      <c r="F406">
        <v>0</v>
      </c>
      <c r="G406">
        <v>4</v>
      </c>
      <c r="H406">
        <v>100</v>
      </c>
    </row>
    <row r="407" spans="1:8">
      <c r="A407">
        <v>504030</v>
      </c>
      <c r="B407" t="str">
        <f>INDEX(TextData!B:B,MATCH(A407,TextData!A:A))</f>
        <v>命中率+5%</v>
      </c>
      <c r="C407">
        <v>14010</v>
      </c>
      <c r="D407" t="str">
        <f>INDEX(Define!Q:Q,MATCH(C407,Define!P:P))</f>
        <v>Param1のステータスをParam3アップ</v>
      </c>
      <c r="E407">
        <v>11</v>
      </c>
      <c r="F407">
        <v>0</v>
      </c>
      <c r="G407">
        <v>5</v>
      </c>
      <c r="H407">
        <v>100</v>
      </c>
    </row>
    <row r="408" spans="1:8">
      <c r="A408">
        <v>504040</v>
      </c>
      <c r="B408" t="str">
        <f>INDEX(TextData!B:B,MATCH(A408,TextData!A:A))</f>
        <v>最大HP+10</v>
      </c>
      <c r="C408">
        <v>14010</v>
      </c>
      <c r="D408" t="str">
        <f>INDEX(Define!Q:Q,MATCH(C408,Define!P:P))</f>
        <v>Param1のステータスをParam3アップ</v>
      </c>
      <c r="E408">
        <v>0</v>
      </c>
      <c r="F408">
        <v>0</v>
      </c>
      <c r="G408">
        <v>10</v>
      </c>
      <c r="H408">
        <v>100</v>
      </c>
    </row>
    <row r="409" spans="1:8">
      <c r="A409">
        <v>505010</v>
      </c>
      <c r="B409" t="str">
        <f>INDEX(TextData!B:B,MATCH(A409,TextData!A:A))</f>
        <v>会心率+5%</v>
      </c>
      <c r="C409">
        <v>14010</v>
      </c>
      <c r="D409" t="str">
        <f>INDEX(Define!Q:Q,MATCH(C409,Define!P:P))</f>
        <v>Param1のステータスをParam3アップ</v>
      </c>
      <c r="E409">
        <v>13</v>
      </c>
      <c r="F409">
        <v>0</v>
      </c>
      <c r="G409">
        <v>5</v>
      </c>
      <c r="H409">
        <v>100</v>
      </c>
    </row>
    <row r="410" spans="1:8">
      <c r="A410">
        <v>505020</v>
      </c>
      <c r="B410" t="str">
        <f>INDEX(TextData!B:B,MATCH(A410,TextData!A:A))</f>
        <v>SPD+1</v>
      </c>
      <c r="C410">
        <v>14010</v>
      </c>
      <c r="D410" t="str">
        <f>INDEX(Define!Q:Q,MATCH(C410,Define!P:P))</f>
        <v>Param1のステータスをParam3アップ</v>
      </c>
      <c r="E410">
        <v>4</v>
      </c>
      <c r="F410">
        <v>0</v>
      </c>
      <c r="G410">
        <v>1</v>
      </c>
      <c r="H410">
        <v>100</v>
      </c>
    </row>
    <row r="411" spans="1:8">
      <c r="A411">
        <v>505030</v>
      </c>
      <c r="B411" t="str">
        <f>INDEX(TextData!B:B,MATCH(A411,TextData!A:A))</f>
        <v>回避率+5%</v>
      </c>
      <c r="C411">
        <v>14010</v>
      </c>
      <c r="D411" t="str">
        <f>INDEX(Define!Q:Q,MATCH(C411,Define!P:P))</f>
        <v>Param1のステータスをParam3アップ</v>
      </c>
      <c r="E411">
        <v>12</v>
      </c>
      <c r="F411">
        <v>0</v>
      </c>
      <c r="G411">
        <v>5</v>
      </c>
      <c r="H411">
        <v>100</v>
      </c>
    </row>
    <row r="412" spans="1:8">
      <c r="A412">
        <v>505040</v>
      </c>
      <c r="B412" t="str">
        <f>INDEX(TextData!B:B,MATCH(A412,TextData!A:A))</f>
        <v>暗闇無効</v>
      </c>
      <c r="C412">
        <v>3010</v>
      </c>
      <c r="D412" t="str">
        <f>INDEX(Define!Q:Q,MATCH(C412,Define!P:P))</f>
        <v>ステート付与</v>
      </c>
      <c r="E412">
        <v>2480</v>
      </c>
      <c r="F412">
        <v>999</v>
      </c>
      <c r="G412">
        <v>2020</v>
      </c>
      <c r="H412">
        <v>100</v>
      </c>
    </row>
    <row r="413" spans="1:8">
      <c r="A413">
        <v>506010</v>
      </c>
      <c r="B413" t="str">
        <f>INDEX(TextData!B:B,MATCH(A413,TextData!A:A))</f>
        <v>最大HP+3</v>
      </c>
      <c r="C413">
        <v>14010</v>
      </c>
      <c r="D413" t="str">
        <f>INDEX(Define!Q:Q,MATCH(C413,Define!P:P))</f>
        <v>Param1のステータスをParam3アップ</v>
      </c>
      <c r="E413">
        <v>0</v>
      </c>
      <c r="F413">
        <v>0</v>
      </c>
      <c r="G413">
        <v>3</v>
      </c>
      <c r="H413">
        <v>100</v>
      </c>
    </row>
    <row r="414" spans="1:8">
      <c r="A414">
        <v>506011</v>
      </c>
      <c r="B414" t="str">
        <f>INDEX(TextData!B:B,MATCH(A414,TextData!A:A))</f>
        <v>ATK+1</v>
      </c>
      <c r="C414">
        <v>14010</v>
      </c>
      <c r="D414" t="str">
        <f>INDEX(Define!Q:Q,MATCH(C414,Define!P:P))</f>
        <v>Param1のステータスをParam3アップ</v>
      </c>
      <c r="E414">
        <v>2</v>
      </c>
      <c r="F414">
        <v>0</v>
      </c>
      <c r="G414">
        <v>1</v>
      </c>
      <c r="H414">
        <v>100</v>
      </c>
    </row>
    <row r="415" spans="1:8">
      <c r="A415">
        <v>506012</v>
      </c>
      <c r="B415" t="str">
        <f>INDEX(TextData!B:B,MATCH(A415,TextData!A:A))</f>
        <v>DEF+1</v>
      </c>
      <c r="C415">
        <v>14010</v>
      </c>
      <c r="D415" t="str">
        <f>INDEX(Define!Q:Q,MATCH(C415,Define!P:P))</f>
        <v>Param1のステータスをParam3アップ</v>
      </c>
      <c r="E415">
        <v>3</v>
      </c>
      <c r="F415">
        <v>0</v>
      </c>
      <c r="G415">
        <v>1</v>
      </c>
      <c r="H415">
        <v>100</v>
      </c>
    </row>
    <row r="416" spans="1:8">
      <c r="A416">
        <v>506013</v>
      </c>
      <c r="B416" t="str">
        <f>INDEX(TextData!B:B,MATCH(A416,TextData!A:A))</f>
        <v>SPD+1</v>
      </c>
      <c r="C416">
        <v>14010</v>
      </c>
      <c r="D416" t="str">
        <f>INDEX(Define!Q:Q,MATCH(C416,Define!P:P))</f>
        <v>Param1のステータスをParam3アップ</v>
      </c>
      <c r="E416">
        <v>4</v>
      </c>
      <c r="F416">
        <v>0</v>
      </c>
      <c r="G416">
        <v>1</v>
      </c>
      <c r="H416">
        <v>100</v>
      </c>
    </row>
    <row r="417" spans="1:8">
      <c r="A417">
        <v>507010</v>
      </c>
      <c r="B417" t="str">
        <f>INDEX(TextData!B:B,MATCH(A417,TextData!A:A))</f>
        <v>獲得Exp+30%</v>
      </c>
      <c r="C417">
        <v>40020</v>
      </c>
      <c r="D417" t="str">
        <f>INDEX(Define!Q:Q,MATCH(C417,Define!P:P))</f>
        <v>獲得Eｘｐ％アップ</v>
      </c>
      <c r="E417">
        <v>30</v>
      </c>
      <c r="F417">
        <v>0</v>
      </c>
      <c r="G417">
        <v>0</v>
      </c>
      <c r="H417">
        <v>100</v>
      </c>
    </row>
    <row r="418" spans="1:8">
      <c r="A418">
        <v>507020</v>
      </c>
      <c r="B418" t="str">
        <f>INDEX(TextData!B:B,MATCH(A418,TextData!A:A))</f>
        <v>ATK⇔DEF交換</v>
      </c>
      <c r="C418">
        <v>14080</v>
      </c>
      <c r="D418" t="str">
        <f>INDEX(Define!Q:Q,MATCH(C418,Define!P:P))</f>
        <v>Param1とParam2のステータス値を交換する</v>
      </c>
      <c r="E418">
        <v>2</v>
      </c>
      <c r="F418">
        <v>3</v>
      </c>
      <c r="G418">
        <v>0</v>
      </c>
      <c r="H418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54" workbookViewId="0">
      <selection activeCell="F66" sqref="F6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4"/>
  <sheetViews>
    <sheetView zoomScale="110" zoomScaleNormal="110" topLeftCell="A82" workbookViewId="0">
      <selection activeCell="B92" sqref="B9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customFormat="1" spans="1:3">
      <c r="A62">
        <v>10210</v>
      </c>
      <c r="B62" t="s">
        <v>179</v>
      </c>
      <c r="C62" s="3" t="s">
        <v>180</v>
      </c>
    </row>
    <row r="63" ht="26" spans="1:3">
      <c r="A63">
        <v>11010</v>
      </c>
      <c r="B63" t="s">
        <v>181</v>
      </c>
      <c r="C63" s="4" t="s">
        <v>182</v>
      </c>
    </row>
    <row r="64" ht="39" spans="1:3">
      <c r="A64">
        <v>11020</v>
      </c>
      <c r="B64" t="s">
        <v>183</v>
      </c>
      <c r="C64" s="4" t="s">
        <v>184</v>
      </c>
    </row>
    <row r="65" ht="26" spans="1:3">
      <c r="A65">
        <v>11030</v>
      </c>
      <c r="B65" t="s">
        <v>185</v>
      </c>
      <c r="C65" s="4" t="s">
        <v>186</v>
      </c>
    </row>
    <row r="66" ht="26" spans="1:4">
      <c r="A66">
        <v>11040</v>
      </c>
      <c r="B66" t="s">
        <v>187</v>
      </c>
      <c r="C66" s="3" t="s">
        <v>188</v>
      </c>
      <c r="D66" t="s">
        <v>187</v>
      </c>
    </row>
    <row r="67" ht="39" spans="1:3">
      <c r="A67">
        <v>11050</v>
      </c>
      <c r="B67" t="s">
        <v>189</v>
      </c>
      <c r="C67" s="3" t="s">
        <v>190</v>
      </c>
    </row>
    <row r="68" ht="26" spans="1:3">
      <c r="A68">
        <v>11060</v>
      </c>
      <c r="B68" t="s">
        <v>191</v>
      </c>
      <c r="C68" s="3" t="s">
        <v>192</v>
      </c>
    </row>
    <row r="69" ht="39" spans="1:3">
      <c r="A69">
        <v>11070</v>
      </c>
      <c r="B69" t="s">
        <v>193</v>
      </c>
      <c r="C69" s="3" t="s">
        <v>194</v>
      </c>
    </row>
    <row r="70" ht="26" spans="1:3">
      <c r="A70">
        <v>11080</v>
      </c>
      <c r="B70" t="s">
        <v>195</v>
      </c>
      <c r="C70" s="3" t="s">
        <v>196</v>
      </c>
    </row>
    <row r="71" ht="39" spans="1:3">
      <c r="A71">
        <v>11090</v>
      </c>
      <c r="B71" t="s">
        <v>197</v>
      </c>
      <c r="C71" s="3" t="s">
        <v>198</v>
      </c>
    </row>
    <row r="72" customFormat="1" ht="26" spans="1:3">
      <c r="A72">
        <v>11100</v>
      </c>
      <c r="B72" t="s">
        <v>199</v>
      </c>
      <c r="C72" s="3" t="s">
        <v>200</v>
      </c>
    </row>
    <row r="73" customFormat="1" ht="52" spans="1:3">
      <c r="A73">
        <v>11110</v>
      </c>
      <c r="B73" t="s">
        <v>201</v>
      </c>
      <c r="C73" s="3" t="s">
        <v>202</v>
      </c>
    </row>
    <row r="74" spans="1:3">
      <c r="A74">
        <v>12010</v>
      </c>
      <c r="B74" t="s">
        <v>104</v>
      </c>
      <c r="C74" s="3" t="s">
        <v>203</v>
      </c>
    </row>
    <row r="75" spans="1:3">
      <c r="A75">
        <v>12020</v>
      </c>
      <c r="B75" t="s">
        <v>204</v>
      </c>
      <c r="C75" s="3" t="s">
        <v>205</v>
      </c>
    </row>
    <row r="76" ht="26" spans="1:3">
      <c r="A76">
        <v>12030</v>
      </c>
      <c r="B76" t="s">
        <v>206</v>
      </c>
      <c r="C76" s="3" t="s">
        <v>207</v>
      </c>
    </row>
    <row r="77" ht="39" spans="1:3">
      <c r="A77">
        <v>12040</v>
      </c>
      <c r="B77" t="s">
        <v>208</v>
      </c>
      <c r="C77" s="3" t="s">
        <v>209</v>
      </c>
    </row>
    <row r="78" ht="26" spans="1:3">
      <c r="A78">
        <v>12050</v>
      </c>
      <c r="B78" t="s">
        <v>210</v>
      </c>
      <c r="C78" s="3" t="s">
        <v>211</v>
      </c>
    </row>
    <row r="79" ht="26" spans="1:3">
      <c r="A79">
        <v>12060</v>
      </c>
      <c r="B79" t="s">
        <v>212</v>
      </c>
      <c r="C79" s="3" t="s">
        <v>213</v>
      </c>
    </row>
    <row r="80" ht="39" spans="1:3">
      <c r="A80">
        <v>12070</v>
      </c>
      <c r="B80" t="s">
        <v>214</v>
      </c>
      <c r="C80" s="3" t="s">
        <v>215</v>
      </c>
    </row>
    <row r="81" ht="26" spans="1:3">
      <c r="A81">
        <v>12080</v>
      </c>
      <c r="B81" t="s">
        <v>216</v>
      </c>
      <c r="C81" s="3" t="s">
        <v>217</v>
      </c>
    </row>
    <row r="82" ht="26" spans="1:3">
      <c r="A82">
        <v>12090</v>
      </c>
      <c r="B82" t="s">
        <v>218</v>
      </c>
      <c r="C82" s="3" t="s">
        <v>219</v>
      </c>
    </row>
    <row r="83" customFormat="1" ht="39" spans="1:3">
      <c r="A83">
        <v>12100</v>
      </c>
      <c r="B83" t="s">
        <v>220</v>
      </c>
      <c r="C83" s="3" t="s">
        <v>221</v>
      </c>
    </row>
    <row r="84" customFormat="1" ht="39" spans="1:3">
      <c r="A84">
        <v>12110</v>
      </c>
      <c r="B84" t="s">
        <v>222</v>
      </c>
      <c r="C84" s="3" t="s">
        <v>223</v>
      </c>
    </row>
    <row r="85" ht="26" spans="1:3">
      <c r="A85">
        <v>13010</v>
      </c>
      <c r="B85" t="s">
        <v>224</v>
      </c>
      <c r="C85" s="3" t="s">
        <v>225</v>
      </c>
    </row>
    <row r="86" ht="26" spans="1:3">
      <c r="A86">
        <v>13020</v>
      </c>
      <c r="B86" t="s">
        <v>226</v>
      </c>
      <c r="C86" s="3" t="s">
        <v>227</v>
      </c>
    </row>
    <row r="87" ht="26" spans="1:3">
      <c r="A87">
        <v>13030</v>
      </c>
      <c r="B87" t="s">
        <v>228</v>
      </c>
      <c r="C87" s="3" t="s">
        <v>229</v>
      </c>
    </row>
    <row r="88" ht="26" spans="1:3">
      <c r="A88">
        <v>13040</v>
      </c>
      <c r="B88" t="s">
        <v>230</v>
      </c>
      <c r="C88" s="3" t="s">
        <v>231</v>
      </c>
    </row>
    <row r="89" ht="39" spans="1:3">
      <c r="A89">
        <v>13050</v>
      </c>
      <c r="B89" t="s">
        <v>232</v>
      </c>
      <c r="C89" s="3" t="s">
        <v>233</v>
      </c>
    </row>
    <row r="90" ht="26" spans="1:3">
      <c r="A90">
        <v>13060</v>
      </c>
      <c r="B90" t="s">
        <v>234</v>
      </c>
      <c r="C90" s="3" t="s">
        <v>235</v>
      </c>
    </row>
    <row r="91" ht="39" spans="1:3">
      <c r="A91">
        <v>13070</v>
      </c>
      <c r="B91" t="s">
        <v>236</v>
      </c>
      <c r="C91" s="3" t="s">
        <v>237</v>
      </c>
    </row>
    <row r="92" ht="26" spans="1:3">
      <c r="A92">
        <v>13080</v>
      </c>
      <c r="B92" t="s">
        <v>238</v>
      </c>
      <c r="C92" s="3" t="s">
        <v>239</v>
      </c>
    </row>
    <row r="93" ht="39" spans="1:3">
      <c r="A93">
        <v>13090</v>
      </c>
      <c r="B93" t="s">
        <v>240</v>
      </c>
      <c r="C93" s="3" t="s">
        <v>241</v>
      </c>
    </row>
    <row r="94" customFormat="1" ht="39" spans="1:3">
      <c r="A94">
        <v>13100</v>
      </c>
      <c r="B94" t="s">
        <v>242</v>
      </c>
      <c r="C94" s="3" t="s">
        <v>243</v>
      </c>
    </row>
    <row r="95" customFormat="1" ht="52" spans="1:3">
      <c r="A95">
        <v>13110</v>
      </c>
      <c r="B95" t="s">
        <v>244</v>
      </c>
      <c r="C95" s="3" t="s">
        <v>245</v>
      </c>
    </row>
    <row r="96" customFormat="1" ht="52" spans="1:3">
      <c r="A96">
        <v>13111</v>
      </c>
      <c r="B96" t="s">
        <v>244</v>
      </c>
      <c r="C96" s="3" t="s">
        <v>245</v>
      </c>
    </row>
    <row r="97" customFormat="1" ht="39" spans="1:3">
      <c r="A97">
        <v>13120</v>
      </c>
      <c r="B97" t="s">
        <v>246</v>
      </c>
      <c r="C97" s="3" t="s">
        <v>247</v>
      </c>
    </row>
    <row r="98" customFormat="1" ht="39" spans="1:3">
      <c r="A98">
        <v>13130</v>
      </c>
      <c r="B98" t="s">
        <v>248</v>
      </c>
      <c r="C98" s="3" t="s">
        <v>249</v>
      </c>
    </row>
    <row r="99" ht="39" spans="1:3">
      <c r="A99">
        <v>14010</v>
      </c>
      <c r="B99" t="s">
        <v>250</v>
      </c>
      <c r="C99" s="3" t="s">
        <v>251</v>
      </c>
    </row>
    <row r="100" ht="39" spans="1:3">
      <c r="A100">
        <v>14020</v>
      </c>
      <c r="B100" t="s">
        <v>252</v>
      </c>
      <c r="C100" s="3" t="s">
        <v>253</v>
      </c>
    </row>
    <row r="101" ht="26" spans="1:3">
      <c r="A101">
        <v>14030</v>
      </c>
      <c r="B101" t="s">
        <v>254</v>
      </c>
      <c r="C101" s="3" t="s">
        <v>255</v>
      </c>
    </row>
    <row r="102" spans="1:3">
      <c r="A102">
        <v>14040</v>
      </c>
      <c r="B102" t="s">
        <v>256</v>
      </c>
      <c r="C102" t="s">
        <v>257</v>
      </c>
    </row>
    <row r="103" ht="26" spans="1:3">
      <c r="A103">
        <v>14050</v>
      </c>
      <c r="B103" t="s">
        <v>258</v>
      </c>
      <c r="C103" s="3" t="s">
        <v>259</v>
      </c>
    </row>
    <row r="104" ht="39" spans="1:3">
      <c r="A104">
        <v>14060</v>
      </c>
      <c r="B104" t="s">
        <v>260</v>
      </c>
      <c r="C104" s="3" t="s">
        <v>261</v>
      </c>
    </row>
    <row r="105" ht="39" spans="1:3">
      <c r="A105">
        <v>14070</v>
      </c>
      <c r="B105" t="s">
        <v>262</v>
      </c>
      <c r="C105" s="3" t="s">
        <v>263</v>
      </c>
    </row>
    <row r="106" ht="26" spans="1:3">
      <c r="A106">
        <v>14080</v>
      </c>
      <c r="B106" t="s">
        <v>264</v>
      </c>
      <c r="C106" s="3" t="s">
        <v>265</v>
      </c>
    </row>
    <row r="107" ht="52" spans="1:4">
      <c r="A107">
        <v>14090</v>
      </c>
      <c r="B107" t="s">
        <v>266</v>
      </c>
      <c r="C107" s="3" t="s">
        <v>267</v>
      </c>
      <c r="D107" t="s">
        <v>268</v>
      </c>
    </row>
    <row r="108" customFormat="1" ht="26" spans="1:3">
      <c r="A108">
        <v>14100</v>
      </c>
      <c r="B108" t="s">
        <v>269</v>
      </c>
      <c r="C108" s="3" t="s">
        <v>270</v>
      </c>
    </row>
    <row r="109" customFormat="1" ht="39" spans="1:3">
      <c r="A109">
        <v>14110</v>
      </c>
      <c r="B109" t="s">
        <v>271</v>
      </c>
      <c r="C109" s="3" t="s">
        <v>272</v>
      </c>
    </row>
    <row r="110" customFormat="1" ht="26" spans="1:3">
      <c r="A110">
        <v>14120</v>
      </c>
      <c r="B110" t="s">
        <v>273</v>
      </c>
      <c r="C110" s="3" t="s">
        <v>274</v>
      </c>
    </row>
    <row r="111" ht="26" spans="1:3">
      <c r="A111">
        <v>15010</v>
      </c>
      <c r="B111" t="s">
        <v>275</v>
      </c>
      <c r="C111" s="3" t="s">
        <v>276</v>
      </c>
    </row>
    <row r="112" ht="39" spans="1:3">
      <c r="A112">
        <v>15020</v>
      </c>
      <c r="B112" t="s">
        <v>277</v>
      </c>
      <c r="C112" s="3" t="s">
        <v>278</v>
      </c>
    </row>
    <row r="113" ht="26" spans="1:3">
      <c r="A113">
        <v>15030</v>
      </c>
      <c r="B113" t="s">
        <v>279</v>
      </c>
      <c r="C113" s="3" t="s">
        <v>280</v>
      </c>
    </row>
    <row r="114" ht="39" spans="1:3">
      <c r="A114">
        <v>15040</v>
      </c>
      <c r="B114" t="s">
        <v>281</v>
      </c>
      <c r="C114" s="3" t="s">
        <v>282</v>
      </c>
    </row>
    <row r="115" ht="39" spans="1:3">
      <c r="A115">
        <v>15050</v>
      </c>
      <c r="B115" t="s">
        <v>283</v>
      </c>
      <c r="C115" s="3" t="s">
        <v>284</v>
      </c>
    </row>
    <row r="116" ht="26" spans="1:3">
      <c r="A116">
        <v>15060</v>
      </c>
      <c r="B116" t="s">
        <v>285</v>
      </c>
      <c r="C116" s="3" t="s">
        <v>286</v>
      </c>
    </row>
    <row r="117" ht="26" spans="1:4">
      <c r="A117">
        <v>15070</v>
      </c>
      <c r="B117" t="s">
        <v>287</v>
      </c>
      <c r="C117" s="3" t="s">
        <v>288</v>
      </c>
      <c r="D117" t="s">
        <v>289</v>
      </c>
    </row>
    <row r="118" ht="26" spans="1:3">
      <c r="A118">
        <v>15080</v>
      </c>
      <c r="B118" t="s">
        <v>290</v>
      </c>
      <c r="C118" s="3" t="s">
        <v>291</v>
      </c>
    </row>
    <row r="119" ht="26" spans="1:3">
      <c r="A119">
        <v>15090</v>
      </c>
      <c r="B119" t="s">
        <v>292</v>
      </c>
      <c r="C119" s="3" t="s">
        <v>293</v>
      </c>
    </row>
    <row r="120" customFormat="1" ht="39" spans="1:3">
      <c r="A120">
        <v>15100</v>
      </c>
      <c r="B120" t="s">
        <v>294</v>
      </c>
      <c r="C120" s="3" t="s">
        <v>295</v>
      </c>
    </row>
    <row r="121" customFormat="1" ht="52" spans="1:3">
      <c r="A121">
        <v>15110</v>
      </c>
      <c r="B121" t="s">
        <v>296</v>
      </c>
      <c r="C121" s="3" t="s">
        <v>297</v>
      </c>
    </row>
    <row r="122" customFormat="1" ht="52" spans="1:3">
      <c r="A122">
        <v>15112</v>
      </c>
      <c r="B122" t="s">
        <v>296</v>
      </c>
      <c r="C122" s="3" t="s">
        <v>297</v>
      </c>
    </row>
    <row r="123" customFormat="1" ht="26" spans="1:3">
      <c r="A123">
        <v>15120</v>
      </c>
      <c r="B123" t="s">
        <v>298</v>
      </c>
      <c r="C123" s="3" t="s">
        <v>299</v>
      </c>
    </row>
    <row r="124" customFormat="1" ht="39" spans="1:3">
      <c r="A124">
        <v>15130</v>
      </c>
      <c r="B124" t="s">
        <v>300</v>
      </c>
      <c r="C124" s="3" t="s">
        <v>301</v>
      </c>
    </row>
    <row r="125" spans="1:3">
      <c r="A125">
        <v>20010</v>
      </c>
      <c r="B125" t="s">
        <v>302</v>
      </c>
      <c r="C125" s="4" t="s">
        <v>303</v>
      </c>
    </row>
    <row r="126" customFormat="1" ht="26" spans="1:3">
      <c r="A126">
        <v>30010</v>
      </c>
      <c r="B126" t="s">
        <v>304</v>
      </c>
      <c r="C126" s="4" t="s">
        <v>305</v>
      </c>
    </row>
    <row r="127" customFormat="1" ht="26" spans="1:3">
      <c r="A127">
        <v>30020</v>
      </c>
      <c r="B127" t="s">
        <v>306</v>
      </c>
      <c r="C127" s="4" t="s">
        <v>307</v>
      </c>
    </row>
    <row r="128" customFormat="1" ht="26" spans="1:3">
      <c r="A128">
        <v>30030</v>
      </c>
      <c r="B128" t="s">
        <v>308</v>
      </c>
      <c r="C128" s="4" t="s">
        <v>309</v>
      </c>
    </row>
    <row r="129" ht="52" spans="1:3">
      <c r="A129">
        <v>100110</v>
      </c>
      <c r="B129" t="s">
        <v>310</v>
      </c>
      <c r="C129" s="3" t="s">
        <v>311</v>
      </c>
    </row>
    <row r="130" ht="26" spans="1:3">
      <c r="A130">
        <v>100120</v>
      </c>
      <c r="B130" t="s">
        <v>312</v>
      </c>
      <c r="C130" s="3" t="s">
        <v>313</v>
      </c>
    </row>
    <row r="131" ht="39" spans="1:3">
      <c r="A131">
        <v>100210</v>
      </c>
      <c r="B131" t="s">
        <v>314</v>
      </c>
      <c r="C131" s="3" t="s">
        <v>315</v>
      </c>
    </row>
    <row r="132" ht="28" customHeight="1" spans="1:3">
      <c r="A132">
        <v>100220</v>
      </c>
      <c r="B132" t="s">
        <v>316</v>
      </c>
      <c r="C132" s="3" t="s">
        <v>317</v>
      </c>
    </row>
    <row r="133" ht="52" spans="1:3">
      <c r="A133">
        <v>100310</v>
      </c>
      <c r="B133" t="s">
        <v>318</v>
      </c>
      <c r="C133" s="3" t="s">
        <v>319</v>
      </c>
    </row>
    <row r="134" ht="26" spans="1:3">
      <c r="A134">
        <v>100320</v>
      </c>
      <c r="B134" t="s">
        <v>320</v>
      </c>
      <c r="C134" s="3" t="s">
        <v>321</v>
      </c>
    </row>
    <row r="135" ht="39" spans="1:3">
      <c r="A135">
        <v>100410</v>
      </c>
      <c r="B135" t="s">
        <v>322</v>
      </c>
      <c r="C135" s="3" t="s">
        <v>323</v>
      </c>
    </row>
    <row r="136" ht="52" spans="1:3">
      <c r="A136">
        <v>100420</v>
      </c>
      <c r="B136" t="s">
        <v>324</v>
      </c>
      <c r="C136" s="3" t="s">
        <v>325</v>
      </c>
    </row>
    <row r="137" ht="52" spans="1:3">
      <c r="A137">
        <v>100510</v>
      </c>
      <c r="B137" t="s">
        <v>326</v>
      </c>
      <c r="C137" s="3" t="s">
        <v>327</v>
      </c>
    </row>
    <row r="138" ht="52" spans="1:3">
      <c r="A138">
        <v>100520</v>
      </c>
      <c r="B138" t="s">
        <v>328</v>
      </c>
      <c r="C138" s="3" t="s">
        <v>329</v>
      </c>
    </row>
    <row r="139" ht="39" spans="1:3">
      <c r="A139">
        <v>100610</v>
      </c>
      <c r="B139" t="s">
        <v>330</v>
      </c>
      <c r="C139" s="3" t="s">
        <v>331</v>
      </c>
    </row>
    <row r="140" ht="39" spans="1:3">
      <c r="A140">
        <v>100620</v>
      </c>
      <c r="B140" t="s">
        <v>332</v>
      </c>
      <c r="C140" s="3" t="s">
        <v>333</v>
      </c>
    </row>
    <row r="141" ht="52" spans="1:3">
      <c r="A141">
        <v>100710</v>
      </c>
      <c r="B141" t="s">
        <v>334</v>
      </c>
      <c r="C141" s="3" t="s">
        <v>335</v>
      </c>
    </row>
    <row r="142" ht="26" spans="1:3">
      <c r="A142">
        <v>100720</v>
      </c>
      <c r="B142" t="s">
        <v>336</v>
      </c>
      <c r="C142" s="3" t="s">
        <v>337</v>
      </c>
    </row>
    <row r="143" ht="39" spans="1:3">
      <c r="A143">
        <v>100810</v>
      </c>
      <c r="B143" t="s">
        <v>338</v>
      </c>
      <c r="C143" s="3" t="s">
        <v>339</v>
      </c>
    </row>
    <row r="144" ht="26" spans="1:3">
      <c r="A144">
        <v>100820</v>
      </c>
      <c r="B144" t="s">
        <v>340</v>
      </c>
      <c r="C144" s="3" t="s">
        <v>313</v>
      </c>
    </row>
    <row r="145" ht="39" spans="1:3">
      <c r="A145">
        <v>100910</v>
      </c>
      <c r="B145" t="s">
        <v>341</v>
      </c>
      <c r="C145" s="3" t="s">
        <v>342</v>
      </c>
    </row>
    <row r="146" ht="39" spans="1:3">
      <c r="A146">
        <v>100911</v>
      </c>
      <c r="B146" t="s">
        <v>341</v>
      </c>
      <c r="C146" s="3" t="s">
        <v>342</v>
      </c>
    </row>
    <row r="147" ht="39" spans="1:3">
      <c r="A147">
        <v>100920</v>
      </c>
      <c r="B147" t="s">
        <v>343</v>
      </c>
      <c r="C147" s="3" t="s">
        <v>344</v>
      </c>
    </row>
    <row r="148" ht="39" spans="1:3">
      <c r="A148">
        <v>100921</v>
      </c>
      <c r="B148" t="s">
        <v>343</v>
      </c>
      <c r="C148" s="3" t="s">
        <v>344</v>
      </c>
    </row>
    <row r="149" ht="39" spans="1:4">
      <c r="A149">
        <v>101010</v>
      </c>
      <c r="B149" t="s">
        <v>345</v>
      </c>
      <c r="C149" s="3" t="s">
        <v>346</v>
      </c>
      <c r="D149" s="3"/>
    </row>
    <row r="150" ht="26" spans="1:3">
      <c r="A150">
        <v>101020</v>
      </c>
      <c r="B150" t="s">
        <v>347</v>
      </c>
      <c r="C150" s="3" t="s">
        <v>313</v>
      </c>
    </row>
    <row r="151" ht="39" spans="1:3">
      <c r="A151">
        <v>101110</v>
      </c>
      <c r="B151" t="s">
        <v>348</v>
      </c>
      <c r="C151" s="3" t="s">
        <v>349</v>
      </c>
    </row>
    <row r="152" ht="39" spans="1:3">
      <c r="A152">
        <v>101120</v>
      </c>
      <c r="B152" t="s">
        <v>350</v>
      </c>
      <c r="C152" s="3" t="s">
        <v>351</v>
      </c>
    </row>
    <row r="153" customFormat="1" ht="52" spans="1:3">
      <c r="A153">
        <v>110110</v>
      </c>
      <c r="B153" t="s">
        <v>352</v>
      </c>
      <c r="C153" s="3" t="s">
        <v>353</v>
      </c>
    </row>
    <row r="154" customFormat="1" ht="26" spans="1:3">
      <c r="A154">
        <v>110120</v>
      </c>
      <c r="B154" t="s">
        <v>354</v>
      </c>
      <c r="C154" s="3" t="s">
        <v>355</v>
      </c>
    </row>
    <row r="155" customFormat="1" ht="26" spans="1:3">
      <c r="A155">
        <v>200110</v>
      </c>
      <c r="B155" t="s">
        <v>356</v>
      </c>
      <c r="C155" s="3" t="s">
        <v>357</v>
      </c>
    </row>
    <row r="156" customFormat="1" ht="26" spans="1:3">
      <c r="A156">
        <v>200120</v>
      </c>
      <c r="B156" t="s">
        <v>358</v>
      </c>
      <c r="C156" s="3" t="s">
        <v>313</v>
      </c>
    </row>
    <row r="157" ht="26" spans="1:3">
      <c r="A157">
        <v>200210</v>
      </c>
      <c r="B157" t="s">
        <v>359</v>
      </c>
      <c r="C157" s="3" t="s">
        <v>360</v>
      </c>
    </row>
    <row r="158" ht="26" spans="1:3">
      <c r="A158">
        <v>200220</v>
      </c>
      <c r="B158" t="s">
        <v>361</v>
      </c>
      <c r="C158" s="3" t="s">
        <v>313</v>
      </c>
    </row>
    <row r="159" ht="26" spans="1:3">
      <c r="A159">
        <v>200230</v>
      </c>
      <c r="B159" t="s">
        <v>362</v>
      </c>
      <c r="C159" s="4" t="s">
        <v>363</v>
      </c>
    </row>
    <row r="160" ht="52" spans="1:3">
      <c r="A160">
        <v>200310</v>
      </c>
      <c r="B160" t="s">
        <v>364</v>
      </c>
      <c r="C160" s="3" t="s">
        <v>365</v>
      </c>
    </row>
    <row r="161" ht="52" spans="1:3">
      <c r="A161">
        <v>200320</v>
      </c>
      <c r="B161" t="s">
        <v>366</v>
      </c>
      <c r="C161" s="3" t="s">
        <v>367</v>
      </c>
    </row>
    <row r="162" ht="26" spans="1:3">
      <c r="A162">
        <v>200330</v>
      </c>
      <c r="B162" t="s">
        <v>368</v>
      </c>
      <c r="C162" s="4" t="s">
        <v>369</v>
      </c>
    </row>
    <row r="163" ht="52" spans="1:3">
      <c r="A163">
        <v>200410</v>
      </c>
      <c r="B163" t="s">
        <v>370</v>
      </c>
      <c r="C163" s="3" t="s">
        <v>371</v>
      </c>
    </row>
    <row r="164" ht="52" spans="1:3">
      <c r="A164">
        <v>200411</v>
      </c>
      <c r="B164" t="s">
        <v>370</v>
      </c>
      <c r="C164" s="3" t="s">
        <v>372</v>
      </c>
    </row>
    <row r="165" ht="39" spans="1:3">
      <c r="A165">
        <v>200420</v>
      </c>
      <c r="B165" t="s">
        <v>373</v>
      </c>
      <c r="C165" s="3" t="s">
        <v>374</v>
      </c>
    </row>
    <row r="166" spans="1:3">
      <c r="A166">
        <v>200430</v>
      </c>
      <c r="B166" t="s">
        <v>375</v>
      </c>
      <c r="C166" s="3" t="s">
        <v>376</v>
      </c>
    </row>
    <row r="167" ht="52" spans="1:3">
      <c r="A167">
        <v>200510</v>
      </c>
      <c r="B167" t="s">
        <v>377</v>
      </c>
      <c r="C167" s="3" t="s">
        <v>378</v>
      </c>
    </row>
    <row r="168" ht="39" spans="1:3">
      <c r="A168">
        <v>200520</v>
      </c>
      <c r="B168" t="s">
        <v>379</v>
      </c>
      <c r="C168" s="3" t="s">
        <v>380</v>
      </c>
    </row>
    <row r="169" ht="39" spans="1:3">
      <c r="A169">
        <v>200530</v>
      </c>
      <c r="B169" t="s">
        <v>381</v>
      </c>
      <c r="C169" s="4" t="s">
        <v>382</v>
      </c>
    </row>
    <row r="170" ht="52" spans="1:3">
      <c r="A170">
        <v>201010</v>
      </c>
      <c r="B170" t="s">
        <v>383</v>
      </c>
      <c r="C170" s="3" t="s">
        <v>384</v>
      </c>
    </row>
    <row r="171" ht="39" spans="1:3">
      <c r="A171">
        <v>201020</v>
      </c>
      <c r="B171" t="s">
        <v>385</v>
      </c>
      <c r="C171" s="3" t="s">
        <v>386</v>
      </c>
    </row>
    <row r="172" ht="39" spans="1:3">
      <c r="A172">
        <v>201030</v>
      </c>
      <c r="B172" t="s">
        <v>387</v>
      </c>
      <c r="C172" s="4" t="s">
        <v>301</v>
      </c>
    </row>
    <row r="173" ht="26" spans="1:3">
      <c r="A173">
        <v>300010</v>
      </c>
      <c r="B173" t="s">
        <v>388</v>
      </c>
      <c r="C173" s="3" t="s">
        <v>389</v>
      </c>
    </row>
    <row r="174" ht="26" spans="1:3">
      <c r="A174">
        <v>300020</v>
      </c>
      <c r="B174" t="s">
        <v>390</v>
      </c>
      <c r="C174" s="3" t="s">
        <v>391</v>
      </c>
    </row>
    <row r="175" ht="26" spans="1:3">
      <c r="A175">
        <v>300030</v>
      </c>
      <c r="B175" t="s">
        <v>392</v>
      </c>
      <c r="C175" s="3" t="s">
        <v>393</v>
      </c>
    </row>
    <row r="176" ht="26" spans="1:3">
      <c r="A176">
        <v>300040</v>
      </c>
      <c r="B176" t="s">
        <v>394</v>
      </c>
      <c r="C176" s="3" t="s">
        <v>395</v>
      </c>
    </row>
    <row r="177" ht="26" spans="1:3">
      <c r="A177">
        <v>300050</v>
      </c>
      <c r="B177" t="s">
        <v>396</v>
      </c>
      <c r="C177" s="3" t="s">
        <v>397</v>
      </c>
    </row>
    <row r="178" ht="26" spans="1:3">
      <c r="A178">
        <v>300130</v>
      </c>
      <c r="B178" t="s">
        <v>398</v>
      </c>
      <c r="C178" s="3" t="s">
        <v>399</v>
      </c>
    </row>
    <row r="179" ht="26" spans="1:3">
      <c r="A179">
        <v>300140</v>
      </c>
      <c r="B179" t="s">
        <v>400</v>
      </c>
      <c r="C179" s="3" t="s">
        <v>401</v>
      </c>
    </row>
    <row r="180" ht="26" spans="1:3">
      <c r="A180">
        <v>300210</v>
      </c>
      <c r="B180" t="s">
        <v>402</v>
      </c>
      <c r="C180" s="3" t="s">
        <v>403</v>
      </c>
    </row>
    <row r="181" ht="26" spans="1:3">
      <c r="A181">
        <v>300220</v>
      </c>
      <c r="B181" t="s">
        <v>404</v>
      </c>
      <c r="C181" s="3" t="s">
        <v>405</v>
      </c>
    </row>
    <row r="182" ht="39" spans="1:3">
      <c r="A182">
        <v>300230</v>
      </c>
      <c r="B182" t="s">
        <v>406</v>
      </c>
      <c r="C182" s="3" t="s">
        <v>407</v>
      </c>
    </row>
    <row r="183" ht="26" spans="1:3">
      <c r="A183">
        <v>301010</v>
      </c>
      <c r="B183" t="s">
        <v>408</v>
      </c>
      <c r="C183" s="3" t="s">
        <v>409</v>
      </c>
    </row>
    <row r="184" ht="26" spans="1:3">
      <c r="A184">
        <v>301020</v>
      </c>
      <c r="B184" t="s">
        <v>410</v>
      </c>
      <c r="C184" s="3" t="s">
        <v>411</v>
      </c>
    </row>
    <row r="185" ht="26" spans="1:3">
      <c r="A185">
        <v>301030</v>
      </c>
      <c r="B185" t="s">
        <v>412</v>
      </c>
      <c r="C185" s="3" t="s">
        <v>413</v>
      </c>
    </row>
    <row r="186" ht="52" spans="1:3">
      <c r="A186">
        <v>301040</v>
      </c>
      <c r="B186" t="s">
        <v>414</v>
      </c>
      <c r="C186" s="3" t="s">
        <v>415</v>
      </c>
    </row>
    <row r="187" ht="26" spans="1:3">
      <c r="A187">
        <v>301050</v>
      </c>
      <c r="B187" t="s">
        <v>416</v>
      </c>
      <c r="C187" s="3" t="s">
        <v>417</v>
      </c>
    </row>
    <row r="188" ht="39" spans="1:3">
      <c r="A188">
        <v>301060</v>
      </c>
      <c r="B188" t="s">
        <v>418</v>
      </c>
      <c r="C188" s="3" t="s">
        <v>419</v>
      </c>
    </row>
    <row r="189" ht="26" spans="1:3">
      <c r="A189">
        <v>301070</v>
      </c>
      <c r="B189" t="s">
        <v>420</v>
      </c>
      <c r="C189" s="3" t="s">
        <v>389</v>
      </c>
    </row>
    <row r="190" ht="39" spans="1:3">
      <c r="A190">
        <v>301080</v>
      </c>
      <c r="B190" t="s">
        <v>421</v>
      </c>
      <c r="C190" s="3" t="s">
        <v>422</v>
      </c>
    </row>
    <row r="191" ht="39" spans="1:3">
      <c r="A191">
        <v>301090</v>
      </c>
      <c r="B191" t="s">
        <v>423</v>
      </c>
      <c r="C191" s="3" t="s">
        <v>424</v>
      </c>
    </row>
    <row r="192" ht="26" spans="1:3">
      <c r="A192">
        <v>301100</v>
      </c>
      <c r="B192" t="s">
        <v>425</v>
      </c>
      <c r="C192" s="3" t="s">
        <v>426</v>
      </c>
    </row>
    <row r="193" ht="26" spans="1:3">
      <c r="A193">
        <v>310010</v>
      </c>
      <c r="B193" t="s">
        <v>427</v>
      </c>
      <c r="C193" s="3" t="s">
        <v>270</v>
      </c>
    </row>
    <row r="194" customFormat="1" ht="26" spans="1:3">
      <c r="A194">
        <v>310020</v>
      </c>
      <c r="B194" t="s">
        <v>428</v>
      </c>
      <c r="C194" s="3" t="s">
        <v>429</v>
      </c>
    </row>
    <row r="195" customFormat="1" spans="1:3">
      <c r="A195">
        <v>310030</v>
      </c>
      <c r="B195" t="s">
        <v>430</v>
      </c>
      <c r="C195" s="3" t="s">
        <v>431</v>
      </c>
    </row>
    <row r="196" customFormat="1" ht="26" spans="1:3">
      <c r="A196">
        <v>310040</v>
      </c>
      <c r="B196" t="s">
        <v>432</v>
      </c>
      <c r="C196" s="3" t="s">
        <v>433</v>
      </c>
    </row>
    <row r="197" customFormat="1" ht="26" spans="1:3">
      <c r="A197">
        <v>310050</v>
      </c>
      <c r="B197" t="s">
        <v>434</v>
      </c>
      <c r="C197" s="3" t="s">
        <v>435</v>
      </c>
    </row>
    <row r="198" customFormat="1" ht="26" spans="1:3">
      <c r="A198">
        <v>310060</v>
      </c>
      <c r="B198" t="s">
        <v>436</v>
      </c>
      <c r="C198" s="3" t="s">
        <v>393</v>
      </c>
    </row>
    <row r="199" customFormat="1" ht="26" spans="1:3">
      <c r="A199">
        <v>310070</v>
      </c>
      <c r="B199" t="s">
        <v>437</v>
      </c>
      <c r="C199" s="3" t="s">
        <v>395</v>
      </c>
    </row>
    <row r="200" customFormat="1" ht="26" spans="1:3">
      <c r="A200">
        <v>310080</v>
      </c>
      <c r="B200" t="s">
        <v>438</v>
      </c>
      <c r="C200" s="3" t="s">
        <v>397</v>
      </c>
    </row>
    <row r="201" customFormat="1" ht="26" spans="1:3">
      <c r="A201">
        <v>310130</v>
      </c>
      <c r="B201" t="s">
        <v>439</v>
      </c>
      <c r="C201" s="3" t="s">
        <v>440</v>
      </c>
    </row>
    <row r="202" customFormat="1" ht="26" spans="1:3">
      <c r="A202">
        <v>320010</v>
      </c>
      <c r="B202" t="s">
        <v>441</v>
      </c>
      <c r="C202" s="3" t="s">
        <v>442</v>
      </c>
    </row>
    <row r="203" customFormat="1" ht="26" spans="1:3">
      <c r="A203">
        <v>320011</v>
      </c>
      <c r="B203" t="s">
        <v>443</v>
      </c>
      <c r="C203" s="3" t="s">
        <v>444</v>
      </c>
    </row>
    <row r="204" customFormat="1" ht="26" spans="1:3">
      <c r="A204">
        <v>320012</v>
      </c>
      <c r="B204" t="s">
        <v>445</v>
      </c>
      <c r="C204" s="3" t="s">
        <v>446</v>
      </c>
    </row>
    <row r="205" customFormat="1" ht="26" spans="1:3">
      <c r="A205">
        <v>320020</v>
      </c>
      <c r="B205" t="s">
        <v>447</v>
      </c>
      <c r="C205" s="3" t="s">
        <v>448</v>
      </c>
    </row>
    <row r="206" customFormat="1" ht="26" spans="1:3">
      <c r="A206">
        <v>320021</v>
      </c>
      <c r="B206" t="s">
        <v>449</v>
      </c>
      <c r="C206" s="3" t="s">
        <v>450</v>
      </c>
    </row>
    <row r="207" customFormat="1" ht="26" spans="1:3">
      <c r="A207">
        <v>320022</v>
      </c>
      <c r="B207" t="s">
        <v>451</v>
      </c>
      <c r="C207" s="3" t="s">
        <v>452</v>
      </c>
    </row>
    <row r="208" customFormat="1" ht="26" spans="1:3">
      <c r="A208">
        <v>320030</v>
      </c>
      <c r="B208" t="s">
        <v>453</v>
      </c>
      <c r="C208" s="3" t="s">
        <v>454</v>
      </c>
    </row>
    <row r="209" customFormat="1" ht="26" spans="1:3">
      <c r="A209">
        <v>320031</v>
      </c>
      <c r="B209" t="s">
        <v>455</v>
      </c>
      <c r="C209" s="3" t="s">
        <v>456</v>
      </c>
    </row>
    <row r="210" customFormat="1" ht="26" spans="1:3">
      <c r="A210">
        <v>320032</v>
      </c>
      <c r="B210" t="s">
        <v>457</v>
      </c>
      <c r="C210" s="3" t="s">
        <v>458</v>
      </c>
    </row>
    <row r="211" customFormat="1" spans="1:3">
      <c r="A211">
        <v>320040</v>
      </c>
      <c r="B211" t="s">
        <v>459</v>
      </c>
      <c r="C211" s="3" t="s">
        <v>460</v>
      </c>
    </row>
    <row r="212" customFormat="1" spans="1:3">
      <c r="A212">
        <v>321010</v>
      </c>
      <c r="B212" t="s">
        <v>461</v>
      </c>
      <c r="C212" t="s">
        <v>462</v>
      </c>
    </row>
    <row r="213" customFormat="1" spans="1:3">
      <c r="A213">
        <v>321020</v>
      </c>
      <c r="B213" t="s">
        <v>463</v>
      </c>
      <c r="C213" t="s">
        <v>464</v>
      </c>
    </row>
    <row r="214" customFormat="1" spans="1:3">
      <c r="A214">
        <v>321030</v>
      </c>
      <c r="B214" t="s">
        <v>465</v>
      </c>
      <c r="C214" t="s">
        <v>466</v>
      </c>
    </row>
    <row r="215" customFormat="1" spans="1:3">
      <c r="A215">
        <v>321040</v>
      </c>
      <c r="B215" t="s">
        <v>467</v>
      </c>
      <c r="C215" t="s">
        <v>468</v>
      </c>
    </row>
    <row r="216" customFormat="1" spans="1:3">
      <c r="A216">
        <v>321050</v>
      </c>
      <c r="B216" t="s">
        <v>469</v>
      </c>
      <c r="C216" t="s">
        <v>470</v>
      </c>
    </row>
    <row r="217" customFormat="1" spans="1:3">
      <c r="A217">
        <v>322010</v>
      </c>
      <c r="B217" t="s">
        <v>471</v>
      </c>
      <c r="C217" t="s">
        <v>472</v>
      </c>
    </row>
    <row r="218" customFormat="1" spans="1:3">
      <c r="A218">
        <v>322020</v>
      </c>
      <c r="B218" t="s">
        <v>473</v>
      </c>
      <c r="C218" t="s">
        <v>474</v>
      </c>
    </row>
    <row r="219" customFormat="1" spans="1:3">
      <c r="A219">
        <v>322030</v>
      </c>
      <c r="B219" t="s">
        <v>475</v>
      </c>
      <c r="C219" t="s">
        <v>476</v>
      </c>
    </row>
    <row r="220" customFormat="1" spans="1:3">
      <c r="A220">
        <v>322040</v>
      </c>
      <c r="B220" t="s">
        <v>477</v>
      </c>
      <c r="C220" t="s">
        <v>478</v>
      </c>
    </row>
    <row r="221" spans="1:3">
      <c r="A221">
        <v>401010</v>
      </c>
      <c r="B221" t="s">
        <v>479</v>
      </c>
      <c r="C221" s="3" t="s">
        <v>480</v>
      </c>
    </row>
    <row r="222" spans="1:3">
      <c r="A222">
        <v>401020</v>
      </c>
      <c r="B222" t="s">
        <v>481</v>
      </c>
      <c r="C222" s="3" t="s">
        <v>480</v>
      </c>
    </row>
    <row r="223" spans="1:3">
      <c r="A223">
        <v>401030</v>
      </c>
      <c r="B223" t="s">
        <v>482</v>
      </c>
      <c r="C223" s="3" t="s">
        <v>483</v>
      </c>
    </row>
    <row r="224" spans="1:3">
      <c r="A224">
        <v>401040</v>
      </c>
      <c r="B224" t="s">
        <v>484</v>
      </c>
      <c r="C224" t="s">
        <v>485</v>
      </c>
    </row>
    <row r="225" spans="1:3">
      <c r="A225">
        <v>401050</v>
      </c>
      <c r="B225" t="s">
        <v>486</v>
      </c>
      <c r="C225" s="3" t="s">
        <v>480</v>
      </c>
    </row>
    <row r="226" spans="1:3">
      <c r="A226">
        <v>401060</v>
      </c>
      <c r="B226" t="s">
        <v>487</v>
      </c>
      <c r="C226" s="3" t="s">
        <v>480</v>
      </c>
    </row>
    <row r="227" spans="1:3">
      <c r="A227">
        <v>401070</v>
      </c>
      <c r="B227" t="s">
        <v>488</v>
      </c>
      <c r="C227" s="3" t="s">
        <v>489</v>
      </c>
    </row>
    <row r="228" spans="1:3">
      <c r="A228">
        <v>401080</v>
      </c>
      <c r="B228" t="s">
        <v>490</v>
      </c>
      <c r="C228" s="3" t="s">
        <v>491</v>
      </c>
    </row>
    <row r="229" spans="1:3">
      <c r="A229">
        <v>402010</v>
      </c>
      <c r="B229" t="s">
        <v>492</v>
      </c>
      <c r="C229" s="3" t="s">
        <v>480</v>
      </c>
    </row>
    <row r="230" spans="1:3">
      <c r="A230">
        <v>402020</v>
      </c>
      <c r="B230" t="s">
        <v>493</v>
      </c>
      <c r="C230" t="s">
        <v>494</v>
      </c>
    </row>
    <row r="231" spans="1:3">
      <c r="A231">
        <v>402030</v>
      </c>
      <c r="B231" t="s">
        <v>495</v>
      </c>
      <c r="C231" s="3" t="s">
        <v>489</v>
      </c>
    </row>
    <row r="232" spans="1:3">
      <c r="A232">
        <v>402040</v>
      </c>
      <c r="B232" t="s">
        <v>496</v>
      </c>
      <c r="C232" s="4" t="s">
        <v>497</v>
      </c>
    </row>
    <row r="233" spans="1:3">
      <c r="A233">
        <v>402050</v>
      </c>
      <c r="B233" t="s">
        <v>498</v>
      </c>
      <c r="C233" s="3" t="s">
        <v>489</v>
      </c>
    </row>
    <row r="234" spans="1:3">
      <c r="A234">
        <v>402060</v>
      </c>
      <c r="B234" t="s">
        <v>499</v>
      </c>
      <c r="C234" s="3" t="s">
        <v>480</v>
      </c>
    </row>
    <row r="235" spans="1:3">
      <c r="A235">
        <v>402070</v>
      </c>
      <c r="B235" t="s">
        <v>500</v>
      </c>
      <c r="C235" s="3" t="s">
        <v>501</v>
      </c>
    </row>
    <row r="236" spans="1:3">
      <c r="A236">
        <v>402080</v>
      </c>
      <c r="B236" t="s">
        <v>502</v>
      </c>
      <c r="C236" s="3" t="s">
        <v>503</v>
      </c>
    </row>
    <row r="237" spans="1:3">
      <c r="A237">
        <v>403010</v>
      </c>
      <c r="B237" t="s">
        <v>504</v>
      </c>
      <c r="C237" s="3" t="s">
        <v>480</v>
      </c>
    </row>
    <row r="238" spans="1:3">
      <c r="A238">
        <v>403020</v>
      </c>
      <c r="B238" t="s">
        <v>505</v>
      </c>
      <c r="C238" s="3" t="s">
        <v>506</v>
      </c>
    </row>
    <row r="239" spans="1:3">
      <c r="A239">
        <v>403030</v>
      </c>
      <c r="B239" t="s">
        <v>507</v>
      </c>
      <c r="C239" s="4" t="s">
        <v>508</v>
      </c>
    </row>
    <row r="240" spans="1:3">
      <c r="A240">
        <v>403040</v>
      </c>
      <c r="B240" t="s">
        <v>509</v>
      </c>
      <c r="C240" s="3" t="s">
        <v>510</v>
      </c>
    </row>
    <row r="241" spans="1:3">
      <c r="A241">
        <v>403050</v>
      </c>
      <c r="B241" t="s">
        <v>511</v>
      </c>
      <c r="C241" s="3" t="s">
        <v>512</v>
      </c>
    </row>
    <row r="242" spans="1:3">
      <c r="A242">
        <v>403060</v>
      </c>
      <c r="B242" t="s">
        <v>513</v>
      </c>
      <c r="C242" s="4" t="s">
        <v>514</v>
      </c>
    </row>
    <row r="243" spans="1:3">
      <c r="A243">
        <v>403070</v>
      </c>
      <c r="B243" t="s">
        <v>515</v>
      </c>
      <c r="C243" s="4" t="s">
        <v>516</v>
      </c>
    </row>
    <row r="244" spans="1:3">
      <c r="A244">
        <v>403080</v>
      </c>
      <c r="B244" t="s">
        <v>517</v>
      </c>
      <c r="C244" s="3" t="s">
        <v>518</v>
      </c>
    </row>
    <row r="245" spans="1:3">
      <c r="A245">
        <v>404010</v>
      </c>
      <c r="B245" t="s">
        <v>519</v>
      </c>
      <c r="C245" s="3" t="s">
        <v>480</v>
      </c>
    </row>
    <row r="246" spans="1:3">
      <c r="A246">
        <v>404020</v>
      </c>
      <c r="B246" t="s">
        <v>520</v>
      </c>
      <c r="C246" s="3" t="s">
        <v>480</v>
      </c>
    </row>
    <row r="247" spans="1:3">
      <c r="A247">
        <v>404030</v>
      </c>
      <c r="B247" t="s">
        <v>521</v>
      </c>
      <c r="C247" s="3" t="s">
        <v>522</v>
      </c>
    </row>
    <row r="248" spans="1:3">
      <c r="A248">
        <v>404040</v>
      </c>
      <c r="B248" t="s">
        <v>523</v>
      </c>
      <c r="C248" s="3" t="s">
        <v>524</v>
      </c>
    </row>
    <row r="249" spans="1:3">
      <c r="A249">
        <v>404050</v>
      </c>
      <c r="B249" t="s">
        <v>525</v>
      </c>
      <c r="C249" s="4" t="s">
        <v>526</v>
      </c>
    </row>
    <row r="250" spans="1:3">
      <c r="A250">
        <v>404060</v>
      </c>
      <c r="B250" t="s">
        <v>527</v>
      </c>
      <c r="C250" s="3" t="s">
        <v>489</v>
      </c>
    </row>
    <row r="251" spans="1:3">
      <c r="A251">
        <v>404070</v>
      </c>
      <c r="B251" t="s">
        <v>528</v>
      </c>
      <c r="C251" s="3" t="s">
        <v>529</v>
      </c>
    </row>
    <row r="252" spans="1:3">
      <c r="A252">
        <v>404080</v>
      </c>
      <c r="B252" t="s">
        <v>530</v>
      </c>
      <c r="C252" s="3" t="s">
        <v>489</v>
      </c>
    </row>
    <row r="253" spans="1:3">
      <c r="A253">
        <v>405010</v>
      </c>
      <c r="B253" t="s">
        <v>531</v>
      </c>
      <c r="C253" s="3" t="s">
        <v>480</v>
      </c>
    </row>
    <row r="254" spans="1:3">
      <c r="A254">
        <v>405020</v>
      </c>
      <c r="B254" t="s">
        <v>532</v>
      </c>
      <c r="C254" s="3" t="s">
        <v>480</v>
      </c>
    </row>
    <row r="255" spans="1:3">
      <c r="A255">
        <v>405030</v>
      </c>
      <c r="B255" t="s">
        <v>533</v>
      </c>
      <c r="C255" s="3" t="s">
        <v>524</v>
      </c>
    </row>
    <row r="256" spans="1:3">
      <c r="A256">
        <v>405040</v>
      </c>
      <c r="B256" t="s">
        <v>534</v>
      </c>
      <c r="C256" s="3" t="s">
        <v>535</v>
      </c>
    </row>
    <row r="257" spans="1:3">
      <c r="A257">
        <v>405050</v>
      </c>
      <c r="B257" t="s">
        <v>536</v>
      </c>
      <c r="C257" s="3" t="s">
        <v>503</v>
      </c>
    </row>
    <row r="258" spans="1:3">
      <c r="A258">
        <v>405060</v>
      </c>
      <c r="B258" t="s">
        <v>537</v>
      </c>
      <c r="C258" s="3" t="s">
        <v>538</v>
      </c>
    </row>
    <row r="259" spans="1:3">
      <c r="A259">
        <v>405070</v>
      </c>
      <c r="B259" t="s">
        <v>539</v>
      </c>
      <c r="C259" s="4" t="s">
        <v>540</v>
      </c>
    </row>
    <row r="260" spans="1:3">
      <c r="A260">
        <v>405080</v>
      </c>
      <c r="B260" t="s">
        <v>541</v>
      </c>
      <c r="C260" s="3" t="s">
        <v>542</v>
      </c>
    </row>
    <row r="261" spans="1:3">
      <c r="A261">
        <v>411010</v>
      </c>
      <c r="B261" t="s">
        <v>543</v>
      </c>
      <c r="C261" s="4" t="s">
        <v>544</v>
      </c>
    </row>
    <row r="262" spans="1:3">
      <c r="A262">
        <v>411020</v>
      </c>
      <c r="B262" t="s">
        <v>545</v>
      </c>
      <c r="C262" s="4" t="s">
        <v>544</v>
      </c>
    </row>
    <row r="263" spans="1:3">
      <c r="A263">
        <v>411030</v>
      </c>
      <c r="B263" t="s">
        <v>546</v>
      </c>
      <c r="C263" s="4" t="s">
        <v>547</v>
      </c>
    </row>
    <row r="264" spans="1:3">
      <c r="A264">
        <v>411040</v>
      </c>
      <c r="B264" t="s">
        <v>548</v>
      </c>
      <c r="C264" s="4" t="s">
        <v>489</v>
      </c>
    </row>
    <row r="265" spans="1:3">
      <c r="A265">
        <v>411050</v>
      </c>
      <c r="B265" t="s">
        <v>549</v>
      </c>
      <c r="C265" s="4" t="s">
        <v>526</v>
      </c>
    </row>
    <row r="266" spans="1:3">
      <c r="A266">
        <v>411060</v>
      </c>
      <c r="B266" t="s">
        <v>550</v>
      </c>
      <c r="C266" s="4" t="s">
        <v>526</v>
      </c>
    </row>
    <row r="267" spans="1:3">
      <c r="A267">
        <v>411070</v>
      </c>
      <c r="B267" t="s">
        <v>551</v>
      </c>
      <c r="C267" s="4" t="s">
        <v>544</v>
      </c>
    </row>
    <row r="268" spans="1:3">
      <c r="A268">
        <v>411080</v>
      </c>
      <c r="B268" t="s">
        <v>552</v>
      </c>
      <c r="C268" s="4" t="s">
        <v>544</v>
      </c>
    </row>
    <row r="269" spans="1:3">
      <c r="A269">
        <v>411090</v>
      </c>
      <c r="B269" t="s">
        <v>553</v>
      </c>
      <c r="C269" s="4" t="s">
        <v>554</v>
      </c>
    </row>
    <row r="270" spans="1:3">
      <c r="A270">
        <v>412010</v>
      </c>
      <c r="B270" t="s">
        <v>555</v>
      </c>
      <c r="C270" t="s">
        <v>556</v>
      </c>
    </row>
    <row r="271" spans="1:3">
      <c r="A271">
        <v>412020</v>
      </c>
      <c r="B271" t="s">
        <v>557</v>
      </c>
      <c r="C271" s="4" t="s">
        <v>494</v>
      </c>
    </row>
    <row r="272" spans="1:3">
      <c r="A272">
        <v>412030</v>
      </c>
      <c r="B272" t="s">
        <v>558</v>
      </c>
      <c r="C272" s="4" t="s">
        <v>559</v>
      </c>
    </row>
    <row r="273" spans="1:3">
      <c r="A273">
        <v>412040</v>
      </c>
      <c r="B273" t="s">
        <v>560</v>
      </c>
      <c r="C273" s="4" t="s">
        <v>561</v>
      </c>
    </row>
    <row r="274" spans="1:3">
      <c r="A274">
        <v>412050</v>
      </c>
      <c r="B274" t="s">
        <v>562</v>
      </c>
      <c r="C274" s="4" t="s">
        <v>497</v>
      </c>
    </row>
    <row r="275" spans="1:3">
      <c r="A275">
        <v>412060</v>
      </c>
      <c r="B275" t="s">
        <v>563</v>
      </c>
      <c r="C275" s="3" t="s">
        <v>480</v>
      </c>
    </row>
    <row r="276" spans="1:3">
      <c r="A276">
        <v>412070</v>
      </c>
      <c r="B276" t="s">
        <v>564</v>
      </c>
      <c r="C276" s="4" t="s">
        <v>544</v>
      </c>
    </row>
    <row r="277" spans="1:3">
      <c r="A277">
        <v>412080</v>
      </c>
      <c r="B277" t="s">
        <v>565</v>
      </c>
      <c r="C277" s="3" t="s">
        <v>480</v>
      </c>
    </row>
    <row r="278" spans="1:3">
      <c r="A278">
        <v>412090</v>
      </c>
      <c r="B278" t="s">
        <v>566</v>
      </c>
      <c r="C278" s="4" t="s">
        <v>567</v>
      </c>
    </row>
    <row r="279" spans="1:3">
      <c r="A279">
        <v>413010</v>
      </c>
      <c r="B279" t="s">
        <v>568</v>
      </c>
      <c r="C279" s="4" t="s">
        <v>508</v>
      </c>
    </row>
    <row r="280" spans="1:3">
      <c r="A280">
        <v>413020</v>
      </c>
      <c r="B280" t="s">
        <v>569</v>
      </c>
      <c r="C280" s="3" t="s">
        <v>510</v>
      </c>
    </row>
    <row r="281" spans="1:3">
      <c r="A281">
        <v>413030</v>
      </c>
      <c r="B281" t="s">
        <v>570</v>
      </c>
      <c r="C281" s="3" t="s">
        <v>489</v>
      </c>
    </row>
    <row r="282" spans="1:3">
      <c r="A282">
        <v>413040</v>
      </c>
      <c r="B282" t="s">
        <v>571</v>
      </c>
      <c r="C282" s="3" t="s">
        <v>510</v>
      </c>
    </row>
    <row r="283" spans="1:3">
      <c r="A283">
        <v>413050</v>
      </c>
      <c r="B283" t="s">
        <v>572</v>
      </c>
      <c r="C283" s="3" t="s">
        <v>489</v>
      </c>
    </row>
    <row r="284" spans="1:3">
      <c r="A284">
        <v>413060</v>
      </c>
      <c r="B284" t="s">
        <v>573</v>
      </c>
      <c r="C284" s="3" t="s">
        <v>489</v>
      </c>
    </row>
    <row r="285" spans="1:3">
      <c r="A285">
        <v>413070</v>
      </c>
      <c r="B285" t="s">
        <v>574</v>
      </c>
      <c r="C285" s="4" t="s">
        <v>575</v>
      </c>
    </row>
    <row r="286" spans="1:3">
      <c r="A286">
        <v>413080</v>
      </c>
      <c r="B286" t="s">
        <v>576</v>
      </c>
      <c r="C286" s="3" t="s">
        <v>524</v>
      </c>
    </row>
    <row r="287" spans="1:3">
      <c r="A287">
        <v>413090</v>
      </c>
      <c r="B287" t="s">
        <v>577</v>
      </c>
      <c r="C287" s="3" t="s">
        <v>578</v>
      </c>
    </row>
    <row r="288" spans="1:3">
      <c r="A288">
        <v>414010</v>
      </c>
      <c r="B288" t="s">
        <v>579</v>
      </c>
      <c r="C288" s="3" t="s">
        <v>580</v>
      </c>
    </row>
    <row r="289" spans="1:3">
      <c r="A289">
        <v>414020</v>
      </c>
      <c r="B289" t="s">
        <v>581</v>
      </c>
      <c r="C289" s="3" t="s">
        <v>582</v>
      </c>
    </row>
    <row r="290" spans="1:3">
      <c r="A290">
        <v>414030</v>
      </c>
      <c r="B290" t="s">
        <v>583</v>
      </c>
      <c r="C290" s="3" t="s">
        <v>501</v>
      </c>
    </row>
    <row r="291" spans="1:3">
      <c r="A291">
        <v>414040</v>
      </c>
      <c r="B291" t="s">
        <v>584</v>
      </c>
      <c r="C291" s="3" t="s">
        <v>529</v>
      </c>
    </row>
    <row r="292" spans="1:3">
      <c r="A292">
        <v>414050</v>
      </c>
      <c r="B292" t="s">
        <v>585</v>
      </c>
      <c r="C292" s="3" t="s">
        <v>586</v>
      </c>
    </row>
    <row r="293" spans="1:3">
      <c r="A293">
        <v>414060</v>
      </c>
      <c r="B293" t="s">
        <v>587</v>
      </c>
      <c r="C293" s="4" t="s">
        <v>526</v>
      </c>
    </row>
    <row r="294" spans="1:3">
      <c r="A294">
        <v>414070</v>
      </c>
      <c r="B294" t="s">
        <v>588</v>
      </c>
      <c r="C294" s="4" t="s">
        <v>589</v>
      </c>
    </row>
    <row r="295" spans="1:3">
      <c r="A295">
        <v>414080</v>
      </c>
      <c r="B295" t="s">
        <v>590</v>
      </c>
      <c r="C295" s="3" t="s">
        <v>529</v>
      </c>
    </row>
    <row r="296" spans="1:3">
      <c r="A296">
        <v>414090</v>
      </c>
      <c r="B296" t="s">
        <v>591</v>
      </c>
      <c r="C296" s="3" t="s">
        <v>489</v>
      </c>
    </row>
    <row r="297" spans="1:3">
      <c r="A297">
        <v>415010</v>
      </c>
      <c r="B297" t="s">
        <v>592</v>
      </c>
      <c r="C297" s="3" t="s">
        <v>593</v>
      </c>
    </row>
    <row r="298" spans="1:3">
      <c r="A298">
        <v>415020</v>
      </c>
      <c r="B298" t="s">
        <v>594</v>
      </c>
      <c r="C298" s="3" t="s">
        <v>593</v>
      </c>
    </row>
    <row r="299" spans="1:3">
      <c r="A299">
        <v>415030</v>
      </c>
      <c r="B299" t="s">
        <v>595</v>
      </c>
      <c r="C299" s="4" t="s">
        <v>526</v>
      </c>
    </row>
    <row r="300" spans="1:3">
      <c r="A300">
        <v>415040</v>
      </c>
      <c r="B300" t="s">
        <v>596</v>
      </c>
      <c r="C300" s="4" t="s">
        <v>597</v>
      </c>
    </row>
    <row r="301" spans="1:3">
      <c r="A301">
        <v>415050</v>
      </c>
      <c r="B301" t="s">
        <v>598</v>
      </c>
      <c r="C301" s="3" t="s">
        <v>524</v>
      </c>
    </row>
    <row r="302" spans="1:3">
      <c r="A302">
        <v>415060</v>
      </c>
      <c r="B302" t="s">
        <v>599</v>
      </c>
      <c r="C302" s="3" t="s">
        <v>524</v>
      </c>
    </row>
    <row r="303" spans="1:3">
      <c r="A303">
        <v>415070</v>
      </c>
      <c r="B303" t="s">
        <v>600</v>
      </c>
      <c r="C303" s="3" t="s">
        <v>593</v>
      </c>
    </row>
    <row r="304" spans="1:3">
      <c r="A304">
        <v>415080</v>
      </c>
      <c r="B304" t="s">
        <v>601</v>
      </c>
      <c r="C304" s="3" t="s">
        <v>602</v>
      </c>
    </row>
    <row r="305" spans="1:3">
      <c r="A305">
        <v>415090</v>
      </c>
      <c r="B305" t="s">
        <v>603</v>
      </c>
      <c r="C305" s="3" t="s">
        <v>604</v>
      </c>
    </row>
    <row r="306" spans="1:3">
      <c r="A306">
        <v>501010</v>
      </c>
      <c r="B306" t="s">
        <v>605</v>
      </c>
      <c r="C306" t="s">
        <v>474</v>
      </c>
    </row>
    <row r="307" customFormat="1" spans="1:3">
      <c r="A307">
        <v>501020</v>
      </c>
      <c r="B307" t="s">
        <v>606</v>
      </c>
      <c r="C307" t="s">
        <v>607</v>
      </c>
    </row>
    <row r="308" customFormat="1" spans="1:3">
      <c r="A308">
        <v>501030</v>
      </c>
      <c r="B308" t="s">
        <v>605</v>
      </c>
      <c r="C308" t="s">
        <v>474</v>
      </c>
    </row>
    <row r="309" customFormat="1" spans="1:3">
      <c r="A309">
        <v>501040</v>
      </c>
      <c r="B309" t="s">
        <v>608</v>
      </c>
      <c r="C309" t="s">
        <v>474</v>
      </c>
    </row>
    <row r="310" customFormat="1" spans="1:3">
      <c r="A310">
        <v>501041</v>
      </c>
      <c r="B310" t="s">
        <v>609</v>
      </c>
      <c r="C310" t="s">
        <v>610</v>
      </c>
    </row>
    <row r="311" customFormat="1" spans="1:3">
      <c r="A311">
        <v>502010</v>
      </c>
      <c r="B311" t="s">
        <v>611</v>
      </c>
      <c r="C311" t="s">
        <v>612</v>
      </c>
    </row>
    <row r="312" customFormat="1" spans="1:3">
      <c r="A312">
        <v>502020</v>
      </c>
      <c r="B312" t="s">
        <v>613</v>
      </c>
      <c r="C312" t="s">
        <v>478</v>
      </c>
    </row>
    <row r="313" customFormat="1" spans="1:3">
      <c r="A313">
        <v>502030</v>
      </c>
      <c r="B313" t="s">
        <v>613</v>
      </c>
      <c r="C313" t="s">
        <v>478</v>
      </c>
    </row>
    <row r="314" customFormat="1" spans="1:3">
      <c r="A314">
        <v>502040</v>
      </c>
      <c r="B314" t="s">
        <v>614</v>
      </c>
      <c r="C314" t="s">
        <v>478</v>
      </c>
    </row>
    <row r="315" customFormat="1" spans="1:3">
      <c r="A315">
        <v>502041</v>
      </c>
      <c r="B315" t="s">
        <v>615</v>
      </c>
      <c r="C315" t="s">
        <v>612</v>
      </c>
    </row>
    <row r="316" customFormat="1" spans="1:3">
      <c r="A316">
        <v>503010</v>
      </c>
      <c r="B316" t="s">
        <v>616</v>
      </c>
      <c r="C316" t="s">
        <v>476</v>
      </c>
    </row>
    <row r="317" customFormat="1" spans="1:3">
      <c r="A317">
        <v>503020</v>
      </c>
      <c r="B317" t="s">
        <v>616</v>
      </c>
      <c r="C317" t="s">
        <v>476</v>
      </c>
    </row>
    <row r="318" customFormat="1" spans="1:3">
      <c r="A318">
        <v>503030</v>
      </c>
      <c r="B318" t="s">
        <v>616</v>
      </c>
      <c r="C318" t="s">
        <v>476</v>
      </c>
    </row>
    <row r="319" customFormat="1" spans="1:3">
      <c r="A319">
        <v>503040</v>
      </c>
      <c r="B319" t="s">
        <v>617</v>
      </c>
      <c r="C319" t="s">
        <v>476</v>
      </c>
    </row>
    <row r="320" customFormat="1" spans="1:3">
      <c r="A320">
        <v>503041</v>
      </c>
      <c r="B320" t="s">
        <v>618</v>
      </c>
      <c r="C320" t="s">
        <v>619</v>
      </c>
    </row>
    <row r="321" spans="1:3">
      <c r="A321">
        <v>504010</v>
      </c>
      <c r="B321" t="s">
        <v>620</v>
      </c>
      <c r="C321" t="s">
        <v>621</v>
      </c>
    </row>
    <row r="322" spans="1:3">
      <c r="A322">
        <v>504020</v>
      </c>
      <c r="B322" t="s">
        <v>620</v>
      </c>
      <c r="C322" t="s">
        <v>621</v>
      </c>
    </row>
    <row r="323" spans="1:3">
      <c r="A323">
        <v>504030</v>
      </c>
      <c r="B323" t="s">
        <v>622</v>
      </c>
      <c r="C323" t="s">
        <v>623</v>
      </c>
    </row>
    <row r="324" customFormat="1" spans="1:3">
      <c r="A324">
        <v>504040</v>
      </c>
      <c r="B324" t="s">
        <v>624</v>
      </c>
      <c r="C324" t="s">
        <v>621</v>
      </c>
    </row>
    <row r="325" spans="1:3">
      <c r="A325">
        <v>505010</v>
      </c>
      <c r="B325" t="s">
        <v>625</v>
      </c>
      <c r="C325" t="s">
        <v>610</v>
      </c>
    </row>
    <row r="326" spans="1:3">
      <c r="A326">
        <v>505020</v>
      </c>
      <c r="B326" t="s">
        <v>613</v>
      </c>
      <c r="C326" t="s">
        <v>478</v>
      </c>
    </row>
    <row r="327" spans="1:3">
      <c r="A327">
        <v>505030</v>
      </c>
      <c r="B327" t="s">
        <v>611</v>
      </c>
      <c r="C327" t="s">
        <v>612</v>
      </c>
    </row>
    <row r="328" customFormat="1" spans="1:3">
      <c r="A328">
        <v>505040</v>
      </c>
      <c r="B328" t="s">
        <v>626</v>
      </c>
      <c r="C328" t="s">
        <v>627</v>
      </c>
    </row>
    <row r="329" customFormat="1" spans="1:3">
      <c r="A329">
        <v>506010</v>
      </c>
      <c r="B329" t="s">
        <v>628</v>
      </c>
      <c r="C329" t="s">
        <v>621</v>
      </c>
    </row>
    <row r="330" customFormat="1" spans="1:3">
      <c r="A330">
        <v>506011</v>
      </c>
      <c r="B330" t="s">
        <v>629</v>
      </c>
      <c r="C330" t="s">
        <v>474</v>
      </c>
    </row>
    <row r="331" customFormat="1" spans="1:3">
      <c r="A331">
        <v>506012</v>
      </c>
      <c r="B331" t="s">
        <v>630</v>
      </c>
      <c r="C331" t="s">
        <v>476</v>
      </c>
    </row>
    <row r="332" customFormat="1" spans="1:3">
      <c r="A332">
        <v>506013</v>
      </c>
      <c r="B332" t="s">
        <v>613</v>
      </c>
      <c r="C332" t="s">
        <v>478</v>
      </c>
    </row>
    <row r="333" spans="1:3">
      <c r="A333">
        <v>507010</v>
      </c>
      <c r="B333" t="s">
        <v>631</v>
      </c>
      <c r="C333" t="s">
        <v>632</v>
      </c>
    </row>
    <row r="334" customFormat="1" ht="26" spans="1:3">
      <c r="A334">
        <v>507020</v>
      </c>
      <c r="B334" t="s">
        <v>633</v>
      </c>
      <c r="C334" s="3" t="s">
        <v>634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E52" workbookViewId="0">
      <selection activeCell="P74" sqref="P7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635</v>
      </c>
      <c r="P1" t="s">
        <v>636</v>
      </c>
      <c r="S1" t="s">
        <v>637</v>
      </c>
      <c r="U1" t="s">
        <v>638</v>
      </c>
      <c r="W1" t="s">
        <v>639</v>
      </c>
      <c r="Y1" t="s">
        <v>65</v>
      </c>
    </row>
    <row r="2" spans="1:29">
      <c r="A2">
        <v>0</v>
      </c>
      <c r="B2" t="s">
        <v>640</v>
      </c>
      <c r="D2">
        <v>0</v>
      </c>
      <c r="E2" t="s">
        <v>640</v>
      </c>
      <c r="G2">
        <v>0</v>
      </c>
      <c r="H2" t="s">
        <v>640</v>
      </c>
      <c r="J2">
        <v>0</v>
      </c>
      <c r="K2" t="s">
        <v>640</v>
      </c>
      <c r="M2">
        <v>0</v>
      </c>
      <c r="N2" t="s">
        <v>640</v>
      </c>
      <c r="P2">
        <v>0</v>
      </c>
      <c r="Q2" t="s">
        <v>641</v>
      </c>
      <c r="U2">
        <v>0</v>
      </c>
      <c r="V2" t="s">
        <v>640</v>
      </c>
      <c r="W2">
        <v>0</v>
      </c>
      <c r="X2" t="s">
        <v>640</v>
      </c>
      <c r="Y2">
        <v>-1</v>
      </c>
      <c r="Z2" t="s">
        <v>640</v>
      </c>
      <c r="AB2">
        <v>301</v>
      </c>
      <c r="AC2" t="s">
        <v>642</v>
      </c>
    </row>
    <row r="3" spans="1:29">
      <c r="A3">
        <v>1</v>
      </c>
      <c r="B3" t="s">
        <v>18</v>
      </c>
      <c r="D3">
        <v>1</v>
      </c>
      <c r="E3" t="s">
        <v>643</v>
      </c>
      <c r="G3">
        <v>1</v>
      </c>
      <c r="H3" t="s">
        <v>644</v>
      </c>
      <c r="J3">
        <v>1</v>
      </c>
      <c r="K3" t="s">
        <v>645</v>
      </c>
      <c r="M3">
        <v>1</v>
      </c>
      <c r="N3" t="s">
        <v>18</v>
      </c>
      <c r="P3">
        <v>1010</v>
      </c>
      <c r="Q3" t="s">
        <v>646</v>
      </c>
      <c r="U3">
        <v>1010</v>
      </c>
      <c r="V3" t="s">
        <v>647</v>
      </c>
      <c r="W3">
        <v>1</v>
      </c>
      <c r="X3" t="s">
        <v>648</v>
      </c>
      <c r="Y3">
        <v>1</v>
      </c>
      <c r="Z3" t="s">
        <v>649</v>
      </c>
      <c r="AB3">
        <v>302</v>
      </c>
      <c r="AC3" t="s">
        <v>650</v>
      </c>
    </row>
    <row r="4" spans="1:29">
      <c r="A4">
        <v>2</v>
      </c>
      <c r="B4" t="s">
        <v>651</v>
      </c>
      <c r="D4">
        <v>2</v>
      </c>
      <c r="E4" t="s">
        <v>652</v>
      </c>
      <c r="G4">
        <v>2</v>
      </c>
      <c r="H4" t="s">
        <v>653</v>
      </c>
      <c r="J4">
        <v>2</v>
      </c>
      <c r="K4" t="s">
        <v>654</v>
      </c>
      <c r="M4">
        <v>2</v>
      </c>
      <c r="N4" t="s">
        <v>651</v>
      </c>
      <c r="P4">
        <v>1020</v>
      </c>
      <c r="Q4" t="s">
        <v>655</v>
      </c>
      <c r="U4">
        <v>1020</v>
      </c>
      <c r="V4" t="s">
        <v>656</v>
      </c>
      <c r="W4">
        <v>2</v>
      </c>
      <c r="X4" t="s">
        <v>657</v>
      </c>
      <c r="Y4">
        <v>11</v>
      </c>
      <c r="Z4" t="s">
        <v>658</v>
      </c>
      <c r="AB4" s="2">
        <v>303</v>
      </c>
      <c r="AC4" s="2" t="s">
        <v>659</v>
      </c>
    </row>
    <row r="5" spans="1:29">
      <c r="A5">
        <v>3</v>
      </c>
      <c r="B5" t="s">
        <v>660</v>
      </c>
      <c r="D5">
        <v>3</v>
      </c>
      <c r="E5" t="s">
        <v>661</v>
      </c>
      <c r="G5">
        <v>3</v>
      </c>
      <c r="H5" t="s">
        <v>662</v>
      </c>
      <c r="J5">
        <v>3</v>
      </c>
      <c r="K5" t="s">
        <v>663</v>
      </c>
      <c r="M5">
        <v>3</v>
      </c>
      <c r="N5" t="s">
        <v>660</v>
      </c>
      <c r="P5">
        <v>1030</v>
      </c>
      <c r="Q5" t="s">
        <v>664</v>
      </c>
      <c r="U5">
        <v>1030</v>
      </c>
      <c r="V5" t="s">
        <v>665</v>
      </c>
      <c r="W5">
        <v>3</v>
      </c>
      <c r="X5" t="s">
        <v>666</v>
      </c>
      <c r="Y5">
        <v>21</v>
      </c>
      <c r="Z5" t="s">
        <v>667</v>
      </c>
      <c r="AB5">
        <v>304</v>
      </c>
      <c r="AC5" t="s">
        <v>668</v>
      </c>
    </row>
    <row r="6" spans="4:29">
      <c r="D6">
        <v>4</v>
      </c>
      <c r="E6" t="s">
        <v>657</v>
      </c>
      <c r="G6">
        <v>4</v>
      </c>
      <c r="H6" t="s">
        <v>71</v>
      </c>
      <c r="J6">
        <v>4</v>
      </c>
      <c r="K6" t="s">
        <v>669</v>
      </c>
      <c r="M6">
        <v>4</v>
      </c>
      <c r="N6" t="s">
        <v>669</v>
      </c>
      <c r="P6">
        <v>1040</v>
      </c>
      <c r="Q6" t="s">
        <v>670</v>
      </c>
      <c r="U6">
        <v>1040</v>
      </c>
      <c r="V6" t="s">
        <v>671</v>
      </c>
      <c r="W6">
        <v>4</v>
      </c>
      <c r="X6" t="s">
        <v>672</v>
      </c>
      <c r="Y6">
        <v>22</v>
      </c>
      <c r="Z6" t="s">
        <v>673</v>
      </c>
      <c r="AB6">
        <v>305</v>
      </c>
      <c r="AC6" t="s">
        <v>674</v>
      </c>
    </row>
    <row r="7" spans="4:29">
      <c r="D7">
        <v>5</v>
      </c>
      <c r="E7" t="s">
        <v>675</v>
      </c>
      <c r="G7">
        <v>5</v>
      </c>
      <c r="H7" t="s">
        <v>676</v>
      </c>
      <c r="J7">
        <v>6</v>
      </c>
      <c r="K7" t="s">
        <v>677</v>
      </c>
      <c r="M7">
        <v>5</v>
      </c>
      <c r="N7" t="s">
        <v>678</v>
      </c>
      <c r="P7">
        <v>1050</v>
      </c>
      <c r="Q7" t="s">
        <v>679</v>
      </c>
      <c r="U7">
        <v>1050</v>
      </c>
      <c r="V7" t="s">
        <v>680</v>
      </c>
      <c r="W7">
        <v>5</v>
      </c>
      <c r="X7" t="s">
        <v>681</v>
      </c>
      <c r="Y7">
        <v>23</v>
      </c>
      <c r="Z7" t="s">
        <v>682</v>
      </c>
      <c r="AB7">
        <v>306</v>
      </c>
      <c r="AC7" t="s">
        <v>683</v>
      </c>
    </row>
    <row r="8" spans="4:29">
      <c r="D8">
        <v>6</v>
      </c>
      <c r="E8" t="s">
        <v>684</v>
      </c>
      <c r="G8">
        <v>6</v>
      </c>
      <c r="H8" t="s">
        <v>685</v>
      </c>
      <c r="J8">
        <v>7</v>
      </c>
      <c r="K8" t="s">
        <v>686</v>
      </c>
      <c r="M8">
        <v>11</v>
      </c>
      <c r="N8" t="s">
        <v>687</v>
      </c>
      <c r="P8">
        <v>1060</v>
      </c>
      <c r="Q8" t="s">
        <v>688</v>
      </c>
      <c r="U8">
        <v>1060</v>
      </c>
      <c r="V8" t="s">
        <v>689</v>
      </c>
      <c r="W8">
        <v>6</v>
      </c>
      <c r="X8" t="s">
        <v>690</v>
      </c>
      <c r="Y8">
        <v>31</v>
      </c>
      <c r="Z8" t="s">
        <v>691</v>
      </c>
      <c r="AB8">
        <v>307</v>
      </c>
      <c r="AC8" t="s">
        <v>692</v>
      </c>
    </row>
    <row r="9" spans="7:29">
      <c r="G9">
        <v>7</v>
      </c>
      <c r="H9" t="s">
        <v>693</v>
      </c>
      <c r="J9">
        <v>11</v>
      </c>
      <c r="K9" t="s">
        <v>694</v>
      </c>
      <c r="M9">
        <v>12</v>
      </c>
      <c r="N9" s="1" t="s">
        <v>695</v>
      </c>
      <c r="P9">
        <v>1070</v>
      </c>
      <c r="Q9" t="s">
        <v>696</v>
      </c>
      <c r="U9">
        <v>1130</v>
      </c>
      <c r="V9" t="s">
        <v>697</v>
      </c>
      <c r="W9">
        <v>7</v>
      </c>
      <c r="X9" t="s">
        <v>698</v>
      </c>
      <c r="Y9">
        <v>41</v>
      </c>
      <c r="Z9" t="s">
        <v>699</v>
      </c>
      <c r="AB9">
        <v>308</v>
      </c>
      <c r="AC9" t="s">
        <v>700</v>
      </c>
    </row>
    <row r="10" spans="7:29">
      <c r="G10">
        <v>8</v>
      </c>
      <c r="H10" t="s">
        <v>701</v>
      </c>
      <c r="J10">
        <v>101</v>
      </c>
      <c r="K10" t="s">
        <v>702</v>
      </c>
      <c r="M10">
        <v>13</v>
      </c>
      <c r="N10" s="1" t="s">
        <v>703</v>
      </c>
      <c r="P10">
        <v>1080</v>
      </c>
      <c r="Q10" t="s">
        <v>704</v>
      </c>
      <c r="U10">
        <v>1140</v>
      </c>
      <c r="V10" t="s">
        <v>705</v>
      </c>
      <c r="W10">
        <v>10</v>
      </c>
      <c r="X10" t="s">
        <v>706</v>
      </c>
      <c r="Y10">
        <v>42</v>
      </c>
      <c r="Z10" t="s">
        <v>707</v>
      </c>
      <c r="AB10">
        <v>309</v>
      </c>
      <c r="AC10" t="s">
        <v>708</v>
      </c>
    </row>
    <row r="11" spans="7:29">
      <c r="G11">
        <v>9</v>
      </c>
      <c r="H11" t="s">
        <v>709</v>
      </c>
      <c r="M11">
        <v>21</v>
      </c>
      <c r="N11" t="s">
        <v>710</v>
      </c>
      <c r="P11">
        <v>1090</v>
      </c>
      <c r="Q11" t="s">
        <v>711</v>
      </c>
      <c r="U11">
        <v>1150</v>
      </c>
      <c r="V11" t="s">
        <v>712</v>
      </c>
      <c r="W11">
        <v>11</v>
      </c>
      <c r="X11" t="s">
        <v>71</v>
      </c>
      <c r="Y11">
        <v>51</v>
      </c>
      <c r="Z11" t="s">
        <v>713</v>
      </c>
      <c r="AB11">
        <v>310</v>
      </c>
      <c r="AC11" t="s">
        <v>714</v>
      </c>
    </row>
    <row r="12" spans="7:29">
      <c r="G12">
        <v>11</v>
      </c>
      <c r="H12" t="s">
        <v>715</v>
      </c>
      <c r="M12">
        <v>31</v>
      </c>
      <c r="N12" t="s">
        <v>716</v>
      </c>
      <c r="P12">
        <v>1100</v>
      </c>
      <c r="Q12" t="s">
        <v>717</v>
      </c>
      <c r="U12">
        <v>1160</v>
      </c>
      <c r="V12" t="s">
        <v>718</v>
      </c>
      <c r="W12">
        <v>99</v>
      </c>
      <c r="X12" t="s">
        <v>719</v>
      </c>
      <c r="Y12">
        <v>61</v>
      </c>
      <c r="Z12" t="s">
        <v>720</v>
      </c>
      <c r="AB12">
        <v>311</v>
      </c>
      <c r="AC12" t="s">
        <v>721</v>
      </c>
    </row>
    <row r="13" spans="7:29">
      <c r="G13">
        <v>12</v>
      </c>
      <c r="H13" t="s">
        <v>722</v>
      </c>
      <c r="M13">
        <v>32</v>
      </c>
      <c r="N13" t="s">
        <v>723</v>
      </c>
      <c r="P13">
        <v>1110</v>
      </c>
      <c r="Q13" t="s">
        <v>724</v>
      </c>
      <c r="U13">
        <v>2010</v>
      </c>
      <c r="V13" t="s">
        <v>725</v>
      </c>
      <c r="W13" t="s">
        <v>726</v>
      </c>
      <c r="Y13">
        <v>101</v>
      </c>
      <c r="Z13" t="s">
        <v>727</v>
      </c>
      <c r="AB13">
        <v>401</v>
      </c>
      <c r="AC13" t="s">
        <v>728</v>
      </c>
    </row>
    <row r="14" spans="16:29">
      <c r="P14">
        <v>2010</v>
      </c>
      <c r="Q14" t="s">
        <v>729</v>
      </c>
      <c r="U14">
        <v>3010</v>
      </c>
      <c r="V14" t="s">
        <v>730</v>
      </c>
      <c r="AB14">
        <v>402</v>
      </c>
      <c r="AC14" t="s">
        <v>731</v>
      </c>
    </row>
    <row r="15" spans="16:29">
      <c r="P15">
        <v>2011</v>
      </c>
      <c r="Q15" t="s">
        <v>732</v>
      </c>
      <c r="U15">
        <v>3020</v>
      </c>
      <c r="V15" t="s">
        <v>733</v>
      </c>
      <c r="AB15">
        <v>403</v>
      </c>
      <c r="AC15" t="s">
        <v>734</v>
      </c>
    </row>
    <row r="16" spans="16:29">
      <c r="P16">
        <v>2020</v>
      </c>
      <c r="Q16" t="s">
        <v>735</v>
      </c>
      <c r="U16">
        <v>3030</v>
      </c>
      <c r="V16" t="s">
        <v>736</v>
      </c>
      <c r="AB16">
        <v>404</v>
      </c>
      <c r="AC16" t="s">
        <v>737</v>
      </c>
    </row>
    <row r="17" spans="16:29">
      <c r="P17">
        <v>2030</v>
      </c>
      <c r="Q17" t="s">
        <v>738</v>
      </c>
      <c r="U17">
        <v>3040</v>
      </c>
      <c r="V17" t="s">
        <v>739</v>
      </c>
      <c r="AB17">
        <v>501</v>
      </c>
      <c r="AC17" t="s">
        <v>740</v>
      </c>
    </row>
    <row r="18" spans="16:29">
      <c r="P18">
        <v>2040</v>
      </c>
      <c r="Q18" t="s">
        <v>741</v>
      </c>
      <c r="U18">
        <v>3050</v>
      </c>
      <c r="V18" t="s">
        <v>742</v>
      </c>
      <c r="AB18">
        <v>502</v>
      </c>
      <c r="AC18" t="s">
        <v>743</v>
      </c>
    </row>
    <row r="19" spans="16:29">
      <c r="P19">
        <v>2110</v>
      </c>
      <c r="Q19" t="s">
        <v>744</v>
      </c>
      <c r="U19">
        <v>3060</v>
      </c>
      <c r="V19" t="s">
        <v>745</v>
      </c>
      <c r="AB19">
        <v>503</v>
      </c>
      <c r="AC19" t="s">
        <v>746</v>
      </c>
    </row>
    <row r="20" spans="16:29">
      <c r="P20">
        <v>2120</v>
      </c>
      <c r="Q20" t="s">
        <v>747</v>
      </c>
      <c r="U20">
        <v>4010</v>
      </c>
      <c r="V20" t="s">
        <v>748</v>
      </c>
      <c r="AB20">
        <v>504</v>
      </c>
      <c r="AC20" t="s">
        <v>749</v>
      </c>
    </row>
    <row r="21" spans="16:29">
      <c r="P21">
        <v>2130</v>
      </c>
      <c r="Q21" t="s">
        <v>750</v>
      </c>
      <c r="U21">
        <v>4020</v>
      </c>
      <c r="V21" t="s">
        <v>751</v>
      </c>
      <c r="AB21">
        <v>505</v>
      </c>
      <c r="AC21" t="s">
        <v>752</v>
      </c>
    </row>
    <row r="22" spans="16:29">
      <c r="P22">
        <v>3010</v>
      </c>
      <c r="Q22" t="s">
        <v>753</v>
      </c>
      <c r="U22">
        <v>5010</v>
      </c>
      <c r="V22" t="s">
        <v>754</v>
      </c>
      <c r="AB22">
        <v>506</v>
      </c>
      <c r="AC22" t="s">
        <v>755</v>
      </c>
    </row>
    <row r="23" spans="16:29">
      <c r="P23">
        <v>3020</v>
      </c>
      <c r="Q23" t="s">
        <v>756</v>
      </c>
      <c r="U23">
        <v>5020</v>
      </c>
      <c r="V23" t="s">
        <v>757</v>
      </c>
      <c r="AB23">
        <v>507</v>
      </c>
      <c r="AC23" t="s">
        <v>758</v>
      </c>
    </row>
    <row r="24" spans="16:29">
      <c r="P24">
        <v>3030</v>
      </c>
      <c r="Q24" t="s">
        <v>759</v>
      </c>
      <c r="U24">
        <v>5030</v>
      </c>
      <c r="V24" t="s">
        <v>760</v>
      </c>
      <c r="AB24">
        <v>508</v>
      </c>
      <c r="AC24" t="s">
        <v>728</v>
      </c>
    </row>
    <row r="25" spans="16:29">
      <c r="P25">
        <v>3040</v>
      </c>
      <c r="Q25" t="s">
        <v>761</v>
      </c>
      <c r="U25">
        <v>5040</v>
      </c>
      <c r="V25" t="s">
        <v>762</v>
      </c>
      <c r="AB25">
        <v>509</v>
      </c>
      <c r="AC25" t="s">
        <v>734</v>
      </c>
    </row>
    <row r="26" spans="16:22">
      <c r="P26">
        <v>3050</v>
      </c>
      <c r="Q26" t="s">
        <v>763</v>
      </c>
      <c r="U26">
        <v>5050</v>
      </c>
      <c r="V26" t="s">
        <v>764</v>
      </c>
    </row>
    <row r="27" spans="16:22">
      <c r="P27">
        <v>3060</v>
      </c>
      <c r="Q27" t="s">
        <v>765</v>
      </c>
      <c r="U27">
        <v>5060</v>
      </c>
      <c r="V27" t="s">
        <v>766</v>
      </c>
    </row>
    <row r="28" spans="16:22">
      <c r="P28">
        <v>3070</v>
      </c>
      <c r="Q28" t="s">
        <v>767</v>
      </c>
      <c r="U28">
        <v>5070</v>
      </c>
      <c r="V28" t="s">
        <v>768</v>
      </c>
    </row>
    <row r="29" spans="16:22">
      <c r="P29">
        <v>4010</v>
      </c>
      <c r="Q29" t="s">
        <v>769</v>
      </c>
      <c r="U29">
        <v>5080</v>
      </c>
      <c r="V29" t="s">
        <v>770</v>
      </c>
    </row>
    <row r="30" spans="16:22">
      <c r="P30">
        <v>4011</v>
      </c>
      <c r="Q30" t="s">
        <v>771</v>
      </c>
      <c r="U30">
        <v>5090</v>
      </c>
      <c r="V30" t="s">
        <v>772</v>
      </c>
    </row>
    <row r="31" spans="16:22">
      <c r="P31">
        <v>4020</v>
      </c>
      <c r="Q31" t="s">
        <v>773</v>
      </c>
      <c r="U31">
        <v>5100</v>
      </c>
      <c r="V31" t="s">
        <v>774</v>
      </c>
    </row>
    <row r="32" spans="16:22">
      <c r="P32">
        <v>4030</v>
      </c>
      <c r="Q32" t="s">
        <v>775</v>
      </c>
      <c r="U32">
        <v>5110</v>
      </c>
      <c r="V32" t="s">
        <v>776</v>
      </c>
    </row>
    <row r="33" spans="16:22">
      <c r="P33">
        <v>4040</v>
      </c>
      <c r="Q33" t="s">
        <v>777</v>
      </c>
      <c r="U33">
        <v>5120</v>
      </c>
      <c r="V33" t="s">
        <v>778</v>
      </c>
    </row>
    <row r="34" spans="16:22">
      <c r="P34">
        <v>4041</v>
      </c>
      <c r="Q34" t="s">
        <v>779</v>
      </c>
      <c r="U34">
        <v>5130</v>
      </c>
      <c r="V34" t="s">
        <v>780</v>
      </c>
    </row>
    <row r="35" spans="16:22">
      <c r="P35">
        <v>5010</v>
      </c>
      <c r="Q35" t="s">
        <v>781</v>
      </c>
      <c r="U35">
        <v>5140</v>
      </c>
      <c r="V35" t="s">
        <v>782</v>
      </c>
    </row>
    <row r="36" spans="16:22">
      <c r="P36">
        <v>5011</v>
      </c>
      <c r="Q36" t="s">
        <v>783</v>
      </c>
      <c r="U36">
        <v>5150</v>
      </c>
      <c r="V36" t="s">
        <v>784</v>
      </c>
    </row>
    <row r="37" spans="16:22">
      <c r="P37">
        <v>5012</v>
      </c>
      <c r="Q37" t="s">
        <v>785</v>
      </c>
      <c r="U37">
        <v>6010</v>
      </c>
      <c r="V37" t="s">
        <v>786</v>
      </c>
    </row>
    <row r="38" spans="16:22">
      <c r="P38">
        <v>5020</v>
      </c>
      <c r="Q38" t="s">
        <v>787</v>
      </c>
      <c r="U38">
        <v>6020</v>
      </c>
      <c r="V38" t="s">
        <v>788</v>
      </c>
    </row>
    <row r="39" spans="16:22">
      <c r="P39">
        <v>5030</v>
      </c>
      <c r="Q39" t="s">
        <v>789</v>
      </c>
      <c r="U39">
        <v>6030</v>
      </c>
      <c r="V39" t="s">
        <v>790</v>
      </c>
    </row>
    <row r="40" spans="16:22">
      <c r="P40">
        <v>5040</v>
      </c>
      <c r="Q40" t="s">
        <v>791</v>
      </c>
      <c r="U40">
        <v>6040</v>
      </c>
      <c r="V40" t="s">
        <v>792</v>
      </c>
    </row>
    <row r="41" spans="16:22">
      <c r="P41">
        <v>5050</v>
      </c>
      <c r="Q41" t="s">
        <v>793</v>
      </c>
      <c r="U41">
        <v>6050</v>
      </c>
      <c r="V41" t="s">
        <v>794</v>
      </c>
    </row>
    <row r="42" spans="16:22">
      <c r="P42">
        <v>6010</v>
      </c>
      <c r="Q42" t="s">
        <v>795</v>
      </c>
      <c r="U42">
        <v>6060</v>
      </c>
      <c r="V42" t="s">
        <v>796</v>
      </c>
    </row>
    <row r="43" spans="16:22">
      <c r="P43">
        <v>6020</v>
      </c>
      <c r="Q43" t="s">
        <v>797</v>
      </c>
      <c r="U43">
        <v>6110</v>
      </c>
      <c r="V43" t="s">
        <v>798</v>
      </c>
    </row>
    <row r="44" spans="16:22">
      <c r="P44">
        <v>6030</v>
      </c>
      <c r="Q44" t="s">
        <v>799</v>
      </c>
      <c r="U44">
        <v>6120</v>
      </c>
      <c r="V44" t="s">
        <v>800</v>
      </c>
    </row>
    <row r="45" spans="16:22">
      <c r="P45">
        <v>6040</v>
      </c>
      <c r="Q45" t="s">
        <v>801</v>
      </c>
      <c r="U45">
        <v>6130</v>
      </c>
      <c r="V45" t="s">
        <v>802</v>
      </c>
    </row>
    <row r="46" spans="16:22">
      <c r="P46">
        <v>6050</v>
      </c>
      <c r="Q46" t="s">
        <v>803</v>
      </c>
      <c r="U46">
        <v>6140</v>
      </c>
      <c r="V46" t="s">
        <v>804</v>
      </c>
    </row>
    <row r="47" spans="16:22">
      <c r="P47">
        <v>6060</v>
      </c>
      <c r="Q47" t="s">
        <v>805</v>
      </c>
      <c r="U47">
        <v>6150</v>
      </c>
      <c r="V47" t="s">
        <v>806</v>
      </c>
    </row>
    <row r="48" spans="16:22">
      <c r="P48">
        <v>6070</v>
      </c>
      <c r="Q48" t="s">
        <v>807</v>
      </c>
      <c r="U48">
        <v>6210</v>
      </c>
      <c r="V48" t="s">
        <v>808</v>
      </c>
    </row>
    <row r="49" spans="16:22">
      <c r="P49">
        <v>6080</v>
      </c>
      <c r="Q49" t="s">
        <v>809</v>
      </c>
      <c r="U49">
        <v>6220</v>
      </c>
      <c r="V49" t="s">
        <v>810</v>
      </c>
    </row>
    <row r="50" spans="16:22">
      <c r="P50">
        <v>6100</v>
      </c>
      <c r="Q50" t="s">
        <v>811</v>
      </c>
      <c r="U50">
        <v>6230</v>
      </c>
      <c r="V50" t="s">
        <v>812</v>
      </c>
    </row>
    <row r="51" spans="16:22">
      <c r="P51">
        <v>6210</v>
      </c>
      <c r="Q51" t="s">
        <v>813</v>
      </c>
      <c r="U51">
        <v>6240</v>
      </c>
      <c r="V51" t="s">
        <v>814</v>
      </c>
    </row>
    <row r="52" spans="16:22">
      <c r="P52">
        <v>6310</v>
      </c>
      <c r="Q52" t="s">
        <v>815</v>
      </c>
      <c r="U52">
        <v>6250</v>
      </c>
      <c r="V52" t="s">
        <v>816</v>
      </c>
    </row>
    <row r="53" spans="16:22">
      <c r="P53">
        <v>7010</v>
      </c>
      <c r="Q53" t="s">
        <v>817</v>
      </c>
      <c r="U53">
        <v>6310</v>
      </c>
      <c r="V53" t="s">
        <v>818</v>
      </c>
    </row>
    <row r="54" spans="16:22">
      <c r="P54">
        <v>7020</v>
      </c>
      <c r="Q54" t="s">
        <v>819</v>
      </c>
      <c r="U54">
        <v>6320</v>
      </c>
      <c r="V54" t="s">
        <v>820</v>
      </c>
    </row>
    <row r="55" spans="16:22">
      <c r="P55">
        <v>7030</v>
      </c>
      <c r="Q55" t="s">
        <v>821</v>
      </c>
      <c r="U55">
        <v>6330</v>
      </c>
      <c r="V55" t="s">
        <v>822</v>
      </c>
    </row>
    <row r="56" spans="16:22">
      <c r="P56">
        <v>8010</v>
      </c>
      <c r="Q56" t="s">
        <v>823</v>
      </c>
      <c r="U56">
        <v>6340</v>
      </c>
      <c r="V56" t="s">
        <v>824</v>
      </c>
    </row>
    <row r="57" spans="16:22">
      <c r="P57">
        <v>8020</v>
      </c>
      <c r="Q57" t="s">
        <v>825</v>
      </c>
      <c r="U57">
        <v>6350</v>
      </c>
      <c r="V57" t="s">
        <v>826</v>
      </c>
    </row>
    <row r="58" spans="16:22">
      <c r="P58">
        <v>9010</v>
      </c>
      <c r="Q58" t="s">
        <v>827</v>
      </c>
      <c r="U58">
        <v>7010</v>
      </c>
      <c r="V58" t="s">
        <v>828</v>
      </c>
    </row>
    <row r="59" spans="16:22">
      <c r="P59">
        <v>10010</v>
      </c>
      <c r="Q59" t="s">
        <v>829</v>
      </c>
      <c r="U59">
        <v>7020</v>
      </c>
      <c r="V59" t="s">
        <v>830</v>
      </c>
    </row>
    <row r="60" spans="16:22">
      <c r="P60">
        <v>10020</v>
      </c>
      <c r="Q60" t="s">
        <v>831</v>
      </c>
      <c r="U60">
        <v>7030</v>
      </c>
      <c r="V60" t="s">
        <v>832</v>
      </c>
    </row>
    <row r="61" spans="16:22">
      <c r="P61">
        <v>11010</v>
      </c>
      <c r="Q61" t="s">
        <v>833</v>
      </c>
      <c r="U61">
        <v>7040</v>
      </c>
      <c r="V61" t="s">
        <v>834</v>
      </c>
    </row>
    <row r="62" spans="16:22">
      <c r="P62">
        <v>12010</v>
      </c>
      <c r="Q62" t="s">
        <v>835</v>
      </c>
      <c r="U62">
        <v>7050</v>
      </c>
      <c r="V62" t="s">
        <v>836</v>
      </c>
    </row>
    <row r="63" spans="16:22">
      <c r="P63">
        <v>13010</v>
      </c>
      <c r="Q63" t="s">
        <v>837</v>
      </c>
      <c r="U63">
        <v>7060</v>
      </c>
      <c r="V63" t="s">
        <v>838</v>
      </c>
    </row>
    <row r="64" spans="16:22">
      <c r="P64">
        <v>14010</v>
      </c>
      <c r="Q64" t="s">
        <v>839</v>
      </c>
      <c r="U64">
        <v>7070</v>
      </c>
      <c r="V64" t="s">
        <v>840</v>
      </c>
    </row>
    <row r="65" spans="16:22">
      <c r="P65">
        <v>14080</v>
      </c>
      <c r="Q65" t="s">
        <v>841</v>
      </c>
      <c r="U65">
        <v>8010</v>
      </c>
      <c r="V65" t="s">
        <v>842</v>
      </c>
    </row>
    <row r="66" spans="16:22">
      <c r="P66">
        <v>40010</v>
      </c>
      <c r="Q66" t="s">
        <v>843</v>
      </c>
      <c r="U66">
        <v>8020</v>
      </c>
      <c r="V66" t="s">
        <v>844</v>
      </c>
    </row>
    <row r="67" spans="16:22">
      <c r="P67">
        <v>40020</v>
      </c>
      <c r="Q67" t="s">
        <v>845</v>
      </c>
      <c r="U67">
        <v>8030</v>
      </c>
      <c r="V67" t="s">
        <v>846</v>
      </c>
    </row>
    <row r="68" spans="16:22">
      <c r="P68">
        <v>40030</v>
      </c>
      <c r="Q68" t="s">
        <v>847</v>
      </c>
      <c r="U68">
        <v>8040</v>
      </c>
      <c r="V68" t="s">
        <v>848</v>
      </c>
    </row>
    <row r="69" spans="16:22">
      <c r="P69">
        <v>40040</v>
      </c>
      <c r="Q69" t="s">
        <v>849</v>
      </c>
      <c r="U69">
        <v>8050</v>
      </c>
      <c r="V69" t="s">
        <v>850</v>
      </c>
    </row>
    <row r="70" spans="16:22">
      <c r="P70">
        <v>40050</v>
      </c>
      <c r="Q70" t="s">
        <v>851</v>
      </c>
      <c r="U70">
        <v>8060</v>
      </c>
      <c r="V70" t="s">
        <v>852</v>
      </c>
    </row>
    <row r="71" spans="16:22">
      <c r="P71">
        <v>40060</v>
      </c>
      <c r="Q71" t="s">
        <v>853</v>
      </c>
      <c r="U71">
        <v>9010</v>
      </c>
      <c r="V71" t="s">
        <v>854</v>
      </c>
    </row>
    <row r="72" spans="16:22">
      <c r="P72">
        <v>40070</v>
      </c>
      <c r="Q72" t="s">
        <v>855</v>
      </c>
      <c r="U72">
        <v>9020</v>
      </c>
      <c r="V72" t="s">
        <v>856</v>
      </c>
    </row>
    <row r="73" spans="16:22">
      <c r="P73">
        <v>40080</v>
      </c>
      <c r="Q73" t="s">
        <v>857</v>
      </c>
      <c r="U73">
        <v>9030</v>
      </c>
      <c r="V73" t="s">
        <v>858</v>
      </c>
    </row>
    <row r="74" spans="16:22">
      <c r="P74">
        <v>40090</v>
      </c>
      <c r="Q74" t="s">
        <v>859</v>
      </c>
      <c r="U74">
        <v>9031</v>
      </c>
      <c r="V74" t="s">
        <v>860</v>
      </c>
    </row>
    <row r="75" spans="21:22">
      <c r="U75">
        <v>9040</v>
      </c>
      <c r="V75" t="s">
        <v>861</v>
      </c>
    </row>
    <row r="76" spans="21:22">
      <c r="U76">
        <v>9110</v>
      </c>
      <c r="V76" t="s">
        <v>862</v>
      </c>
    </row>
    <row r="77" spans="21:22">
      <c r="U77">
        <v>9120</v>
      </c>
      <c r="V77" t="s">
        <v>863</v>
      </c>
    </row>
    <row r="78" spans="21:22">
      <c r="U78">
        <v>10010</v>
      </c>
      <c r="V78" t="s">
        <v>864</v>
      </c>
    </row>
    <row r="79" spans="21:22">
      <c r="U79">
        <v>10020</v>
      </c>
      <c r="V79" t="s">
        <v>865</v>
      </c>
    </row>
    <row r="80" spans="21:22">
      <c r="U80">
        <v>10030</v>
      </c>
      <c r="V80" t="s">
        <v>866</v>
      </c>
    </row>
    <row r="81" spans="21:22">
      <c r="U81">
        <v>10110</v>
      </c>
      <c r="V81" t="s">
        <v>867</v>
      </c>
    </row>
    <row r="82" spans="21:22">
      <c r="U82">
        <v>10120</v>
      </c>
      <c r="V82" t="s">
        <v>868</v>
      </c>
    </row>
    <row r="83" spans="21:22">
      <c r="U83">
        <v>10130</v>
      </c>
      <c r="V83" t="s">
        <v>869</v>
      </c>
    </row>
    <row r="84" spans="21:22">
      <c r="U84">
        <v>11010</v>
      </c>
      <c r="V84" t="s">
        <v>870</v>
      </c>
    </row>
    <row r="85" spans="21:22">
      <c r="U85">
        <v>11011</v>
      </c>
      <c r="V85" t="s">
        <v>871</v>
      </c>
    </row>
    <row r="86" spans="21:22">
      <c r="U86">
        <v>11020</v>
      </c>
      <c r="V86" t="s">
        <v>872</v>
      </c>
    </row>
    <row r="87" spans="21:22">
      <c r="U87">
        <v>12010</v>
      </c>
      <c r="V87" t="s">
        <v>873</v>
      </c>
    </row>
    <row r="88" spans="21:22">
      <c r="U88">
        <v>12011</v>
      </c>
      <c r="V88" t="s">
        <v>874</v>
      </c>
    </row>
    <row r="89" spans="21:22">
      <c r="U89">
        <v>12030</v>
      </c>
      <c r="V89" t="s">
        <v>875</v>
      </c>
    </row>
    <row r="90" spans="21:22">
      <c r="U90">
        <v>12040</v>
      </c>
      <c r="V90" t="s">
        <v>876</v>
      </c>
    </row>
    <row r="91" spans="21:22">
      <c r="U91">
        <v>12041</v>
      </c>
      <c r="V91" t="s">
        <v>877</v>
      </c>
    </row>
    <row r="92" spans="21:22">
      <c r="U92">
        <v>12042</v>
      </c>
      <c r="V92" t="s">
        <v>878</v>
      </c>
    </row>
    <row r="93" spans="21:22">
      <c r="U93">
        <v>12043</v>
      </c>
      <c r="V93" t="s">
        <v>879</v>
      </c>
    </row>
    <row r="94" spans="21:22">
      <c r="U94">
        <v>12050</v>
      </c>
      <c r="V94" t="s">
        <v>880</v>
      </c>
    </row>
    <row r="95" spans="21:22">
      <c r="U95">
        <v>12060</v>
      </c>
      <c r="V95" t="s">
        <v>881</v>
      </c>
    </row>
    <row r="96" spans="21:22">
      <c r="U96">
        <v>12063</v>
      </c>
      <c r="V96" t="s">
        <v>882</v>
      </c>
    </row>
    <row r="97" spans="21:22">
      <c r="U97">
        <v>12064</v>
      </c>
      <c r="V97" t="s">
        <v>883</v>
      </c>
    </row>
    <row r="98" spans="21:22">
      <c r="U98">
        <v>12066</v>
      </c>
      <c r="V98" t="s">
        <v>884</v>
      </c>
    </row>
    <row r="99" spans="21:22">
      <c r="U99">
        <v>12067</v>
      </c>
      <c r="V99" t="s">
        <v>885</v>
      </c>
    </row>
    <row r="100" spans="21:22">
      <c r="U100">
        <v>12070</v>
      </c>
      <c r="V100" t="s">
        <v>886</v>
      </c>
    </row>
    <row r="101" spans="21:22">
      <c r="U101">
        <v>12071</v>
      </c>
      <c r="V101" t="s">
        <v>887</v>
      </c>
    </row>
    <row r="102" spans="21:22">
      <c r="U102">
        <v>12072</v>
      </c>
      <c r="V102" t="s">
        <v>888</v>
      </c>
    </row>
    <row r="103" spans="21:22">
      <c r="U103">
        <v>12082</v>
      </c>
      <c r="V103" t="s">
        <v>889</v>
      </c>
    </row>
    <row r="104" spans="21:22">
      <c r="U104">
        <v>12092</v>
      </c>
      <c r="V104" t="s">
        <v>890</v>
      </c>
    </row>
    <row r="105" spans="21:22">
      <c r="U105">
        <v>12110</v>
      </c>
      <c r="V105" t="s">
        <v>891</v>
      </c>
    </row>
    <row r="106" spans="21:22">
      <c r="U106">
        <v>13010</v>
      </c>
      <c r="V106" t="s">
        <v>892</v>
      </c>
    </row>
    <row r="107" spans="21:22">
      <c r="U107">
        <v>13020</v>
      </c>
      <c r="V107" t="s">
        <v>893</v>
      </c>
    </row>
    <row r="108" spans="21:22">
      <c r="U108">
        <v>14010</v>
      </c>
      <c r="V108" t="s">
        <v>894</v>
      </c>
    </row>
    <row r="109" spans="21:22">
      <c r="U109">
        <v>14110</v>
      </c>
      <c r="V109" t="s">
        <v>895</v>
      </c>
    </row>
    <row r="110" spans="21:22">
      <c r="U110">
        <v>14210</v>
      </c>
      <c r="V110" t="s">
        <v>896</v>
      </c>
    </row>
    <row r="111" spans="21:22">
      <c r="U111">
        <v>14310</v>
      </c>
      <c r="V111" t="s">
        <v>897</v>
      </c>
    </row>
    <row r="112" spans="21:22">
      <c r="U112">
        <v>14410</v>
      </c>
      <c r="V112" t="s">
        <v>898</v>
      </c>
    </row>
    <row r="113" spans="21:22">
      <c r="U113">
        <v>14420</v>
      </c>
      <c r="V113" t="s">
        <v>899</v>
      </c>
    </row>
    <row r="114" spans="21:22">
      <c r="U114">
        <v>14520</v>
      </c>
      <c r="V114" t="s">
        <v>900</v>
      </c>
    </row>
    <row r="115" spans="21:22">
      <c r="U115">
        <v>15010</v>
      </c>
      <c r="V115" t="s">
        <v>901</v>
      </c>
    </row>
    <row r="116" spans="21:22">
      <c r="U116">
        <v>15011</v>
      </c>
      <c r="V116" t="s">
        <v>902</v>
      </c>
    </row>
    <row r="117" spans="21:22">
      <c r="U117">
        <v>15022</v>
      </c>
      <c r="V117" t="s">
        <v>903</v>
      </c>
    </row>
    <row r="118" spans="21:22">
      <c r="U118">
        <v>16010</v>
      </c>
      <c r="V118" t="s">
        <v>904</v>
      </c>
    </row>
    <row r="119" spans="21:22">
      <c r="U119">
        <v>16020</v>
      </c>
      <c r="V119" t="s">
        <v>905</v>
      </c>
    </row>
    <row r="120" spans="21:22">
      <c r="U120">
        <v>17010</v>
      </c>
      <c r="V120" t="s">
        <v>906</v>
      </c>
    </row>
    <row r="121" spans="21:22">
      <c r="U121">
        <v>17020</v>
      </c>
      <c r="V121" t="s">
        <v>907</v>
      </c>
    </row>
    <row r="122" spans="21:22">
      <c r="U122">
        <v>17030</v>
      </c>
      <c r="V122" t="s">
        <v>908</v>
      </c>
    </row>
    <row r="123" spans="21:22">
      <c r="U123">
        <v>17040</v>
      </c>
      <c r="V123" t="s">
        <v>909</v>
      </c>
    </row>
    <row r="124" spans="21:22">
      <c r="U124">
        <v>17050</v>
      </c>
      <c r="V124" t="s">
        <v>910</v>
      </c>
    </row>
    <row r="125" spans="21:22">
      <c r="U125">
        <v>17060</v>
      </c>
      <c r="V125" t="s">
        <v>911</v>
      </c>
    </row>
    <row r="126" spans="21:22">
      <c r="U126">
        <v>18010</v>
      </c>
      <c r="V126" t="s">
        <v>912</v>
      </c>
    </row>
    <row r="127" spans="21:22">
      <c r="U127">
        <v>18020</v>
      </c>
      <c r="V127" t="s">
        <v>913</v>
      </c>
    </row>
    <row r="128" spans="21:22">
      <c r="U128">
        <v>19010</v>
      </c>
      <c r="V128" t="s">
        <v>914</v>
      </c>
    </row>
    <row r="129" spans="21:22">
      <c r="U129">
        <v>19020</v>
      </c>
      <c r="V129" t="s">
        <v>915</v>
      </c>
    </row>
    <row r="130" spans="21:22">
      <c r="U130">
        <v>19030</v>
      </c>
      <c r="V130" t="s">
        <v>916</v>
      </c>
    </row>
    <row r="131" spans="21:22">
      <c r="U131">
        <v>20030</v>
      </c>
      <c r="V131" t="s">
        <v>891</v>
      </c>
    </row>
    <row r="132" spans="21:22">
      <c r="U132">
        <v>20040</v>
      </c>
      <c r="V132" t="s">
        <v>917</v>
      </c>
    </row>
    <row r="133" spans="21:22">
      <c r="U133">
        <v>20050</v>
      </c>
      <c r="V133" t="s">
        <v>918</v>
      </c>
    </row>
    <row r="134" spans="21:22">
      <c r="U134">
        <v>20070</v>
      </c>
      <c r="V134" t="s">
        <v>919</v>
      </c>
    </row>
    <row r="135" spans="21:22">
      <c r="U135">
        <v>20071</v>
      </c>
      <c r="V135" t="s">
        <v>920</v>
      </c>
    </row>
    <row r="136" spans="21:22">
      <c r="U136">
        <v>20110</v>
      </c>
      <c r="V136" t="s">
        <v>921</v>
      </c>
    </row>
    <row r="137" spans="21:22">
      <c r="U137">
        <v>20120</v>
      </c>
      <c r="V137" t="s">
        <v>922</v>
      </c>
    </row>
    <row r="138" spans="21:22">
      <c r="U138">
        <v>20130</v>
      </c>
      <c r="V138" t="s">
        <v>923</v>
      </c>
    </row>
    <row r="139" spans="21:22">
      <c r="U139">
        <v>20140</v>
      </c>
      <c r="V139" t="s">
        <v>924</v>
      </c>
    </row>
    <row r="140" spans="21:22">
      <c r="U140">
        <v>20150</v>
      </c>
      <c r="V140" t="s">
        <v>925</v>
      </c>
    </row>
    <row r="141" spans="21:22">
      <c r="U141">
        <v>20160</v>
      </c>
      <c r="V141" t="s">
        <v>926</v>
      </c>
    </row>
    <row r="142" spans="21:22">
      <c r="U142">
        <v>23010</v>
      </c>
      <c r="V142" t="s">
        <v>927</v>
      </c>
    </row>
    <row r="143" spans="21:22">
      <c r="U143">
        <v>24010</v>
      </c>
      <c r="V143" t="s">
        <v>928</v>
      </c>
    </row>
    <row r="144" spans="21:22">
      <c r="U144">
        <v>30010</v>
      </c>
      <c r="V144" t="s">
        <v>929</v>
      </c>
    </row>
    <row r="145" spans="21:22">
      <c r="U145">
        <v>30020</v>
      </c>
      <c r="V145" t="s">
        <v>930</v>
      </c>
    </row>
    <row r="146" spans="21:22">
      <c r="U146">
        <v>40010</v>
      </c>
      <c r="V146" t="s">
        <v>931</v>
      </c>
    </row>
    <row r="147" spans="21:22">
      <c r="U147">
        <v>40020</v>
      </c>
      <c r="V147" t="s">
        <v>932</v>
      </c>
    </row>
    <row r="148" spans="21:22">
      <c r="U148">
        <v>40030</v>
      </c>
      <c r="V148" t="s">
        <v>933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2026-06-27T14:15:37Z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