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5309C123-2534-4C59-886F-28B5E819D2C9}" xr6:coauthVersionLast="47" xr6:coauthVersionMax="47" xr10:uidLastSave="{00000000-0000-0000-0000-000000000000}"/>
  <bookViews>
    <workbookView xWindow="-110" yWindow="490" windowWidth="19420" windowHeight="11620" tabRatio="802" firstSheet="2" activeTab="8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8" l="1"/>
  <c r="F49" i="8"/>
  <c r="F48" i="8"/>
  <c r="F47" i="8"/>
  <c r="F46" i="8"/>
  <c r="F45" i="8"/>
  <c r="F44" i="8"/>
  <c r="F43" i="8"/>
  <c r="F42" i="8"/>
  <c r="F41" i="8"/>
  <c r="F40" i="8"/>
  <c r="F39" i="8"/>
  <c r="F38" i="8"/>
  <c r="F36" i="8"/>
  <c r="F35" i="8"/>
  <c r="F34" i="8"/>
  <c r="F33" i="8"/>
  <c r="F30" i="8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<sst xmlns="http://schemas.openxmlformats.org/spreadsheetml/2006/main" count="170" uniqueCount="130">
  <si>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</si>
  <si>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</si>
  <si>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</si>
  <si>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</si>
  <si>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</si>
  <si>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</si>
  <si>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</si>
  <si>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</si>
  <si>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</si>
  <si>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</si>
  <si>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</si>
  <si>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</si>
  <si>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</si>
  <si>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</si>
  <si>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</si>
  <si>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</si>
  <si>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</si>
  <si>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</si>
  <si>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</si>
  <si>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</si>
  <si>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</si>
  <si>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</si>
  <si>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</si>
  <si>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</si>
  <si>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</si>
  <si>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</si>
  <si>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</si>
  <si>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</si>
  <si>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</si>
  <si>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</si>
  <si>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</si>
  <si>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</si>
  <si>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</si>
  <si>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</si>
  <si>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</si>
  <si>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</si>
  <si>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</si>
  <si>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</si>
  <si>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</si>
  <si>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</si>
  <si>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</si>
  <si>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</si>
  <si>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</si>
  <si>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</si>
  <si>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</si>
  <si>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</si>
  <si>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</si>
  <si>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</si>
  <si>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</si>
  <si>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</si>
  <si>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</si>
  <si>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</si>
  <si>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</si>
  <si>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</si>
  <si>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</si>
  <si>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</si>
  <si>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</si>
  <si>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</si>
  <si>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</si>
  <si>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</si>
  <si>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</si>
  <si>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</si>
  <si>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</si>
  <si>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</si>
  <si>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</si>
  <si>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</si>
  <si>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</si>
  <si>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</si>
  <si>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</si>
  <si>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</si>
  <si>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</si>
  <si>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</si>
  <si>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</si>
  <si>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</si>
  <si>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</si>
  <si>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</si>
  <si>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</si>
  <si>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</si>
  <si>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</si>
  <si>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</si>
  <si>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</si>
  <si>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</si>
  <si>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</si>
  <si>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</si>
  <si>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</si>
  <si>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</si>
  <si>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</si>
  <si>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</si>
  <si>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</si>
  <si>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</si>
  <si>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</si>
  <si>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</si>
  <si>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</si>
  <si>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</si>
  <si>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</si>
  <si>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</si>
  <si>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</si>
  <si>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</si>
  <si>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</si>
  <si>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</si>
  <si>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</si>
  <si>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</si>
  <si>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</si>
  <si>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</si>
  <si>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</si>
  <si>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</si>
  <si>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</si>
  <si>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</si>
  <si>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</si>
  <si>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</si>
  <si>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</si>
  <si>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</si>
  <si>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</si>
  <si>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</si>
  <si>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</si>
  <si>
    <t>徘徊</t>
    <phoneticPr fontId="2"/>
  </si>
  <si>
    <t>ランダムに移動。</t>
    <phoneticPr fontId="2"/>
  </si>
  <si>
    <t>巡回</t>
    <phoneticPr fontId="2"/>
  </si>
  <si>
    <t>射程内に攻撃可能な敵がいれば攻撃、いなければ一定のルートを移動。</t>
    <phoneticPr fontId="2"/>
  </si>
  <si>
    <t>SymbolId</t>
    <phoneticPr fontId="2"/>
  </si>
  <si>
    <t>Param1</t>
    <phoneticPr fontId="2"/>
  </si>
  <si>
    <t>Param2</t>
    <phoneticPr fontId="2"/>
  </si>
  <si>
    <t>Param3</t>
    <phoneticPr fontId="2"/>
  </si>
  <si>
    <t>Param4</t>
    <phoneticPr fontId="2"/>
  </si>
  <si>
    <t>固定</t>
    <phoneticPr fontId="2"/>
  </si>
  <si>
    <t>その場を動かない。
その場から攻撃可能なら攻撃する。
隣接など攻撃可能でないと挑発は出来ない。</t>
    <phoneticPr fontId="2"/>
  </si>
  <si>
    <t>移動</t>
    <rPh sb="0" eb="2">
      <t>イドウ</t>
    </rPh>
    <phoneticPr fontId="2"/>
  </si>
  <si>
    <t>特定の目標に向かって移動。攻撃してこない。</t>
    <phoneticPr fontId="2"/>
  </si>
  <si>
    <t>離脱</t>
    <phoneticPr fontId="2"/>
  </si>
  <si>
    <t>離脱ポイントへ向かう。攻撃してこない。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</si>
</sst>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workbookViewId="0">
      <selection activeCell="K6" sqref="K6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74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9"/>
  <sheetViews>
    <sheetView topLeftCell="A28" workbookViewId="0">
      <selection activeCell="M50" sqref="M50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</row>
    <row r="33" spans="1:15" x14ac:dyDescent="0.2">
      <c r="A33">
        <v>11000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1001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11010</v>
      </c>
      <c r="B34">
        <v>1030</v>
      </c>
      <c r="C34">
        <v>-1</v>
      </c>
      <c r="D34">
        <v>0</v>
      </c>
      <c r="E34">
        <v>70</v>
      </c>
      <c r="F34" t="str">
        <f>INDEX(Define!L:L,MATCH(E34,Define!K:K))</f>
        <v>SelectActor</v>
      </c>
      <c r="G34">
        <v>0</v>
      </c>
      <c r="H34">
        <v>100</v>
      </c>
      <c r="I34">
        <v>0</v>
      </c>
      <c r="J34">
        <v>0</v>
      </c>
      <c r="K34">
        <v>1002</v>
      </c>
      <c r="L34">
        <v>0</v>
      </c>
      <c r="M34">
        <v>0</v>
      </c>
      <c r="N34">
        <v>0</v>
      </c>
      <c r="O34" t="s">
        <v>23</v>
      </c>
    </row>
    <row r="35" spans="1:15" x14ac:dyDescent="0.2">
      <c r="A35">
        <v>10020</v>
      </c>
      <c r="B35">
        <v>1030</v>
      </c>
      <c r="C35">
        <v>6</v>
      </c>
      <c r="D35">
        <v>4</v>
      </c>
      <c r="E35">
        <v>20</v>
      </c>
      <c r="F35" t="str">
        <f>INDEX(Define!L:L,MATCH(E35,Define!K:K))</f>
        <v>Basement</v>
      </c>
      <c r="G35">
        <v>1</v>
      </c>
      <c r="H35">
        <v>100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5" x14ac:dyDescent="0.2">
      <c r="A36">
        <v>10030</v>
      </c>
      <c r="B36">
        <v>1030</v>
      </c>
      <c r="C36">
        <v>8</v>
      </c>
      <c r="D36">
        <v>4</v>
      </c>
      <c r="E36">
        <v>30</v>
      </c>
      <c r="F36" t="str">
        <f>INDEX(Define!L:L,MATCH(E36,Define!K:K))</f>
        <v>Alcana</v>
      </c>
      <c r="G36">
        <v>1</v>
      </c>
      <c r="H36">
        <v>100</v>
      </c>
      <c r="I36">
        <v>0</v>
      </c>
      <c r="J36">
        <v>0</v>
      </c>
      <c r="K36">
        <v>11010</v>
      </c>
      <c r="L36">
        <v>0</v>
      </c>
      <c r="M36">
        <v>0</v>
      </c>
      <c r="N36">
        <v>0</v>
      </c>
    </row>
    <row r="37" spans="1:15" x14ac:dyDescent="0.2">
      <c r="A37">
        <v>10040</v>
      </c>
      <c r="B37">
        <v>1030</v>
      </c>
      <c r="C37">
        <v>10</v>
      </c>
      <c r="D37">
        <v>4</v>
      </c>
      <c r="E37">
        <v>40</v>
      </c>
      <c r="F37" t="str">
        <f>INDEX(Define!L:L,MATCH(E37,Define!K:K))</f>
        <v>GetItem</v>
      </c>
      <c r="G37">
        <v>1</v>
      </c>
      <c r="H37">
        <v>100</v>
      </c>
      <c r="I37">
        <v>0</v>
      </c>
      <c r="J37">
        <v>0</v>
      </c>
      <c r="K37">
        <v>10</v>
      </c>
      <c r="L37">
        <v>0</v>
      </c>
      <c r="M37">
        <v>0</v>
      </c>
      <c r="N37">
        <v>0</v>
      </c>
    </row>
    <row r="38" spans="1:15" x14ac:dyDescent="0.2">
      <c r="A38">
        <v>10050</v>
      </c>
      <c r="B38">
        <v>1030</v>
      </c>
      <c r="C38">
        <v>5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10060</v>
      </c>
      <c r="B39">
        <v>1030</v>
      </c>
      <c r="C39">
        <v>7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10070</v>
      </c>
      <c r="B40">
        <v>1030</v>
      </c>
      <c r="C40">
        <v>9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10080</v>
      </c>
      <c r="B41">
        <v>1030</v>
      </c>
      <c r="C41">
        <v>11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11020</v>
      </c>
      <c r="B42">
        <v>1030</v>
      </c>
      <c r="C42">
        <v>13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11030</v>
      </c>
      <c r="B43">
        <v>1030</v>
      </c>
      <c r="C43">
        <v>15</v>
      </c>
      <c r="D43">
        <v>5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11040</v>
      </c>
      <c r="B44">
        <v>1030</v>
      </c>
      <c r="C44">
        <v>14</v>
      </c>
      <c r="D44">
        <v>3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11050</v>
      </c>
      <c r="B45">
        <v>1030</v>
      </c>
      <c r="C45">
        <v>14</v>
      </c>
      <c r="D45">
        <v>5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11060</v>
      </c>
      <c r="B46">
        <v>1030</v>
      </c>
      <c r="C46">
        <v>15</v>
      </c>
      <c r="D46">
        <v>3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11070</v>
      </c>
      <c r="B47">
        <v>1030</v>
      </c>
      <c r="C47">
        <v>15</v>
      </c>
      <c r="D47">
        <v>4</v>
      </c>
      <c r="E47">
        <v>0</v>
      </c>
      <c r="F47" t="str">
        <f>INDEX(Define!L:L,MATCH(E47,Define!K:K))</f>
        <v>None</v>
      </c>
      <c r="G47">
        <v>0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11080</v>
      </c>
      <c r="B48">
        <v>1030</v>
      </c>
      <c r="C48">
        <v>14</v>
      </c>
      <c r="D48">
        <v>4</v>
      </c>
      <c r="E48">
        <v>20</v>
      </c>
      <c r="F48" t="str">
        <f>INDEX(Define!L:L,MATCH(E48,Define!K:K))</f>
        <v>Basement</v>
      </c>
      <c r="G48">
        <v>2</v>
      </c>
      <c r="H48">
        <v>100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>
        <v>11090</v>
      </c>
      <c r="B49">
        <v>1030</v>
      </c>
      <c r="C49">
        <v>9</v>
      </c>
      <c r="D49">
        <v>4</v>
      </c>
      <c r="E49">
        <v>1000</v>
      </c>
      <c r="F49" t="str">
        <f>INDEX(Define!L:L,MATCH(E49,Define!K:K))</f>
        <v>Battler</v>
      </c>
      <c r="G49">
        <v>2</v>
      </c>
      <c r="H49">
        <v>100</v>
      </c>
      <c r="I49">
        <v>1011</v>
      </c>
      <c r="J49">
        <v>0</v>
      </c>
      <c r="K49">
        <v>1011</v>
      </c>
      <c r="L49">
        <v>0</v>
      </c>
      <c r="M49">
        <v>50</v>
      </c>
      <c r="N4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DF549-830A-441A-B02B-F6F6904091C0}">
  <dimension ref="A1:E2"/>
  <sheetViews>
    <sheetView workbookViewId="0">
      <selection activeCell="E2" sqref="E2"/>
    </sheetView>
  </sheetViews>
  <sheetFormatPr defaultRowHeight="13" x14ac:dyDescent="0.2"/>
  <sheetData>
    <row r="1" spans="1:5" x14ac:dyDescent="0.2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</row>
    <row r="2" spans="1:5" x14ac:dyDescent="0.2">
      <c r="A2">
        <v>11090</v>
      </c>
      <c r="B2">
        <v>8</v>
      </c>
      <c r="C2">
        <v>5</v>
      </c>
      <c r="D2">
        <v>13</v>
      </c>
      <c r="E2">
        <v>4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K27" sqref="K27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1010</v>
      </c>
      <c r="B4" s="2" t="s">
        <v>95</v>
      </c>
      <c r="C4" s="4" t="s">
        <v>94</v>
      </c>
      <c r="D4" s="1"/>
    </row>
    <row r="5" spans="1:4" x14ac:dyDescent="0.2">
      <c r="A5">
        <v>1020</v>
      </c>
      <c r="B5" s="2" t="s">
        <v>102</v>
      </c>
      <c r="C5" s="4" t="s">
        <v>94</v>
      </c>
      <c r="D5" s="1"/>
    </row>
    <row r="6" spans="1:4" x14ac:dyDescent="0.2">
      <c r="A6">
        <v>1030</v>
      </c>
      <c r="B6" s="2" t="s">
        <v>106</v>
      </c>
      <c r="C6" s="4" t="s">
        <v>94</v>
      </c>
      <c r="D6" s="1"/>
    </row>
    <row r="7" spans="1:4" x14ac:dyDescent="0.2">
      <c r="A7">
        <v>10010</v>
      </c>
      <c r="B7" s="2" t="s">
        <v>104</v>
      </c>
      <c r="C7" s="4" t="s">
        <v>94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tabSelected="1" workbookViewId="0">
      <selection activeCell="O10" sqref="O10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110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108</v>
      </c>
      <c r="O3" s="2" t="s">
        <v>109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111</v>
      </c>
      <c r="O4" s="2" t="s">
        <v>112</v>
      </c>
    </row>
    <row r="5" spans="1:15" ht="39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113</v>
      </c>
      <c r="O5" s="3" t="s">
        <v>114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  <c r="M6">
        <v>40</v>
      </c>
      <c r="N6" s="2" t="s">
        <v>115</v>
      </c>
      <c r="O6" s="2" t="s">
        <v>116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  <c r="M7">
        <v>50</v>
      </c>
      <c r="N7" s="2" t="s">
        <v>117</v>
      </c>
      <c r="O7" s="2" t="s">
        <v>118</v>
      </c>
    </row>
    <row r="8" spans="1:15" ht="39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  <c r="M8">
        <v>60</v>
      </c>
      <c r="N8" s="2" t="s">
        <v>124</v>
      </c>
      <c r="O8" s="3" t="s">
        <v>125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  <c r="M9">
        <v>70</v>
      </c>
      <c r="N9" s="2" t="s">
        <v>126</v>
      </c>
      <c r="O9" s="2" t="s">
        <v>127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  <c r="M10">
        <v>80</v>
      </c>
      <c r="N10" s="2" t="s">
        <v>128</v>
      </c>
      <c r="O10" s="2" t="s">
        <v>129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99</v>
      </c>
      <c r="L12" t="s">
        <v>59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1000</v>
      </c>
      <c r="L13" s="2" t="s">
        <v>81</v>
      </c>
    </row>
    <row r="14" spans="1:15" x14ac:dyDescent="0.2">
      <c r="D14">
        <v>14</v>
      </c>
      <c r="E14" t="s">
        <v>60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2025-04-26T01:18:41Z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