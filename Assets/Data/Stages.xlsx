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E569B1F7-97FE-4CE0-820C-74B977895EBC}" xr6:coauthVersionLast="47" xr6:coauthVersionMax="47" xr10:uidLastSave="{00000000-0000-0000-0000-000000000000}"/>
  <bookViews>
    <workbookView xWindow="-110" yWindow="490" windowWidth="19420" windowHeight="11620" tabRatio="802" firstSheet="2" activeTab="8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MoveParamType" sheetId="10" r:id="rId6"/>
    <sheet name="Tutorials" sheetId="4" r:id="rId7"/>
    <sheet name="TextData" sheetId="5" r:id="rId8"/>
    <sheet name="Define" sheetId="6" r:id="rId9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" i="8" l="1"/>
  <c r="F6" i="8"/>
  <c r="F5" i="8"/>
  <c r="F4" i="8"/>
  <c r="F36" i="8"/>
  <c r="F48" i="8"/>
  <c r="F47" i="8"/>
  <c r="F46" i="8"/>
  <c r="F45" i="8"/>
  <c r="F44" i="8"/>
  <c r="F43" i="8"/>
  <c r="F42" i="8"/>
  <c r="F41" i="8"/>
  <c r="F40" i="8"/>
  <c r="F39" i="8"/>
  <c r="F38" i="8"/>
  <c r="F37" i="8"/>
  <c r="F35" i="8"/>
  <c r="F34" i="8"/>
  <c r="F33" i="8"/>
  <c r="F32" i="8"/>
  <c r="F29" i="8"/>
  <c r="F28" i="8"/>
  <c r="F27" i="8"/>
  <c r="F26" i="8"/>
  <c r="F25" i="8"/>
  <c r="F24" i="8"/>
  <c r="F30" i="8"/>
  <c r="F17" i="8"/>
  <c r="F23" i="8"/>
  <c r="F22" i="8"/>
  <c r="F21" i="8"/>
  <c r="F20" i="8"/>
  <c r="F19" i="8"/>
  <c r="F18" i="8"/>
  <c r="F31" i="8"/>
  <c r="F16" i="8"/>
  <c r="F15" i="8"/>
  <c r="F14" i="8"/>
  <c r="F13" i="8"/>
  <c r="F12" i="8"/>
  <c r="F11" i="8"/>
  <c r="F10" i="8"/>
  <c r="F9" i="8"/>
  <c r="F8" i="8"/>
  <c r="F3" i="8"/>
  <c r="F2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<sst xmlns="http://schemas.openxmlformats.org/spreadsheetml/2006/main" count="170" uniqueCount="128">
  <si>
    <t>Id</t>
  </si>
  <si>
    <t>NameId</t>
  </si>
  <si>
    <t>StageNo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</si>
  <si>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</si>
  <si>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</si>
  <si>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</si>
  <si>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</si>
  <si>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</si>
  <si>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</si>
  <si>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</si>
  <si>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-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</si>
  <si>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</si>
  <si>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</si>
  <si>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</si>
  <si>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</si>
  <si>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</si>
  <si>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</si>
  <si>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</si>
  <si>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</si>
  <si>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</si>
  <si>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</si>
  <si>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</si>
  <si>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</si>
  <si>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</si>
  <si>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</si>
  <si>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</si>
  <si>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</si>
  <si>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</si>
  <si>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</si>
  <si>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</si>
  <si>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</si>
  <si>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</si>
  <si>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</si>
  <si>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</si>
  <si>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</si>
  <si>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</si>
  <si>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</si>
  <si>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</si>
  <si>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</si>
  <si>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</si>
  <si>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</si>
  <si>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</si>
  <si>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</si>
  <si>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</si>
  <si>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</si>
  <si>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</si>
  <si>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</si>
  <si>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</si>
  <si>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</si>
  <si>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</si>
  <si>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</si>
  <si>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</si>
  <si>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</si>
  <si>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</si>
  <si>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</si>
  <si>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</si>
  <si>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</si>
  <si>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</si>
  <si>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</si>
  <si>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</si>
  <si>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</si>
  <si>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</si>
  <si>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</si>
  <si>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</si>
  <si>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</si>
  <si>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</si>
  <si>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</si>
  <si>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</si>
  <si>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</si>
  <si>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</si>
  <si>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</si>
  <si>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</si>
  <si>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</si>
  <si>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2"/>
  </si>
  <si>
    <t>NA_background image_3D like_894</t>
    <phoneticPr fontId="2"/>
  </si>
  <si>
    <t>Width</t>
    <phoneticPr fontId="2"/>
  </si>
  <si>
    <t>Height</t>
    <phoneticPr fontId="2"/>
  </si>
  <si>
    <t>InitX</t>
    <phoneticPr fontId="2"/>
  </si>
  <si>
    <t>InitY</t>
    <phoneticPr fontId="2"/>
  </si>
  <si>
    <t>PartyMemberIds</t>
    <phoneticPr fontId="2"/>
  </si>
  <si>
    <t>UnitType</t>
    <phoneticPr fontId="2"/>
  </si>
  <si>
    <t>Battler</t>
    <phoneticPr fontId="2"/>
  </si>
  <si>
    <t>Basement</t>
    <phoneticPr fontId="2"/>
  </si>
  <si>
    <t>None</t>
    <phoneticPr fontId="2"/>
  </si>
  <si>
    <t>StageId</t>
    <phoneticPr fontId="2"/>
  </si>
  <si>
    <t>Id</t>
    <phoneticPr fontId="2"/>
  </si>
  <si>
    <t>MoveType</t>
    <phoneticPr fontId="2"/>
  </si>
  <si>
    <t>MoveParam</t>
    <phoneticPr fontId="2"/>
  </si>
  <si>
    <t>InitTeamId</t>
    <phoneticPr fontId="2"/>
  </si>
  <si>
    <t>ステージ1</t>
    <phoneticPr fontId="2"/>
  </si>
  <si>
    <t>""</t>
    <phoneticPr fontId="2"/>
  </si>
  <si>
    <t>ゲームの流れ</t>
    <rPh sb="4" eb="5">
      <t>ナガ</t>
    </rPh>
    <phoneticPr fontId="2"/>
  </si>
  <si>
    <t>チュートリアル開始</t>
    <rPh sb="7" eb="9">
      <t>カイシ</t>
    </rPh>
    <phoneticPr fontId="2"/>
  </si>
  <si>
    <t>ターン終了コマンド操作有効</t>
    <rPh sb="3" eb="5">
      <t>シュウリョウ</t>
    </rPh>
    <rPh sb="9" eb="11">
      <t>ソウサ</t>
    </rPh>
    <rPh sb="11" eb="13">
      <t>ユウコウ</t>
    </rPh>
    <phoneticPr fontId="2"/>
  </si>
  <si>
    <t>ターン終了コマンド操作無効</t>
    <rPh sb="3" eb="5">
      <t>シュウリョウ</t>
    </rPh>
    <rPh sb="9" eb="11">
      <t>ソウサ</t>
    </rPh>
    <rPh sb="11" eb="13">
      <t>ムコウ</t>
    </rPh>
    <phoneticPr fontId="2"/>
  </si>
  <si>
    <t>AchieveTextId</t>
    <phoneticPr fontId="2"/>
  </si>
  <si>
    <t>AchieveType</t>
    <phoneticPr fontId="2"/>
  </si>
  <si>
    <t>EnemyBasementId</t>
    <phoneticPr fontId="2"/>
  </si>
  <si>
    <t>有利なバトルの進め方</t>
    <rPh sb="0" eb="2">
      <t>ユウリ</t>
    </rPh>
    <rPh sb="7" eb="8">
      <t>スス</t>
    </rPh>
    <rPh sb="9" eb="10">
      <t>カタ</t>
    </rPh>
    <phoneticPr fontId="2"/>
  </si>
  <si>
    <t>NA_background image_3D like_894</t>
  </si>
  <si>
    <t>敵拠点を制圧する</t>
    <rPh sb="0" eb="1">
      <t>テキ</t>
    </rPh>
    <rPh sb="1" eb="3">
      <t>キョテン</t>
    </rPh>
    <rPh sb="4" eb="6">
      <t>セイアツ</t>
    </rPh>
    <phoneticPr fontId="2"/>
  </si>
  <si>
    <t>Alcana</t>
    <phoneticPr fontId="2"/>
  </si>
  <si>
    <t>ユニットの強化</t>
    <rPh sb="5" eb="7">
      <t>キョウカ</t>
    </rPh>
    <phoneticPr fontId="2"/>
  </si>
  <si>
    <t>GetItem</t>
    <phoneticPr fontId="2"/>
  </si>
  <si>
    <t>進撃</t>
    <phoneticPr fontId="2"/>
  </si>
  <si>
    <t>近くにいる敵に向かって移動し、射程に捉えれば攻撃してくる。</t>
    <phoneticPr fontId="2"/>
  </si>
  <si>
    <t>固定</t>
    <rPh sb="0" eb="2">
      <t>コテイ</t>
    </rPh>
    <phoneticPr fontId="2"/>
  </si>
  <si>
    <t>迎撃</t>
    <phoneticPr fontId="2"/>
  </si>
  <si>
    <t>射程内に攻撃可能な敵がいれば攻撃、いなければその場で待機。</t>
    <phoneticPr fontId="2"/>
  </si>
  <si>
    <t>警戒</t>
    <phoneticPr fontId="2"/>
  </si>
  <si>
    <t>射程内に攻撃可能な敵がいれば攻撃、
いない場合は敵の射程に入っていれば射程外へ逃げる、入っていなければその場で待機。</t>
    <phoneticPr fontId="2"/>
  </si>
  <si>
    <t>徘徊</t>
    <phoneticPr fontId="2"/>
  </si>
  <si>
    <t>ランダムに移動。</t>
    <phoneticPr fontId="2"/>
  </si>
  <si>
    <t>巡回</t>
    <phoneticPr fontId="2"/>
  </si>
  <si>
    <t>射程内に攻撃可能な敵がいれば攻撃、いなければ一定のルートを移動。</t>
    <phoneticPr fontId="2"/>
  </si>
  <si>
    <t>SymbolId</t>
    <phoneticPr fontId="2"/>
  </si>
  <si>
    <t>Param1</t>
    <phoneticPr fontId="2"/>
  </si>
  <si>
    <t>Param2</t>
    <phoneticPr fontId="2"/>
  </si>
  <si>
    <t>Param3</t>
    <phoneticPr fontId="2"/>
  </si>
  <si>
    <t>Param4</t>
    <phoneticPr fontId="2"/>
  </si>
  <si>
    <t>固定</t>
    <phoneticPr fontId="2"/>
  </si>
  <si>
    <t>その場を動かない。
その場から攻撃可能なら攻撃する。
隣接など攻撃可能でないと挑発は出来ない。</t>
    <phoneticPr fontId="2"/>
  </si>
  <si>
    <t>移動</t>
    <rPh sb="0" eb="2">
      <t>イドウ</t>
    </rPh>
    <phoneticPr fontId="2"/>
  </si>
  <si>
    <t>特定の目標に向かって移動。攻撃してこない。</t>
    <phoneticPr fontId="2"/>
  </si>
  <si>
    <t>離脱</t>
    <phoneticPr fontId="2"/>
  </si>
  <si>
    <t>離脱ポイントへ向かう。攻撃してこない。</t>
    <phoneticPr fontId="2"/>
  </si>
  <si>
    <t>Gacha</t>
    <phoneticPr fontId="2"/>
  </si>
  <si>
    <t>ステージ2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</si>
</sst>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0.5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"/>
  <sheetViews>
    <sheetView workbookViewId="0">
      <selection activeCell="L3" sqref="L3"/>
    </sheetView>
  </sheetViews>
  <sheetFormatPr defaultColWidth="8.7265625" defaultRowHeight="13" x14ac:dyDescent="0.2"/>
  <cols>
    <col min="5" max="6" width="8.453125" customWidth="1"/>
    <col min="7" max="7" width="10.36328125" customWidth="1"/>
    <col min="18" max="18" width="32" customWidth="1"/>
  </cols>
  <sheetData>
    <row r="1" spans="1:18" x14ac:dyDescent="0.2">
      <c r="A1" t="s">
        <v>0</v>
      </c>
      <c r="B1" t="s">
        <v>1</v>
      </c>
      <c r="C1" t="s">
        <v>2</v>
      </c>
      <c r="D1" s="2" t="s">
        <v>96</v>
      </c>
      <c r="E1" s="2" t="s">
        <v>95</v>
      </c>
      <c r="F1" s="2" t="s">
        <v>97</v>
      </c>
      <c r="G1" t="s">
        <v>3</v>
      </c>
      <c r="H1" t="s">
        <v>4</v>
      </c>
      <c r="I1" s="2" t="s">
        <v>79</v>
      </c>
      <c r="J1" s="2" t="s">
        <v>75</v>
      </c>
      <c r="K1" s="2" t="s">
        <v>76</v>
      </c>
      <c r="L1" s="2" t="s">
        <v>77</v>
      </c>
      <c r="M1" s="2" t="s">
        <v>78</v>
      </c>
      <c r="N1" t="s">
        <v>5</v>
      </c>
      <c r="O1" t="s">
        <v>6</v>
      </c>
      <c r="P1" t="s">
        <v>7</v>
      </c>
      <c r="Q1" t="s">
        <v>8</v>
      </c>
      <c r="R1" t="s">
        <v>9</v>
      </c>
    </row>
    <row r="2" spans="1:18" x14ac:dyDescent="0.2">
      <c r="A2">
        <v>0</v>
      </c>
      <c r="B2">
        <v>1</v>
      </c>
      <c r="C2">
        <v>0</v>
      </c>
      <c r="D2">
        <v>1</v>
      </c>
      <c r="E2">
        <v>10010</v>
      </c>
      <c r="F2">
        <v>0</v>
      </c>
      <c r="G2">
        <v>0</v>
      </c>
      <c r="H2">
        <v>0</v>
      </c>
      <c r="I2">
        <v>0</v>
      </c>
      <c r="J2">
        <v>6</v>
      </c>
      <c r="K2">
        <v>6</v>
      </c>
      <c r="L2">
        <v>0</v>
      </c>
      <c r="M2">
        <v>0</v>
      </c>
      <c r="N2">
        <v>30</v>
      </c>
      <c r="O2">
        <v>1010</v>
      </c>
      <c r="P2">
        <v>2010</v>
      </c>
      <c r="Q2">
        <v>100</v>
      </c>
      <c r="R2" t="s">
        <v>10</v>
      </c>
    </row>
    <row r="3" spans="1:18" x14ac:dyDescent="0.2">
      <c r="A3">
        <v>10</v>
      </c>
      <c r="B3">
        <v>10</v>
      </c>
      <c r="C3">
        <v>1</v>
      </c>
      <c r="D3">
        <v>1</v>
      </c>
      <c r="E3">
        <v>10010</v>
      </c>
      <c r="F3">
        <v>1050</v>
      </c>
      <c r="G3">
        <v>1</v>
      </c>
      <c r="H3">
        <v>0</v>
      </c>
      <c r="I3">
        <v>0</v>
      </c>
      <c r="J3">
        <v>40</v>
      </c>
      <c r="K3">
        <v>40</v>
      </c>
      <c r="L3">
        <v>35</v>
      </c>
      <c r="M3">
        <v>38</v>
      </c>
      <c r="N3">
        <v>30</v>
      </c>
      <c r="O3">
        <v>1010</v>
      </c>
      <c r="P3">
        <v>2010</v>
      </c>
      <c r="Q3">
        <v>100</v>
      </c>
      <c r="R3" s="2" t="s">
        <v>99</v>
      </c>
    </row>
    <row r="4" spans="1:18" x14ac:dyDescent="0.2">
      <c r="A4">
        <v>20</v>
      </c>
      <c r="B4">
        <v>20</v>
      </c>
      <c r="C4">
        <v>2</v>
      </c>
      <c r="D4">
        <v>1</v>
      </c>
      <c r="E4">
        <v>10010</v>
      </c>
      <c r="F4">
        <v>1050</v>
      </c>
      <c r="G4">
        <v>1</v>
      </c>
      <c r="H4">
        <v>0</v>
      </c>
      <c r="I4">
        <v>0</v>
      </c>
      <c r="J4">
        <v>40</v>
      </c>
      <c r="K4">
        <v>40</v>
      </c>
      <c r="L4">
        <v>14</v>
      </c>
      <c r="M4">
        <v>36</v>
      </c>
      <c r="N4">
        <v>30</v>
      </c>
      <c r="O4">
        <v>1010</v>
      </c>
      <c r="P4">
        <v>2010</v>
      </c>
      <c r="Q4">
        <v>100</v>
      </c>
      <c r="R4" s="2" t="s">
        <v>99</v>
      </c>
    </row>
    <row r="5" spans="1:18" x14ac:dyDescent="0.2">
      <c r="A5">
        <v>1010</v>
      </c>
      <c r="B5">
        <v>1010</v>
      </c>
      <c r="C5">
        <v>101</v>
      </c>
      <c r="D5">
        <v>1</v>
      </c>
      <c r="E5">
        <v>10010</v>
      </c>
      <c r="F5">
        <v>10030</v>
      </c>
      <c r="G5">
        <v>1</v>
      </c>
      <c r="H5">
        <v>0</v>
      </c>
      <c r="I5">
        <v>0</v>
      </c>
      <c r="J5">
        <v>16</v>
      </c>
      <c r="K5">
        <v>8</v>
      </c>
      <c r="L5">
        <v>4</v>
      </c>
      <c r="M5">
        <v>4</v>
      </c>
      <c r="N5">
        <v>30</v>
      </c>
      <c r="O5">
        <v>1010</v>
      </c>
      <c r="P5">
        <v>2010</v>
      </c>
      <c r="Q5">
        <v>100</v>
      </c>
      <c r="R5" s="2" t="s">
        <v>99</v>
      </c>
    </row>
    <row r="6" spans="1:18" x14ac:dyDescent="0.2">
      <c r="A6">
        <v>1020</v>
      </c>
      <c r="B6">
        <v>1020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20</v>
      </c>
      <c r="K6">
        <v>8</v>
      </c>
      <c r="L6">
        <v>10</v>
      </c>
      <c r="M6">
        <v>4</v>
      </c>
      <c r="N6">
        <v>30</v>
      </c>
      <c r="O6">
        <v>1010</v>
      </c>
      <c r="P6">
        <v>2010</v>
      </c>
      <c r="Q6">
        <v>100</v>
      </c>
      <c r="R6" s="2" t="s">
        <v>74</v>
      </c>
    </row>
    <row r="7" spans="1:18" x14ac:dyDescent="0.2">
      <c r="A7">
        <v>1030</v>
      </c>
      <c r="B7">
        <v>1030</v>
      </c>
      <c r="C7">
        <v>101</v>
      </c>
      <c r="D7">
        <v>1</v>
      </c>
      <c r="E7">
        <v>10010</v>
      </c>
      <c r="F7">
        <v>10030</v>
      </c>
      <c r="G7">
        <v>1</v>
      </c>
      <c r="H7">
        <v>0</v>
      </c>
      <c r="I7">
        <v>0</v>
      </c>
      <c r="J7">
        <v>20</v>
      </c>
      <c r="K7">
        <v>8</v>
      </c>
      <c r="L7">
        <v>10</v>
      </c>
      <c r="M7">
        <v>4</v>
      </c>
      <c r="N7">
        <v>30</v>
      </c>
      <c r="O7">
        <v>1010</v>
      </c>
      <c r="P7">
        <v>2010</v>
      </c>
      <c r="Q7">
        <v>100</v>
      </c>
      <c r="R7" s="2" t="s">
        <v>74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workbookViewId="0">
      <selection activeCell="G6" sqref="G6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11</v>
      </c>
      <c r="C1" t="s">
        <v>12</v>
      </c>
      <c r="D1" s="2" t="s">
        <v>73</v>
      </c>
      <c r="E1" t="s">
        <v>14</v>
      </c>
      <c r="F1" s="2" t="s">
        <v>73</v>
      </c>
      <c r="G1" t="s">
        <v>15</v>
      </c>
      <c r="H1" t="s">
        <v>16</v>
      </c>
    </row>
    <row r="2" spans="1:8" x14ac:dyDescent="0.2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 x14ac:dyDescent="0.2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 x14ac:dyDescent="0.2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 x14ac:dyDescent="0.2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8"/>
  <sheetViews>
    <sheetView workbookViewId="0">
      <selection sqref="A1:XFD7"/>
    </sheetView>
  </sheetViews>
  <sheetFormatPr defaultColWidth="8.7265625" defaultRowHeight="13" x14ac:dyDescent="0.2"/>
  <sheetData>
    <row r="1" spans="1:15" x14ac:dyDescent="0.2">
      <c r="A1" s="2" t="s">
        <v>85</v>
      </c>
      <c r="B1" s="2" t="s">
        <v>84</v>
      </c>
      <c r="C1" s="2" t="s">
        <v>77</v>
      </c>
      <c r="D1" s="2" t="s">
        <v>78</v>
      </c>
      <c r="E1" s="2" t="s">
        <v>80</v>
      </c>
      <c r="F1" s="2" t="s">
        <v>73</v>
      </c>
      <c r="G1" s="2" t="s">
        <v>88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s="2" t="s">
        <v>86</v>
      </c>
      <c r="N1" s="2" t="s">
        <v>87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23</v>
      </c>
    </row>
    <row r="3" spans="1:15" x14ac:dyDescent="0.2">
      <c r="A3">
        <v>1010</v>
      </c>
      <c r="B3">
        <v>10</v>
      </c>
      <c r="C3">
        <v>14</v>
      </c>
      <c r="D3">
        <v>37</v>
      </c>
      <c r="E3">
        <v>20</v>
      </c>
      <c r="F3" t="str">
        <f>INDEX(Define!L:L,MATCH(E3,Define!K:K))</f>
        <v>Basement</v>
      </c>
      <c r="G3">
        <v>1</v>
      </c>
      <c r="H3">
        <v>100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5" x14ac:dyDescent="0.2">
      <c r="A4">
        <v>1020</v>
      </c>
      <c r="B4">
        <v>10</v>
      </c>
      <c r="C4">
        <v>12</v>
      </c>
      <c r="D4">
        <v>37</v>
      </c>
      <c r="E4">
        <v>90</v>
      </c>
      <c r="F4" t="str">
        <f>INDEX(Define!L:L,MATCH(E4,Define!K:K))</f>
        <v>Gacha</v>
      </c>
      <c r="G4">
        <v>0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5" x14ac:dyDescent="0.2">
      <c r="A5">
        <v>1030</v>
      </c>
      <c r="B5">
        <v>10</v>
      </c>
      <c r="C5">
        <v>10</v>
      </c>
      <c r="D5">
        <v>37</v>
      </c>
      <c r="E5">
        <v>20</v>
      </c>
      <c r="F5" t="str">
        <f>INDEX(Define!L:L,MATCH(E5,Define!K:K))</f>
        <v>Basement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5" x14ac:dyDescent="0.2">
      <c r="A6">
        <v>1040</v>
      </c>
      <c r="B6">
        <v>10</v>
      </c>
      <c r="C6">
        <v>7</v>
      </c>
      <c r="D6">
        <v>36</v>
      </c>
      <c r="E6">
        <v>1000</v>
      </c>
      <c r="F6" t="str">
        <f>INDEX(Define!L:L,MATCH(E6,Define!K:K))</f>
        <v>Battler</v>
      </c>
      <c r="G6">
        <v>2</v>
      </c>
      <c r="H6">
        <v>100</v>
      </c>
      <c r="I6">
        <v>1011</v>
      </c>
      <c r="J6">
        <v>0</v>
      </c>
      <c r="K6">
        <v>1011</v>
      </c>
      <c r="L6">
        <v>0</v>
      </c>
      <c r="M6">
        <v>0</v>
      </c>
      <c r="N6">
        <v>0</v>
      </c>
    </row>
    <row r="7" spans="1:15" x14ac:dyDescent="0.2">
      <c r="A7">
        <v>1050</v>
      </c>
      <c r="B7">
        <v>10</v>
      </c>
      <c r="C7">
        <v>7</v>
      </c>
      <c r="D7">
        <v>36</v>
      </c>
      <c r="E7">
        <v>20</v>
      </c>
      <c r="F7" t="str">
        <f>INDEX(Define!L:L,MATCH(E7,Define!K:K))</f>
        <v>Basement</v>
      </c>
      <c r="G7">
        <v>2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5" x14ac:dyDescent="0.2">
      <c r="A8">
        <v>10000</v>
      </c>
      <c r="B8">
        <v>1010</v>
      </c>
      <c r="C8">
        <v>-1</v>
      </c>
      <c r="D8">
        <v>0</v>
      </c>
      <c r="E8">
        <v>70</v>
      </c>
      <c r="F8" t="str">
        <f>INDEX(Define!L:L,MATCH(E8,Define!K:K))</f>
        <v>SelectActor</v>
      </c>
      <c r="G8">
        <v>0</v>
      </c>
      <c r="H8">
        <v>100</v>
      </c>
      <c r="I8">
        <v>0</v>
      </c>
      <c r="J8">
        <v>0</v>
      </c>
      <c r="K8">
        <v>1001</v>
      </c>
      <c r="L8">
        <v>0</v>
      </c>
      <c r="M8">
        <v>0</v>
      </c>
      <c r="N8">
        <v>0</v>
      </c>
      <c r="O8" t="s">
        <v>23</v>
      </c>
    </row>
    <row r="9" spans="1:15" x14ac:dyDescent="0.2">
      <c r="A9">
        <v>10010</v>
      </c>
      <c r="B9">
        <v>1010</v>
      </c>
      <c r="C9">
        <v>10</v>
      </c>
      <c r="D9">
        <v>4</v>
      </c>
      <c r="E9">
        <v>1000</v>
      </c>
      <c r="F9" t="str">
        <f>INDEX(Define!L:L,MATCH(E9,Define!K:K))</f>
        <v>Battler</v>
      </c>
      <c r="G9">
        <v>2</v>
      </c>
      <c r="H9">
        <v>100</v>
      </c>
      <c r="I9">
        <v>1011</v>
      </c>
      <c r="J9">
        <v>0</v>
      </c>
      <c r="K9">
        <v>1011</v>
      </c>
      <c r="L9">
        <v>0</v>
      </c>
      <c r="M9">
        <v>0</v>
      </c>
      <c r="N9">
        <v>0</v>
      </c>
    </row>
    <row r="10" spans="1:15" x14ac:dyDescent="0.2">
      <c r="A10">
        <v>10020</v>
      </c>
      <c r="B10">
        <v>1010</v>
      </c>
      <c r="C10">
        <v>6</v>
      </c>
      <c r="D10">
        <v>4</v>
      </c>
      <c r="E10">
        <v>20</v>
      </c>
      <c r="F10" t="str">
        <f>INDEX(Define!L:L,MATCH(E10,Define!K:K))</f>
        <v>Basement</v>
      </c>
      <c r="G10">
        <v>1</v>
      </c>
      <c r="H10">
        <v>100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5" x14ac:dyDescent="0.2">
      <c r="A11">
        <v>10030</v>
      </c>
      <c r="B11">
        <v>1010</v>
      </c>
      <c r="C11">
        <v>10</v>
      </c>
      <c r="D11">
        <v>4</v>
      </c>
      <c r="E11">
        <v>20</v>
      </c>
      <c r="F11" t="str">
        <f>INDEX(Define!L:L,MATCH(E11,Define!K:K))</f>
        <v>Basement</v>
      </c>
      <c r="G11">
        <v>2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5" x14ac:dyDescent="0.2">
      <c r="A12">
        <v>10040</v>
      </c>
      <c r="B12">
        <v>1010</v>
      </c>
      <c r="C12">
        <v>5</v>
      </c>
      <c r="D12">
        <v>5</v>
      </c>
      <c r="E12">
        <v>0</v>
      </c>
      <c r="F12" t="str">
        <f>INDEX(Define!L:L,MATCH(E12,Define!K:K))</f>
        <v>None</v>
      </c>
      <c r="G12">
        <v>0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5" x14ac:dyDescent="0.2">
      <c r="A13">
        <v>10050</v>
      </c>
      <c r="B13">
        <v>1010</v>
      </c>
      <c r="C13">
        <v>7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5" x14ac:dyDescent="0.2">
      <c r="A14">
        <v>10060</v>
      </c>
      <c r="B14">
        <v>1010</v>
      </c>
      <c r="C14">
        <v>9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5" x14ac:dyDescent="0.2">
      <c r="A15">
        <v>10070</v>
      </c>
      <c r="B15">
        <v>1010</v>
      </c>
      <c r="C15">
        <v>11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5" x14ac:dyDescent="0.2">
      <c r="A16">
        <v>11000</v>
      </c>
      <c r="B16">
        <v>1020</v>
      </c>
      <c r="C16">
        <v>-1</v>
      </c>
      <c r="D16">
        <v>0</v>
      </c>
      <c r="E16">
        <v>70</v>
      </c>
      <c r="F16" t="str">
        <f>INDEX(Define!L:L,MATCH(E16,Define!K:K))</f>
        <v>SelectActor</v>
      </c>
      <c r="G16">
        <v>0</v>
      </c>
      <c r="H16">
        <v>100</v>
      </c>
      <c r="I16">
        <v>0</v>
      </c>
      <c r="J16">
        <v>0</v>
      </c>
      <c r="K16">
        <v>1001</v>
      </c>
      <c r="L16">
        <v>0</v>
      </c>
      <c r="M16">
        <v>0</v>
      </c>
      <c r="N16">
        <v>0</v>
      </c>
      <c r="O16" t="s">
        <v>23</v>
      </c>
    </row>
    <row r="17" spans="1:15" x14ac:dyDescent="0.2">
      <c r="A17">
        <v>11010</v>
      </c>
      <c r="B17">
        <v>1020</v>
      </c>
      <c r="C17">
        <v>-1</v>
      </c>
      <c r="D17">
        <v>0</v>
      </c>
      <c r="E17">
        <v>70</v>
      </c>
      <c r="F17" t="str">
        <f>INDEX(Define!L:L,MATCH(E17,Define!K:K))</f>
        <v>SelectActor</v>
      </c>
      <c r="G17">
        <v>0</v>
      </c>
      <c r="H17">
        <v>100</v>
      </c>
      <c r="I17">
        <v>0</v>
      </c>
      <c r="J17">
        <v>0</v>
      </c>
      <c r="K17">
        <v>1002</v>
      </c>
      <c r="L17">
        <v>0</v>
      </c>
      <c r="M17">
        <v>0</v>
      </c>
      <c r="N17">
        <v>0</v>
      </c>
      <c r="O17" t="s">
        <v>23</v>
      </c>
    </row>
    <row r="18" spans="1:15" x14ac:dyDescent="0.2">
      <c r="A18">
        <v>10020</v>
      </c>
      <c r="B18">
        <v>1020</v>
      </c>
      <c r="C18">
        <v>6</v>
      </c>
      <c r="D18">
        <v>4</v>
      </c>
      <c r="E18">
        <v>20</v>
      </c>
      <c r="F18" t="str">
        <f>INDEX(Define!L:L,MATCH(E18,Define!K:K))</f>
        <v>Basement</v>
      </c>
      <c r="G18">
        <v>1</v>
      </c>
      <c r="H18">
        <v>100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5" x14ac:dyDescent="0.2">
      <c r="A19">
        <v>10030</v>
      </c>
      <c r="B19">
        <v>1020</v>
      </c>
      <c r="C19">
        <v>10</v>
      </c>
      <c r="D19">
        <v>4</v>
      </c>
      <c r="E19">
        <v>20</v>
      </c>
      <c r="F19" t="str">
        <f>INDEX(Define!L:L,MATCH(E19,Define!K:K))</f>
        <v>Basement</v>
      </c>
      <c r="G19">
        <v>1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5" x14ac:dyDescent="0.2">
      <c r="A20">
        <v>10040</v>
      </c>
      <c r="B20">
        <v>1020</v>
      </c>
      <c r="C20">
        <v>5</v>
      </c>
      <c r="D20">
        <v>5</v>
      </c>
      <c r="E20">
        <v>0</v>
      </c>
      <c r="F20" t="str">
        <f>INDEX(Define!L:L,MATCH(E20,Define!K:K))</f>
        <v>None</v>
      </c>
      <c r="G20">
        <v>0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5" x14ac:dyDescent="0.2">
      <c r="A21">
        <v>10050</v>
      </c>
      <c r="B21">
        <v>1020</v>
      </c>
      <c r="C21">
        <v>7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5" x14ac:dyDescent="0.2">
      <c r="A22">
        <v>10060</v>
      </c>
      <c r="B22">
        <v>1020</v>
      </c>
      <c r="C22">
        <v>9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5" x14ac:dyDescent="0.2">
      <c r="A23">
        <v>10070</v>
      </c>
      <c r="B23">
        <v>1020</v>
      </c>
      <c r="C23">
        <v>11</v>
      </c>
      <c r="D23">
        <v>5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5" x14ac:dyDescent="0.2">
      <c r="A24">
        <v>11020</v>
      </c>
      <c r="B24">
        <v>1020</v>
      </c>
      <c r="C24">
        <v>13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5" x14ac:dyDescent="0.2">
      <c r="A25">
        <v>11030</v>
      </c>
      <c r="B25">
        <v>1020</v>
      </c>
      <c r="C25">
        <v>15</v>
      </c>
      <c r="D25">
        <v>5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5" x14ac:dyDescent="0.2">
      <c r="A26">
        <v>11040</v>
      </c>
      <c r="B26">
        <v>1020</v>
      </c>
      <c r="C26">
        <v>14</v>
      </c>
      <c r="D26">
        <v>3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5" x14ac:dyDescent="0.2">
      <c r="A27">
        <v>11050</v>
      </c>
      <c r="B27">
        <v>1020</v>
      </c>
      <c r="C27">
        <v>14</v>
      </c>
      <c r="D27">
        <v>5</v>
      </c>
      <c r="E27">
        <v>0</v>
      </c>
      <c r="F27" t="str">
        <f>INDEX(Define!L:L,MATCH(E27,Define!K:K))</f>
        <v>None</v>
      </c>
      <c r="G27">
        <v>0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5" x14ac:dyDescent="0.2">
      <c r="A28">
        <v>11060</v>
      </c>
      <c r="B28">
        <v>1020</v>
      </c>
      <c r="C28">
        <v>15</v>
      </c>
      <c r="D28">
        <v>3</v>
      </c>
      <c r="E28">
        <v>0</v>
      </c>
      <c r="F28" t="str">
        <f>INDEX(Define!L:L,MATCH(E28,Define!K:K))</f>
        <v>None</v>
      </c>
      <c r="G28">
        <v>0</v>
      </c>
      <c r="H28">
        <v>100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5" x14ac:dyDescent="0.2">
      <c r="A29">
        <v>11070</v>
      </c>
      <c r="B29">
        <v>1020</v>
      </c>
      <c r="C29">
        <v>15</v>
      </c>
      <c r="D29">
        <v>4</v>
      </c>
      <c r="E29">
        <v>0</v>
      </c>
      <c r="F29" t="str">
        <f>INDEX(Define!L:L,MATCH(E29,Define!K:K))</f>
        <v>None</v>
      </c>
      <c r="G29">
        <v>0</v>
      </c>
      <c r="H29">
        <v>100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5" x14ac:dyDescent="0.2">
      <c r="A30">
        <v>11080</v>
      </c>
      <c r="B30">
        <v>1020</v>
      </c>
      <c r="C30">
        <v>14</v>
      </c>
      <c r="D30">
        <v>4</v>
      </c>
      <c r="E30">
        <v>20</v>
      </c>
      <c r="F30" t="str">
        <f>INDEX(Define!L:L,MATCH(E30,Define!K:K))</f>
        <v>Basement</v>
      </c>
      <c r="G30">
        <v>2</v>
      </c>
      <c r="H30">
        <v>100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5" x14ac:dyDescent="0.2">
      <c r="A31">
        <v>11090</v>
      </c>
      <c r="B31">
        <v>1020</v>
      </c>
      <c r="C31">
        <v>14</v>
      </c>
      <c r="D31">
        <v>4</v>
      </c>
      <c r="E31">
        <v>1000</v>
      </c>
      <c r="F31" t="str">
        <f>INDEX(Define!L:L,MATCH(E31,Define!K:K))</f>
        <v>Battler</v>
      </c>
      <c r="G31">
        <v>2</v>
      </c>
      <c r="H31">
        <v>100</v>
      </c>
      <c r="I31">
        <v>1011</v>
      </c>
      <c r="J31">
        <v>0</v>
      </c>
      <c r="K31">
        <v>1011</v>
      </c>
      <c r="L31">
        <v>0</v>
      </c>
      <c r="M31">
        <v>0</v>
      </c>
      <c r="N31">
        <v>0</v>
      </c>
    </row>
    <row r="32" spans="1:15" x14ac:dyDescent="0.2">
      <c r="A32">
        <v>11000</v>
      </c>
      <c r="B32">
        <v>1030</v>
      </c>
      <c r="C32">
        <v>-1</v>
      </c>
      <c r="D32">
        <v>0</v>
      </c>
      <c r="E32">
        <v>70</v>
      </c>
      <c r="F32" t="str">
        <f>INDEX(Define!L:L,MATCH(E32,Define!K:K))</f>
        <v>SelectActor</v>
      </c>
      <c r="G32">
        <v>0</v>
      </c>
      <c r="H32">
        <v>100</v>
      </c>
      <c r="I32">
        <v>0</v>
      </c>
      <c r="J32">
        <v>0</v>
      </c>
      <c r="K32">
        <v>1001</v>
      </c>
      <c r="L32">
        <v>0</v>
      </c>
      <c r="M32">
        <v>0</v>
      </c>
      <c r="N32">
        <v>0</v>
      </c>
      <c r="O32" t="s">
        <v>23</v>
      </c>
    </row>
    <row r="33" spans="1:15" x14ac:dyDescent="0.2">
      <c r="A33">
        <v>11010</v>
      </c>
      <c r="B33">
        <v>1030</v>
      </c>
      <c r="C33">
        <v>-1</v>
      </c>
      <c r="D33">
        <v>0</v>
      </c>
      <c r="E33">
        <v>70</v>
      </c>
      <c r="F33" t="str">
        <f>INDEX(Define!L:L,MATCH(E33,Define!K:K))</f>
        <v>SelectActor</v>
      </c>
      <c r="G33">
        <v>0</v>
      </c>
      <c r="H33">
        <v>100</v>
      </c>
      <c r="I33">
        <v>0</v>
      </c>
      <c r="J33">
        <v>0</v>
      </c>
      <c r="K33">
        <v>1002</v>
      </c>
      <c r="L33">
        <v>0</v>
      </c>
      <c r="M33">
        <v>0</v>
      </c>
      <c r="N33">
        <v>0</v>
      </c>
      <c r="O33" t="s">
        <v>23</v>
      </c>
    </row>
    <row r="34" spans="1:15" x14ac:dyDescent="0.2">
      <c r="A34">
        <v>10020</v>
      </c>
      <c r="B34">
        <v>1030</v>
      </c>
      <c r="C34">
        <v>6</v>
      </c>
      <c r="D34">
        <v>4</v>
      </c>
      <c r="E34">
        <v>20</v>
      </c>
      <c r="F34" t="str">
        <f>INDEX(Define!L:L,MATCH(E34,Define!K:K))</f>
        <v>Basement</v>
      </c>
      <c r="G34">
        <v>1</v>
      </c>
      <c r="H34">
        <v>100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5" x14ac:dyDescent="0.2">
      <c r="A35">
        <v>10030</v>
      </c>
      <c r="B35">
        <v>1030</v>
      </c>
      <c r="C35">
        <v>8</v>
      </c>
      <c r="D35">
        <v>4</v>
      </c>
      <c r="E35">
        <v>30</v>
      </c>
      <c r="F35" t="str">
        <f>INDEX(Define!L:L,MATCH(E35,Define!K:K))</f>
        <v>Alcana</v>
      </c>
      <c r="G35">
        <v>1</v>
      </c>
      <c r="H35">
        <v>100</v>
      </c>
      <c r="I35">
        <v>0</v>
      </c>
      <c r="J35">
        <v>0</v>
      </c>
      <c r="K35">
        <v>11010</v>
      </c>
      <c r="L35">
        <v>0</v>
      </c>
      <c r="M35">
        <v>0</v>
      </c>
      <c r="N35">
        <v>0</v>
      </c>
    </row>
    <row r="36" spans="1:15" x14ac:dyDescent="0.2">
      <c r="A36">
        <v>10040</v>
      </c>
      <c r="B36">
        <v>1030</v>
      </c>
      <c r="C36">
        <v>10</v>
      </c>
      <c r="D36">
        <v>4</v>
      </c>
      <c r="E36">
        <v>40</v>
      </c>
      <c r="F36" t="str">
        <f>INDEX(Define!L:L,MATCH(E36,Define!K:K))</f>
        <v>GetItem</v>
      </c>
      <c r="G36">
        <v>1</v>
      </c>
      <c r="H36">
        <v>100</v>
      </c>
      <c r="I36">
        <v>0</v>
      </c>
      <c r="J36">
        <v>0</v>
      </c>
      <c r="K36">
        <v>10</v>
      </c>
      <c r="L36">
        <v>0</v>
      </c>
      <c r="M36">
        <v>0</v>
      </c>
      <c r="N36">
        <v>0</v>
      </c>
    </row>
    <row r="37" spans="1:15" x14ac:dyDescent="0.2">
      <c r="A37">
        <v>10050</v>
      </c>
      <c r="B37">
        <v>1030</v>
      </c>
      <c r="C37">
        <v>5</v>
      </c>
      <c r="D37">
        <v>5</v>
      </c>
      <c r="E37">
        <v>0</v>
      </c>
      <c r="F37" t="str">
        <f>INDEX(Define!L:L,MATCH(E37,Define!K:K))</f>
        <v>None</v>
      </c>
      <c r="G37">
        <v>0</v>
      </c>
      <c r="H37">
        <v>100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5" x14ac:dyDescent="0.2">
      <c r="A38">
        <v>10060</v>
      </c>
      <c r="B38">
        <v>1030</v>
      </c>
      <c r="C38">
        <v>7</v>
      </c>
      <c r="D38">
        <v>5</v>
      </c>
      <c r="E38">
        <v>0</v>
      </c>
      <c r="F38" t="str">
        <f>INDEX(Define!L:L,MATCH(E38,Define!K:K))</f>
        <v>None</v>
      </c>
      <c r="G38">
        <v>0</v>
      </c>
      <c r="H38">
        <v>100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5" x14ac:dyDescent="0.2">
      <c r="A39">
        <v>10070</v>
      </c>
      <c r="B39">
        <v>1030</v>
      </c>
      <c r="C39">
        <v>9</v>
      </c>
      <c r="D39">
        <v>5</v>
      </c>
      <c r="E39">
        <v>0</v>
      </c>
      <c r="F39" t="str">
        <f>INDEX(Define!L:L,MATCH(E39,Define!K:K))</f>
        <v>None</v>
      </c>
      <c r="G39">
        <v>0</v>
      </c>
      <c r="H39">
        <v>100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5" x14ac:dyDescent="0.2">
      <c r="A40">
        <v>10080</v>
      </c>
      <c r="B40">
        <v>1030</v>
      </c>
      <c r="C40">
        <v>11</v>
      </c>
      <c r="D40">
        <v>5</v>
      </c>
      <c r="E40">
        <v>0</v>
      </c>
      <c r="F40" t="str">
        <f>INDEX(Define!L:L,MATCH(E40,Define!K:K))</f>
        <v>None</v>
      </c>
      <c r="G40">
        <v>0</v>
      </c>
      <c r="H40">
        <v>100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5" x14ac:dyDescent="0.2">
      <c r="A41">
        <v>11020</v>
      </c>
      <c r="B41">
        <v>1030</v>
      </c>
      <c r="C41">
        <v>13</v>
      </c>
      <c r="D41">
        <v>5</v>
      </c>
      <c r="E41">
        <v>0</v>
      </c>
      <c r="F41" t="str">
        <f>INDEX(Define!L:L,MATCH(E41,Define!K:K))</f>
        <v>None</v>
      </c>
      <c r="G41">
        <v>0</v>
      </c>
      <c r="H41">
        <v>100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5" x14ac:dyDescent="0.2">
      <c r="A42">
        <v>11030</v>
      </c>
      <c r="B42">
        <v>1030</v>
      </c>
      <c r="C42">
        <v>15</v>
      </c>
      <c r="D42">
        <v>5</v>
      </c>
      <c r="E42">
        <v>0</v>
      </c>
      <c r="F42" t="str">
        <f>INDEX(Define!L:L,MATCH(E42,Define!K:K))</f>
        <v>None</v>
      </c>
      <c r="G42">
        <v>0</v>
      </c>
      <c r="H42">
        <v>100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5" x14ac:dyDescent="0.2">
      <c r="A43">
        <v>11040</v>
      </c>
      <c r="B43">
        <v>1030</v>
      </c>
      <c r="C43">
        <v>14</v>
      </c>
      <c r="D43">
        <v>3</v>
      </c>
      <c r="E43">
        <v>0</v>
      </c>
      <c r="F43" t="str">
        <f>INDEX(Define!L:L,MATCH(E43,Define!K:K))</f>
        <v>None</v>
      </c>
      <c r="G43">
        <v>0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5" x14ac:dyDescent="0.2">
      <c r="A44">
        <v>11050</v>
      </c>
      <c r="B44">
        <v>1030</v>
      </c>
      <c r="C44">
        <v>14</v>
      </c>
      <c r="D44">
        <v>5</v>
      </c>
      <c r="E44">
        <v>0</v>
      </c>
      <c r="F44" t="str">
        <f>INDEX(Define!L:L,MATCH(E44,Define!K:K))</f>
        <v>None</v>
      </c>
      <c r="G44">
        <v>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5" x14ac:dyDescent="0.2">
      <c r="A45">
        <v>11060</v>
      </c>
      <c r="B45">
        <v>1030</v>
      </c>
      <c r="C45">
        <v>15</v>
      </c>
      <c r="D45">
        <v>3</v>
      </c>
      <c r="E45">
        <v>0</v>
      </c>
      <c r="F45" t="str">
        <f>INDEX(Define!L:L,MATCH(E45,Define!K:K))</f>
        <v>None</v>
      </c>
      <c r="G45">
        <v>0</v>
      </c>
      <c r="H45">
        <v>100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5" x14ac:dyDescent="0.2">
      <c r="A46">
        <v>11070</v>
      </c>
      <c r="B46">
        <v>1030</v>
      </c>
      <c r="C46">
        <v>15</v>
      </c>
      <c r="D46">
        <v>4</v>
      </c>
      <c r="E46">
        <v>0</v>
      </c>
      <c r="F46" t="str">
        <f>INDEX(Define!L:L,MATCH(E46,Define!K:K))</f>
        <v>None</v>
      </c>
      <c r="G46">
        <v>0</v>
      </c>
      <c r="H46">
        <v>100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5" x14ac:dyDescent="0.2">
      <c r="A47">
        <v>11080</v>
      </c>
      <c r="B47">
        <v>1030</v>
      </c>
      <c r="C47">
        <v>14</v>
      </c>
      <c r="D47">
        <v>4</v>
      </c>
      <c r="E47">
        <v>20</v>
      </c>
      <c r="F47" t="str">
        <f>INDEX(Define!L:L,MATCH(E47,Define!K:K))</f>
        <v>Basement</v>
      </c>
      <c r="G47">
        <v>2</v>
      </c>
      <c r="H47">
        <v>100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5" x14ac:dyDescent="0.2">
      <c r="A48">
        <v>11090</v>
      </c>
      <c r="B48">
        <v>1030</v>
      </c>
      <c r="C48">
        <v>9</v>
      </c>
      <c r="D48">
        <v>4</v>
      </c>
      <c r="E48">
        <v>1000</v>
      </c>
      <c r="F48" t="str">
        <f>INDEX(Define!L:L,MATCH(E48,Define!K:K))</f>
        <v>Battler</v>
      </c>
      <c r="G48">
        <v>2</v>
      </c>
      <c r="H48">
        <v>100</v>
      </c>
      <c r="I48">
        <v>1011</v>
      </c>
      <c r="J48">
        <v>0</v>
      </c>
      <c r="K48">
        <v>1011</v>
      </c>
      <c r="L48">
        <v>0</v>
      </c>
      <c r="M48">
        <v>50</v>
      </c>
      <c r="N48">
        <v>0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>
      <selection activeCell="A8" sqref="A8:XFD89"/>
    </sheetView>
  </sheetViews>
  <sheetFormatPr defaultColWidth="8.7265625" defaultRowHeight="13" x14ac:dyDescent="0.2"/>
  <sheetData>
    <row r="1" spans="1:3" x14ac:dyDescent="0.2">
      <c r="A1" t="s">
        <v>0</v>
      </c>
      <c r="B1" t="s">
        <v>24</v>
      </c>
      <c r="C1" t="s">
        <v>25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26</v>
      </c>
      <c r="B1" t="s">
        <v>17</v>
      </c>
      <c r="C1" t="s">
        <v>13</v>
      </c>
      <c r="D1" t="s">
        <v>18</v>
      </c>
      <c r="E1" t="s">
        <v>19</v>
      </c>
      <c r="F1" t="s">
        <v>20</v>
      </c>
      <c r="G1" t="s">
        <v>21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DF549-830A-441A-B02B-F6F6904091C0}">
  <dimension ref="A1:E2"/>
  <sheetViews>
    <sheetView workbookViewId="0">
      <selection activeCell="E2" sqref="E2"/>
    </sheetView>
  </sheetViews>
  <sheetFormatPr defaultRowHeight="13" x14ac:dyDescent="0.2"/>
  <sheetData>
    <row r="1" spans="1:5" x14ac:dyDescent="0.2">
      <c r="A1" s="2" t="s">
        <v>115</v>
      </c>
      <c r="B1" s="2" t="s">
        <v>116</v>
      </c>
      <c r="C1" s="2" t="s">
        <v>117</v>
      </c>
      <c r="D1" s="2" t="s">
        <v>118</v>
      </c>
      <c r="E1" s="2" t="s">
        <v>119</v>
      </c>
    </row>
    <row r="2" spans="1:5" x14ac:dyDescent="0.2">
      <c r="A2">
        <v>11090</v>
      </c>
      <c r="B2">
        <v>8</v>
      </c>
      <c r="C2">
        <v>5</v>
      </c>
      <c r="D2">
        <v>13</v>
      </c>
      <c r="E2">
        <v>4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"/>
  <sheetViews>
    <sheetView workbookViewId="0">
      <selection activeCell="K27" sqref="K27"/>
    </sheetView>
  </sheetViews>
  <sheetFormatPr defaultColWidth="8.7265625" defaultRowHeight="13" x14ac:dyDescent="0.2"/>
  <sheetData>
    <row r="1" spans="1:8" x14ac:dyDescent="0.2">
      <c r="A1" t="s">
        <v>0</v>
      </c>
      <c r="B1" t="s">
        <v>11</v>
      </c>
      <c r="C1" t="s">
        <v>12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</row>
    <row r="2" spans="1:8" x14ac:dyDescent="0.2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honeticPr fontId="2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1"/>
  <sheetViews>
    <sheetView workbookViewId="0">
      <selection activeCell="H8" sqref="H8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32</v>
      </c>
      <c r="C1" t="s">
        <v>33</v>
      </c>
    </row>
    <row r="2" spans="1:4" x14ac:dyDescent="0.2">
      <c r="A2">
        <v>1</v>
      </c>
      <c r="B2" t="s">
        <v>34</v>
      </c>
      <c r="C2" s="1" t="s">
        <v>34</v>
      </c>
    </row>
    <row r="3" spans="1:4" x14ac:dyDescent="0.2">
      <c r="A3">
        <v>10</v>
      </c>
      <c r="B3" s="2" t="s">
        <v>89</v>
      </c>
      <c r="C3" s="3" t="s">
        <v>90</v>
      </c>
      <c r="D3" s="1"/>
    </row>
    <row r="4" spans="1:4" x14ac:dyDescent="0.2">
      <c r="A4">
        <v>20</v>
      </c>
      <c r="B4" s="2" t="s">
        <v>127</v>
      </c>
      <c r="C4" s="3" t="s">
        <v>90</v>
      </c>
      <c r="D4" s="1"/>
    </row>
    <row r="5" spans="1:4" x14ac:dyDescent="0.2">
      <c r="A5">
        <v>1010</v>
      </c>
      <c r="B5" s="2" t="s">
        <v>91</v>
      </c>
      <c r="C5" s="4" t="s">
        <v>90</v>
      </c>
      <c r="D5" s="1"/>
    </row>
    <row r="6" spans="1:4" x14ac:dyDescent="0.2">
      <c r="A6">
        <v>1020</v>
      </c>
      <c r="B6" s="2" t="s">
        <v>98</v>
      </c>
      <c r="C6" s="4" t="s">
        <v>90</v>
      </c>
      <c r="D6" s="1"/>
    </row>
    <row r="7" spans="1:4" x14ac:dyDescent="0.2">
      <c r="A7">
        <v>1030</v>
      </c>
      <c r="B7" s="2" t="s">
        <v>102</v>
      </c>
      <c r="C7" s="4" t="s">
        <v>90</v>
      </c>
      <c r="D7" s="1"/>
    </row>
    <row r="8" spans="1:4" x14ac:dyDescent="0.2">
      <c r="A8">
        <v>10010</v>
      </c>
      <c r="B8" s="2" t="s">
        <v>100</v>
      </c>
      <c r="C8" s="4" t="s">
        <v>90</v>
      </c>
      <c r="D8" s="1"/>
    </row>
    <row r="9" spans="1:4" x14ac:dyDescent="0.2">
      <c r="C9" s="1"/>
      <c r="D9" s="1"/>
    </row>
    <row r="10" spans="1:4" x14ac:dyDescent="0.2">
      <c r="C10" s="1"/>
    </row>
    <row r="11" spans="1:4" x14ac:dyDescent="0.2">
      <c r="C11" s="1"/>
    </row>
  </sheetData>
  <phoneticPr fontId="2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8"/>
  <sheetViews>
    <sheetView tabSelected="1" workbookViewId="0">
      <selection activeCell="M4" sqref="M4"/>
    </sheetView>
  </sheetViews>
  <sheetFormatPr defaultColWidth="8.7265625" defaultRowHeight="13" x14ac:dyDescent="0.2"/>
  <cols>
    <col min="15" max="15" width="45.90625" customWidth="1"/>
  </cols>
  <sheetData>
    <row r="1" spans="1:15" x14ac:dyDescent="0.2">
      <c r="A1" t="s">
        <v>12</v>
      </c>
      <c r="D1" t="s">
        <v>14</v>
      </c>
      <c r="I1" t="s">
        <v>17</v>
      </c>
      <c r="K1" s="2" t="s">
        <v>80</v>
      </c>
      <c r="M1" s="2" t="s">
        <v>86</v>
      </c>
    </row>
    <row r="2" spans="1:15" x14ac:dyDescent="0.2">
      <c r="A2">
        <v>0</v>
      </c>
      <c r="B2" t="s">
        <v>35</v>
      </c>
      <c r="D2">
        <v>0</v>
      </c>
      <c r="E2" t="s">
        <v>35</v>
      </c>
      <c r="I2">
        <v>-1</v>
      </c>
      <c r="J2" t="s">
        <v>36</v>
      </c>
      <c r="K2">
        <v>-1</v>
      </c>
      <c r="L2" t="s">
        <v>36</v>
      </c>
      <c r="M2">
        <v>0</v>
      </c>
      <c r="N2" s="2" t="s">
        <v>106</v>
      </c>
    </row>
    <row r="3" spans="1:15" x14ac:dyDescent="0.2">
      <c r="A3">
        <v>110</v>
      </c>
      <c r="B3" t="s">
        <v>37</v>
      </c>
      <c r="D3">
        <v>1</v>
      </c>
      <c r="E3" t="s">
        <v>38</v>
      </c>
      <c r="I3">
        <v>0</v>
      </c>
      <c r="J3" s="2" t="s">
        <v>83</v>
      </c>
      <c r="K3">
        <v>0</v>
      </c>
      <c r="L3" s="2" t="s">
        <v>83</v>
      </c>
      <c r="M3">
        <v>10</v>
      </c>
      <c r="N3" s="2" t="s">
        <v>104</v>
      </c>
      <c r="O3" s="2" t="s">
        <v>105</v>
      </c>
    </row>
    <row r="4" spans="1:15" x14ac:dyDescent="0.2">
      <c r="A4">
        <v>210</v>
      </c>
      <c r="B4" t="s">
        <v>39</v>
      </c>
      <c r="D4">
        <v>2</v>
      </c>
      <c r="E4" t="s">
        <v>40</v>
      </c>
      <c r="I4">
        <v>10</v>
      </c>
      <c r="J4" t="s">
        <v>41</v>
      </c>
      <c r="K4">
        <v>11</v>
      </c>
      <c r="L4" t="s">
        <v>43</v>
      </c>
      <c r="M4">
        <v>20</v>
      </c>
      <c r="N4" s="2" t="s">
        <v>107</v>
      </c>
      <c r="O4" s="2" t="s">
        <v>108</v>
      </c>
    </row>
    <row r="5" spans="1:15" ht="39" x14ac:dyDescent="0.2">
      <c r="A5">
        <v>1010</v>
      </c>
      <c r="B5" s="2" t="s">
        <v>92</v>
      </c>
      <c r="D5">
        <v>3</v>
      </c>
      <c r="E5" t="s">
        <v>42</v>
      </c>
      <c r="I5">
        <v>11</v>
      </c>
      <c r="J5" t="s">
        <v>43</v>
      </c>
      <c r="K5">
        <v>20</v>
      </c>
      <c r="L5" s="2" t="s">
        <v>82</v>
      </c>
      <c r="M5">
        <v>30</v>
      </c>
      <c r="N5" s="2" t="s">
        <v>109</v>
      </c>
      <c r="O5" s="3" t="s">
        <v>110</v>
      </c>
    </row>
    <row r="6" spans="1:15" x14ac:dyDescent="0.2">
      <c r="D6">
        <v>4</v>
      </c>
      <c r="E6" t="s">
        <v>44</v>
      </c>
      <c r="I6">
        <v>20</v>
      </c>
      <c r="J6" t="s">
        <v>45</v>
      </c>
      <c r="K6">
        <v>30</v>
      </c>
      <c r="L6" s="2" t="s">
        <v>101</v>
      </c>
      <c r="M6">
        <v>40</v>
      </c>
      <c r="N6" s="2" t="s">
        <v>111</v>
      </c>
      <c r="O6" s="2" t="s">
        <v>112</v>
      </c>
    </row>
    <row r="7" spans="1:15" x14ac:dyDescent="0.2">
      <c r="D7">
        <v>5</v>
      </c>
      <c r="E7" t="s">
        <v>46</v>
      </c>
      <c r="I7">
        <v>30</v>
      </c>
      <c r="J7" t="s">
        <v>47</v>
      </c>
      <c r="K7">
        <v>40</v>
      </c>
      <c r="L7" s="2" t="s">
        <v>103</v>
      </c>
      <c r="M7">
        <v>50</v>
      </c>
      <c r="N7" s="2" t="s">
        <v>113</v>
      </c>
      <c r="O7" s="2" t="s">
        <v>114</v>
      </c>
    </row>
    <row r="8" spans="1:15" ht="39" x14ac:dyDescent="0.2">
      <c r="D8">
        <v>6</v>
      </c>
      <c r="E8" t="s">
        <v>48</v>
      </c>
      <c r="I8">
        <v>40</v>
      </c>
      <c r="J8" t="s">
        <v>49</v>
      </c>
      <c r="K8">
        <v>50</v>
      </c>
      <c r="L8" t="s">
        <v>51</v>
      </c>
      <c r="M8">
        <v>60</v>
      </c>
      <c r="N8" s="2" t="s">
        <v>120</v>
      </c>
      <c r="O8" s="3" t="s">
        <v>121</v>
      </c>
    </row>
    <row r="9" spans="1:15" x14ac:dyDescent="0.2">
      <c r="D9">
        <v>7</v>
      </c>
      <c r="E9" t="s">
        <v>50</v>
      </c>
      <c r="I9">
        <v>50</v>
      </c>
      <c r="J9" t="s">
        <v>51</v>
      </c>
      <c r="K9">
        <v>60</v>
      </c>
      <c r="L9" t="s">
        <v>53</v>
      </c>
      <c r="M9">
        <v>70</v>
      </c>
      <c r="N9" s="2" t="s">
        <v>122</v>
      </c>
      <c r="O9" s="2" t="s">
        <v>123</v>
      </c>
    </row>
    <row r="10" spans="1:15" x14ac:dyDescent="0.2">
      <c r="D10">
        <v>8</v>
      </c>
      <c r="E10" t="s">
        <v>52</v>
      </c>
      <c r="I10">
        <v>60</v>
      </c>
      <c r="J10" t="s">
        <v>53</v>
      </c>
      <c r="K10">
        <v>70</v>
      </c>
      <c r="L10" t="s">
        <v>55</v>
      </c>
      <c r="M10">
        <v>80</v>
      </c>
      <c r="N10" s="2" t="s">
        <v>124</v>
      </c>
      <c r="O10" s="2" t="s">
        <v>125</v>
      </c>
    </row>
    <row r="11" spans="1:15" x14ac:dyDescent="0.2">
      <c r="D11">
        <v>9</v>
      </c>
      <c r="E11" t="s">
        <v>54</v>
      </c>
      <c r="I11">
        <v>70</v>
      </c>
      <c r="J11" t="s">
        <v>55</v>
      </c>
      <c r="K11">
        <v>80</v>
      </c>
      <c r="L11" t="s">
        <v>57</v>
      </c>
    </row>
    <row r="12" spans="1:15" x14ac:dyDescent="0.2">
      <c r="D12">
        <v>12</v>
      </c>
      <c r="E12" t="s">
        <v>56</v>
      </c>
      <c r="I12">
        <v>80</v>
      </c>
      <c r="J12" t="s">
        <v>57</v>
      </c>
      <c r="K12">
        <v>90</v>
      </c>
      <c r="L12" s="2" t="s">
        <v>126</v>
      </c>
    </row>
    <row r="13" spans="1:15" x14ac:dyDescent="0.2">
      <c r="D13">
        <v>13</v>
      </c>
      <c r="E13" t="s">
        <v>58</v>
      </c>
      <c r="I13">
        <v>99</v>
      </c>
      <c r="J13" t="s">
        <v>59</v>
      </c>
      <c r="K13">
        <v>99</v>
      </c>
      <c r="L13" t="s">
        <v>59</v>
      </c>
    </row>
    <row r="14" spans="1:15" x14ac:dyDescent="0.2">
      <c r="D14">
        <v>14</v>
      </c>
      <c r="E14" t="s">
        <v>60</v>
      </c>
      <c r="K14">
        <v>1000</v>
      </c>
      <c r="L14" s="2" t="s">
        <v>81</v>
      </c>
    </row>
    <row r="15" spans="1:15" x14ac:dyDescent="0.2">
      <c r="D15">
        <v>15</v>
      </c>
      <c r="E15" t="s">
        <v>61</v>
      </c>
    </row>
    <row r="16" spans="1:15" x14ac:dyDescent="0.2">
      <c r="D16">
        <v>21</v>
      </c>
      <c r="E16" t="s">
        <v>62</v>
      </c>
    </row>
    <row r="17" spans="4:5" x14ac:dyDescent="0.2">
      <c r="D17">
        <v>31</v>
      </c>
      <c r="E17" t="s">
        <v>63</v>
      </c>
    </row>
    <row r="18" spans="4:5" x14ac:dyDescent="0.2">
      <c r="D18">
        <v>32</v>
      </c>
      <c r="E18" t="s">
        <v>64</v>
      </c>
    </row>
    <row r="19" spans="4:5" x14ac:dyDescent="0.2">
      <c r="D19">
        <v>33</v>
      </c>
      <c r="E19" t="s">
        <v>65</v>
      </c>
    </row>
    <row r="20" spans="4:5" x14ac:dyDescent="0.2">
      <c r="D20">
        <v>41</v>
      </c>
      <c r="E20" t="s">
        <v>66</v>
      </c>
    </row>
    <row r="21" spans="4:5" x14ac:dyDescent="0.2">
      <c r="D21">
        <v>51</v>
      </c>
      <c r="E21" t="s">
        <v>67</v>
      </c>
    </row>
    <row r="22" spans="4:5" x14ac:dyDescent="0.2">
      <c r="D22">
        <v>61</v>
      </c>
      <c r="E22" t="s">
        <v>68</v>
      </c>
    </row>
    <row r="23" spans="4:5" x14ac:dyDescent="0.2">
      <c r="D23">
        <v>62</v>
      </c>
      <c r="E23" t="s">
        <v>69</v>
      </c>
    </row>
    <row r="24" spans="4:5" x14ac:dyDescent="0.2">
      <c r="D24">
        <v>100</v>
      </c>
      <c r="E24" t="s">
        <v>70</v>
      </c>
    </row>
    <row r="25" spans="4:5" x14ac:dyDescent="0.2">
      <c r="D25">
        <v>110</v>
      </c>
      <c r="E25" t="s">
        <v>71</v>
      </c>
    </row>
    <row r="26" spans="4:5" x14ac:dyDescent="0.2">
      <c r="D26">
        <v>201</v>
      </c>
      <c r="E26" t="s">
        <v>72</v>
      </c>
    </row>
    <row r="27" spans="4:5" x14ac:dyDescent="0.2">
      <c r="D27">
        <v>1010</v>
      </c>
      <c r="E27" s="2" t="s">
        <v>93</v>
      </c>
    </row>
    <row r="28" spans="4:5" x14ac:dyDescent="0.2">
      <c r="D28">
        <v>1011</v>
      </c>
      <c r="E28" s="2" t="s">
        <v>94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Stages</vt:lpstr>
      <vt:lpstr>StageEvents</vt:lpstr>
      <vt:lpstr>StageSymbols</vt:lpstr>
      <vt:lpstr>StageEnemyRates</vt:lpstr>
      <vt:lpstr>SymbolGroup</vt:lpstr>
      <vt:lpstr>MoveParamType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2025-04-29T11:33:41Z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