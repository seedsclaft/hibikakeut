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 activeTab="1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calcPr calcId="144525" concurrentCalc="0"/>
</workbook>
</file>

<file path=xl/sharedStrings.xml><?xml version="1.0" encoding="utf-8"?>
<sst xmlns="http://schemas.openxmlformats.org/spreadsheetml/2006/main" count="156" uniqueCount="106">
  <si>
    <t>Id</t>
  </si>
  <si>
    <t>NameId</t>
  </si>
  <si>
    <t>StageNo</t>
  </si>
  <si>
    <t>Selectable</t>
  </si>
  <si>
    <t>Chapter</t>
  </si>
  <si>
    <t>StageLv</t>
  </si>
  <si>
    <t>DisplayRank</t>
  </si>
  <si>
    <t>RandomTroopWeight</t>
  </si>
  <si>
    <t>EncountMin</t>
  </si>
  <si>
    <t>EncountMax</t>
  </si>
  <si>
    <t>BGMId</t>
  </si>
  <si>
    <t>BossBGMId</t>
  </si>
  <si>
    <t>MenuBGMId</t>
  </si>
  <si>
    <t>BackGround</t>
  </si>
  <si>
    <t>BossImage</t>
  </si>
  <si>
    <t>BossTroopId</t>
  </si>
  <si>
    <t>RockCave2</t>
  </si>
  <si>
    <t>""</t>
  </si>
  <si>
    <t>Bee</t>
  </si>
  <si>
    <t>002-Woods01</t>
  </si>
  <si>
    <t>Ammon</t>
  </si>
  <si>
    <t>DirtCave</t>
  </si>
  <si>
    <t>NA_Background image_Fantasy_027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</si>
  <si>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</si>
  <si>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</si>
  <si>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</si>
  <si>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</si>
  <si>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</si>
  <si>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</si>
  <si>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</si>
  <si>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</si>
  <si>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</si>
  <si>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</si>
  <si>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</si>
  <si>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</si>
  <si>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</si>
  <si>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</si>
  <si>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</si>
  <si>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</si>
  <si>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</si>
  <si>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</si>
  <si>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</si>
  <si>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</si>
  <si>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</si>
  <si>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</si>
  <si>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忘れられた山岳遺跡・奥</t>
  </si>
  <si>
    <t>月影の森</t>
  </si>
  <si>
    <t>月影の森・地下洞窟</t>
  </si>
  <si>
    <t>月影の森・採掘上跡</t>
  </si>
  <si>
    <t>亡国の廃墟宮殿</t>
  </si>
  <si>
    <t>忘却の洞窟</t>
  </si>
  <si>
    <t>ユニットの強化</t>
  </si>
  <si>
    <t>荒野の戦い</t>
  </si>
  <si>
    <t>敵拠点を制圧する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</si>
  <si>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</si>
  <si>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</si>
  <si>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</si>
  <si>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</si>
  <si>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</si>
  <si>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</si>
  <si>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</si>
  <si>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</si>
  <si>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</si>
  <si>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</si>
  <si>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</si>
  <si>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</si>
  <si>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</si>
  <si>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</si>
  <si>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</si>
  <si>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</si>
  <si>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</si>
  <si>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</si>
  <si>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</si>
  <si>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</si>
  <si>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</si>
  <si>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</si>
  <si>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</si>
  <si>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</si>
  <si>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</si>
  <si>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</si>
  <si>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</si>
  <si>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</si>
  <si>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</si>
  <si>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</si>
  <si>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</si>
  <si>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</si>
  <si>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</si>
  <si>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</si>
  <si>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</si>
  <si>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</si>
  <si>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</si>
  <si>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</si>
  <si>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</si>
  <si>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</si>
  <si>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</si>
  <si>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</si>
  <si>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</si>
  <si>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</si>
  <si>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</si>
  <si>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</si>
  <si>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</si>
  <si>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</si>
  <si>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</si>
  <si>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</si>
  <si>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ダメージ床</t>
  </si>
  <si>
    <t>Battler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</si>
</sst>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43" formatCode="_ * #,##0.00_ ;_ * \-#,##0.00_ ;_ * &quot;-&quot;??_ ;_ @_ 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b/>
      <sz val="11"/>
      <color rgb="FFFFFF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11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0" fillId="10" borderId="3" applyNumberFormat="0" applyFont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14" fillId="17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8" fillId="17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3" fillId="2" borderId="1" applyNumberFormat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3"/>
  <sheetViews>
    <sheetView workbookViewId="0">
      <selection activeCell="F7" sqref="F7"/>
    </sheetView>
  </sheetViews>
  <sheetFormatPr defaultColWidth="8.72727272727273" defaultRowHeight="13"/>
  <cols>
    <col min="4" max="5" width="10.3636363636364" customWidth="1"/>
    <col min="7" max="7" width="11.8181818181818" customWidth="1"/>
    <col min="8" max="8" width="8.45454545454546" customWidth="1"/>
    <col min="14" max="14" width="13.2727272727273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>
        <v>10</v>
      </c>
      <c r="B2">
        <v>10</v>
      </c>
      <c r="C2">
        <v>1</v>
      </c>
      <c r="D2">
        <v>0</v>
      </c>
      <c r="E2">
        <v>1</v>
      </c>
      <c r="F2">
        <v>0</v>
      </c>
      <c r="G2">
        <v>0</v>
      </c>
      <c r="H2">
        <v>30</v>
      </c>
      <c r="I2">
        <v>0</v>
      </c>
      <c r="J2">
        <v>0</v>
      </c>
      <c r="K2">
        <v>0</v>
      </c>
      <c r="L2">
        <v>2010</v>
      </c>
      <c r="M2">
        <v>100</v>
      </c>
      <c r="N2" s="1" t="s">
        <v>16</v>
      </c>
      <c r="O2" t="s">
        <v>17</v>
      </c>
      <c r="P2">
        <v>0</v>
      </c>
    </row>
    <row r="3" spans="1:16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2</v>
      </c>
      <c r="H3">
        <v>30</v>
      </c>
      <c r="I3">
        <v>6</v>
      </c>
      <c r="J3">
        <v>12</v>
      </c>
      <c r="K3">
        <v>1010</v>
      </c>
      <c r="L3">
        <v>3010</v>
      </c>
      <c r="M3">
        <v>100</v>
      </c>
      <c r="N3" s="1" t="s">
        <v>16</v>
      </c>
      <c r="O3" t="s">
        <v>18</v>
      </c>
      <c r="P3">
        <v>1020</v>
      </c>
    </row>
    <row r="4" spans="1:16">
      <c r="A4">
        <v>21</v>
      </c>
      <c r="B4">
        <v>21</v>
      </c>
      <c r="C4">
        <v>2</v>
      </c>
      <c r="D4">
        <v>0</v>
      </c>
      <c r="E4">
        <v>1</v>
      </c>
      <c r="F4">
        <v>1</v>
      </c>
      <c r="G4">
        <v>0</v>
      </c>
      <c r="H4">
        <v>30</v>
      </c>
      <c r="I4">
        <v>6</v>
      </c>
      <c r="J4">
        <v>12</v>
      </c>
      <c r="K4">
        <v>1010</v>
      </c>
      <c r="L4">
        <v>3010</v>
      </c>
      <c r="M4">
        <v>100</v>
      </c>
      <c r="N4" s="1" t="s">
        <v>16</v>
      </c>
      <c r="O4" t="s">
        <v>18</v>
      </c>
      <c r="P4">
        <v>0</v>
      </c>
    </row>
    <row r="5" spans="1:16">
      <c r="A5">
        <v>30</v>
      </c>
      <c r="B5">
        <v>30</v>
      </c>
      <c r="C5">
        <v>3</v>
      </c>
      <c r="D5">
        <v>1</v>
      </c>
      <c r="E5">
        <v>1</v>
      </c>
      <c r="F5">
        <v>5</v>
      </c>
      <c r="G5">
        <v>3</v>
      </c>
      <c r="H5">
        <v>30</v>
      </c>
      <c r="I5">
        <v>6</v>
      </c>
      <c r="J5">
        <v>12</v>
      </c>
      <c r="K5">
        <v>1020</v>
      </c>
      <c r="L5">
        <v>3010</v>
      </c>
      <c r="M5">
        <v>100</v>
      </c>
      <c r="N5" s="1" t="s">
        <v>19</v>
      </c>
      <c r="O5" t="s">
        <v>20</v>
      </c>
      <c r="P5">
        <v>2010</v>
      </c>
    </row>
    <row r="6" spans="1:16">
      <c r="A6">
        <v>31</v>
      </c>
      <c r="B6">
        <v>31</v>
      </c>
      <c r="C6">
        <v>3</v>
      </c>
      <c r="D6">
        <v>0</v>
      </c>
      <c r="E6">
        <v>1</v>
      </c>
      <c r="F6">
        <v>5</v>
      </c>
      <c r="G6">
        <v>0</v>
      </c>
      <c r="H6">
        <v>30</v>
      </c>
      <c r="I6">
        <v>6</v>
      </c>
      <c r="J6">
        <v>12</v>
      </c>
      <c r="K6">
        <v>1020</v>
      </c>
      <c r="L6">
        <v>3010</v>
      </c>
      <c r="M6">
        <v>100</v>
      </c>
      <c r="N6" s="1" t="s">
        <v>21</v>
      </c>
      <c r="O6" t="s">
        <v>20</v>
      </c>
      <c r="P6">
        <v>0</v>
      </c>
    </row>
    <row r="7" spans="1:16">
      <c r="A7">
        <v>32</v>
      </c>
      <c r="B7">
        <v>32</v>
      </c>
      <c r="C7">
        <v>3</v>
      </c>
      <c r="D7">
        <v>0</v>
      </c>
      <c r="E7">
        <v>1</v>
      </c>
      <c r="F7">
        <v>5</v>
      </c>
      <c r="G7">
        <v>0</v>
      </c>
      <c r="H7">
        <v>30</v>
      </c>
      <c r="I7">
        <v>6</v>
      </c>
      <c r="J7">
        <v>12</v>
      </c>
      <c r="K7">
        <v>1020</v>
      </c>
      <c r="L7">
        <v>3010</v>
      </c>
      <c r="M7">
        <v>100</v>
      </c>
      <c r="N7" s="1" t="s">
        <v>19</v>
      </c>
      <c r="O7" t="s">
        <v>20</v>
      </c>
      <c r="P7">
        <v>0</v>
      </c>
    </row>
    <row r="8" spans="1:16">
      <c r="A8">
        <v>40</v>
      </c>
      <c r="B8">
        <v>40</v>
      </c>
      <c r="C8">
        <v>4</v>
      </c>
      <c r="D8">
        <v>1</v>
      </c>
      <c r="E8">
        <v>1</v>
      </c>
      <c r="F8">
        <v>10</v>
      </c>
      <c r="G8">
        <v>4</v>
      </c>
      <c r="H8">
        <v>30</v>
      </c>
      <c r="I8">
        <v>6</v>
      </c>
      <c r="J8">
        <v>12</v>
      </c>
      <c r="K8">
        <v>1030</v>
      </c>
      <c r="L8">
        <v>3010</v>
      </c>
      <c r="M8">
        <v>100</v>
      </c>
      <c r="N8" s="1" t="s">
        <v>22</v>
      </c>
      <c r="O8" t="s">
        <v>20</v>
      </c>
      <c r="P8">
        <v>3010</v>
      </c>
    </row>
    <row r="9" spans="1:16">
      <c r="A9">
        <v>1010</v>
      </c>
      <c r="B9">
        <v>1010</v>
      </c>
      <c r="C9">
        <v>101</v>
      </c>
      <c r="D9">
        <v>1</v>
      </c>
      <c r="E9">
        <v>1</v>
      </c>
      <c r="F9">
        <v>5</v>
      </c>
      <c r="G9">
        <v>3</v>
      </c>
      <c r="H9">
        <v>30</v>
      </c>
      <c r="I9">
        <v>6</v>
      </c>
      <c r="J9">
        <v>12</v>
      </c>
      <c r="K9">
        <v>1210</v>
      </c>
      <c r="L9">
        <v>3010</v>
      </c>
      <c r="M9">
        <v>100</v>
      </c>
      <c r="N9" s="1" t="s">
        <v>16</v>
      </c>
      <c r="O9" t="s">
        <v>18</v>
      </c>
      <c r="P9">
        <v>0</v>
      </c>
    </row>
    <row r="10" spans="1:16">
      <c r="A10">
        <v>1020</v>
      </c>
      <c r="B10">
        <v>1020</v>
      </c>
      <c r="C10">
        <v>102</v>
      </c>
      <c r="D10">
        <v>1</v>
      </c>
      <c r="E10">
        <v>2</v>
      </c>
      <c r="F10">
        <v>10</v>
      </c>
      <c r="G10">
        <v>4</v>
      </c>
      <c r="H10">
        <v>30</v>
      </c>
      <c r="I10">
        <v>6</v>
      </c>
      <c r="J10">
        <v>12</v>
      </c>
      <c r="K10">
        <v>1210</v>
      </c>
      <c r="L10">
        <v>3010</v>
      </c>
      <c r="M10">
        <v>100</v>
      </c>
      <c r="N10" s="1" t="s">
        <v>16</v>
      </c>
      <c r="O10" t="s">
        <v>18</v>
      </c>
      <c r="P10">
        <v>0</v>
      </c>
    </row>
    <row r="11" spans="1:16">
      <c r="A11">
        <v>2010</v>
      </c>
      <c r="B11">
        <v>2010</v>
      </c>
      <c r="C11">
        <v>201</v>
      </c>
      <c r="D11">
        <v>0</v>
      </c>
      <c r="E11">
        <v>2</v>
      </c>
      <c r="F11">
        <v>10</v>
      </c>
      <c r="G11">
        <v>0</v>
      </c>
      <c r="H11">
        <v>30</v>
      </c>
      <c r="I11">
        <v>0</v>
      </c>
      <c r="J11">
        <v>0</v>
      </c>
      <c r="K11">
        <v>3020</v>
      </c>
      <c r="L11">
        <v>3020</v>
      </c>
      <c r="M11">
        <v>100</v>
      </c>
      <c r="N11" s="1" t="s">
        <v>16</v>
      </c>
      <c r="O11" t="s">
        <v>18</v>
      </c>
      <c r="P11">
        <v>0</v>
      </c>
    </row>
    <row r="12" spans="1:16">
      <c r="A12">
        <v>2011</v>
      </c>
      <c r="B12">
        <v>2010</v>
      </c>
      <c r="C12">
        <v>201</v>
      </c>
      <c r="D12">
        <v>0</v>
      </c>
      <c r="E12">
        <v>2</v>
      </c>
      <c r="F12">
        <v>10</v>
      </c>
      <c r="G12">
        <v>0</v>
      </c>
      <c r="H12">
        <v>30</v>
      </c>
      <c r="I12">
        <v>0</v>
      </c>
      <c r="J12">
        <v>0</v>
      </c>
      <c r="K12">
        <v>3020</v>
      </c>
      <c r="L12">
        <v>3020</v>
      </c>
      <c r="M12">
        <v>100</v>
      </c>
      <c r="N12" s="1" t="s">
        <v>16</v>
      </c>
      <c r="O12" t="s">
        <v>18</v>
      </c>
      <c r="P12">
        <v>0</v>
      </c>
    </row>
    <row r="13" spans="1:16">
      <c r="A13">
        <v>2012</v>
      </c>
      <c r="B13">
        <v>2010</v>
      </c>
      <c r="C13">
        <v>201</v>
      </c>
      <c r="D13">
        <v>0</v>
      </c>
      <c r="E13">
        <v>2</v>
      </c>
      <c r="F13">
        <v>10</v>
      </c>
      <c r="G13">
        <v>0</v>
      </c>
      <c r="H13">
        <v>30</v>
      </c>
      <c r="I13">
        <v>0</v>
      </c>
      <c r="J13">
        <v>0</v>
      </c>
      <c r="K13">
        <v>3020</v>
      </c>
      <c r="L13">
        <v>3020</v>
      </c>
      <c r="M13">
        <v>100</v>
      </c>
      <c r="N13" s="1" t="s">
        <v>16</v>
      </c>
      <c r="O13" t="s">
        <v>18</v>
      </c>
      <c r="P13">
        <v>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7"/>
  <sheetViews>
    <sheetView tabSelected="1" topLeftCell="A13" workbookViewId="0">
      <selection activeCell="H26" sqref="H26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23</v>
      </c>
      <c r="C1" t="s">
        <v>24</v>
      </c>
      <c r="D1" t="s">
        <v>25</v>
      </c>
      <c r="E1" s="1" t="s">
        <v>26</v>
      </c>
      <c r="F1" t="s">
        <v>27</v>
      </c>
      <c r="G1" s="1" t="s">
        <v>26</v>
      </c>
      <c r="H1" t="s">
        <v>28</v>
      </c>
      <c r="I1" t="s">
        <v>29</v>
      </c>
      <c r="J1" t="s">
        <v>30</v>
      </c>
      <c r="K1" t="s">
        <v>31</v>
      </c>
    </row>
    <row r="2" spans="1:11">
      <c r="A2">
        <v>10</v>
      </c>
      <c r="B2">
        <v>7</v>
      </c>
      <c r="C2">
        <v>4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spans="1:11">
      <c r="A3">
        <v>10</v>
      </c>
      <c r="B3">
        <v>7</v>
      </c>
      <c r="C3">
        <v>6</v>
      </c>
      <c r="D3">
        <v>3010</v>
      </c>
      <c r="F3">
        <v>4020</v>
      </c>
      <c r="G3" t="str">
        <f>INDEX(Define!E:E,MATCH(F3,Define!D:D))</f>
        <v>選択して仲間を増やす</v>
      </c>
      <c r="H3">
        <v>1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8</v>
      </c>
      <c r="D4">
        <v>3010</v>
      </c>
      <c r="F4">
        <v>5010</v>
      </c>
      <c r="G4" t="str">
        <f>INDEX(Define!E:E,MATCH(F4,Define!D:D))</f>
        <v>強制戦闘</v>
      </c>
      <c r="H4">
        <v>1010</v>
      </c>
      <c r="I4">
        <v>0</v>
      </c>
      <c r="J4">
        <v>0</v>
      </c>
      <c r="K4" t="b">
        <v>1</v>
      </c>
    </row>
    <row r="5" spans="1:11">
      <c r="A5">
        <v>10</v>
      </c>
      <c r="B5">
        <v>7</v>
      </c>
      <c r="C5">
        <v>13</v>
      </c>
      <c r="D5">
        <v>3010</v>
      </c>
      <c r="F5">
        <v>2010</v>
      </c>
      <c r="G5" t="str">
        <f>INDEX(Define!E:E,MATCH(F5,Define!D:D))</f>
        <v>ダンジョンから出る</v>
      </c>
      <c r="H5">
        <v>0</v>
      </c>
      <c r="I5">
        <v>0</v>
      </c>
      <c r="J5">
        <v>0</v>
      </c>
      <c r="K5" t="b">
        <v>0</v>
      </c>
    </row>
    <row r="6" spans="1:11">
      <c r="A6">
        <v>20</v>
      </c>
      <c r="B6">
        <v>2</v>
      </c>
      <c r="C6">
        <v>1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10</v>
      </c>
      <c r="C7">
        <v>9</v>
      </c>
      <c r="D7">
        <v>3010</v>
      </c>
      <c r="F7">
        <v>6010</v>
      </c>
      <c r="G7" t="str">
        <f>INDEX(Define!E:E,MATCH(F7,Define!D:D))</f>
        <v>指定のイベントマスを消す</v>
      </c>
      <c r="H7">
        <v>79</v>
      </c>
      <c r="I7">
        <v>0</v>
      </c>
      <c r="J7">
        <v>0</v>
      </c>
      <c r="K7" t="b">
        <v>1</v>
      </c>
    </row>
    <row r="8" spans="1:11">
      <c r="A8">
        <v>20</v>
      </c>
      <c r="B8">
        <v>7</v>
      </c>
      <c r="C8">
        <v>9</v>
      </c>
      <c r="D8">
        <v>3010</v>
      </c>
      <c r="F8">
        <v>0</v>
      </c>
      <c r="H8">
        <v>79</v>
      </c>
      <c r="I8">
        <v>0</v>
      </c>
      <c r="J8">
        <v>0</v>
      </c>
      <c r="K8" t="b">
        <v>1</v>
      </c>
    </row>
    <row r="9" spans="1:11">
      <c r="A9">
        <v>20</v>
      </c>
      <c r="B9">
        <v>7</v>
      </c>
      <c r="C9">
        <v>0</v>
      </c>
      <c r="D9">
        <v>3010</v>
      </c>
      <c r="F9">
        <v>2020</v>
      </c>
      <c r="G9" t="str">
        <f>INDEX(Define!E:E,MATCH(F9,Define!D:D))</f>
        <v>ダンジョン移動</v>
      </c>
      <c r="H9">
        <v>21</v>
      </c>
      <c r="I9">
        <v>1</v>
      </c>
      <c r="J9">
        <v>14</v>
      </c>
      <c r="K9" t="b">
        <v>0</v>
      </c>
    </row>
    <row r="10" spans="1:11">
      <c r="A10">
        <v>21</v>
      </c>
      <c r="B10">
        <v>1</v>
      </c>
      <c r="C10">
        <v>15</v>
      </c>
      <c r="D10">
        <v>3010</v>
      </c>
      <c r="F10">
        <v>2020</v>
      </c>
      <c r="G10" t="str">
        <f>INDEX(Define!E:E,MATCH(F10,Define!D:D))</f>
        <v>ダンジョン移動</v>
      </c>
      <c r="H10">
        <v>20</v>
      </c>
      <c r="I10">
        <v>7</v>
      </c>
      <c r="J10">
        <v>1</v>
      </c>
      <c r="K10" t="b">
        <v>0</v>
      </c>
    </row>
    <row r="11" spans="1:11">
      <c r="A11">
        <v>21</v>
      </c>
      <c r="B11">
        <v>10</v>
      </c>
      <c r="C11">
        <v>8</v>
      </c>
      <c r="D11">
        <v>3010</v>
      </c>
      <c r="F11">
        <v>5020</v>
      </c>
      <c r="G11" t="str">
        <f>INDEX(Define!E:E,MATCH(F11,Define!D:D))</f>
        <v>強制ボス戦闘</v>
      </c>
      <c r="H11">
        <v>1020</v>
      </c>
      <c r="I11">
        <v>0</v>
      </c>
      <c r="J11">
        <v>0</v>
      </c>
      <c r="K11" t="b">
        <v>1</v>
      </c>
    </row>
    <row r="12" spans="1:11">
      <c r="A12">
        <v>21</v>
      </c>
      <c r="B12">
        <v>11</v>
      </c>
      <c r="C12">
        <v>5</v>
      </c>
      <c r="D12">
        <v>3010</v>
      </c>
      <c r="F12">
        <v>6010</v>
      </c>
      <c r="G12" t="str">
        <f>INDEX(Define!E:E,MATCH(F12,Define!D:D))</f>
        <v>指定のイベントマスを消す</v>
      </c>
      <c r="H12">
        <v>213</v>
      </c>
      <c r="I12">
        <v>0</v>
      </c>
      <c r="J12">
        <v>0</v>
      </c>
      <c r="K12" t="b">
        <v>1</v>
      </c>
    </row>
    <row r="13" spans="1:11">
      <c r="A13">
        <v>21</v>
      </c>
      <c r="B13">
        <v>2</v>
      </c>
      <c r="C13">
        <v>13</v>
      </c>
      <c r="D13">
        <v>3010</v>
      </c>
      <c r="F13">
        <v>0</v>
      </c>
      <c r="H13">
        <v>213</v>
      </c>
      <c r="I13">
        <v>0</v>
      </c>
      <c r="J13">
        <v>0</v>
      </c>
      <c r="K13" t="b">
        <v>1</v>
      </c>
    </row>
    <row r="14" spans="1:11">
      <c r="A14">
        <v>21</v>
      </c>
      <c r="B14">
        <v>9</v>
      </c>
      <c r="C14">
        <v>5</v>
      </c>
      <c r="D14">
        <v>3010</v>
      </c>
      <c r="F14">
        <v>3010</v>
      </c>
      <c r="G14" t="str">
        <f>INDEX(Define!E:E,MATCH(F14,Define!D:D))</f>
        <v>アーティファクト取得</v>
      </c>
      <c r="H14">
        <v>2010</v>
      </c>
      <c r="I14">
        <v>0</v>
      </c>
      <c r="J14">
        <v>0</v>
      </c>
      <c r="K14" t="b">
        <v>1</v>
      </c>
    </row>
    <row r="15" spans="1:11">
      <c r="A15">
        <v>21</v>
      </c>
      <c r="B15">
        <v>4</v>
      </c>
      <c r="C15">
        <v>7</v>
      </c>
      <c r="D15">
        <v>3010</v>
      </c>
      <c r="F15">
        <v>3020</v>
      </c>
      <c r="G15" t="str">
        <f>INDEX(Define!E:E,MATCH(F15,Define!D:D))</f>
        <v>アイテム取得</v>
      </c>
      <c r="H15">
        <v>1000</v>
      </c>
      <c r="I15">
        <v>1</v>
      </c>
      <c r="J15">
        <v>0</v>
      </c>
      <c r="K15" t="b">
        <v>1</v>
      </c>
    </row>
    <row r="16" spans="1:11">
      <c r="A16">
        <v>30</v>
      </c>
      <c r="B16">
        <v>8</v>
      </c>
      <c r="C16">
        <v>23</v>
      </c>
      <c r="D16">
        <v>3010</v>
      </c>
      <c r="F16">
        <v>2010</v>
      </c>
      <c r="G16" t="str">
        <f>INDEX(Define!E:E,MATCH(F16,Define!D:D))</f>
        <v>ダンジョンから出る</v>
      </c>
      <c r="H16">
        <v>0</v>
      </c>
      <c r="I16">
        <v>0</v>
      </c>
      <c r="J16">
        <v>0</v>
      </c>
      <c r="K16" t="b">
        <v>0</v>
      </c>
    </row>
    <row r="17" spans="1:11">
      <c r="A17">
        <v>30</v>
      </c>
      <c r="B17">
        <v>1</v>
      </c>
      <c r="C17">
        <v>2</v>
      </c>
      <c r="D17">
        <v>3010</v>
      </c>
      <c r="F17">
        <v>2020</v>
      </c>
      <c r="G17" t="str">
        <f>INDEX(Define!E:E,MATCH(F17,Define!D:D))</f>
        <v>ダンジョン移動</v>
      </c>
      <c r="H17">
        <v>31</v>
      </c>
      <c r="I17">
        <v>1</v>
      </c>
      <c r="J17">
        <v>2</v>
      </c>
      <c r="K17" t="b">
        <v>0</v>
      </c>
    </row>
    <row r="18" spans="1:11">
      <c r="A18">
        <v>30</v>
      </c>
      <c r="B18">
        <v>12</v>
      </c>
      <c r="C18">
        <v>13</v>
      </c>
      <c r="D18">
        <v>3010</v>
      </c>
      <c r="F18">
        <v>2020</v>
      </c>
      <c r="G18" t="str">
        <f>INDEX(Define!E:E,MATCH(F18,Define!D:D))</f>
        <v>ダンジョン移動</v>
      </c>
      <c r="H18">
        <v>31</v>
      </c>
      <c r="I18">
        <v>12</v>
      </c>
      <c r="J18">
        <v>13</v>
      </c>
      <c r="K18" t="b">
        <v>0</v>
      </c>
    </row>
    <row r="19" spans="1:11">
      <c r="A19">
        <v>30</v>
      </c>
      <c r="B19">
        <v>4</v>
      </c>
      <c r="C19">
        <v>0</v>
      </c>
      <c r="D19">
        <v>3010</v>
      </c>
      <c r="F19">
        <v>2020</v>
      </c>
      <c r="G19" t="str">
        <f>INDEX(Define!E:E,MATCH(F19,Define!D:D))</f>
        <v>ダンジョン移動</v>
      </c>
      <c r="H19">
        <v>32</v>
      </c>
      <c r="I19">
        <v>4</v>
      </c>
      <c r="J19">
        <v>9</v>
      </c>
      <c r="K19" t="b">
        <v>0</v>
      </c>
    </row>
    <row r="20" spans="1:11">
      <c r="A20">
        <v>30</v>
      </c>
      <c r="B20">
        <v>9</v>
      </c>
      <c r="C20">
        <v>0</v>
      </c>
      <c r="D20">
        <v>3010</v>
      </c>
      <c r="F20">
        <v>2020</v>
      </c>
      <c r="G20" t="str">
        <f>INDEX(Define!E:E,MATCH(F20,Define!D:D))</f>
        <v>ダンジョン移動</v>
      </c>
      <c r="H20">
        <v>32</v>
      </c>
      <c r="I20">
        <v>9</v>
      </c>
      <c r="J20">
        <v>9</v>
      </c>
      <c r="K20" t="b">
        <v>0</v>
      </c>
    </row>
    <row r="21" spans="1:11">
      <c r="A21">
        <v>30</v>
      </c>
      <c r="B21">
        <v>6</v>
      </c>
      <c r="C21">
        <v>1</v>
      </c>
      <c r="D21">
        <v>3010</v>
      </c>
      <c r="F21">
        <v>6010</v>
      </c>
      <c r="G21" t="str">
        <f>INDEX(Define!E:E,MATCH(F21,Define!D:D))</f>
        <v>指定のイベントマスを消す</v>
      </c>
      <c r="H21">
        <v>71</v>
      </c>
      <c r="I21">
        <v>0</v>
      </c>
      <c r="J21">
        <v>0</v>
      </c>
      <c r="K21" t="b">
        <v>1</v>
      </c>
    </row>
    <row r="22" spans="1:11">
      <c r="A22">
        <v>30</v>
      </c>
      <c r="B22">
        <v>7</v>
      </c>
      <c r="C22">
        <v>1</v>
      </c>
      <c r="D22">
        <v>3010</v>
      </c>
      <c r="F22">
        <v>0</v>
      </c>
      <c r="H22">
        <v>71</v>
      </c>
      <c r="I22">
        <v>0</v>
      </c>
      <c r="J22">
        <v>0</v>
      </c>
      <c r="K22" t="b">
        <v>1</v>
      </c>
    </row>
    <row r="23" spans="1:11">
      <c r="A23">
        <v>30</v>
      </c>
      <c r="B23">
        <v>8</v>
      </c>
      <c r="C23">
        <v>4</v>
      </c>
      <c r="D23">
        <v>3010</v>
      </c>
      <c r="F23">
        <v>1010</v>
      </c>
      <c r="G23" t="str">
        <f>INDEX(Define!E:E,MATCH(F23,Define!D:D))</f>
        <v>Adv再生</v>
      </c>
      <c r="H23">
        <v>1030</v>
      </c>
      <c r="I23">
        <v>0</v>
      </c>
      <c r="J23">
        <v>0</v>
      </c>
      <c r="K23" t="b">
        <v>1</v>
      </c>
    </row>
    <row r="24" spans="1:11">
      <c r="A24">
        <v>30</v>
      </c>
      <c r="B24">
        <v>8</v>
      </c>
      <c r="C24">
        <v>2</v>
      </c>
      <c r="D24">
        <v>3010</v>
      </c>
      <c r="F24">
        <v>7010</v>
      </c>
      <c r="G24" t="str">
        <f>INDEX(Define!E:E,MATCH(F24,Define!D:D))</f>
        <v>ダメージ床</v>
      </c>
      <c r="H24">
        <v>20</v>
      </c>
      <c r="I24">
        <v>0</v>
      </c>
      <c r="J24">
        <v>0</v>
      </c>
      <c r="K24" t="b">
        <v>0</v>
      </c>
    </row>
    <row r="25" spans="1:11">
      <c r="A25">
        <v>30</v>
      </c>
      <c r="B25">
        <v>8</v>
      </c>
      <c r="C25">
        <v>3</v>
      </c>
      <c r="D25">
        <v>3010</v>
      </c>
      <c r="F25">
        <v>7010</v>
      </c>
      <c r="G25" t="str">
        <f>INDEX(Define!E:E,MATCH(F25,Define!D:D))</f>
        <v>ダメージ床</v>
      </c>
      <c r="H25">
        <v>20</v>
      </c>
      <c r="I25">
        <v>0</v>
      </c>
      <c r="J25">
        <v>0</v>
      </c>
      <c r="K25" t="b">
        <v>0</v>
      </c>
    </row>
    <row r="26" spans="1:11">
      <c r="A26">
        <v>31</v>
      </c>
      <c r="B26">
        <v>1</v>
      </c>
      <c r="C26">
        <v>2</v>
      </c>
      <c r="D26">
        <v>3010</v>
      </c>
      <c r="F26">
        <v>2020</v>
      </c>
      <c r="G26" t="str">
        <f>INDEX(Define!E:E,MATCH(F26,Define!D:D))</f>
        <v>ダンジョン移動</v>
      </c>
      <c r="H26">
        <v>30</v>
      </c>
      <c r="I26">
        <v>1</v>
      </c>
      <c r="J26">
        <v>2</v>
      </c>
      <c r="K26" t="b">
        <v>0</v>
      </c>
    </row>
    <row r="27" spans="1:11">
      <c r="A27">
        <v>31</v>
      </c>
      <c r="B27">
        <v>14</v>
      </c>
      <c r="C27">
        <v>2</v>
      </c>
      <c r="D27">
        <v>3010</v>
      </c>
      <c r="F27">
        <v>2020</v>
      </c>
      <c r="G27" t="str">
        <f>INDEX(Define!E:E,MATCH(F27,Define!D:D))</f>
        <v>ダンジョン移動</v>
      </c>
      <c r="H27">
        <v>30</v>
      </c>
      <c r="I27">
        <v>12</v>
      </c>
      <c r="J27">
        <v>13</v>
      </c>
      <c r="K27" t="b">
        <v>0</v>
      </c>
    </row>
    <row r="28" spans="1:11">
      <c r="A28">
        <v>31</v>
      </c>
      <c r="B28">
        <v>13</v>
      </c>
      <c r="C28">
        <v>10</v>
      </c>
      <c r="D28">
        <v>3010</v>
      </c>
      <c r="F28">
        <v>6010</v>
      </c>
      <c r="G28" t="str">
        <f>INDEX(Define!E:E,MATCH(F28,Define!D:D))</f>
        <v>指定のイベントマスを消す</v>
      </c>
      <c r="H28">
        <v>1310</v>
      </c>
      <c r="I28">
        <v>0</v>
      </c>
      <c r="J28">
        <v>0</v>
      </c>
      <c r="K28" t="b">
        <v>1</v>
      </c>
    </row>
    <row r="29" spans="1:11">
      <c r="A29">
        <v>31</v>
      </c>
      <c r="B29">
        <v>13</v>
      </c>
      <c r="C29">
        <v>8</v>
      </c>
      <c r="D29">
        <v>3010</v>
      </c>
      <c r="F29">
        <v>0</v>
      </c>
      <c r="H29">
        <v>1310</v>
      </c>
      <c r="I29">
        <v>0</v>
      </c>
      <c r="J29">
        <v>0</v>
      </c>
      <c r="K29" t="b">
        <v>1</v>
      </c>
    </row>
    <row r="30" spans="1:11">
      <c r="A30">
        <v>31</v>
      </c>
      <c r="B30">
        <v>1</v>
      </c>
      <c r="C30">
        <v>6</v>
      </c>
      <c r="D30">
        <v>3010</v>
      </c>
      <c r="F30">
        <v>3010</v>
      </c>
      <c r="G30" t="str">
        <f>INDEX(Define!E:E,MATCH(F30,Define!D:D))</f>
        <v>アーティファクト取得</v>
      </c>
      <c r="H30">
        <v>2020</v>
      </c>
      <c r="I30">
        <v>0</v>
      </c>
      <c r="J30">
        <v>0</v>
      </c>
      <c r="K30" t="b">
        <v>1</v>
      </c>
    </row>
    <row r="31" spans="1:11">
      <c r="A31">
        <v>32</v>
      </c>
      <c r="B31">
        <v>4</v>
      </c>
      <c r="C31">
        <v>9</v>
      </c>
      <c r="D31">
        <v>3010</v>
      </c>
      <c r="F31">
        <v>2020</v>
      </c>
      <c r="G31" t="str">
        <f>INDEX(Define!E:E,MATCH(F31,Define!D:D))</f>
        <v>ダンジョン移動</v>
      </c>
      <c r="H31">
        <v>30</v>
      </c>
      <c r="I31">
        <v>4</v>
      </c>
      <c r="J31">
        <v>0</v>
      </c>
      <c r="K31" t="b">
        <v>0</v>
      </c>
    </row>
    <row r="32" spans="1:11">
      <c r="A32">
        <v>32</v>
      </c>
      <c r="B32">
        <v>9</v>
      </c>
      <c r="C32">
        <v>9</v>
      </c>
      <c r="D32">
        <v>3010</v>
      </c>
      <c r="F32">
        <v>2020</v>
      </c>
      <c r="G32" t="str">
        <f>INDEX(Define!E:E,MATCH(F32,Define!D:D))</f>
        <v>ダンジョン移動</v>
      </c>
      <c r="H32">
        <v>30</v>
      </c>
      <c r="I32">
        <v>9</v>
      </c>
      <c r="J32">
        <v>0</v>
      </c>
      <c r="K32" t="b">
        <v>0</v>
      </c>
    </row>
    <row r="33" spans="1:11">
      <c r="A33">
        <v>32</v>
      </c>
      <c r="B33">
        <v>4</v>
      </c>
      <c r="C33">
        <v>6</v>
      </c>
      <c r="D33">
        <v>3010</v>
      </c>
      <c r="F33">
        <v>5020</v>
      </c>
      <c r="G33" t="str">
        <f>INDEX(Define!E:E,MATCH(F33,Define!D:D))</f>
        <v>強制ボス戦闘</v>
      </c>
      <c r="H33">
        <v>2010</v>
      </c>
      <c r="I33">
        <v>0</v>
      </c>
      <c r="J33">
        <v>0</v>
      </c>
      <c r="K33" t="b">
        <v>1</v>
      </c>
    </row>
    <row r="34" spans="1:11">
      <c r="A34">
        <v>32</v>
      </c>
      <c r="B34">
        <v>4</v>
      </c>
      <c r="C34">
        <v>3</v>
      </c>
      <c r="D34">
        <v>3010</v>
      </c>
      <c r="F34">
        <v>3010</v>
      </c>
      <c r="G34" t="str">
        <f>INDEX(Define!E:E,MATCH(F34,Define!D:D))</f>
        <v>アーティファクト取得</v>
      </c>
      <c r="H34">
        <v>2030</v>
      </c>
      <c r="I34">
        <v>0</v>
      </c>
      <c r="J34">
        <v>0</v>
      </c>
      <c r="K34" t="b">
        <v>1</v>
      </c>
    </row>
    <row r="35" spans="1:11">
      <c r="A35">
        <v>40</v>
      </c>
      <c r="B35">
        <v>1</v>
      </c>
      <c r="C35">
        <v>19</v>
      </c>
      <c r="D35">
        <v>3010</v>
      </c>
      <c r="F35">
        <v>2010</v>
      </c>
      <c r="G35" t="str">
        <f>INDEX(Define!E:E,MATCH(F35,Define!D:D))</f>
        <v>ダンジョンから出る</v>
      </c>
      <c r="H35">
        <v>0</v>
      </c>
      <c r="I35">
        <v>0</v>
      </c>
      <c r="J35">
        <v>0</v>
      </c>
      <c r="K35" t="b">
        <v>0</v>
      </c>
    </row>
    <row r="36" spans="1:11">
      <c r="A36">
        <v>1010</v>
      </c>
      <c r="B36">
        <v>13</v>
      </c>
      <c r="C36">
        <v>13</v>
      </c>
      <c r="D36">
        <v>3010</v>
      </c>
      <c r="F36">
        <v>2010</v>
      </c>
      <c r="G36" t="str">
        <f>INDEX(Define!E:E,MATCH(F36,Define!D:D))</f>
        <v>ダンジョンから出る</v>
      </c>
      <c r="H36">
        <v>0</v>
      </c>
      <c r="I36">
        <v>0</v>
      </c>
      <c r="J36">
        <v>0</v>
      </c>
      <c r="K36" t="b">
        <v>0</v>
      </c>
    </row>
    <row r="37" spans="1:11">
      <c r="A37">
        <v>1010</v>
      </c>
      <c r="B37">
        <v>10</v>
      </c>
      <c r="C37">
        <v>4</v>
      </c>
      <c r="D37">
        <v>3010</v>
      </c>
      <c r="F37">
        <v>3030</v>
      </c>
      <c r="G37" t="str">
        <f>INDEX(Define!E:E,MATCH(F37,Define!D:D))</f>
        <v>魔法入手</v>
      </c>
      <c r="H37">
        <v>30010</v>
      </c>
      <c r="I37">
        <v>0</v>
      </c>
      <c r="J37">
        <v>0</v>
      </c>
      <c r="K37" t="b">
        <v>1</v>
      </c>
    </row>
    <row r="38" spans="1:11">
      <c r="A38">
        <v>1020</v>
      </c>
      <c r="B38">
        <v>7</v>
      </c>
      <c r="C38">
        <v>8</v>
      </c>
      <c r="D38">
        <v>3010</v>
      </c>
      <c r="F38">
        <v>2010</v>
      </c>
      <c r="G38" t="str">
        <f>INDEX(Define!E:E,MATCH(F38,Define!D:D))</f>
        <v>ダンジョンから出る</v>
      </c>
      <c r="H38">
        <v>0</v>
      </c>
      <c r="I38">
        <v>0</v>
      </c>
      <c r="J38">
        <v>0</v>
      </c>
      <c r="K38" t="b">
        <v>0</v>
      </c>
    </row>
    <row r="39" spans="1:11">
      <c r="A39">
        <v>1020</v>
      </c>
      <c r="B39">
        <v>12</v>
      </c>
      <c r="C39">
        <v>12</v>
      </c>
      <c r="D39">
        <v>3010</v>
      </c>
      <c r="F39">
        <v>3030</v>
      </c>
      <c r="G39" t="str">
        <f>INDEX(Define!E:E,MATCH(F39,Define!D:D))</f>
        <v>魔法入手</v>
      </c>
      <c r="H39">
        <v>30020</v>
      </c>
      <c r="I39">
        <v>0</v>
      </c>
      <c r="J39">
        <v>0</v>
      </c>
      <c r="K39" t="b">
        <v>1</v>
      </c>
    </row>
    <row r="40" spans="1:11">
      <c r="A40">
        <v>1020</v>
      </c>
      <c r="B40">
        <v>2</v>
      </c>
      <c r="C40">
        <v>1</v>
      </c>
      <c r="D40">
        <v>3010</v>
      </c>
      <c r="F40">
        <v>3020</v>
      </c>
      <c r="G40" t="str">
        <f>INDEX(Define!E:E,MATCH(F40,Define!D:D))</f>
        <v>アイテム取得</v>
      </c>
      <c r="H40">
        <v>11010</v>
      </c>
      <c r="I40">
        <v>0</v>
      </c>
      <c r="J40">
        <v>0</v>
      </c>
      <c r="K40" t="b">
        <v>1</v>
      </c>
    </row>
    <row r="41" spans="1:11">
      <c r="A41">
        <v>1020</v>
      </c>
      <c r="B41">
        <v>9</v>
      </c>
      <c r="C41">
        <v>4</v>
      </c>
      <c r="D41">
        <v>3010</v>
      </c>
      <c r="F41">
        <v>3020</v>
      </c>
      <c r="G41" t="str">
        <f>INDEX(Define!E:E,MATCH(F41,Define!D:D))</f>
        <v>アイテム取得</v>
      </c>
      <c r="H41">
        <v>11020</v>
      </c>
      <c r="I41">
        <v>0</v>
      </c>
      <c r="J41">
        <v>0</v>
      </c>
      <c r="K41" t="b">
        <v>1</v>
      </c>
    </row>
    <row r="42" spans="1:11">
      <c r="A42">
        <v>1020</v>
      </c>
      <c r="B42">
        <v>10</v>
      </c>
      <c r="C42">
        <v>12</v>
      </c>
      <c r="D42">
        <v>3010</v>
      </c>
      <c r="F42">
        <v>3020</v>
      </c>
      <c r="G42" t="str">
        <f>INDEX(Define!E:E,MATCH(F42,Define!D:D))</f>
        <v>アイテム取得</v>
      </c>
      <c r="H42">
        <v>11030</v>
      </c>
      <c r="I42">
        <v>0</v>
      </c>
      <c r="J42">
        <v>0</v>
      </c>
      <c r="K42" t="b">
        <v>1</v>
      </c>
    </row>
    <row r="43" spans="1:11">
      <c r="A43">
        <v>2010</v>
      </c>
      <c r="B43">
        <v>7</v>
      </c>
      <c r="C43">
        <v>1</v>
      </c>
      <c r="D43">
        <v>3010</v>
      </c>
      <c r="F43">
        <v>2020</v>
      </c>
      <c r="G43" t="str">
        <f>INDEX(Define!E:E,MATCH(F43,Define!D:D))</f>
        <v>ダンジョン移動</v>
      </c>
      <c r="H43">
        <v>2011</v>
      </c>
      <c r="I43">
        <v>7</v>
      </c>
      <c r="J43">
        <v>12</v>
      </c>
      <c r="K43" t="b">
        <v>0</v>
      </c>
    </row>
    <row r="44" spans="1:11">
      <c r="A44">
        <v>2010</v>
      </c>
      <c r="B44">
        <v>7</v>
      </c>
      <c r="C44">
        <v>7</v>
      </c>
      <c r="D44">
        <v>3010</v>
      </c>
      <c r="F44">
        <v>5020</v>
      </c>
      <c r="G44" t="str">
        <f>INDEX(Define!E:E,MATCH(F44,Define!D:D))</f>
        <v>強制ボス戦闘</v>
      </c>
      <c r="H44">
        <v>20010</v>
      </c>
      <c r="I44">
        <v>0</v>
      </c>
      <c r="J44">
        <v>0</v>
      </c>
      <c r="K44" t="b">
        <v>1</v>
      </c>
    </row>
    <row r="45" spans="1:11">
      <c r="A45">
        <v>2011</v>
      </c>
      <c r="B45">
        <v>7</v>
      </c>
      <c r="C45">
        <v>1</v>
      </c>
      <c r="D45">
        <v>3010</v>
      </c>
      <c r="F45">
        <v>2020</v>
      </c>
      <c r="G45" t="str">
        <f>INDEX(Define!E:E,MATCH(F45,Define!D:D))</f>
        <v>ダンジョン移動</v>
      </c>
      <c r="H45">
        <v>2012</v>
      </c>
      <c r="I45">
        <v>7</v>
      </c>
      <c r="J45">
        <v>12</v>
      </c>
      <c r="K45" t="b">
        <v>0</v>
      </c>
    </row>
    <row r="46" spans="1:11">
      <c r="A46">
        <v>2011</v>
      </c>
      <c r="B46">
        <v>7</v>
      </c>
      <c r="C46">
        <v>7</v>
      </c>
      <c r="D46">
        <v>3010</v>
      </c>
      <c r="F46">
        <v>5020</v>
      </c>
      <c r="G46" t="str">
        <f>INDEX(Define!E:E,MATCH(F46,Define!D:D))</f>
        <v>強制ボス戦闘</v>
      </c>
      <c r="H46">
        <v>20020</v>
      </c>
      <c r="I46">
        <v>0</v>
      </c>
      <c r="J46">
        <v>0</v>
      </c>
      <c r="K46" t="b">
        <v>1</v>
      </c>
    </row>
    <row r="47" spans="1:11">
      <c r="A47">
        <v>2012</v>
      </c>
      <c r="B47">
        <v>7</v>
      </c>
      <c r="C47">
        <v>7</v>
      </c>
      <c r="D47">
        <v>3010</v>
      </c>
      <c r="F47">
        <v>5020</v>
      </c>
      <c r="G47" t="str">
        <f>INDEX(Define!E:E,MATCH(F47,Define!D:D))</f>
        <v>強制ボス戦闘</v>
      </c>
      <c r="H47">
        <v>20030</v>
      </c>
      <c r="I47">
        <v>0</v>
      </c>
      <c r="J47">
        <v>0</v>
      </c>
      <c r="K47" t="b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7"/>
  <sheetViews>
    <sheetView topLeftCell="A10" workbookViewId="0">
      <selection activeCell="C34" sqref="C34"/>
    </sheetView>
  </sheetViews>
  <sheetFormatPr defaultColWidth="8.72727272727273" defaultRowHeight="13" outlineLevelCol="2"/>
  <sheetData>
    <row r="1" spans="1:3">
      <c r="A1" t="s">
        <v>0</v>
      </c>
      <c r="B1" t="s">
        <v>32</v>
      </c>
      <c r="C1" t="s">
        <v>33</v>
      </c>
    </row>
    <row r="2" spans="1:3">
      <c r="A2">
        <v>20</v>
      </c>
      <c r="B2">
        <v>3</v>
      </c>
      <c r="C2">
        <v>15</v>
      </c>
    </row>
    <row r="3" spans="1:3">
      <c r="A3">
        <v>20</v>
      </c>
      <c r="B3">
        <v>3</v>
      </c>
      <c r="C3">
        <v>15</v>
      </c>
    </row>
    <row r="4" spans="1:3">
      <c r="A4">
        <v>20</v>
      </c>
      <c r="B4">
        <v>6</v>
      </c>
      <c r="C4">
        <v>15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1010</v>
      </c>
      <c r="B30">
        <v>3</v>
      </c>
      <c r="C30">
        <v>20</v>
      </c>
    </row>
    <row r="31" spans="1:3">
      <c r="A31">
        <v>1010</v>
      </c>
      <c r="B31">
        <v>6</v>
      </c>
      <c r="C31">
        <v>20</v>
      </c>
    </row>
    <row r="32" spans="1:3">
      <c r="A32">
        <v>1010</v>
      </c>
      <c r="B32">
        <v>1</v>
      </c>
      <c r="C32">
        <v>20</v>
      </c>
    </row>
    <row r="33" spans="1:3">
      <c r="A33">
        <v>1010</v>
      </c>
      <c r="B33">
        <v>7</v>
      </c>
      <c r="C33">
        <v>20</v>
      </c>
    </row>
    <row r="34" spans="1:3">
      <c r="A34">
        <v>1020</v>
      </c>
      <c r="B34">
        <v>3</v>
      </c>
      <c r="C34">
        <v>15</v>
      </c>
    </row>
    <row r="35" spans="1:3">
      <c r="A35">
        <v>1020</v>
      </c>
      <c r="B35">
        <v>6</v>
      </c>
      <c r="C35">
        <v>15</v>
      </c>
    </row>
    <row r="36" spans="1:3">
      <c r="A36">
        <v>1020</v>
      </c>
      <c r="B36">
        <v>1</v>
      </c>
      <c r="C36">
        <v>15</v>
      </c>
    </row>
    <row r="37" spans="1:3">
      <c r="A37">
        <v>1020</v>
      </c>
      <c r="B37">
        <v>7</v>
      </c>
      <c r="C37">
        <v>15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34</v>
      </c>
      <c r="C1" t="s">
        <v>25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7"/>
  <sheetViews>
    <sheetView workbookViewId="0">
      <selection activeCell="B13" sqref="B13"/>
    </sheetView>
  </sheetViews>
  <sheetFormatPr defaultColWidth="8.72727272727273" defaultRowHeight="13" outlineLevelCol="3"/>
  <cols>
    <col min="2" max="2" width="34.1818181818182" customWidth="1"/>
    <col min="3" max="3" width="29.1818181818182" customWidth="1"/>
  </cols>
  <sheetData>
    <row r="1" spans="1:3">
      <c r="A1" t="s">
        <v>0</v>
      </c>
      <c r="B1" t="s">
        <v>40</v>
      </c>
      <c r="C1" t="s">
        <v>41</v>
      </c>
    </row>
    <row r="2" spans="1:3">
      <c r="A2">
        <v>1</v>
      </c>
      <c r="B2" t="s">
        <v>42</v>
      </c>
      <c r="C2" s="3" t="s">
        <v>17</v>
      </c>
    </row>
    <row r="3" spans="1:4">
      <c r="A3">
        <v>10</v>
      </c>
      <c r="B3" s="1" t="s">
        <v>43</v>
      </c>
      <c r="C3" s="2" t="s">
        <v>17</v>
      </c>
      <c r="D3" s="3"/>
    </row>
    <row r="4" spans="1:4">
      <c r="A4">
        <v>20</v>
      </c>
      <c r="B4" s="1" t="s">
        <v>44</v>
      </c>
      <c r="C4" s="2" t="s">
        <v>17</v>
      </c>
      <c r="D4" s="3"/>
    </row>
    <row r="5" spans="1:4">
      <c r="A5">
        <v>21</v>
      </c>
      <c r="B5" s="1" t="s">
        <v>45</v>
      </c>
      <c r="C5" s="2" t="s">
        <v>17</v>
      </c>
      <c r="D5" s="3"/>
    </row>
    <row r="6" spans="1:4">
      <c r="A6">
        <v>30</v>
      </c>
      <c r="B6" s="1" t="s">
        <v>46</v>
      </c>
      <c r="C6" s="2" t="s">
        <v>17</v>
      </c>
      <c r="D6" s="3"/>
    </row>
    <row r="7" spans="1:4">
      <c r="A7">
        <v>31</v>
      </c>
      <c r="B7" s="1" t="s">
        <v>47</v>
      </c>
      <c r="C7" s="2" t="s">
        <v>17</v>
      </c>
      <c r="D7" s="3"/>
    </row>
    <row r="8" spans="1:4">
      <c r="A8">
        <v>32</v>
      </c>
      <c r="B8" s="1" t="s">
        <v>48</v>
      </c>
      <c r="C8" s="2" t="s">
        <v>17</v>
      </c>
      <c r="D8" s="3"/>
    </row>
    <row r="9" spans="1:4">
      <c r="A9">
        <v>40</v>
      </c>
      <c r="B9" s="1" t="s">
        <v>49</v>
      </c>
      <c r="C9" s="2" t="s">
        <v>17</v>
      </c>
      <c r="D9" s="3"/>
    </row>
    <row r="10" spans="1:4">
      <c r="A10">
        <v>1010</v>
      </c>
      <c r="B10" s="1" t="s">
        <v>50</v>
      </c>
      <c r="C10" s="4" t="s">
        <v>17</v>
      </c>
      <c r="D10" s="3"/>
    </row>
    <row r="11" spans="1:4">
      <c r="A11">
        <v>1020</v>
      </c>
      <c r="B11" s="1" t="s">
        <v>50</v>
      </c>
      <c r="C11" s="4" t="s">
        <v>17</v>
      </c>
      <c r="D11" s="3"/>
    </row>
    <row r="12" spans="1:4">
      <c r="A12">
        <v>1030</v>
      </c>
      <c r="B12" s="1" t="s">
        <v>51</v>
      </c>
      <c r="C12" s="4" t="s">
        <v>17</v>
      </c>
      <c r="D12" s="3"/>
    </row>
    <row r="13" spans="1:4">
      <c r="A13">
        <v>2010</v>
      </c>
      <c r="B13" s="1" t="s">
        <v>52</v>
      </c>
      <c r="C13" s="4" t="s">
        <v>17</v>
      </c>
      <c r="D13" s="3"/>
    </row>
    <row r="14" spans="1:4">
      <c r="A14">
        <v>10010</v>
      </c>
      <c r="B14" s="1" t="s">
        <v>53</v>
      </c>
      <c r="C14" s="4" t="s">
        <v>17</v>
      </c>
      <c r="D14" s="3"/>
    </row>
    <row r="15" spans="3:4">
      <c r="C15" s="3"/>
      <c r="D15" s="3"/>
    </row>
    <row r="16" spans="3:3">
      <c r="C16" s="3"/>
    </row>
    <row r="17" spans="3:3">
      <c r="C17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E15" sqref="E15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25</v>
      </c>
      <c r="D1" t="s">
        <v>27</v>
      </c>
      <c r="I1" t="s">
        <v>54</v>
      </c>
      <c r="K1" s="1" t="s">
        <v>55</v>
      </c>
      <c r="M1" s="1" t="s">
        <v>56</v>
      </c>
    </row>
    <row r="2" spans="1:14">
      <c r="A2">
        <v>0</v>
      </c>
      <c r="B2" t="s">
        <v>57</v>
      </c>
      <c r="D2">
        <v>0</v>
      </c>
      <c r="E2" t="s">
        <v>57</v>
      </c>
      <c r="I2">
        <v>-1</v>
      </c>
      <c r="J2" t="s">
        <v>58</v>
      </c>
      <c r="K2">
        <v>-1</v>
      </c>
      <c r="L2" t="s">
        <v>58</v>
      </c>
      <c r="M2">
        <v>0</v>
      </c>
      <c r="N2" s="1" t="s">
        <v>59</v>
      </c>
    </row>
    <row r="3" spans="1:15">
      <c r="A3">
        <v>110</v>
      </c>
      <c r="B3" t="s">
        <v>60</v>
      </c>
      <c r="D3">
        <v>1010</v>
      </c>
      <c r="E3" t="s">
        <v>61</v>
      </c>
      <c r="I3">
        <v>0</v>
      </c>
      <c r="J3" s="1" t="s">
        <v>62</v>
      </c>
      <c r="K3">
        <v>0</v>
      </c>
      <c r="L3" s="1" t="s">
        <v>62</v>
      </c>
      <c r="M3">
        <v>10</v>
      </c>
      <c r="N3" s="1" t="s">
        <v>63</v>
      </c>
      <c r="O3" s="1" t="s">
        <v>64</v>
      </c>
    </row>
    <row r="4" spans="1:15">
      <c r="A4">
        <v>210</v>
      </c>
      <c r="B4" t="s">
        <v>65</v>
      </c>
      <c r="D4">
        <v>2010</v>
      </c>
      <c r="E4" t="s">
        <v>66</v>
      </c>
      <c r="I4">
        <v>10</v>
      </c>
      <c r="J4" t="s">
        <v>67</v>
      </c>
      <c r="K4">
        <v>11</v>
      </c>
      <c r="L4" t="s">
        <v>68</v>
      </c>
      <c r="M4">
        <v>20</v>
      </c>
      <c r="N4" s="1" t="s">
        <v>69</v>
      </c>
      <c r="O4" s="1" t="s">
        <v>70</v>
      </c>
    </row>
    <row r="5" ht="39" spans="1:15">
      <c r="A5">
        <v>1010</v>
      </c>
      <c r="B5" s="1" t="s">
        <v>71</v>
      </c>
      <c r="D5">
        <v>2020</v>
      </c>
      <c r="E5" t="s">
        <v>72</v>
      </c>
      <c r="I5">
        <v>11</v>
      </c>
      <c r="J5" t="s">
        <v>68</v>
      </c>
      <c r="K5">
        <v>20</v>
      </c>
      <c r="L5" s="1" t="s">
        <v>73</v>
      </c>
      <c r="M5">
        <v>30</v>
      </c>
      <c r="N5" s="1" t="s">
        <v>74</v>
      </c>
      <c r="O5" s="2" t="s">
        <v>75</v>
      </c>
    </row>
    <row r="6" spans="1:15">
      <c r="A6">
        <v>3010</v>
      </c>
      <c r="B6" t="s">
        <v>76</v>
      </c>
      <c r="D6">
        <v>3010</v>
      </c>
      <c r="E6" t="s">
        <v>77</v>
      </c>
      <c r="I6">
        <v>20</v>
      </c>
      <c r="J6" t="s">
        <v>78</v>
      </c>
      <c r="K6">
        <v>30</v>
      </c>
      <c r="L6" s="1" t="s">
        <v>79</v>
      </c>
      <c r="M6">
        <v>40</v>
      </c>
      <c r="N6" s="1" t="s">
        <v>80</v>
      </c>
      <c r="O6" s="1" t="s">
        <v>81</v>
      </c>
    </row>
    <row r="7" spans="4:15">
      <c r="D7">
        <v>3020</v>
      </c>
      <c r="E7" t="s">
        <v>82</v>
      </c>
      <c r="I7">
        <v>30</v>
      </c>
      <c r="J7" t="s">
        <v>79</v>
      </c>
      <c r="K7">
        <v>40</v>
      </c>
      <c r="L7" s="1" t="s">
        <v>83</v>
      </c>
      <c r="M7">
        <v>50</v>
      </c>
      <c r="N7" s="1" t="s">
        <v>84</v>
      </c>
      <c r="O7" s="1" t="s">
        <v>85</v>
      </c>
    </row>
    <row r="8" ht="39" spans="4:15">
      <c r="D8">
        <v>3030</v>
      </c>
      <c r="E8" t="s">
        <v>86</v>
      </c>
      <c r="I8">
        <v>40</v>
      </c>
      <c r="J8" t="s">
        <v>87</v>
      </c>
      <c r="K8">
        <v>50</v>
      </c>
      <c r="L8" t="s">
        <v>88</v>
      </c>
      <c r="M8">
        <v>60</v>
      </c>
      <c r="N8" s="1" t="s">
        <v>59</v>
      </c>
      <c r="O8" s="2" t="s">
        <v>89</v>
      </c>
    </row>
    <row r="9" spans="4:15">
      <c r="D9">
        <v>4010</v>
      </c>
      <c r="E9" t="s">
        <v>90</v>
      </c>
      <c r="I9">
        <v>50</v>
      </c>
      <c r="J9" t="s">
        <v>88</v>
      </c>
      <c r="K9">
        <v>60</v>
      </c>
      <c r="L9" t="s">
        <v>91</v>
      </c>
      <c r="M9">
        <v>70</v>
      </c>
      <c r="N9" s="1" t="s">
        <v>92</v>
      </c>
      <c r="O9" s="1" t="s">
        <v>93</v>
      </c>
    </row>
    <row r="10" spans="4:15">
      <c r="D10">
        <v>4020</v>
      </c>
      <c r="E10" t="s">
        <v>94</v>
      </c>
      <c r="I10">
        <v>60</v>
      </c>
      <c r="J10" t="s">
        <v>91</v>
      </c>
      <c r="K10">
        <v>70</v>
      </c>
      <c r="L10" t="s">
        <v>95</v>
      </c>
      <c r="M10">
        <v>80</v>
      </c>
      <c r="N10" s="1" t="s">
        <v>96</v>
      </c>
      <c r="O10" s="1" t="s">
        <v>97</v>
      </c>
    </row>
    <row r="11" spans="4:12">
      <c r="D11">
        <v>5010</v>
      </c>
      <c r="E11" t="s">
        <v>98</v>
      </c>
      <c r="I11">
        <v>70</v>
      </c>
      <c r="J11" t="s">
        <v>95</v>
      </c>
      <c r="K11">
        <v>80</v>
      </c>
      <c r="L11" t="s">
        <v>99</v>
      </c>
    </row>
    <row r="12" spans="4:12">
      <c r="D12">
        <v>5020</v>
      </c>
      <c r="E12" t="s">
        <v>100</v>
      </c>
      <c r="I12">
        <v>80</v>
      </c>
      <c r="J12" t="s">
        <v>99</v>
      </c>
      <c r="K12">
        <v>90</v>
      </c>
      <c r="L12" s="1" t="s">
        <v>101</v>
      </c>
    </row>
    <row r="13" spans="4:12">
      <c r="D13">
        <v>6010</v>
      </c>
      <c r="E13" t="s">
        <v>102</v>
      </c>
      <c r="I13">
        <v>99</v>
      </c>
      <c r="J13" t="s">
        <v>103</v>
      </c>
      <c r="K13">
        <v>99</v>
      </c>
      <c r="L13" t="s">
        <v>103</v>
      </c>
    </row>
    <row r="14" spans="4:12">
      <c r="D14">
        <v>7010</v>
      </c>
      <c r="E14" t="s">
        <v>104</v>
      </c>
      <c r="K14">
        <v>1000</v>
      </c>
      <c r="L14" s="1" t="s">
        <v>105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2025-06-23T12:50:52Z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