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<sst xmlns="http://schemas.openxmlformats.org/spreadsheetml/2006/main" count="156" uniqueCount="106">
  <si>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</si>
  <si>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</si>
  <si>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</si>
  <si>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</si>
  <si>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</si>
  <si>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</si>
  <si>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</si>
  <si>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</si>
  <si>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</si>
  <si>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</si>
  <si>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</si>
  <si>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</si>
  <si>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</si>
  <si>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</si>
  <si>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</si>
  <si>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</si>
  <si>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</si>
  <si>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</si>
  <si>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</si>
  <si>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</si>
  <si>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</si>
  <si>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</si>
  <si>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</si>
  <si>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</si>
  <si>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</si>
  <si>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</si>
  <si>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</si>
  <si>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</si>
  <si>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</si>
  <si>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</si>
  <si>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</si>
  <si>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</si>
  <si>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</si>
  <si>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</si>
  <si>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</si>
  <si>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</si>
  <si>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</si>
  <si>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</si>
  <si>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</si>
  <si>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</si>
  <si>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</si>
  <si>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</si>
  <si>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</si>
  <si>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</si>
  <si>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</si>
  <si>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</si>
  <si>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</si>
  <si>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</si>
  <si>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</si>
  <si>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</si>
  <si>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</si>
  <si>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</si>
  <si>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</si>
  <si>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</si>
  <si>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</si>
  <si>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</si>
  <si>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</si>
  <si>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</si>
  <si>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</si>
  <si>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</si>
  <si>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</si>
  <si>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</si>
  <si>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</si>
  <si>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</si>
  <si>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</si>
  <si>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</si>
  <si>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</si>
  <si>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</si>
  <si>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</si>
  <si>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</si>
  <si>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</si>
  <si>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</si>
  <si>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</si>
  <si>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</si>
  <si>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</si>
  <si>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</si>
  <si>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</si>
  <si>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</si>
  <si>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</si>
  <si>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</si>
  <si>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</si>
  <si>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</si>
  <si>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</si>
  <si>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</si>
  <si>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</si>
  <si>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</si>
  <si>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</si>
  <si>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</si>
  <si>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</si>
  <si>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</si>
  <si>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</si>
  <si>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</si>
  <si>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</si>
  <si>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</si>
  <si>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</si>
  <si>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</si>
  <si>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</si>
  <si>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</si>
  <si>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</si>
  <si>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</si>
  <si>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</si>
  <si>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</si>
  <si>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</si>
  <si>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</si>
  <si>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ダメージ床</t>
  </si>
  <si>
    <t>Battler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</si>
</sst>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14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workbookViewId="0">
      <selection activeCell="F7" sqref="F7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5</v>
      </c>
      <c r="G9">
        <v>3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10</v>
      </c>
      <c r="G10">
        <v>4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"/>
  <sheetViews>
    <sheetView tabSelected="1" topLeftCell="A4" workbookViewId="0">
      <selection activeCell="J20" sqref="J2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9</v>
      </c>
      <c r="C20">
        <v>0</v>
      </c>
      <c r="D20">
        <v>3010</v>
      </c>
      <c r="F20">
        <v>2020</v>
      </c>
      <c r="G20" t="str">
        <f>INDEX(Define!E:E,MATCH(F20,Define!D:D))</f>
        <v>ダンジョン移動</v>
      </c>
      <c r="H20">
        <v>32</v>
      </c>
      <c r="I20">
        <v>9</v>
      </c>
      <c r="J20">
        <v>9</v>
      </c>
      <c r="K20" t="b">
        <v>0</v>
      </c>
    </row>
    <row r="21" spans="1:11">
      <c r="A21">
        <v>30</v>
      </c>
      <c r="B21">
        <v>6</v>
      </c>
      <c r="C21">
        <v>1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7</v>
      </c>
      <c r="C22">
        <v>1</v>
      </c>
      <c r="D22">
        <v>3010</v>
      </c>
      <c r="F22">
        <v>0</v>
      </c>
      <c r="H22">
        <v>71</v>
      </c>
      <c r="I22">
        <v>0</v>
      </c>
      <c r="J22">
        <v>0</v>
      </c>
      <c r="K22" t="b">
        <v>1</v>
      </c>
    </row>
    <row r="23" spans="1:11">
      <c r="A23">
        <v>30</v>
      </c>
      <c r="B23">
        <v>8</v>
      </c>
      <c r="C23">
        <v>4</v>
      </c>
      <c r="D23">
        <v>3010</v>
      </c>
      <c r="F23">
        <v>1010</v>
      </c>
      <c r="G23" t="str">
        <f>INDEX(Define!E:E,MATCH(F23,Define!D:D))</f>
        <v>Adv再生</v>
      </c>
      <c r="H23">
        <v>1030</v>
      </c>
      <c r="I23">
        <v>0</v>
      </c>
      <c r="J23">
        <v>0</v>
      </c>
      <c r="K23" t="b">
        <v>1</v>
      </c>
    </row>
    <row r="24" spans="1:11">
      <c r="A24">
        <v>30</v>
      </c>
      <c r="B24">
        <v>8</v>
      </c>
      <c r="C24">
        <v>2</v>
      </c>
      <c r="D24">
        <v>3010</v>
      </c>
      <c r="F24">
        <v>7010</v>
      </c>
      <c r="G24" t="str">
        <f>INDEX(Define!E:E,MATCH(F24,Define!D:D))</f>
        <v>ダメージ床</v>
      </c>
      <c r="H24">
        <v>20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3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31</v>
      </c>
      <c r="B26">
        <v>1</v>
      </c>
      <c r="C26">
        <v>2</v>
      </c>
      <c r="D26">
        <v>3010</v>
      </c>
      <c r="F26">
        <v>2020</v>
      </c>
      <c r="G26" t="str">
        <f>INDEX(Define!E:E,MATCH(F26,Define!D:D))</f>
        <v>ダンジョン移動</v>
      </c>
      <c r="H26">
        <v>30</v>
      </c>
      <c r="I26">
        <v>1</v>
      </c>
      <c r="J26">
        <v>2</v>
      </c>
      <c r="K26" t="b">
        <v>0</v>
      </c>
    </row>
    <row r="27" spans="1:11">
      <c r="A27">
        <v>31</v>
      </c>
      <c r="B27">
        <v>14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12</v>
      </c>
      <c r="J27">
        <v>13</v>
      </c>
      <c r="K27" t="b">
        <v>0</v>
      </c>
    </row>
    <row r="28" spans="1:11">
      <c r="A28">
        <v>31</v>
      </c>
      <c r="B28">
        <v>13</v>
      </c>
      <c r="C28">
        <v>10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1310</v>
      </c>
      <c r="I28">
        <v>0</v>
      </c>
      <c r="J28">
        <v>0</v>
      </c>
      <c r="K28" t="b">
        <v>1</v>
      </c>
    </row>
    <row r="29" spans="1:11">
      <c r="A29">
        <v>31</v>
      </c>
      <c r="B29">
        <v>13</v>
      </c>
      <c r="C29">
        <v>8</v>
      </c>
      <c r="D29">
        <v>3010</v>
      </c>
      <c r="F29">
        <v>0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</v>
      </c>
      <c r="C30">
        <v>6</v>
      </c>
      <c r="D30">
        <v>3010</v>
      </c>
      <c r="F30">
        <v>3010</v>
      </c>
      <c r="G30" t="str">
        <f>INDEX(Define!E:E,MATCH(F30,Define!D:D))</f>
        <v>アーティファクト取得</v>
      </c>
      <c r="H30">
        <v>2020</v>
      </c>
      <c r="I30">
        <v>0</v>
      </c>
      <c r="J30">
        <v>0</v>
      </c>
      <c r="K30" t="b">
        <v>1</v>
      </c>
    </row>
    <row r="31" spans="1:11">
      <c r="A31">
        <v>32</v>
      </c>
      <c r="B31">
        <v>4</v>
      </c>
      <c r="C31">
        <v>9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4</v>
      </c>
      <c r="J31">
        <v>0</v>
      </c>
      <c r="K31" t="b">
        <v>0</v>
      </c>
    </row>
    <row r="32" spans="1:11">
      <c r="A32">
        <v>32</v>
      </c>
      <c r="B32">
        <v>9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9</v>
      </c>
      <c r="J32">
        <v>0</v>
      </c>
      <c r="K32" t="b">
        <v>0</v>
      </c>
    </row>
    <row r="33" spans="1:11">
      <c r="A33">
        <v>32</v>
      </c>
      <c r="B33">
        <v>4</v>
      </c>
      <c r="C33">
        <v>6</v>
      </c>
      <c r="D33">
        <v>3010</v>
      </c>
      <c r="F33">
        <v>5020</v>
      </c>
      <c r="G33" t="str">
        <f>INDEX(Define!E:E,MATCH(F33,Define!D:D))</f>
        <v>強制ボス戦闘</v>
      </c>
      <c r="H33">
        <v>2010</v>
      </c>
      <c r="I33">
        <v>0</v>
      </c>
      <c r="J33">
        <v>0</v>
      </c>
      <c r="K33" t="b">
        <v>1</v>
      </c>
    </row>
    <row r="34" spans="1:11">
      <c r="A34">
        <v>32</v>
      </c>
      <c r="B34">
        <v>4</v>
      </c>
      <c r="C34">
        <v>3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2030</v>
      </c>
      <c r="I34">
        <v>0</v>
      </c>
      <c r="J34">
        <v>0</v>
      </c>
      <c r="K34" t="b">
        <v>1</v>
      </c>
    </row>
    <row r="35" spans="1:11">
      <c r="A35">
        <v>40</v>
      </c>
      <c r="B35">
        <v>1</v>
      </c>
      <c r="C35">
        <v>19</v>
      </c>
      <c r="D35">
        <v>3010</v>
      </c>
      <c r="F35">
        <v>2010</v>
      </c>
      <c r="G35" t="str">
        <f>INDEX(Define!E:E,MATCH(F35,Define!D:D))</f>
        <v>ダンジョンから出る</v>
      </c>
      <c r="H35">
        <v>0</v>
      </c>
      <c r="I35">
        <v>0</v>
      </c>
      <c r="J35">
        <v>0</v>
      </c>
      <c r="K35" t="b">
        <v>0</v>
      </c>
    </row>
    <row r="36" spans="1:11">
      <c r="A36">
        <v>1010</v>
      </c>
      <c r="B36">
        <v>13</v>
      </c>
      <c r="C36">
        <v>13</v>
      </c>
      <c r="D36">
        <v>3010</v>
      </c>
      <c r="F36">
        <v>2010</v>
      </c>
      <c r="G36" t="str">
        <f>INDEX(Define!E:E,MATCH(F36,Define!D:D))</f>
        <v>ダンジョンから出る</v>
      </c>
      <c r="H36">
        <v>0</v>
      </c>
      <c r="I36">
        <v>0</v>
      </c>
      <c r="J36">
        <v>0</v>
      </c>
      <c r="K36" t="b">
        <v>0</v>
      </c>
    </row>
    <row r="37" spans="1:11">
      <c r="A37">
        <v>1010</v>
      </c>
      <c r="B37">
        <v>10</v>
      </c>
      <c r="C37">
        <v>4</v>
      </c>
      <c r="D37">
        <v>3010</v>
      </c>
      <c r="F37">
        <v>3030</v>
      </c>
      <c r="G37" t="str">
        <f>INDEX(Define!E:E,MATCH(F37,Define!D:D))</f>
        <v>魔法入手</v>
      </c>
      <c r="H37">
        <v>30010</v>
      </c>
      <c r="I37">
        <v>0</v>
      </c>
      <c r="J37">
        <v>0</v>
      </c>
      <c r="K37" t="b">
        <v>1</v>
      </c>
    </row>
    <row r="38" spans="1:11">
      <c r="A38">
        <v>1020</v>
      </c>
      <c r="B38">
        <v>7</v>
      </c>
      <c r="C38">
        <v>8</v>
      </c>
      <c r="D38">
        <v>3010</v>
      </c>
      <c r="F38">
        <v>2010</v>
      </c>
      <c r="G38" t="str">
        <f>INDEX(Define!E:E,MATCH(F38,Define!D:D))</f>
        <v>ダンジョンから出る</v>
      </c>
      <c r="H38">
        <v>0</v>
      </c>
      <c r="I38">
        <v>0</v>
      </c>
      <c r="J38">
        <v>0</v>
      </c>
      <c r="K38" t="b">
        <v>0</v>
      </c>
    </row>
    <row r="39" spans="1:11">
      <c r="A39">
        <v>1020</v>
      </c>
      <c r="B39">
        <v>12</v>
      </c>
      <c r="C39">
        <v>12</v>
      </c>
      <c r="D39">
        <v>3010</v>
      </c>
      <c r="F39">
        <v>3030</v>
      </c>
      <c r="G39" t="str">
        <f>INDEX(Define!E:E,MATCH(F39,Define!D:D))</f>
        <v>魔法入手</v>
      </c>
      <c r="H39">
        <v>30020</v>
      </c>
      <c r="I39">
        <v>0</v>
      </c>
      <c r="J39">
        <v>0</v>
      </c>
      <c r="K39" t="b">
        <v>1</v>
      </c>
    </row>
    <row r="40" spans="1:11">
      <c r="A40">
        <v>1020</v>
      </c>
      <c r="B40">
        <v>2</v>
      </c>
      <c r="C40">
        <v>1</v>
      </c>
      <c r="D40">
        <v>3010</v>
      </c>
      <c r="F40">
        <v>3020</v>
      </c>
      <c r="G40" t="str">
        <f>INDEX(Define!E:E,MATCH(F40,Define!D:D))</f>
        <v>アイテム取得</v>
      </c>
      <c r="H40">
        <v>11010</v>
      </c>
      <c r="I40">
        <v>0</v>
      </c>
      <c r="J40">
        <v>0</v>
      </c>
      <c r="K40" t="b">
        <v>1</v>
      </c>
    </row>
    <row r="41" spans="1:11">
      <c r="A41">
        <v>1020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11020</v>
      </c>
      <c r="I41">
        <v>0</v>
      </c>
      <c r="J41">
        <v>0</v>
      </c>
      <c r="K41" t="b">
        <v>1</v>
      </c>
    </row>
    <row r="42" spans="1:11">
      <c r="A42">
        <v>1020</v>
      </c>
      <c r="B42">
        <v>10</v>
      </c>
      <c r="C42">
        <v>12</v>
      </c>
      <c r="D42">
        <v>3010</v>
      </c>
      <c r="F42">
        <v>3020</v>
      </c>
      <c r="G42" t="str">
        <f>INDEX(Define!E:E,MATCH(F42,Define!D:D))</f>
        <v>アイテム取得</v>
      </c>
      <c r="H42">
        <v>11030</v>
      </c>
      <c r="I42">
        <v>0</v>
      </c>
      <c r="J42">
        <v>0</v>
      </c>
      <c r="K42" t="b">
        <v>1</v>
      </c>
    </row>
    <row r="43" spans="1:11">
      <c r="A43">
        <v>2010</v>
      </c>
      <c r="B43">
        <v>7</v>
      </c>
      <c r="C43">
        <v>1</v>
      </c>
      <c r="D43">
        <v>3010</v>
      </c>
      <c r="F43">
        <v>2020</v>
      </c>
      <c r="G43" t="str">
        <f>INDEX(Define!E:E,MATCH(F43,Define!D:D))</f>
        <v>ダンジョン移動</v>
      </c>
      <c r="H43">
        <v>2011</v>
      </c>
      <c r="I43">
        <v>7</v>
      </c>
      <c r="J43">
        <v>12</v>
      </c>
      <c r="K43" t="b">
        <v>0</v>
      </c>
    </row>
    <row r="44" spans="1:11">
      <c r="A44">
        <v>2010</v>
      </c>
      <c r="B44">
        <v>7</v>
      </c>
      <c r="C44">
        <v>7</v>
      </c>
      <c r="D44">
        <v>3010</v>
      </c>
      <c r="F44">
        <v>5020</v>
      </c>
      <c r="G44" t="str">
        <f>INDEX(Define!E:E,MATCH(F44,Define!D:D))</f>
        <v>強制ボス戦闘</v>
      </c>
      <c r="H44">
        <v>20010</v>
      </c>
      <c r="I44">
        <v>0</v>
      </c>
      <c r="J44">
        <v>0</v>
      </c>
      <c r="K44" t="b">
        <v>1</v>
      </c>
    </row>
    <row r="45" spans="1:11">
      <c r="A45">
        <v>2011</v>
      </c>
      <c r="B45">
        <v>7</v>
      </c>
      <c r="C45">
        <v>1</v>
      </c>
      <c r="D45">
        <v>3010</v>
      </c>
      <c r="F45">
        <v>2020</v>
      </c>
      <c r="G45" t="str">
        <f>INDEX(Define!E:E,MATCH(F45,Define!D:D))</f>
        <v>ダンジョン移動</v>
      </c>
      <c r="H45">
        <v>2012</v>
      </c>
      <c r="I45">
        <v>7</v>
      </c>
      <c r="J45">
        <v>12</v>
      </c>
      <c r="K45" t="b">
        <v>0</v>
      </c>
    </row>
    <row r="46" spans="1:11">
      <c r="A46">
        <v>2011</v>
      </c>
      <c r="B46">
        <v>7</v>
      </c>
      <c r="C46">
        <v>7</v>
      </c>
      <c r="D46">
        <v>3010</v>
      </c>
      <c r="F46">
        <v>5020</v>
      </c>
      <c r="G46" t="str">
        <f>INDEX(Define!E:E,MATCH(F46,Define!D:D))</f>
        <v>強制ボス戦闘</v>
      </c>
      <c r="H46">
        <v>20020</v>
      </c>
      <c r="I46">
        <v>0</v>
      </c>
      <c r="J46">
        <v>0</v>
      </c>
      <c r="K46" t="b">
        <v>1</v>
      </c>
    </row>
    <row r="47" spans="1:11">
      <c r="A47">
        <v>2012</v>
      </c>
      <c r="B47">
        <v>7</v>
      </c>
      <c r="C47">
        <v>7</v>
      </c>
      <c r="D47">
        <v>3010</v>
      </c>
      <c r="F47">
        <v>5020</v>
      </c>
      <c r="G47" t="str">
        <f>INDEX(Define!E:E,MATCH(F47,Define!D:D))</f>
        <v>強制ボス戦闘</v>
      </c>
      <c r="H47">
        <v>20030</v>
      </c>
      <c r="I47">
        <v>0</v>
      </c>
      <c r="J47">
        <v>0</v>
      </c>
      <c r="K4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opLeftCell="A10" workbookViewId="0">
      <selection activeCell="C34" sqref="C34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20</v>
      </c>
    </row>
    <row r="31" spans="1:3">
      <c r="A31">
        <v>1010</v>
      </c>
      <c r="B31">
        <v>6</v>
      </c>
      <c r="C31">
        <v>20</v>
      </c>
    </row>
    <row r="32" spans="1:3">
      <c r="A32">
        <v>1010</v>
      </c>
      <c r="B32">
        <v>1</v>
      </c>
      <c r="C32">
        <v>20</v>
      </c>
    </row>
    <row r="33" spans="1:3">
      <c r="A33">
        <v>1010</v>
      </c>
      <c r="B33">
        <v>7</v>
      </c>
      <c r="C33">
        <v>20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15</v>
      </c>
    </row>
    <row r="37" spans="1:3">
      <c r="A37">
        <v>1020</v>
      </c>
      <c r="B37">
        <v>7</v>
      </c>
      <c r="C37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5" sqref="E1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4:12">
      <c r="D14">
        <v>7010</v>
      </c>
      <c r="E14" t="s">
        <v>104</v>
      </c>
      <c r="K14">
        <v>1000</v>
      </c>
      <c r="L14" s="1" t="s">
        <v>105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2025-06-23T20:53:20Z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