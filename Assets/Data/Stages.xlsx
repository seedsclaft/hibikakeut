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5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StageEvents!$F$1:$F$303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<sst xmlns="http://schemas.openxmlformats.org/spreadsheetml/2006/main" count="294" uniqueCount="162">
  <si>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</si>
  <si>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</si>
  <si>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</si>
  <si>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</si>
  <si>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</si>
  <si>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</si>
  <si>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</si>
  <si>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</si>
  <si>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</si>
  <si>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</si>
  <si>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</si>
  <si>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</si>
  <si>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</si>
  <si>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</si>
  <si>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</si>
  <si>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</si>
  <si>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</si>
  <si>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</si>
  <si>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</si>
  <si>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</si>
  <si>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</si>
  <si>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</si>
  <si>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</si>
  <si>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</si>
  <si>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</si>
  <si>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</si>
  <si>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</si>
  <si>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</si>
  <si>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</si>
  <si>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</si>
  <si>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</si>
  <si>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</si>
  <si>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</si>
  <si>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</si>
  <si>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</si>
  <si>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</si>
  <si>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</si>
  <si>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</si>
  <si>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</si>
  <si>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</si>
  <si>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</si>
  <si>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</si>
  <si>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</si>
  <si>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</si>
  <si>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</si>
  <si>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</si>
  <si>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</si>
  <si>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</si>
  <si>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</si>
  <si>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</si>
  <si>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</si>
  <si>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</si>
  <si>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</si>
  <si>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</si>
  <si>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</si>
  <si>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</si>
  <si>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</si>
  <si>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</si>
  <si>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</si>
  <si>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</si>
  <si>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</si>
  <si>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</si>
  <si>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</si>
  <si>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</si>
  <si>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</si>
  <si>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</si>
  <si>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</si>
  <si>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</si>
  <si>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</si>
  <si>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</si>
  <si>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</si>
  <si>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</si>
  <si>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</si>
  <si>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</si>
  <si>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</si>
  <si>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</si>
  <si>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</si>
  <si>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</si>
  <si>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</si>
  <si>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</si>
  <si>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</si>
  <si>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</si>
  <si>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</si>
  <si>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</si>
  <si>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</si>
  <si>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</si>
  <si>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</si>
  <si>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</si>
  <si>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</si>
  <si>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</si>
  <si>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</si>
  <si>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</si>
  <si>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</si>
  <si>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</si>
  <si>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</si>
  <si>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</si>
  <si>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</si>
  <si>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</si>
  <si>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</si>
  <si>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</si>
  <si>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</si>
  <si>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</si>
  <si>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</si>
  <si>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</si>
  <si>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</si>
  <si>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</si>
  <si>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</si>
  <si>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</si>
  <si>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</si>
  <si>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</si>
  <si>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</si>
  <si>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</si>
  <si>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</si>
  <si>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</si>
  <si>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</si>
  <si>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</si>
  <si>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</si>
  <si>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</si>
  <si>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</si>
  <si>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</si>
  <si>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</si>
  <si>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</si>
  <si>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移動判定なしでダンジョン移動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</si>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</sst>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0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0" fillId="23" borderId="4" applyNumberFormat="0" applyFon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9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O35" sqref="O35:O3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opLeftCell="A280" workbookViewId="0">
      <selection activeCell="F303" sqref="F30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  <row r="4" spans="1:11">
      <c r="A4">
        <v>10</v>
      </c>
      <c r="B4">
        <v>0</v>
      </c>
      <c r="C4">
        <v>0</v>
      </c>
      <c r="D4">
        <v>3020</v>
      </c>
      <c r="F4">
        <v>1010</v>
      </c>
      <c r="G4" t="str">
        <f>INDEX(Define!E:E,MATCH(F4,Define!D:D))</f>
        <v>Adv再生</v>
      </c>
      <c r="H4">
        <v>30060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4</v>
      </c>
      <c r="D5">
        <v>3010</v>
      </c>
      <c r="F5">
        <v>9010</v>
      </c>
      <c r="G5" t="str">
        <f>INDEX(Define!E:E,MATCH(F5,Define!D:D))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  <row r="286" spans="1:11">
      <c r="A286">
        <v>3010</v>
      </c>
      <c r="B286">
        <v>9</v>
      </c>
      <c r="C286">
        <v>10</v>
      </c>
      <c r="D286">
        <v>3010</v>
      </c>
      <c r="F286">
        <v>2020</v>
      </c>
      <c r="G286" t="str">
        <f>INDEX(Define!E:E,MATCH(F286,Define!D:D))</f>
        <v>ダンジョン移動</v>
      </c>
      <c r="H286">
        <v>3011</v>
      </c>
      <c r="I286">
        <v>8</v>
      </c>
      <c r="J286">
        <v>2</v>
      </c>
      <c r="K286" t="b">
        <v>0</v>
      </c>
    </row>
    <row r="287" spans="1:11">
      <c r="A287">
        <v>3010</v>
      </c>
      <c r="B287">
        <v>0</v>
      </c>
      <c r="C287">
        <v>0</v>
      </c>
      <c r="D287">
        <v>3020</v>
      </c>
      <c r="F287">
        <v>1010</v>
      </c>
      <c r="G287" t="str">
        <f>INDEX(Define!E:E,MATCH(F287,Define!D:D))</f>
        <v>Adv再生</v>
      </c>
      <c r="H287">
        <v>30011</v>
      </c>
      <c r="I287">
        <v>0</v>
      </c>
      <c r="J287">
        <v>0</v>
      </c>
      <c r="K287" t="b">
        <v>1</v>
      </c>
    </row>
    <row r="288" spans="1:11">
      <c r="A288">
        <v>3010</v>
      </c>
      <c r="B288">
        <v>9</v>
      </c>
      <c r="C288">
        <v>6</v>
      </c>
      <c r="D288">
        <v>3010</v>
      </c>
      <c r="F288">
        <v>4010</v>
      </c>
      <c r="G288" t="str">
        <f>INDEX(Define!E:E,MATCH(F288,Define!D:D))</f>
        <v>仲間を増やす</v>
      </c>
      <c r="H288">
        <v>102</v>
      </c>
      <c r="I288">
        <v>1</v>
      </c>
      <c r="J288">
        <v>30</v>
      </c>
      <c r="K288" t="b">
        <v>1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103</v>
      </c>
      <c r="I289">
        <v>2</v>
      </c>
      <c r="J289">
        <v>30</v>
      </c>
      <c r="K289" t="b">
        <v>1</v>
      </c>
    </row>
    <row r="290" spans="1:11">
      <c r="A290">
        <v>3010</v>
      </c>
      <c r="B290">
        <v>9</v>
      </c>
      <c r="C290">
        <v>5</v>
      </c>
      <c r="D290">
        <v>3010</v>
      </c>
      <c r="F290">
        <v>5010</v>
      </c>
      <c r="G290" t="str">
        <f>INDEX(Define!E:E,MATCH(F290,Define!D:D))</f>
        <v>強制戦闘</v>
      </c>
      <c r="H290">
        <v>1010</v>
      </c>
      <c r="I290">
        <v>0</v>
      </c>
      <c r="J290">
        <v>0</v>
      </c>
      <c r="K290" t="b">
        <v>1</v>
      </c>
    </row>
    <row r="291" spans="1:11">
      <c r="A291">
        <v>3010</v>
      </c>
      <c r="B291">
        <v>9</v>
      </c>
      <c r="C291">
        <v>5</v>
      </c>
      <c r="D291">
        <v>3030</v>
      </c>
      <c r="F291">
        <v>1010</v>
      </c>
      <c r="G291" t="str">
        <f>INDEX(Define!E:E,MATCH(F291,Define!D:D))</f>
        <v>Adv再生</v>
      </c>
      <c r="H291">
        <v>30020</v>
      </c>
      <c r="I291">
        <v>0</v>
      </c>
      <c r="J291">
        <v>0</v>
      </c>
      <c r="K291" t="b">
        <v>1</v>
      </c>
    </row>
    <row r="292" spans="1:11">
      <c r="A292">
        <v>3010</v>
      </c>
      <c r="B292">
        <v>9</v>
      </c>
      <c r="C292">
        <v>3</v>
      </c>
      <c r="D292">
        <v>3010</v>
      </c>
      <c r="F292">
        <v>1010</v>
      </c>
      <c r="G292" t="str">
        <f>INDEX(Define!E:E,MATCH(F292,Define!D:D))</f>
        <v>Adv再生</v>
      </c>
      <c r="H292">
        <v>140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9</v>
      </c>
      <c r="C293">
        <v>3</v>
      </c>
      <c r="D293">
        <v>3010</v>
      </c>
      <c r="F293">
        <v>6010</v>
      </c>
      <c r="G293" t="str">
        <f>INDEX(Define!E:E,MATCH(F293,Define!D:D))</f>
        <v>指定のイベントマスを消す</v>
      </c>
      <c r="H293">
        <v>93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9</v>
      </c>
      <c r="C294">
        <v>8</v>
      </c>
      <c r="D294">
        <v>3010</v>
      </c>
      <c r="F294">
        <v>0</v>
      </c>
      <c r="H294">
        <v>93</v>
      </c>
      <c r="I294">
        <v>0</v>
      </c>
      <c r="J294">
        <v>0</v>
      </c>
      <c r="K294" t="b">
        <v>1</v>
      </c>
    </row>
    <row r="295" spans="1:11">
      <c r="A295">
        <v>3010</v>
      </c>
      <c r="B295">
        <v>9</v>
      </c>
      <c r="C295">
        <v>3</v>
      </c>
      <c r="D295">
        <v>3010</v>
      </c>
      <c r="F295">
        <v>1010</v>
      </c>
      <c r="G295" t="str">
        <f>INDEX(Define!E:E,MATCH(F295,Define!D:D))</f>
        <v>Adv再生</v>
      </c>
      <c r="H295">
        <v>30030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4011</v>
      </c>
      <c r="G296" t="str">
        <f>INDEX(Define!E:E,MATCH(F296,Define!D:D))</f>
        <v>仲間を外す</v>
      </c>
      <c r="H296">
        <v>103</v>
      </c>
      <c r="I296">
        <v>0</v>
      </c>
      <c r="J296">
        <v>0</v>
      </c>
      <c r="K296" t="b">
        <v>1</v>
      </c>
    </row>
    <row r="297" spans="1:11">
      <c r="A297">
        <v>3011</v>
      </c>
      <c r="B297">
        <v>8</v>
      </c>
      <c r="C297">
        <v>2</v>
      </c>
      <c r="D297">
        <v>3010</v>
      </c>
      <c r="F297">
        <v>2020</v>
      </c>
      <c r="G297" t="str">
        <f>INDEX(Define!E:E,MATCH(F297,Define!D:D))</f>
        <v>ダンジョン移動</v>
      </c>
      <c r="H297">
        <v>3010</v>
      </c>
      <c r="I297">
        <v>9</v>
      </c>
      <c r="J297">
        <v>10</v>
      </c>
      <c r="K297" t="b">
        <v>0</v>
      </c>
    </row>
    <row r="298" spans="1:11">
      <c r="A298">
        <v>3011</v>
      </c>
      <c r="B298">
        <v>8</v>
      </c>
      <c r="C298">
        <v>7</v>
      </c>
      <c r="D298">
        <v>3010</v>
      </c>
      <c r="F298">
        <v>1010</v>
      </c>
      <c r="G298" t="str">
        <f>INDEX(Define!E:E,MATCH(F298,Define!D:D))</f>
        <v>Adv再生</v>
      </c>
      <c r="H298">
        <v>30040</v>
      </c>
      <c r="I298">
        <v>0</v>
      </c>
      <c r="J298">
        <v>0</v>
      </c>
      <c r="K298" t="b">
        <v>1</v>
      </c>
    </row>
    <row r="299" spans="1:11">
      <c r="A299">
        <v>3011</v>
      </c>
      <c r="B299">
        <v>8</v>
      </c>
      <c r="C299">
        <v>9</v>
      </c>
      <c r="D299">
        <v>3010</v>
      </c>
      <c r="F299">
        <v>5020</v>
      </c>
      <c r="G299" t="str">
        <f>INDEX(Define!E:E,MATCH(F299,Define!D:D))</f>
        <v>強制ボス戦闘</v>
      </c>
      <c r="H299">
        <v>6010</v>
      </c>
      <c r="I299">
        <v>0</v>
      </c>
      <c r="J299">
        <v>0</v>
      </c>
      <c r="K299" t="b">
        <v>1</v>
      </c>
    </row>
    <row r="300" spans="1:11">
      <c r="A300">
        <v>3011</v>
      </c>
      <c r="B300">
        <v>8</v>
      </c>
      <c r="C300">
        <v>9</v>
      </c>
      <c r="D300">
        <v>3030</v>
      </c>
      <c r="F300">
        <v>1010</v>
      </c>
      <c r="G300" t="str">
        <f>INDEX(Define!E:E,MATCH(F300,Define!D:D))</f>
        <v>Adv再生</v>
      </c>
      <c r="H300">
        <v>30050</v>
      </c>
      <c r="I300">
        <v>0</v>
      </c>
      <c r="J300">
        <v>0</v>
      </c>
      <c r="K300" t="b">
        <v>1</v>
      </c>
    </row>
    <row r="301" spans="1:11">
      <c r="A301">
        <v>3011</v>
      </c>
      <c r="B301">
        <v>8</v>
      </c>
      <c r="C301">
        <v>9</v>
      </c>
      <c r="D301">
        <v>3030</v>
      </c>
      <c r="F301">
        <v>4011</v>
      </c>
      <c r="G301" t="str">
        <f>INDEX(Define!E:E,MATCH(F301,Define!D:D))</f>
        <v>仲間を外す</v>
      </c>
      <c r="H301">
        <v>102</v>
      </c>
      <c r="I301">
        <v>0</v>
      </c>
      <c r="J301">
        <v>0</v>
      </c>
      <c r="K301" t="b">
        <v>1</v>
      </c>
    </row>
    <row r="302" spans="1:11">
      <c r="A302">
        <v>3011</v>
      </c>
      <c r="B302">
        <v>8</v>
      </c>
      <c r="C302">
        <v>9</v>
      </c>
      <c r="D302">
        <v>3030</v>
      </c>
      <c r="F302">
        <v>4010</v>
      </c>
      <c r="G302" t="str">
        <f>INDEX(Define!E:E,MATCH(F302,Define!D:D))</f>
        <v>仲間を増やす</v>
      </c>
      <c r="H302">
        <v>101</v>
      </c>
      <c r="I302">
        <v>1</v>
      </c>
      <c r="J302">
        <v>1</v>
      </c>
      <c r="K302" t="b">
        <v>1</v>
      </c>
    </row>
    <row r="303" spans="1:11">
      <c r="A303">
        <v>3011</v>
      </c>
      <c r="B303">
        <v>8</v>
      </c>
      <c r="C303">
        <v>9</v>
      </c>
      <c r="D303">
        <v>3030</v>
      </c>
      <c r="F303">
        <v>2021</v>
      </c>
      <c r="G303" t="str">
        <f>INDEX(Define!E:E,MATCH(F303,Define!D:D))</f>
        <v>移動判定なしでダンジョン移動</v>
      </c>
      <c r="H303">
        <v>10</v>
      </c>
      <c r="I303">
        <v>7</v>
      </c>
      <c r="J303">
        <v>4</v>
      </c>
      <c r="K303" t="b">
        <v>1</v>
      </c>
    </row>
  </sheetData>
  <autoFilter ref="F1:F303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tabSelected="1"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2025-11-30T05:32:15Z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