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<sst xmlns="http://schemas.openxmlformats.org/spreadsheetml/2006/main" count="185" uniqueCount="122">
  <si>
    <t>Id</t>
  </si>
  <si>
    <t>NameId</t>
  </si>
  <si>
    <t>StageNo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</si>
  <si>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</si>
  <si>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</si>
  <si>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</si>
  <si>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</si>
  <si>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</si>
  <si>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</si>
  <si>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</si>
  <si>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</si>
  <si>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</si>
  <si>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</si>
  <si>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</si>
  <si>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</si>
  <si>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</si>
  <si>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</si>
  <si>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</si>
  <si>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</si>
  <si>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</si>
  <si>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</si>
  <si>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</si>
  <si>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</si>
  <si>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</si>
  <si>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</si>
  <si>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</si>
  <si>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</si>
  <si>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</si>
  <si>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</si>
  <si>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</si>
  <si>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</si>
  <si>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</si>
  <si>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</si>
  <si>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</si>
  <si>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</si>
  <si>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</si>
  <si>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</si>
  <si>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</si>
  <si>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</si>
  <si>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</si>
  <si>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</si>
  <si>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</si>
  <si>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</si>
  <si>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</si>
  <si>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</si>
  <si>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</si>
  <si>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</si>
  <si>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</si>
  <si>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</si>
  <si>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</si>
  <si>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</si>
  <si>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</si>
  <si>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</si>
  <si>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</si>
  <si>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</si>
  <si>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</si>
  <si>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</si>
  <si>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</si>
  <si>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</si>
  <si>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</si>
  <si>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忘却の洞窟</t>
  </si>
  <si>
    <t>二度とは入ることができない不思議な洞窟。
貴重な魔法書が隠されていると言われている。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</si>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</sst>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6" fillId="1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16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workbookViewId="0">
      <selection activeCell="G15" sqref="G15"/>
    </sheetView>
  </sheetViews>
  <sheetFormatPr defaultColWidth="8.72727272727273" defaultRowHeight="13"/>
  <cols>
    <col min="4" max="5" width="10.3636363636364" customWidth="1"/>
    <col min="8" max="8" width="11.8181818181818" customWidth="1"/>
    <col min="9" max="9" width="8.45454545454546" customWidth="1"/>
    <col min="15" max="15" width="13.272727272727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 t="b">
        <v>0</v>
      </c>
      <c r="H2">
        <v>0</v>
      </c>
      <c r="I2">
        <v>30</v>
      </c>
      <c r="J2">
        <v>0</v>
      </c>
      <c r="K2">
        <v>0</v>
      </c>
      <c r="L2">
        <v>0</v>
      </c>
      <c r="M2">
        <v>2010</v>
      </c>
      <c r="N2">
        <v>100</v>
      </c>
      <c r="O2" s="1" t="s">
        <v>18</v>
      </c>
      <c r="P2" t="s">
        <v>19</v>
      </c>
      <c r="Q2">
        <v>0</v>
      </c>
      <c r="R2" t="s">
        <v>20</v>
      </c>
    </row>
    <row r="3" spans="1:18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 t="b">
        <v>0</v>
      </c>
      <c r="H3">
        <v>2</v>
      </c>
      <c r="I3">
        <v>30</v>
      </c>
      <c r="J3">
        <v>6</v>
      </c>
      <c r="K3">
        <v>12</v>
      </c>
      <c r="L3">
        <v>1010</v>
      </c>
      <c r="M3">
        <v>3010</v>
      </c>
      <c r="N3">
        <v>100</v>
      </c>
      <c r="O3" s="1" t="s">
        <v>21</v>
      </c>
      <c r="P3" t="s">
        <v>22</v>
      </c>
      <c r="Q3">
        <v>1020</v>
      </c>
      <c r="R3" t="s">
        <v>19</v>
      </c>
    </row>
    <row r="4" spans="1:18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 t="b">
        <v>0</v>
      </c>
      <c r="H4">
        <v>0</v>
      </c>
      <c r="I4">
        <v>30</v>
      </c>
      <c r="J4">
        <v>6</v>
      </c>
      <c r="K4">
        <v>12</v>
      </c>
      <c r="L4">
        <v>1010</v>
      </c>
      <c r="M4">
        <v>3010</v>
      </c>
      <c r="N4">
        <v>100</v>
      </c>
      <c r="O4" s="1" t="s">
        <v>21</v>
      </c>
      <c r="P4" t="s">
        <v>22</v>
      </c>
      <c r="Q4">
        <v>0</v>
      </c>
      <c r="R4" t="s">
        <v>19</v>
      </c>
    </row>
    <row r="5" spans="1:18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 t="b">
        <v>0</v>
      </c>
      <c r="H5">
        <v>3</v>
      </c>
      <c r="I5">
        <v>30</v>
      </c>
      <c r="J5">
        <v>6</v>
      </c>
      <c r="K5">
        <v>12</v>
      </c>
      <c r="L5">
        <v>1020</v>
      </c>
      <c r="M5">
        <v>3010</v>
      </c>
      <c r="N5">
        <v>100</v>
      </c>
      <c r="O5" s="1" t="s">
        <v>23</v>
      </c>
      <c r="P5" t="s">
        <v>24</v>
      </c>
      <c r="Q5">
        <v>2010</v>
      </c>
      <c r="R5" t="s">
        <v>25</v>
      </c>
    </row>
    <row r="6" spans="1:18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 t="b">
        <v>0</v>
      </c>
      <c r="H6">
        <v>0</v>
      </c>
      <c r="I6">
        <v>30</v>
      </c>
      <c r="J6">
        <v>6</v>
      </c>
      <c r="K6">
        <v>12</v>
      </c>
      <c r="L6">
        <v>1020</v>
      </c>
      <c r="M6">
        <v>3010</v>
      </c>
      <c r="N6">
        <v>100</v>
      </c>
      <c r="O6" s="1" t="s">
        <v>26</v>
      </c>
      <c r="P6" t="s">
        <v>24</v>
      </c>
      <c r="Q6">
        <v>0</v>
      </c>
      <c r="R6" t="s">
        <v>19</v>
      </c>
    </row>
    <row r="7" spans="1:18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 t="b">
        <v>0</v>
      </c>
      <c r="H7">
        <v>0</v>
      </c>
      <c r="I7">
        <v>30</v>
      </c>
      <c r="J7">
        <v>6</v>
      </c>
      <c r="K7">
        <v>12</v>
      </c>
      <c r="L7">
        <v>1020</v>
      </c>
      <c r="M7">
        <v>3010</v>
      </c>
      <c r="N7">
        <v>100</v>
      </c>
      <c r="O7" s="1" t="s">
        <v>23</v>
      </c>
      <c r="P7" t="s">
        <v>24</v>
      </c>
      <c r="Q7">
        <v>0</v>
      </c>
      <c r="R7" t="s">
        <v>19</v>
      </c>
    </row>
    <row r="8" spans="1:18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 t="b">
        <v>0</v>
      </c>
      <c r="H8">
        <v>4</v>
      </c>
      <c r="I8">
        <v>30</v>
      </c>
      <c r="J8">
        <v>6</v>
      </c>
      <c r="K8">
        <v>12</v>
      </c>
      <c r="L8">
        <v>1030</v>
      </c>
      <c r="M8">
        <v>3010</v>
      </c>
      <c r="N8">
        <v>100</v>
      </c>
      <c r="O8" s="1" t="s">
        <v>27</v>
      </c>
      <c r="P8" t="s">
        <v>24</v>
      </c>
      <c r="Q8">
        <v>3010</v>
      </c>
      <c r="R8" t="s">
        <v>19</v>
      </c>
    </row>
    <row r="9" spans="1:18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 t="b">
        <v>0</v>
      </c>
      <c r="H9">
        <v>4</v>
      </c>
      <c r="I9">
        <v>30</v>
      </c>
      <c r="J9">
        <v>6</v>
      </c>
      <c r="K9">
        <v>12</v>
      </c>
      <c r="L9">
        <v>1030</v>
      </c>
      <c r="M9">
        <v>3010</v>
      </c>
      <c r="N9">
        <v>100</v>
      </c>
      <c r="O9" s="1" t="s">
        <v>27</v>
      </c>
      <c r="P9" t="s">
        <v>24</v>
      </c>
      <c r="Q9">
        <v>0</v>
      </c>
      <c r="R9" t="s">
        <v>19</v>
      </c>
    </row>
    <row r="10" spans="1:18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 t="b">
        <v>0</v>
      </c>
      <c r="H10">
        <v>4</v>
      </c>
      <c r="I10">
        <v>30</v>
      </c>
      <c r="J10">
        <v>6</v>
      </c>
      <c r="K10">
        <v>12</v>
      </c>
      <c r="L10">
        <v>1030</v>
      </c>
      <c r="M10">
        <v>3010</v>
      </c>
      <c r="N10">
        <v>100</v>
      </c>
      <c r="O10" s="1" t="s">
        <v>27</v>
      </c>
      <c r="P10" t="s">
        <v>24</v>
      </c>
      <c r="Q10">
        <v>0</v>
      </c>
      <c r="R10" t="s">
        <v>19</v>
      </c>
    </row>
    <row r="11" spans="1:18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 t="b">
        <v>1</v>
      </c>
      <c r="H11">
        <v>3</v>
      </c>
      <c r="I11">
        <v>30</v>
      </c>
      <c r="J11">
        <v>6</v>
      </c>
      <c r="K11">
        <v>12</v>
      </c>
      <c r="L11">
        <v>1210</v>
      </c>
      <c r="M11">
        <v>3010</v>
      </c>
      <c r="N11">
        <v>100</v>
      </c>
      <c r="O11" s="1" t="s">
        <v>21</v>
      </c>
      <c r="P11" t="s">
        <v>22</v>
      </c>
      <c r="Q11">
        <v>0</v>
      </c>
      <c r="R11" t="s">
        <v>19</v>
      </c>
    </row>
    <row r="12" spans="1:18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 t="b">
        <v>1</v>
      </c>
      <c r="H12">
        <v>4</v>
      </c>
      <c r="I12">
        <v>30</v>
      </c>
      <c r="J12">
        <v>6</v>
      </c>
      <c r="K12">
        <v>12</v>
      </c>
      <c r="L12">
        <v>1210</v>
      </c>
      <c r="M12">
        <v>3010</v>
      </c>
      <c r="N12">
        <v>100</v>
      </c>
      <c r="O12" s="1" t="s">
        <v>21</v>
      </c>
      <c r="P12" t="s">
        <v>22</v>
      </c>
      <c r="Q12">
        <v>0</v>
      </c>
      <c r="R12" t="s">
        <v>19</v>
      </c>
    </row>
    <row r="13" spans="1:18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 t="b">
        <v>1</v>
      </c>
      <c r="H13">
        <v>0</v>
      </c>
      <c r="I13">
        <v>30</v>
      </c>
      <c r="J13">
        <v>0</v>
      </c>
      <c r="K13">
        <v>0</v>
      </c>
      <c r="L13">
        <v>3020</v>
      </c>
      <c r="M13">
        <v>3020</v>
      </c>
      <c r="N13">
        <v>100</v>
      </c>
      <c r="O13" s="1" t="s">
        <v>21</v>
      </c>
      <c r="P13" t="s">
        <v>22</v>
      </c>
      <c r="Q13">
        <v>0</v>
      </c>
      <c r="R13" t="s">
        <v>19</v>
      </c>
    </row>
    <row r="14" spans="1:18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 t="b">
        <v>1</v>
      </c>
      <c r="H14">
        <v>0</v>
      </c>
      <c r="I14">
        <v>30</v>
      </c>
      <c r="J14">
        <v>0</v>
      </c>
      <c r="K14">
        <v>0</v>
      </c>
      <c r="L14">
        <v>3020</v>
      </c>
      <c r="M14">
        <v>3020</v>
      </c>
      <c r="N14">
        <v>100</v>
      </c>
      <c r="O14" s="1" t="s">
        <v>21</v>
      </c>
      <c r="P14" t="s">
        <v>22</v>
      </c>
      <c r="Q14">
        <v>0</v>
      </c>
      <c r="R14" t="s">
        <v>19</v>
      </c>
    </row>
    <row r="15" spans="1:18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 t="b">
        <v>1</v>
      </c>
      <c r="H15">
        <v>0</v>
      </c>
      <c r="I15">
        <v>30</v>
      </c>
      <c r="J15">
        <v>0</v>
      </c>
      <c r="K15">
        <v>0</v>
      </c>
      <c r="L15">
        <v>3020</v>
      </c>
      <c r="M15">
        <v>3020</v>
      </c>
      <c r="N15">
        <v>100</v>
      </c>
      <c r="O15" s="1" t="s">
        <v>21</v>
      </c>
      <c r="P15" t="s">
        <v>22</v>
      </c>
      <c r="Q15">
        <v>0</v>
      </c>
      <c r="R15" t="s"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"/>
  <sheetViews>
    <sheetView tabSelected="1" topLeftCell="A19" workbookViewId="0">
      <selection activeCell="J32" sqref="J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28</v>
      </c>
      <c r="C1" t="s">
        <v>29</v>
      </c>
      <c r="D1" t="s">
        <v>30</v>
      </c>
      <c r="E1" s="1" t="s">
        <v>31</v>
      </c>
      <c r="F1" t="s">
        <v>32</v>
      </c>
      <c r="G1" s="1" t="s">
        <v>31</v>
      </c>
      <c r="H1" t="s">
        <v>33</v>
      </c>
      <c r="I1" t="s">
        <v>34</v>
      </c>
      <c r="J1" t="s">
        <v>35</v>
      </c>
      <c r="K1" t="s">
        <v>36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45</v>
      </c>
      <c r="I45">
        <v>0</v>
      </c>
      <c r="J45">
        <v>0</v>
      </c>
      <c r="K45" t="b">
        <v>1</v>
      </c>
    </row>
    <row r="46" spans="1:11">
      <c r="A46">
        <v>40</v>
      </c>
      <c r="B46">
        <v>4</v>
      </c>
      <c r="C46">
        <v>5</v>
      </c>
      <c r="D46">
        <v>3010</v>
      </c>
      <c r="F46">
        <v>0</v>
      </c>
      <c r="H46">
        <v>45</v>
      </c>
      <c r="I46">
        <v>0</v>
      </c>
      <c r="J46">
        <v>0</v>
      </c>
      <c r="K46" t="b">
        <v>1</v>
      </c>
    </row>
    <row r="47" spans="1:11">
      <c r="A47">
        <v>41</v>
      </c>
      <c r="B47">
        <v>11</v>
      </c>
      <c r="C47">
        <v>18</v>
      </c>
      <c r="D47">
        <v>3010</v>
      </c>
      <c r="F47">
        <v>2020</v>
      </c>
      <c r="G47" t="str">
        <f>INDEX(Define!E:E,MATCH(F47,Define!D:D))</f>
        <v>ダンジョン移動</v>
      </c>
      <c r="H47">
        <v>40</v>
      </c>
      <c r="I47">
        <v>10</v>
      </c>
      <c r="J47">
        <v>1</v>
      </c>
      <c r="K47" t="b">
        <v>0</v>
      </c>
    </row>
    <row r="48" spans="1:11">
      <c r="A48">
        <v>41</v>
      </c>
      <c r="B48">
        <v>9</v>
      </c>
      <c r="C48">
        <v>4</v>
      </c>
      <c r="D48">
        <v>3010</v>
      </c>
      <c r="F48">
        <v>2020</v>
      </c>
      <c r="G48" t="str">
        <f>INDEX(Define!E:E,MATCH(F48,Define!D:D))</f>
        <v>ダンジョン移動</v>
      </c>
      <c r="H48">
        <v>42</v>
      </c>
      <c r="I48">
        <v>2</v>
      </c>
      <c r="J48">
        <v>18</v>
      </c>
      <c r="K48" t="b">
        <v>0</v>
      </c>
    </row>
    <row r="49" spans="1:11">
      <c r="A49">
        <v>41</v>
      </c>
      <c r="B49">
        <v>14</v>
      </c>
      <c r="C49">
        <v>16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2130</v>
      </c>
      <c r="I49">
        <v>0</v>
      </c>
      <c r="J49">
        <v>0</v>
      </c>
      <c r="K49" t="b">
        <v>1</v>
      </c>
    </row>
    <row r="50" spans="1:11">
      <c r="A50">
        <v>41</v>
      </c>
      <c r="B50">
        <v>3</v>
      </c>
      <c r="C50">
        <v>1</v>
      </c>
      <c r="D50">
        <v>3010</v>
      </c>
      <c r="F50">
        <v>3020</v>
      </c>
      <c r="G50" t="str">
        <f>INDEX(Define!E:E,MATCH(F50,Define!D:D))</f>
        <v>アイテム取得</v>
      </c>
      <c r="H50">
        <v>11010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1</v>
      </c>
      <c r="D51">
        <v>3010</v>
      </c>
      <c r="F51">
        <v>3020</v>
      </c>
      <c r="G51" t="str">
        <f>INDEX(Define!E:E,MATCH(F51,Define!D:D))</f>
        <v>アイテム取得</v>
      </c>
      <c r="H51">
        <v>11010</v>
      </c>
      <c r="I51">
        <v>0</v>
      </c>
      <c r="J51">
        <v>0</v>
      </c>
      <c r="K51" t="b">
        <v>1</v>
      </c>
    </row>
    <row r="52" spans="1:11">
      <c r="A52">
        <v>41</v>
      </c>
      <c r="B52">
        <v>5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6</v>
      </c>
      <c r="D53">
        <v>3010</v>
      </c>
      <c r="F53">
        <v>1010</v>
      </c>
      <c r="G53" t="str">
        <f>INDEX(Define!E:E,MATCH(F53,Define!D:D))</f>
        <v>Adv再生</v>
      </c>
      <c r="H53">
        <v>1040</v>
      </c>
      <c r="I53">
        <v>0</v>
      </c>
      <c r="J53">
        <v>0</v>
      </c>
      <c r="K53" t="b">
        <v>1</v>
      </c>
    </row>
    <row r="54" spans="1:11">
      <c r="A54">
        <v>41</v>
      </c>
      <c r="B54">
        <v>4</v>
      </c>
      <c r="C54">
        <v>4</v>
      </c>
      <c r="D54">
        <v>3010</v>
      </c>
      <c r="F54">
        <v>1010</v>
      </c>
      <c r="G54" t="str">
        <f>INDEX(Define!E:E,MATCH(F54,Define!D:D))</f>
        <v>Adv再生</v>
      </c>
      <c r="H54">
        <v>100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4</v>
      </c>
      <c r="D55">
        <v>3010</v>
      </c>
      <c r="F55">
        <v>5010</v>
      </c>
      <c r="G55" t="str">
        <f>INDEX(Define!E:E,MATCH(F55,Define!D:D))</f>
        <v>強制戦闘</v>
      </c>
      <c r="H55">
        <v>3020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4</v>
      </c>
      <c r="D56">
        <v>3010</v>
      </c>
      <c r="F56">
        <v>6010</v>
      </c>
      <c r="G56" t="str">
        <f>INDEX(Define!E:E,MATCH(F56,Define!D:D))</f>
        <v>指定のイベントマスを消す</v>
      </c>
      <c r="H56">
        <v>43</v>
      </c>
      <c r="I56">
        <v>0</v>
      </c>
      <c r="J56">
        <v>0</v>
      </c>
      <c r="K56" t="b">
        <v>1</v>
      </c>
    </row>
    <row r="57" spans="1:11">
      <c r="A57">
        <v>41</v>
      </c>
      <c r="B57">
        <v>4</v>
      </c>
      <c r="C57">
        <v>3</v>
      </c>
      <c r="D57">
        <v>3010</v>
      </c>
      <c r="F57">
        <v>0</v>
      </c>
      <c r="H57">
        <v>43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13</v>
      </c>
      <c r="D58">
        <v>3010</v>
      </c>
      <c r="F58">
        <v>7010</v>
      </c>
      <c r="G58" t="str">
        <f>INDEX(Define!E:E,MATCH(F58,Define!D:D))</f>
        <v>ダメージ床</v>
      </c>
      <c r="H58">
        <v>20</v>
      </c>
      <c r="I58">
        <v>0</v>
      </c>
      <c r="J58">
        <v>0</v>
      </c>
      <c r="K58" t="b">
        <v>0</v>
      </c>
    </row>
    <row r="59" spans="1:11">
      <c r="A59">
        <v>41</v>
      </c>
      <c r="B59">
        <v>5</v>
      </c>
      <c r="C59">
        <v>13</v>
      </c>
      <c r="D59">
        <v>3010</v>
      </c>
      <c r="F59">
        <v>7010</v>
      </c>
      <c r="G59" t="str">
        <f>INDEX(Define!E:E,MATCH(F59,Define!D:D))</f>
        <v>ダメージ床</v>
      </c>
      <c r="H59">
        <v>20</v>
      </c>
      <c r="I59">
        <v>0</v>
      </c>
      <c r="J59">
        <v>0</v>
      </c>
      <c r="K59" t="b">
        <v>0</v>
      </c>
    </row>
    <row r="60" spans="1:11">
      <c r="A60">
        <v>41</v>
      </c>
      <c r="B60">
        <v>6</v>
      </c>
      <c r="C60">
        <v>13</v>
      </c>
      <c r="D60">
        <v>3010</v>
      </c>
      <c r="F60">
        <v>7010</v>
      </c>
      <c r="G60" t="str">
        <f>INDEX(Define!E:E,MATCH(F60,Define!D:D))</f>
        <v>ダメージ床</v>
      </c>
      <c r="H60">
        <v>20</v>
      </c>
      <c r="I60">
        <v>0</v>
      </c>
      <c r="J60">
        <v>0</v>
      </c>
      <c r="K60" t="b">
        <v>0</v>
      </c>
    </row>
    <row r="61" spans="1:11">
      <c r="A61">
        <v>41</v>
      </c>
      <c r="B61">
        <v>7</v>
      </c>
      <c r="C61">
        <v>13</v>
      </c>
      <c r="D61">
        <v>3010</v>
      </c>
      <c r="F61">
        <v>6011</v>
      </c>
      <c r="G61" t="str">
        <f>INDEX(Define!E:E,MATCH(F61,Define!D:D))</f>
        <v>指定のイベントマスを表示する</v>
      </c>
      <c r="H61">
        <v>713</v>
      </c>
      <c r="I61">
        <v>0</v>
      </c>
      <c r="J61">
        <v>0</v>
      </c>
      <c r="K61" t="b">
        <v>1</v>
      </c>
    </row>
    <row r="62" spans="1:11">
      <c r="A62">
        <v>41</v>
      </c>
      <c r="B62">
        <v>8</v>
      </c>
      <c r="C62">
        <v>13</v>
      </c>
      <c r="D62">
        <v>3010</v>
      </c>
      <c r="F62">
        <v>0</v>
      </c>
      <c r="H62">
        <v>713</v>
      </c>
      <c r="I62">
        <v>0</v>
      </c>
      <c r="J62">
        <v>0</v>
      </c>
      <c r="K62" t="b">
        <v>1</v>
      </c>
    </row>
    <row r="63" spans="1:11">
      <c r="A63">
        <v>41</v>
      </c>
      <c r="B63">
        <v>7</v>
      </c>
      <c r="C63">
        <v>13</v>
      </c>
      <c r="D63">
        <v>3010</v>
      </c>
      <c r="F63">
        <v>1010</v>
      </c>
      <c r="G63" t="str">
        <f>INDEX(Define!E:E,MATCH(F63,Define!D:D))</f>
        <v>Adv再生</v>
      </c>
      <c r="H63">
        <v>110</v>
      </c>
      <c r="I63">
        <v>0</v>
      </c>
      <c r="J63">
        <v>0</v>
      </c>
      <c r="K63" t="b">
        <v>1</v>
      </c>
    </row>
    <row r="64" spans="1:11">
      <c r="A64">
        <v>41</v>
      </c>
      <c r="B64">
        <v>7</v>
      </c>
      <c r="C64">
        <v>13</v>
      </c>
      <c r="D64">
        <v>3010</v>
      </c>
      <c r="F64">
        <v>7020</v>
      </c>
      <c r="G64" t="str">
        <f>INDEX(Define!E:E,MATCH(F64,Define!D:D))</f>
        <v>怨嗟床</v>
      </c>
      <c r="H64">
        <v>0</v>
      </c>
      <c r="I64">
        <v>0</v>
      </c>
      <c r="J64">
        <v>0</v>
      </c>
      <c r="K64" t="b">
        <v>1</v>
      </c>
    </row>
    <row r="65" spans="1:11">
      <c r="A65">
        <v>41</v>
      </c>
      <c r="B65">
        <v>7</v>
      </c>
      <c r="C65">
        <v>13</v>
      </c>
      <c r="D65">
        <v>3010</v>
      </c>
      <c r="F65">
        <v>1010</v>
      </c>
      <c r="G65" t="str">
        <f>INDEX(Define!E:E,MATCH(F65,Define!D:D))</f>
        <v>Adv再生</v>
      </c>
      <c r="H65">
        <v>120</v>
      </c>
      <c r="I65">
        <v>0</v>
      </c>
      <c r="J65">
        <v>0</v>
      </c>
      <c r="K65" t="b">
        <v>1</v>
      </c>
    </row>
    <row r="66" spans="1:11">
      <c r="A66">
        <v>41</v>
      </c>
      <c r="B66">
        <v>7</v>
      </c>
      <c r="C66">
        <v>13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1</v>
      </c>
    </row>
    <row r="67" spans="1:11">
      <c r="A67">
        <v>41</v>
      </c>
      <c r="B67">
        <v>2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2</v>
      </c>
      <c r="C68">
        <v>13</v>
      </c>
      <c r="D68">
        <v>3010</v>
      </c>
      <c r="F68">
        <v>7021</v>
      </c>
      <c r="G68" t="str">
        <f>INDEX(Define!E:E,MATCH(F68,Define!D:D))</f>
        <v>怨嗟床解除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2</v>
      </c>
      <c r="C69">
        <v>13</v>
      </c>
      <c r="D69">
        <v>3010</v>
      </c>
      <c r="F69">
        <v>6010</v>
      </c>
      <c r="G69" t="str">
        <f>INDEX(Define!E:E,MATCH(F69,Define!D:D))</f>
        <v>指定のイベントマスを消す</v>
      </c>
      <c r="H69">
        <v>813</v>
      </c>
      <c r="I69">
        <v>0</v>
      </c>
      <c r="J69">
        <v>0</v>
      </c>
      <c r="K69" t="b">
        <v>1</v>
      </c>
    </row>
    <row r="70" spans="1:11">
      <c r="A70">
        <v>41</v>
      </c>
      <c r="B70">
        <v>8</v>
      </c>
      <c r="C70">
        <v>13</v>
      </c>
      <c r="D70">
        <v>3010</v>
      </c>
      <c r="F70">
        <v>0</v>
      </c>
      <c r="H70">
        <v>813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1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2020</v>
      </c>
      <c r="I71">
        <v>0</v>
      </c>
      <c r="J71">
        <v>0</v>
      </c>
      <c r="K71" t="b">
        <v>1</v>
      </c>
    </row>
    <row r="72" spans="1:11">
      <c r="A72">
        <v>42</v>
      </c>
      <c r="B72">
        <v>8</v>
      </c>
      <c r="C72">
        <v>8</v>
      </c>
      <c r="D72">
        <v>3010</v>
      </c>
      <c r="F72">
        <v>5020</v>
      </c>
      <c r="G72" t="str">
        <f>INDEX(Define!E:E,MATCH(F72,Define!D:D))</f>
        <v>強制ボス戦闘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42</v>
      </c>
      <c r="B73">
        <v>4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42</v>
      </c>
      <c r="B74">
        <v>4</v>
      </c>
      <c r="C74">
        <v>8</v>
      </c>
      <c r="D74">
        <v>3010</v>
      </c>
      <c r="F74">
        <v>5010</v>
      </c>
      <c r="G74" t="str">
        <f>INDEX(Define!E:E,MATCH(F74,Define!D:D))</f>
        <v>強制戦闘</v>
      </c>
      <c r="H74">
        <v>3030</v>
      </c>
      <c r="I74">
        <v>0</v>
      </c>
      <c r="J74">
        <v>0</v>
      </c>
      <c r="K74" t="b">
        <v>1</v>
      </c>
    </row>
    <row r="75" spans="1:11">
      <c r="A75">
        <v>42</v>
      </c>
      <c r="B75">
        <v>12</v>
      </c>
      <c r="C75">
        <v>8</v>
      </c>
      <c r="D75">
        <v>3010</v>
      </c>
      <c r="F75">
        <v>1010</v>
      </c>
      <c r="G75" t="str">
        <f>INDEX(Define!E:E,MATCH(F75,Define!D:D))</f>
        <v>Adv再生</v>
      </c>
      <c r="H75">
        <v>100</v>
      </c>
      <c r="I75">
        <v>0</v>
      </c>
      <c r="J75">
        <v>0</v>
      </c>
      <c r="K75" t="b">
        <v>1</v>
      </c>
    </row>
    <row r="76" spans="1:11">
      <c r="A76">
        <v>42</v>
      </c>
      <c r="B76">
        <v>12</v>
      </c>
      <c r="C76">
        <v>8</v>
      </c>
      <c r="D76">
        <v>3010</v>
      </c>
      <c r="F76">
        <v>5010</v>
      </c>
      <c r="G76" t="str">
        <f>INDEX(Define!E:E,MATCH(F76,Define!D:D))</f>
        <v>強制戦闘</v>
      </c>
      <c r="H76">
        <v>3040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10</v>
      </c>
      <c r="D77">
        <v>3010</v>
      </c>
      <c r="F77">
        <v>1010</v>
      </c>
      <c r="G77" t="str">
        <f>INDEX(Define!E:E,MATCH(F77,Define!D:D))</f>
        <v>Adv再生</v>
      </c>
      <c r="H77">
        <v>1030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10</v>
      </c>
      <c r="D78">
        <v>3010</v>
      </c>
      <c r="F78">
        <v>6020</v>
      </c>
      <c r="G78" t="str">
        <f>INDEX(Define!E:E,MATCH(F78,Define!D:D))</f>
        <v>同フロアの強制戦闘が終わってたらイベントマスを消す</v>
      </c>
      <c r="H78">
        <v>89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9</v>
      </c>
      <c r="D79">
        <v>3010</v>
      </c>
      <c r="F79">
        <v>0</v>
      </c>
      <c r="H79">
        <v>89</v>
      </c>
      <c r="I79">
        <v>0</v>
      </c>
      <c r="J79">
        <v>0</v>
      </c>
      <c r="K79" t="b">
        <v>1</v>
      </c>
    </row>
    <row r="80" spans="1:11">
      <c r="A80">
        <v>1010</v>
      </c>
      <c r="B80">
        <v>13</v>
      </c>
      <c r="C80">
        <v>13</v>
      </c>
      <c r="D80">
        <v>3010</v>
      </c>
      <c r="F80">
        <v>2010</v>
      </c>
      <c r="G80" t="str">
        <f>INDEX(Define!E:E,MATCH(F80,Define!D:D))</f>
        <v>ダンジョンから出る</v>
      </c>
      <c r="H80">
        <v>0</v>
      </c>
      <c r="I80">
        <v>0</v>
      </c>
      <c r="J80">
        <v>0</v>
      </c>
      <c r="K80" t="b">
        <v>0</v>
      </c>
    </row>
    <row r="81" spans="1:11">
      <c r="A81">
        <v>1010</v>
      </c>
      <c r="B81">
        <v>10</v>
      </c>
      <c r="C81">
        <v>4</v>
      </c>
      <c r="D81">
        <v>3010</v>
      </c>
      <c r="F81">
        <v>3030</v>
      </c>
      <c r="G81" t="str">
        <f>INDEX(Define!E:E,MATCH(F81,Define!D:D))</f>
        <v>魔法入手</v>
      </c>
      <c r="H81">
        <v>30010</v>
      </c>
      <c r="I81">
        <v>0</v>
      </c>
      <c r="J81">
        <v>0</v>
      </c>
      <c r="K81" t="b">
        <v>1</v>
      </c>
    </row>
    <row r="82" spans="1:11">
      <c r="A82">
        <v>1020</v>
      </c>
      <c r="B82">
        <v>7</v>
      </c>
      <c r="C82">
        <v>8</v>
      </c>
      <c r="D82">
        <v>3010</v>
      </c>
      <c r="F82">
        <v>2010</v>
      </c>
      <c r="G82" t="str">
        <f>INDEX(Define!E:E,MATCH(F82,Define!D:D))</f>
        <v>ダンジョンから出る</v>
      </c>
      <c r="H82">
        <v>0</v>
      </c>
      <c r="I82">
        <v>0</v>
      </c>
      <c r="J82">
        <v>0</v>
      </c>
      <c r="K82" t="b">
        <v>0</v>
      </c>
    </row>
    <row r="83" spans="1:11">
      <c r="A83">
        <v>1020</v>
      </c>
      <c r="B83">
        <v>12</v>
      </c>
      <c r="C83">
        <v>12</v>
      </c>
      <c r="D83">
        <v>3010</v>
      </c>
      <c r="F83">
        <v>3030</v>
      </c>
      <c r="G83" t="str">
        <f>INDEX(Define!E:E,MATCH(F83,Define!D:D))</f>
        <v>魔法入手</v>
      </c>
      <c r="H83">
        <v>30020</v>
      </c>
      <c r="I83">
        <v>0</v>
      </c>
      <c r="J83">
        <v>0</v>
      </c>
      <c r="K83" t="b">
        <v>1</v>
      </c>
    </row>
    <row r="84" spans="1:11">
      <c r="A84">
        <v>1020</v>
      </c>
      <c r="B84">
        <v>2</v>
      </c>
      <c r="C84">
        <v>1</v>
      </c>
      <c r="D84">
        <v>3010</v>
      </c>
      <c r="F84">
        <v>3020</v>
      </c>
      <c r="G84" t="str">
        <f>INDEX(Define!E:E,MATCH(F84,Define!D:D))</f>
        <v>アイテム取得</v>
      </c>
      <c r="H84">
        <v>11010</v>
      </c>
      <c r="I84">
        <v>0</v>
      </c>
      <c r="J84">
        <v>0</v>
      </c>
      <c r="K84" t="b">
        <v>1</v>
      </c>
    </row>
    <row r="85" spans="1:11">
      <c r="A85">
        <v>1020</v>
      </c>
      <c r="B85">
        <v>9</v>
      </c>
      <c r="C85">
        <v>4</v>
      </c>
      <c r="D85">
        <v>3010</v>
      </c>
      <c r="F85">
        <v>3020</v>
      </c>
      <c r="G85" t="str">
        <f>INDEX(Define!E:E,MATCH(F85,Define!D:D))</f>
        <v>アイテム取得</v>
      </c>
      <c r="H85">
        <v>11020</v>
      </c>
      <c r="I85">
        <v>0</v>
      </c>
      <c r="J85">
        <v>0</v>
      </c>
      <c r="K85" t="b">
        <v>1</v>
      </c>
    </row>
    <row r="86" spans="1:11">
      <c r="A86">
        <v>1020</v>
      </c>
      <c r="B86">
        <v>10</v>
      </c>
      <c r="C86">
        <v>12</v>
      </c>
      <c r="D86">
        <v>3010</v>
      </c>
      <c r="F86">
        <v>3020</v>
      </c>
      <c r="G86" t="str">
        <f>INDEX(Define!E:E,MATCH(F86,Define!D:D))</f>
        <v>アイテム取得</v>
      </c>
      <c r="H86">
        <v>11030</v>
      </c>
      <c r="I86">
        <v>0</v>
      </c>
      <c r="J86">
        <v>0</v>
      </c>
      <c r="K86" t="b">
        <v>1</v>
      </c>
    </row>
    <row r="87" spans="1:11">
      <c r="A87">
        <v>2010</v>
      </c>
      <c r="B87">
        <v>7</v>
      </c>
      <c r="C87">
        <v>1</v>
      </c>
      <c r="D87">
        <v>3010</v>
      </c>
      <c r="F87">
        <v>2020</v>
      </c>
      <c r="G87" t="str">
        <f>INDEX(Define!E:E,MATCH(F87,Define!D:D))</f>
        <v>ダンジョン移動</v>
      </c>
      <c r="H87">
        <v>2011</v>
      </c>
      <c r="I87">
        <v>7</v>
      </c>
      <c r="J87">
        <v>12</v>
      </c>
      <c r="K87" t="b">
        <v>0</v>
      </c>
    </row>
    <row r="88" spans="1:11">
      <c r="A88">
        <v>2010</v>
      </c>
      <c r="B88">
        <v>7</v>
      </c>
      <c r="C88">
        <v>7</v>
      </c>
      <c r="D88">
        <v>3010</v>
      </c>
      <c r="F88">
        <v>5020</v>
      </c>
      <c r="G88" t="str">
        <f>INDEX(Define!E:E,MATCH(F88,Define!D:D))</f>
        <v>強制ボス戦闘</v>
      </c>
      <c r="H88">
        <v>20010</v>
      </c>
      <c r="I88">
        <v>0</v>
      </c>
      <c r="J88">
        <v>0</v>
      </c>
      <c r="K88" t="b">
        <v>1</v>
      </c>
    </row>
    <row r="89" spans="1:11">
      <c r="A89">
        <v>2011</v>
      </c>
      <c r="B89">
        <v>7</v>
      </c>
      <c r="C89">
        <v>1</v>
      </c>
      <c r="D89">
        <v>3010</v>
      </c>
      <c r="F89">
        <v>2020</v>
      </c>
      <c r="G89" t="str">
        <f>INDEX(Define!E:E,MATCH(F89,Define!D:D))</f>
        <v>ダンジョン移動</v>
      </c>
      <c r="H89">
        <v>2012</v>
      </c>
      <c r="I89">
        <v>7</v>
      </c>
      <c r="J89">
        <v>12</v>
      </c>
      <c r="K89" t="b">
        <v>0</v>
      </c>
    </row>
    <row r="90" spans="1:11">
      <c r="A90">
        <v>2011</v>
      </c>
      <c r="B90">
        <v>7</v>
      </c>
      <c r="C90">
        <v>7</v>
      </c>
      <c r="D90">
        <v>3010</v>
      </c>
      <c r="F90">
        <v>5020</v>
      </c>
      <c r="G90" t="str">
        <f>INDEX(Define!E:E,MATCH(F90,Define!D:D))</f>
        <v>強制ボス戦闘</v>
      </c>
      <c r="H90">
        <v>20020</v>
      </c>
      <c r="I90">
        <v>0</v>
      </c>
      <c r="J90">
        <v>0</v>
      </c>
      <c r="K90" t="b">
        <v>1</v>
      </c>
    </row>
    <row r="91" spans="1:11">
      <c r="A91">
        <v>2012</v>
      </c>
      <c r="B91">
        <v>7</v>
      </c>
      <c r="C91">
        <v>7</v>
      </c>
      <c r="D91">
        <v>3010</v>
      </c>
      <c r="F91">
        <v>5020</v>
      </c>
      <c r="G91" t="str">
        <f>INDEX(Define!E:E,MATCH(F91,Define!D:D))</f>
        <v>強制ボス戦闘</v>
      </c>
      <c r="H91">
        <v>20030</v>
      </c>
      <c r="I91">
        <v>0</v>
      </c>
      <c r="J91">
        <v>0</v>
      </c>
      <c r="K9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workbookViewId="0">
      <selection activeCell="C4" sqref="C4"/>
    </sheetView>
  </sheetViews>
  <sheetFormatPr defaultColWidth="8.72727272727273" defaultRowHeight="13" outlineLevelCol="2"/>
  <sheetData>
    <row r="1" spans="1:3">
      <c r="A1" t="s">
        <v>0</v>
      </c>
      <c r="B1" t="s">
        <v>37</v>
      </c>
      <c r="C1" t="s">
        <v>38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39</v>
      </c>
      <c r="C1" t="s">
        <v>30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C12" sqref="C12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45</v>
      </c>
      <c r="C1" t="s">
        <v>46</v>
      </c>
    </row>
    <row r="2" spans="1:3">
      <c r="A2">
        <v>1</v>
      </c>
      <c r="B2" t="s">
        <v>47</v>
      </c>
      <c r="C2" s="3" t="s">
        <v>19</v>
      </c>
    </row>
    <row r="3" spans="1:4">
      <c r="A3">
        <v>10</v>
      </c>
      <c r="B3" s="1" t="s">
        <v>48</v>
      </c>
      <c r="C3" s="2" t="s">
        <v>19</v>
      </c>
      <c r="D3" s="3"/>
    </row>
    <row r="4" ht="26" spans="1:4">
      <c r="A4">
        <v>20</v>
      </c>
      <c r="B4" s="1" t="s">
        <v>49</v>
      </c>
      <c r="C4" s="2" t="s">
        <v>50</v>
      </c>
      <c r="D4" s="3"/>
    </row>
    <row r="5" spans="1:4">
      <c r="A5">
        <v>21</v>
      </c>
      <c r="B5" s="1" t="s">
        <v>51</v>
      </c>
      <c r="C5" s="2" t="s">
        <v>19</v>
      </c>
      <c r="D5" s="3"/>
    </row>
    <row r="6" ht="26" spans="1:4">
      <c r="A6">
        <v>30</v>
      </c>
      <c r="B6" s="1" t="s">
        <v>52</v>
      </c>
      <c r="C6" s="2" t="s">
        <v>53</v>
      </c>
      <c r="D6" s="3"/>
    </row>
    <row r="7" spans="1:4">
      <c r="A7">
        <v>31</v>
      </c>
      <c r="B7" s="1" t="s">
        <v>54</v>
      </c>
      <c r="C7" s="2" t="s">
        <v>19</v>
      </c>
      <c r="D7" s="3"/>
    </row>
    <row r="8" spans="1:4">
      <c r="A8">
        <v>32</v>
      </c>
      <c r="B8" s="1" t="s">
        <v>55</v>
      </c>
      <c r="C8" s="2" t="s">
        <v>19</v>
      </c>
      <c r="D8" s="3"/>
    </row>
    <row r="9" ht="26" spans="1:4">
      <c r="A9">
        <v>40</v>
      </c>
      <c r="B9" s="1" t="s">
        <v>56</v>
      </c>
      <c r="C9" s="2" t="s">
        <v>57</v>
      </c>
      <c r="D9" s="3"/>
    </row>
    <row r="10" spans="1:4">
      <c r="A10">
        <v>41</v>
      </c>
      <c r="B10" s="1" t="s">
        <v>58</v>
      </c>
      <c r="C10" s="2" t="s">
        <v>19</v>
      </c>
      <c r="D10" s="3"/>
    </row>
    <row r="11" spans="1:4">
      <c r="A11">
        <v>42</v>
      </c>
      <c r="B11" s="1" t="s">
        <v>59</v>
      </c>
      <c r="C11" s="2" t="s">
        <v>19</v>
      </c>
      <c r="D11" s="3"/>
    </row>
    <row r="12" ht="25" spans="1:4">
      <c r="A12">
        <v>1010</v>
      </c>
      <c r="B12" s="1" t="s">
        <v>60</v>
      </c>
      <c r="C12" s="4" t="s">
        <v>61</v>
      </c>
      <c r="D12" s="3"/>
    </row>
    <row r="13" ht="25" spans="1:4">
      <c r="A13">
        <v>1020</v>
      </c>
      <c r="B13" s="1" t="s">
        <v>60</v>
      </c>
      <c r="C13" s="4" t="s">
        <v>61</v>
      </c>
      <c r="D13" s="3"/>
    </row>
    <row r="14" spans="1:4">
      <c r="A14">
        <v>1030</v>
      </c>
      <c r="B14" s="1" t="s">
        <v>62</v>
      </c>
      <c r="C14" s="4" t="s">
        <v>19</v>
      </c>
      <c r="D14" s="3"/>
    </row>
    <row r="15" spans="1:4">
      <c r="A15">
        <v>2010</v>
      </c>
      <c r="B15" s="1" t="s">
        <v>63</v>
      </c>
      <c r="C15" s="4" t="s">
        <v>19</v>
      </c>
      <c r="D15" s="3"/>
    </row>
    <row r="16" spans="1:4">
      <c r="A16">
        <v>10010</v>
      </c>
      <c r="B16" s="1" t="s">
        <v>64</v>
      </c>
      <c r="C16" s="4" t="s">
        <v>19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30</v>
      </c>
      <c r="D1" t="s">
        <v>32</v>
      </c>
      <c r="I1" t="s">
        <v>65</v>
      </c>
      <c r="K1" s="1" t="s">
        <v>66</v>
      </c>
      <c r="M1" s="1" t="s">
        <v>67</v>
      </c>
    </row>
    <row r="2" spans="1:14">
      <c r="A2">
        <v>0</v>
      </c>
      <c r="B2" t="s">
        <v>68</v>
      </c>
      <c r="D2">
        <v>0</v>
      </c>
      <c r="E2" t="s">
        <v>68</v>
      </c>
      <c r="I2">
        <v>-1</v>
      </c>
      <c r="J2" t="s">
        <v>69</v>
      </c>
      <c r="K2">
        <v>-1</v>
      </c>
      <c r="L2" t="s">
        <v>69</v>
      </c>
      <c r="M2">
        <v>0</v>
      </c>
      <c r="N2" s="1" t="s">
        <v>70</v>
      </c>
    </row>
    <row r="3" spans="1:15">
      <c r="A3">
        <v>110</v>
      </c>
      <c r="B3" t="s">
        <v>71</v>
      </c>
      <c r="D3">
        <v>1010</v>
      </c>
      <c r="E3" t="s">
        <v>72</v>
      </c>
      <c r="I3">
        <v>0</v>
      </c>
      <c r="J3" s="1" t="s">
        <v>73</v>
      </c>
      <c r="K3">
        <v>0</v>
      </c>
      <c r="L3" s="1" t="s">
        <v>73</v>
      </c>
      <c r="M3">
        <v>10</v>
      </c>
      <c r="N3" s="1" t="s">
        <v>74</v>
      </c>
      <c r="O3" s="1" t="s">
        <v>75</v>
      </c>
    </row>
    <row r="4" spans="1:15">
      <c r="A4">
        <v>210</v>
      </c>
      <c r="B4" t="s">
        <v>76</v>
      </c>
      <c r="D4">
        <v>2010</v>
      </c>
      <c r="E4" t="s">
        <v>77</v>
      </c>
      <c r="I4">
        <v>10</v>
      </c>
      <c r="J4" t="s">
        <v>78</v>
      </c>
      <c r="K4">
        <v>11</v>
      </c>
      <c r="L4" t="s">
        <v>79</v>
      </c>
      <c r="M4">
        <v>20</v>
      </c>
      <c r="N4" s="1" t="s">
        <v>80</v>
      </c>
      <c r="O4" s="1" t="s">
        <v>81</v>
      </c>
    </row>
    <row r="5" ht="39" spans="1:15">
      <c r="A5">
        <v>1010</v>
      </c>
      <c r="B5" s="1" t="s">
        <v>82</v>
      </c>
      <c r="D5">
        <v>2020</v>
      </c>
      <c r="E5" t="s">
        <v>83</v>
      </c>
      <c r="I5">
        <v>11</v>
      </c>
      <c r="J5" t="s">
        <v>79</v>
      </c>
      <c r="K5">
        <v>20</v>
      </c>
      <c r="L5" s="1" t="s">
        <v>84</v>
      </c>
      <c r="M5">
        <v>30</v>
      </c>
      <c r="N5" s="1" t="s">
        <v>85</v>
      </c>
      <c r="O5" s="2" t="s">
        <v>86</v>
      </c>
    </row>
    <row r="6" spans="1:15">
      <c r="A6">
        <v>3010</v>
      </c>
      <c r="B6" t="s">
        <v>87</v>
      </c>
      <c r="D6">
        <v>3010</v>
      </c>
      <c r="E6" t="s">
        <v>88</v>
      </c>
      <c r="I6">
        <v>20</v>
      </c>
      <c r="J6" t="s">
        <v>89</v>
      </c>
      <c r="K6">
        <v>30</v>
      </c>
      <c r="L6" s="1" t="s">
        <v>90</v>
      </c>
      <c r="M6">
        <v>40</v>
      </c>
      <c r="N6" s="1" t="s">
        <v>91</v>
      </c>
      <c r="O6" s="1" t="s">
        <v>92</v>
      </c>
    </row>
    <row r="7" spans="4:15">
      <c r="D7">
        <v>3020</v>
      </c>
      <c r="E7" t="s">
        <v>93</v>
      </c>
      <c r="I7">
        <v>30</v>
      </c>
      <c r="J7" t="s">
        <v>90</v>
      </c>
      <c r="K7">
        <v>40</v>
      </c>
      <c r="L7" s="1" t="s">
        <v>94</v>
      </c>
      <c r="M7">
        <v>50</v>
      </c>
      <c r="N7" s="1" t="s">
        <v>95</v>
      </c>
      <c r="O7" s="1" t="s">
        <v>96</v>
      </c>
    </row>
    <row r="8" ht="39" spans="4:15">
      <c r="D8">
        <v>3030</v>
      </c>
      <c r="E8" t="s">
        <v>97</v>
      </c>
      <c r="I8">
        <v>40</v>
      </c>
      <c r="J8" t="s">
        <v>98</v>
      </c>
      <c r="K8">
        <v>50</v>
      </c>
      <c r="L8" t="s">
        <v>99</v>
      </c>
      <c r="M8">
        <v>60</v>
      </c>
      <c r="N8" s="1" t="s">
        <v>70</v>
      </c>
      <c r="O8" s="2" t="s">
        <v>100</v>
      </c>
    </row>
    <row r="9" spans="4:15">
      <c r="D9">
        <v>4010</v>
      </c>
      <c r="E9" t="s">
        <v>101</v>
      </c>
      <c r="I9">
        <v>50</v>
      </c>
      <c r="J9" t="s">
        <v>99</v>
      </c>
      <c r="K9">
        <v>60</v>
      </c>
      <c r="L9" t="s">
        <v>102</v>
      </c>
      <c r="M9">
        <v>70</v>
      </c>
      <c r="N9" s="1" t="s">
        <v>103</v>
      </c>
      <c r="O9" s="1" t="s">
        <v>104</v>
      </c>
    </row>
    <row r="10" spans="4:15">
      <c r="D10">
        <v>4020</v>
      </c>
      <c r="E10" t="s">
        <v>105</v>
      </c>
      <c r="I10">
        <v>60</v>
      </c>
      <c r="J10" t="s">
        <v>102</v>
      </c>
      <c r="K10">
        <v>70</v>
      </c>
      <c r="L10" t="s">
        <v>106</v>
      </c>
      <c r="M10">
        <v>80</v>
      </c>
      <c r="N10" s="1" t="s">
        <v>107</v>
      </c>
      <c r="O10" s="1" t="s">
        <v>108</v>
      </c>
    </row>
    <row r="11" spans="4:12">
      <c r="D11">
        <v>5010</v>
      </c>
      <c r="E11" t="s">
        <v>109</v>
      </c>
      <c r="I11">
        <v>70</v>
      </c>
      <c r="J11" t="s">
        <v>106</v>
      </c>
      <c r="K11">
        <v>80</v>
      </c>
      <c r="L11" t="s">
        <v>110</v>
      </c>
    </row>
    <row r="12" spans="4:12">
      <c r="D12">
        <v>5020</v>
      </c>
      <c r="E12" t="s">
        <v>111</v>
      </c>
      <c r="I12">
        <v>80</v>
      </c>
      <c r="J12" t="s">
        <v>110</v>
      </c>
      <c r="K12">
        <v>90</v>
      </c>
      <c r="L12" s="1" t="s">
        <v>112</v>
      </c>
    </row>
    <row r="13" spans="4:12">
      <c r="D13">
        <v>6010</v>
      </c>
      <c r="E13" t="s">
        <v>113</v>
      </c>
      <c r="I13">
        <v>99</v>
      </c>
      <c r="J13" t="s">
        <v>114</v>
      </c>
      <c r="K13">
        <v>99</v>
      </c>
      <c r="L13" t="s">
        <v>114</v>
      </c>
    </row>
    <row r="14" spans="4:12">
      <c r="D14">
        <v>6011</v>
      </c>
      <c r="E14" t="s">
        <v>115</v>
      </c>
      <c r="K14">
        <v>1000</v>
      </c>
      <c r="L14" s="1" t="s">
        <v>116</v>
      </c>
    </row>
    <row r="15" spans="4:5">
      <c r="D15">
        <v>6020</v>
      </c>
      <c r="E15" t="s">
        <v>117</v>
      </c>
    </row>
    <row r="16" spans="4:5">
      <c r="D16">
        <v>7010</v>
      </c>
      <c r="E16" t="s">
        <v>118</v>
      </c>
    </row>
    <row r="17" spans="4:5">
      <c r="D17">
        <v>7020</v>
      </c>
      <c r="E17" t="s">
        <v>119</v>
      </c>
    </row>
    <row r="18" spans="4:5">
      <c r="D18">
        <v>7021</v>
      </c>
      <c r="E18" t="s">
        <v>120</v>
      </c>
    </row>
    <row r="19" spans="4:5">
      <c r="D19">
        <v>9010</v>
      </c>
      <c r="E19" t="s">
        <v>121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2025-06-29T01:32:38Z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