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<sst xmlns="http://schemas.openxmlformats.org/spreadsheetml/2006/main" count="155" uniqueCount="105">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</sst>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5" fillId="20" borderId="5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8" fillId="20" borderId="1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0" fillId="25" borderId="7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tabSelected="1" workbookViewId="0">
      <selection activeCell="G10" sqref="G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5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1</v>
      </c>
      <c r="G9">
        <v>3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6</v>
      </c>
      <c r="G10">
        <v>4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  <row r="11" spans="1:16">
      <c r="A11">
        <v>2010</v>
      </c>
      <c r="B11">
        <v>2010</v>
      </c>
      <c r="C11">
        <v>201</v>
      </c>
      <c r="D11">
        <v>0</v>
      </c>
      <c r="E11">
        <v>2</v>
      </c>
      <c r="F11">
        <v>10</v>
      </c>
      <c r="G11">
        <v>0</v>
      </c>
      <c r="H11">
        <v>30</v>
      </c>
      <c r="I11">
        <v>0</v>
      </c>
      <c r="J11">
        <v>0</v>
      </c>
      <c r="K11">
        <v>3020</v>
      </c>
      <c r="L11">
        <v>3020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2011</v>
      </c>
      <c r="B12">
        <v>2010</v>
      </c>
      <c r="C12">
        <v>201</v>
      </c>
      <c r="D12">
        <v>0</v>
      </c>
      <c r="E12">
        <v>2</v>
      </c>
      <c r="F12">
        <v>10</v>
      </c>
      <c r="G12">
        <v>0</v>
      </c>
      <c r="H12">
        <v>30</v>
      </c>
      <c r="I12">
        <v>0</v>
      </c>
      <c r="J12">
        <v>0</v>
      </c>
      <c r="K12">
        <v>3020</v>
      </c>
      <c r="L12">
        <v>3020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2012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opLeftCell="A19" workbookViewId="0">
      <selection activeCell="H42" sqref="H4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1</v>
      </c>
      <c r="C26">
        <v>6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40</v>
      </c>
      <c r="B30">
        <v>1</v>
      </c>
      <c r="C30">
        <v>19</v>
      </c>
      <c r="D30">
        <v>3010</v>
      </c>
      <c r="F30">
        <v>2010</v>
      </c>
      <c r="G30" t="str">
        <f>INDEX(Define!E:E,MATCH(F30,Define!D:D))</f>
        <v>ダンジョンから出る</v>
      </c>
      <c r="H30">
        <v>0</v>
      </c>
      <c r="I30">
        <v>0</v>
      </c>
      <c r="J30">
        <v>0</v>
      </c>
      <c r="K30" t="b">
        <v>0</v>
      </c>
    </row>
    <row r="31" spans="1:11">
      <c r="A31">
        <v>1010</v>
      </c>
      <c r="B31">
        <v>13</v>
      </c>
      <c r="C31">
        <v>13</v>
      </c>
      <c r="D31">
        <v>3010</v>
      </c>
      <c r="F31">
        <v>2010</v>
      </c>
      <c r="G31" t="str">
        <f>INDEX(Define!E:E,MATCH(F31,Define!D:D))</f>
        <v>ダンジョンから出る</v>
      </c>
      <c r="H31">
        <v>0</v>
      </c>
      <c r="I31">
        <v>0</v>
      </c>
      <c r="J31">
        <v>0</v>
      </c>
      <c r="K31" t="b">
        <v>0</v>
      </c>
    </row>
    <row r="32" spans="1:11">
      <c r="A32">
        <v>1010</v>
      </c>
      <c r="B32">
        <v>10</v>
      </c>
      <c r="C32">
        <v>4</v>
      </c>
      <c r="D32">
        <v>3010</v>
      </c>
      <c r="F32">
        <v>3030</v>
      </c>
      <c r="G32" t="str">
        <f>INDEX(Define!E:E,MATCH(F32,Define!D:D))</f>
        <v>魔法入手</v>
      </c>
      <c r="H32">
        <v>30010</v>
      </c>
      <c r="I32">
        <v>0</v>
      </c>
      <c r="J32">
        <v>0</v>
      </c>
      <c r="K32" t="b">
        <v>1</v>
      </c>
    </row>
    <row r="33" spans="1:11">
      <c r="A33">
        <v>1020</v>
      </c>
      <c r="B33">
        <v>7</v>
      </c>
      <c r="C33">
        <v>8</v>
      </c>
      <c r="D33">
        <v>3010</v>
      </c>
      <c r="F33">
        <v>2010</v>
      </c>
      <c r="G33" t="str">
        <f>INDEX(Define!E:E,MATCH(F33,Define!D:D))</f>
        <v>ダンジョンから出る</v>
      </c>
      <c r="H33">
        <v>0</v>
      </c>
      <c r="I33">
        <v>0</v>
      </c>
      <c r="J33">
        <v>0</v>
      </c>
      <c r="K33" t="b">
        <v>0</v>
      </c>
    </row>
    <row r="34" spans="1:11">
      <c r="A34">
        <v>1020</v>
      </c>
      <c r="B34">
        <v>12</v>
      </c>
      <c r="C34">
        <v>12</v>
      </c>
      <c r="D34">
        <v>3010</v>
      </c>
      <c r="F34">
        <v>3030</v>
      </c>
      <c r="G34" t="str">
        <f>INDEX(Define!E:E,MATCH(F34,Define!D:D))</f>
        <v>魔法入手</v>
      </c>
      <c r="H34">
        <v>30020</v>
      </c>
      <c r="I34">
        <v>0</v>
      </c>
      <c r="J34">
        <v>0</v>
      </c>
      <c r="K34" t="b">
        <v>1</v>
      </c>
    </row>
    <row r="35" spans="1:11">
      <c r="A35">
        <v>1020</v>
      </c>
      <c r="B35">
        <v>2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11010</v>
      </c>
      <c r="I35">
        <v>0</v>
      </c>
      <c r="J35">
        <v>0</v>
      </c>
      <c r="K35" t="b">
        <v>1</v>
      </c>
    </row>
    <row r="36" spans="1:11">
      <c r="A36">
        <v>1020</v>
      </c>
      <c r="B36">
        <v>9</v>
      </c>
      <c r="C36">
        <v>4</v>
      </c>
      <c r="D36">
        <v>3010</v>
      </c>
      <c r="F36">
        <v>3020</v>
      </c>
      <c r="G36" t="str">
        <f>INDEX(Define!E:E,MATCH(F36,Define!D:D))</f>
        <v>アイテム取得</v>
      </c>
      <c r="H36">
        <v>11020</v>
      </c>
      <c r="I36">
        <v>0</v>
      </c>
      <c r="J36">
        <v>0</v>
      </c>
      <c r="K36" t="b">
        <v>1</v>
      </c>
    </row>
    <row r="37" spans="1:11">
      <c r="A37">
        <v>1020</v>
      </c>
      <c r="B37">
        <v>10</v>
      </c>
      <c r="C37">
        <v>12</v>
      </c>
      <c r="D37">
        <v>3010</v>
      </c>
      <c r="F37">
        <v>3020</v>
      </c>
      <c r="G37" t="str">
        <f>INDEX(Define!E:E,MATCH(F37,Define!D:D))</f>
        <v>アイテム取得</v>
      </c>
      <c r="H37">
        <v>11030</v>
      </c>
      <c r="I37">
        <v>0</v>
      </c>
      <c r="J37">
        <v>0</v>
      </c>
      <c r="K37" t="b">
        <v>1</v>
      </c>
    </row>
    <row r="38" spans="1:11">
      <c r="A38">
        <v>2010</v>
      </c>
      <c r="B38">
        <v>7</v>
      </c>
      <c r="C38">
        <v>1</v>
      </c>
      <c r="D38">
        <v>3010</v>
      </c>
      <c r="F38">
        <v>2020</v>
      </c>
      <c r="G38" t="str">
        <f>INDEX(Define!E:E,MATCH(F38,Define!D:D))</f>
        <v>ダンジョン移動</v>
      </c>
      <c r="H38">
        <v>2011</v>
      </c>
      <c r="I38">
        <v>7</v>
      </c>
      <c r="J38">
        <v>12</v>
      </c>
      <c r="K38" t="b">
        <v>0</v>
      </c>
    </row>
    <row r="39" spans="1:11">
      <c r="A39">
        <v>2010</v>
      </c>
      <c r="B39">
        <v>7</v>
      </c>
      <c r="C39">
        <v>7</v>
      </c>
      <c r="D39">
        <v>3010</v>
      </c>
      <c r="F39">
        <v>5020</v>
      </c>
      <c r="G39" t="str">
        <f>INDEX(Define!E:E,MATCH(F39,Define!D:D))</f>
        <v>強制ボス戦闘</v>
      </c>
      <c r="H39">
        <v>20010</v>
      </c>
      <c r="I39">
        <v>0</v>
      </c>
      <c r="J39">
        <v>0</v>
      </c>
      <c r="K39" t="b">
        <v>1</v>
      </c>
    </row>
    <row r="40" spans="1:11">
      <c r="A40">
        <v>2011</v>
      </c>
      <c r="B40">
        <v>7</v>
      </c>
      <c r="C40">
        <v>1</v>
      </c>
      <c r="D40">
        <v>3010</v>
      </c>
      <c r="F40">
        <v>2020</v>
      </c>
      <c r="G40" t="str">
        <f>INDEX(Define!E:E,MATCH(F40,Define!D:D))</f>
        <v>ダンジョン移動</v>
      </c>
      <c r="H40">
        <v>2012</v>
      </c>
      <c r="I40">
        <v>7</v>
      </c>
      <c r="J40">
        <v>12</v>
      </c>
      <c r="K40" t="b">
        <v>0</v>
      </c>
    </row>
    <row r="41" spans="1:11">
      <c r="A41">
        <v>2011</v>
      </c>
      <c r="B41">
        <v>7</v>
      </c>
      <c r="C41">
        <v>7</v>
      </c>
      <c r="D41">
        <v>3010</v>
      </c>
      <c r="F41">
        <v>5020</v>
      </c>
      <c r="G41" t="str">
        <f>INDEX(Define!E:E,MATCH(F41,Define!D:D))</f>
        <v>強制ボス戦闘</v>
      </c>
      <c r="H41">
        <v>20020</v>
      </c>
      <c r="I41">
        <v>0</v>
      </c>
      <c r="J41">
        <v>0</v>
      </c>
      <c r="K41" t="b">
        <v>1</v>
      </c>
    </row>
    <row r="42" spans="1:11">
      <c r="A42">
        <v>2012</v>
      </c>
      <c r="B42">
        <v>7</v>
      </c>
      <c r="C42">
        <v>7</v>
      </c>
      <c r="D42">
        <v>3010</v>
      </c>
      <c r="F42">
        <v>5020</v>
      </c>
      <c r="G42" t="str">
        <f>INDEX(Define!E:E,MATCH(F42,Define!D:D))</f>
        <v>強制ボス戦闘</v>
      </c>
      <c r="H42">
        <v>20030</v>
      </c>
      <c r="I42">
        <v>0</v>
      </c>
      <c r="J42">
        <v>0</v>
      </c>
      <c r="K4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topLeftCell="A10" workbookViewId="0">
      <selection activeCell="B28" sqref="B28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1010</v>
      </c>
      <c r="B30">
        <v>3</v>
      </c>
      <c r="C30">
        <v>15</v>
      </c>
    </row>
    <row r="31" spans="1:3">
      <c r="A31">
        <v>1010</v>
      </c>
      <c r="B31">
        <v>6</v>
      </c>
      <c r="C31">
        <v>15</v>
      </c>
    </row>
    <row r="32" spans="1:3">
      <c r="A32">
        <v>1010</v>
      </c>
      <c r="B32">
        <v>1</v>
      </c>
      <c r="C32">
        <v>20</v>
      </c>
    </row>
    <row r="33" spans="1:3">
      <c r="A33">
        <v>1010</v>
      </c>
      <c r="B33">
        <v>7</v>
      </c>
      <c r="C33">
        <v>20</v>
      </c>
    </row>
    <row r="34" spans="1:3">
      <c r="A34">
        <v>1020</v>
      </c>
      <c r="B34">
        <v>3</v>
      </c>
      <c r="C34">
        <v>15</v>
      </c>
    </row>
    <row r="35" spans="1:3">
      <c r="A35">
        <v>1020</v>
      </c>
      <c r="B35">
        <v>6</v>
      </c>
      <c r="C35">
        <v>15</v>
      </c>
    </row>
    <row r="36" spans="1:3">
      <c r="A36">
        <v>1020</v>
      </c>
      <c r="B36">
        <v>1</v>
      </c>
      <c r="C36">
        <v>20</v>
      </c>
    </row>
    <row r="37" spans="1:3">
      <c r="A37">
        <v>1020</v>
      </c>
      <c r="B37">
        <v>7</v>
      </c>
      <c r="C37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B13" sqref="B1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2010</v>
      </c>
      <c r="B13" s="1" t="s">
        <v>52</v>
      </c>
      <c r="C13" s="4" t="s">
        <v>17</v>
      </c>
      <c r="D13" s="3"/>
    </row>
    <row r="14" spans="1:4">
      <c r="A14">
        <v>10010</v>
      </c>
      <c r="B14" s="1" t="s">
        <v>53</v>
      </c>
      <c r="C14" s="4" t="s">
        <v>17</v>
      </c>
      <c r="D14" s="3"/>
    </row>
    <row r="15" spans="3:4">
      <c r="C15" s="3"/>
      <c r="D15" s="3"/>
    </row>
    <row r="16" spans="3:3">
      <c r="C16" s="3"/>
    </row>
    <row r="17" spans="3:3">
      <c r="C1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54</v>
      </c>
      <c r="K1" s="1" t="s">
        <v>55</v>
      </c>
      <c r="M1" s="1" t="s">
        <v>56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1010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2010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2020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1:15">
      <c r="A6">
        <v>3010</v>
      </c>
      <c r="B6" t="s">
        <v>76</v>
      </c>
      <c r="D6">
        <v>3010</v>
      </c>
      <c r="E6" t="s">
        <v>77</v>
      </c>
      <c r="I6">
        <v>20</v>
      </c>
      <c r="J6" t="s">
        <v>78</v>
      </c>
      <c r="K6">
        <v>30</v>
      </c>
      <c r="L6" s="1" t="s">
        <v>79</v>
      </c>
      <c r="M6">
        <v>40</v>
      </c>
      <c r="N6" s="1" t="s">
        <v>80</v>
      </c>
      <c r="O6" s="1" t="s">
        <v>81</v>
      </c>
    </row>
    <row r="7" spans="4:15">
      <c r="D7">
        <v>3020</v>
      </c>
      <c r="E7" t="s">
        <v>82</v>
      </c>
      <c r="I7">
        <v>30</v>
      </c>
      <c r="J7" t="s">
        <v>79</v>
      </c>
      <c r="K7">
        <v>40</v>
      </c>
      <c r="L7" s="1" t="s">
        <v>83</v>
      </c>
      <c r="M7">
        <v>50</v>
      </c>
      <c r="N7" s="1" t="s">
        <v>84</v>
      </c>
      <c r="O7" s="1" t="s">
        <v>85</v>
      </c>
    </row>
    <row r="8" ht="39" spans="4:15">
      <c r="D8">
        <v>3030</v>
      </c>
      <c r="E8" t="s">
        <v>86</v>
      </c>
      <c r="I8">
        <v>40</v>
      </c>
      <c r="J8" t="s">
        <v>87</v>
      </c>
      <c r="K8">
        <v>50</v>
      </c>
      <c r="L8" t="s">
        <v>88</v>
      </c>
      <c r="M8">
        <v>60</v>
      </c>
      <c r="N8" s="1" t="s">
        <v>59</v>
      </c>
      <c r="O8" s="2" t="s">
        <v>89</v>
      </c>
    </row>
    <row r="9" spans="4:15">
      <c r="D9">
        <v>4010</v>
      </c>
      <c r="E9" t="s">
        <v>90</v>
      </c>
      <c r="I9">
        <v>50</v>
      </c>
      <c r="J9" t="s">
        <v>88</v>
      </c>
      <c r="K9">
        <v>60</v>
      </c>
      <c r="L9" t="s">
        <v>91</v>
      </c>
      <c r="M9">
        <v>70</v>
      </c>
      <c r="N9" s="1" t="s">
        <v>92</v>
      </c>
      <c r="O9" s="1" t="s">
        <v>93</v>
      </c>
    </row>
    <row r="10" spans="4:15">
      <c r="D10">
        <v>4020</v>
      </c>
      <c r="E10" t="s">
        <v>94</v>
      </c>
      <c r="I10">
        <v>60</v>
      </c>
      <c r="J10" t="s">
        <v>91</v>
      </c>
      <c r="K10">
        <v>70</v>
      </c>
      <c r="L10" t="s">
        <v>95</v>
      </c>
      <c r="M10">
        <v>80</v>
      </c>
      <c r="N10" s="1" t="s">
        <v>96</v>
      </c>
      <c r="O10" s="1" t="s">
        <v>97</v>
      </c>
    </row>
    <row r="11" spans="4:12">
      <c r="D11">
        <v>5010</v>
      </c>
      <c r="E11" t="s">
        <v>98</v>
      </c>
      <c r="I11">
        <v>70</v>
      </c>
      <c r="J11" t="s">
        <v>95</v>
      </c>
      <c r="K11">
        <v>80</v>
      </c>
      <c r="L11" t="s">
        <v>99</v>
      </c>
    </row>
    <row r="12" spans="4:12">
      <c r="D12">
        <v>5020</v>
      </c>
      <c r="E12" t="s">
        <v>100</v>
      </c>
      <c r="I12">
        <v>80</v>
      </c>
      <c r="J12" t="s">
        <v>99</v>
      </c>
      <c r="K12">
        <v>90</v>
      </c>
      <c r="L12" s="1" t="s">
        <v>101</v>
      </c>
    </row>
    <row r="13" spans="4:12">
      <c r="D13">
        <v>6010</v>
      </c>
      <c r="E13" t="s">
        <v>102</v>
      </c>
      <c r="I13">
        <v>99</v>
      </c>
      <c r="J13" t="s">
        <v>103</v>
      </c>
      <c r="K13">
        <v>99</v>
      </c>
      <c r="L13" t="s">
        <v>103</v>
      </c>
    </row>
    <row r="14" spans="11:12">
      <c r="K14">
        <v>1000</v>
      </c>
      <c r="L14" s="1" t="s">
        <v>104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2025-06-20T14:53:35Z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