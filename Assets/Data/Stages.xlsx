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StageEvents!$F$1:$F$167</definedName>
  </definedNames>
  <calcPr calcId="144525" concurrentCalc="0"/>
</workbook>
</file>

<file path=xl/sharedStrings.xml><?xml version="1.0" encoding="utf-8"?>
<sst xmlns="http://schemas.openxmlformats.org/spreadsheetml/2006/main" count="226" uniqueCount="143">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</sst>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workbookViewId="0">
      <selection activeCell="M23" sqref="M2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3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3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3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7"/>
  <sheetViews>
    <sheetView topLeftCell="A112" workbookViewId="0">
      <selection activeCell="H137" sqref="H13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2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2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2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2060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3010</v>
      </c>
      <c r="G135" t="str">
        <f>INDEX(Define!E:E,MATCH(F135,Define!D:D))</f>
        <v>アーティファクト取得</v>
      </c>
      <c r="H135">
        <v>2070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2080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20010</v>
      </c>
      <c r="I148">
        <v>40020</v>
      </c>
      <c r="J148">
        <v>0</v>
      </c>
      <c r="K148" t="b">
        <v>1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1010</v>
      </c>
      <c r="G149" t="str">
        <f>INDEX(Define!E:E,MATCH(F149,Define!D:D))</f>
        <v>Adv再生</v>
      </c>
      <c r="H149">
        <v>150</v>
      </c>
      <c r="I149">
        <v>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9010</v>
      </c>
      <c r="G150" t="str">
        <f>INDEX(Define!E:E,MATCH(F150,Define!D:D))</f>
        <v>イベント終了明示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2010</v>
      </c>
      <c r="B151">
        <v>7</v>
      </c>
      <c r="C151">
        <v>12</v>
      </c>
      <c r="D151">
        <v>3010</v>
      </c>
      <c r="F151">
        <v>5010</v>
      </c>
      <c r="G151" t="str">
        <f>INDEX(Define!E:E,MATCH(F151,Define!D:D))</f>
        <v>強制戦闘</v>
      </c>
      <c r="H151">
        <v>-1</v>
      </c>
      <c r="I151">
        <v>40030</v>
      </c>
      <c r="J151">
        <v>0</v>
      </c>
      <c r="K151" t="b">
        <v>1</v>
      </c>
    </row>
    <row r="152" spans="1:11">
      <c r="A152">
        <v>2010</v>
      </c>
      <c r="B152">
        <v>5</v>
      </c>
      <c r="C152">
        <v>14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19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9</v>
      </c>
      <c r="C154">
        <v>14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19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2020</v>
      </c>
      <c r="B156">
        <v>6</v>
      </c>
      <c r="C156">
        <v>10</v>
      </c>
      <c r="D156">
        <v>3010</v>
      </c>
      <c r="F156">
        <v>5020</v>
      </c>
      <c r="G156" t="str">
        <f>INDEX(Define!E:E,MATCH(F156,Define!D:D))</f>
        <v>強制ボス戦闘</v>
      </c>
      <c r="H156">
        <v>20020</v>
      </c>
      <c r="I156">
        <v>40020</v>
      </c>
      <c r="J156">
        <v>0</v>
      </c>
      <c r="K156" t="b">
        <v>1</v>
      </c>
    </row>
    <row r="157" spans="1:11">
      <c r="A157">
        <v>2020</v>
      </c>
      <c r="B157">
        <v>6</v>
      </c>
      <c r="C157">
        <v>13</v>
      </c>
      <c r="D157">
        <v>3010</v>
      </c>
      <c r="F157">
        <v>1010</v>
      </c>
      <c r="G157" t="str">
        <f>INDEX(Define!E:E,MATCH(F157,Define!D:D))</f>
        <v>Adv再生</v>
      </c>
      <c r="H157">
        <v>150</v>
      </c>
      <c r="I157">
        <v>0</v>
      </c>
      <c r="J157">
        <v>0</v>
      </c>
      <c r="K157" t="b">
        <v>1</v>
      </c>
    </row>
    <row r="158" spans="1:11">
      <c r="A158">
        <v>2020</v>
      </c>
      <c r="B158">
        <v>6</v>
      </c>
      <c r="C158">
        <v>13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2020</v>
      </c>
      <c r="B159">
        <v>2</v>
      </c>
      <c r="C159">
        <v>19</v>
      </c>
      <c r="D159">
        <v>3010</v>
      </c>
      <c r="F159">
        <v>5010</v>
      </c>
      <c r="G159" t="str">
        <f>INDEX(Define!E:E,MATCH(F159,Define!D:D))</f>
        <v>強制戦闘</v>
      </c>
      <c r="H159">
        <v>-1</v>
      </c>
      <c r="I159">
        <v>40030</v>
      </c>
      <c r="J159">
        <v>0</v>
      </c>
      <c r="K159" t="b">
        <v>1</v>
      </c>
    </row>
    <row r="160" spans="1:11">
      <c r="A160">
        <v>2020</v>
      </c>
      <c r="B160">
        <v>6</v>
      </c>
      <c r="C160">
        <v>19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2020</v>
      </c>
      <c r="B161">
        <v>10</v>
      </c>
      <c r="C161">
        <v>19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2020</v>
      </c>
      <c r="B162">
        <v>6</v>
      </c>
      <c r="C162">
        <v>15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2020</v>
      </c>
      <c r="B163">
        <v>10</v>
      </c>
      <c r="C163">
        <v>15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2020</v>
      </c>
      <c r="B164">
        <v>10</v>
      </c>
      <c r="C164">
        <v>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2020</v>
      </c>
      <c r="B165">
        <v>2</v>
      </c>
      <c r="C165">
        <v>5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2020</v>
      </c>
      <c r="B166">
        <v>6</v>
      </c>
      <c r="C166">
        <v>5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2020</v>
      </c>
      <c r="B167">
        <v>10</v>
      </c>
      <c r="C167">
        <v>5</v>
      </c>
      <c r="D167">
        <v>3010</v>
      </c>
      <c r="F167">
        <v>5010</v>
      </c>
      <c r="G167" t="str">
        <f>INDEX(Define!E:E,MATCH(F167,Define!D:D))</f>
        <v>強制戦闘</v>
      </c>
      <c r="H167">
        <v>-1</v>
      </c>
      <c r="I167">
        <v>40030</v>
      </c>
      <c r="J167">
        <v>0</v>
      </c>
      <c r="K167" t="b">
        <v>1</v>
      </c>
    </row>
  </sheetData>
  <autoFilter ref="F1:F167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9010</v>
      </c>
      <c r="E19" t="s">
        <v>142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2025-09-08T13:43:19Z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