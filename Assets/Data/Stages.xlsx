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<sst xmlns="http://schemas.openxmlformats.org/spreadsheetml/2006/main" count="219" uniqueCount="134">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</sst>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9" borderId="1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M17" sqref="M17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10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18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19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20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4"/>
  <sheetViews>
    <sheetView tabSelected="1" workbookViewId="0">
      <selection activeCell="K4" sqref="K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213</v>
      </c>
      <c r="I16">
        <v>0</v>
      </c>
      <c r="J16">
        <v>0</v>
      </c>
      <c r="K16" t="b">
        <v>1</v>
      </c>
    </row>
    <row r="17" spans="1:11">
      <c r="A17">
        <v>21</v>
      </c>
      <c r="B17">
        <v>2</v>
      </c>
      <c r="C17">
        <v>13</v>
      </c>
      <c r="D17">
        <v>3010</v>
      </c>
      <c r="F17">
        <v>0</v>
      </c>
      <c r="H17">
        <v>213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7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30</v>
      </c>
      <c r="B21">
        <v>8</v>
      </c>
      <c r="C21">
        <v>23</v>
      </c>
      <c r="D21">
        <v>3010</v>
      </c>
      <c r="F21">
        <v>2010</v>
      </c>
      <c r="G21" t="str">
        <f>INDEX(Define!E:E,MATCH(F21,Define!D:D))</f>
        <v>ダンジョンから出る</v>
      </c>
      <c r="H21">
        <v>0</v>
      </c>
      <c r="I21">
        <v>0</v>
      </c>
      <c r="J21">
        <v>0</v>
      </c>
      <c r="K21" t="b">
        <v>0</v>
      </c>
    </row>
    <row r="22" spans="1:11">
      <c r="A22">
        <v>30</v>
      </c>
      <c r="B22">
        <v>1</v>
      </c>
      <c r="C22">
        <v>3</v>
      </c>
      <c r="D22">
        <v>3010</v>
      </c>
      <c r="F22">
        <v>2020</v>
      </c>
      <c r="G22" t="str">
        <f>INDEX(Define!E:E,MATCH(F22,Define!D:D))</f>
        <v>ダンジョン移動</v>
      </c>
      <c r="H22">
        <v>31</v>
      </c>
      <c r="I22">
        <v>1</v>
      </c>
      <c r="J22">
        <v>13</v>
      </c>
      <c r="K22" t="b">
        <v>0</v>
      </c>
    </row>
    <row r="23" spans="1:11">
      <c r="A23">
        <v>30</v>
      </c>
      <c r="B23">
        <v>12</v>
      </c>
      <c r="C23">
        <v>13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12</v>
      </c>
      <c r="J23">
        <v>2</v>
      </c>
      <c r="K23" t="b">
        <v>0</v>
      </c>
    </row>
    <row r="24" spans="1:11">
      <c r="A24">
        <v>30</v>
      </c>
      <c r="B24">
        <v>4</v>
      </c>
      <c r="C24">
        <v>1</v>
      </c>
      <c r="D24">
        <v>3010</v>
      </c>
      <c r="F24">
        <v>2020</v>
      </c>
      <c r="G24" t="str">
        <f>INDEX(Define!E:E,MATCH(F24,Define!D:D))</f>
        <v>ダンジョン移動</v>
      </c>
      <c r="H24">
        <v>32</v>
      </c>
      <c r="I24">
        <v>4</v>
      </c>
      <c r="J24">
        <v>9</v>
      </c>
      <c r="K24" t="b">
        <v>0</v>
      </c>
    </row>
    <row r="25" spans="1:11">
      <c r="A25">
        <v>30</v>
      </c>
      <c r="B25">
        <v>9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9</v>
      </c>
      <c r="J25">
        <v>9</v>
      </c>
      <c r="K25" t="b">
        <v>0</v>
      </c>
    </row>
    <row r="26" spans="1:11">
      <c r="A26">
        <v>30</v>
      </c>
      <c r="B26">
        <v>6</v>
      </c>
      <c r="C26">
        <v>2</v>
      </c>
      <c r="D26">
        <v>3010</v>
      </c>
      <c r="F26">
        <v>1010</v>
      </c>
      <c r="G26" t="str">
        <f>INDEX(Define!E:E,MATCH(F26,Define!D:D))</f>
        <v>Adv再生</v>
      </c>
      <c r="H26">
        <v>140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6010</v>
      </c>
      <c r="G27" t="str">
        <f>INDEX(Define!E:E,MATCH(F27,Define!D:D))</f>
        <v>指定のイベントマスを消す</v>
      </c>
      <c r="H27">
        <v>71</v>
      </c>
      <c r="I27">
        <v>0</v>
      </c>
      <c r="J27">
        <v>0</v>
      </c>
      <c r="K27" t="b">
        <v>1</v>
      </c>
    </row>
    <row r="28" spans="1:11">
      <c r="A28">
        <v>30</v>
      </c>
      <c r="B28">
        <v>7</v>
      </c>
      <c r="C28">
        <v>2</v>
      </c>
      <c r="D28">
        <v>3010</v>
      </c>
      <c r="F28">
        <v>0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6</v>
      </c>
      <c r="C29">
        <v>2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5</v>
      </c>
      <c r="D30">
        <v>3010</v>
      </c>
      <c r="F30">
        <v>1010</v>
      </c>
      <c r="G30" t="str">
        <f>INDEX(Define!E:E,MATCH(F30,Define!D:D))</f>
        <v>Adv再生</v>
      </c>
      <c r="H30">
        <v>1030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9010</v>
      </c>
      <c r="G31" t="str">
        <f>INDEX(Define!E:E,MATCH(F31,Define!D:D))</f>
        <v>イベント終了明示</v>
      </c>
      <c r="H31">
        <v>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3</v>
      </c>
      <c r="D32">
        <v>3010</v>
      </c>
      <c r="F32">
        <v>7010</v>
      </c>
      <c r="G32" t="str">
        <f>INDEX(Define!E:E,MATCH(F32,Define!D:D))</f>
        <v>ダメージ床</v>
      </c>
      <c r="H32">
        <v>20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4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31</v>
      </c>
      <c r="B34">
        <v>1</v>
      </c>
      <c r="C34">
        <v>13</v>
      </c>
      <c r="D34">
        <v>3010</v>
      </c>
      <c r="F34">
        <v>2020</v>
      </c>
      <c r="G34" t="str">
        <f>INDEX(Define!E:E,MATCH(F34,Define!D:D))</f>
        <v>ダンジョン移動</v>
      </c>
      <c r="H34">
        <v>30</v>
      </c>
      <c r="I34">
        <v>1</v>
      </c>
      <c r="J34">
        <v>3</v>
      </c>
      <c r="K34" t="b">
        <v>0</v>
      </c>
    </row>
    <row r="35" spans="1:11">
      <c r="A35">
        <v>31</v>
      </c>
      <c r="B35">
        <v>14</v>
      </c>
      <c r="C35">
        <v>2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12</v>
      </c>
      <c r="J35">
        <v>13</v>
      </c>
      <c r="K35" t="b">
        <v>0</v>
      </c>
    </row>
    <row r="36" spans="1:11">
      <c r="A36">
        <v>31</v>
      </c>
      <c r="B36">
        <v>13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140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5</v>
      </c>
      <c r="D37">
        <v>3010</v>
      </c>
      <c r="F37">
        <v>6010</v>
      </c>
      <c r="G37" t="str">
        <f>INDEX(Define!E:E,MATCH(F37,Define!D:D))</f>
        <v>指定のイベントマスを消す</v>
      </c>
      <c r="H37">
        <v>1310</v>
      </c>
      <c r="I37">
        <v>0</v>
      </c>
      <c r="J37">
        <v>0</v>
      </c>
      <c r="K37" t="b">
        <v>1</v>
      </c>
    </row>
    <row r="38" spans="1:11">
      <c r="A38">
        <v>31</v>
      </c>
      <c r="B38">
        <v>13</v>
      </c>
      <c r="C38">
        <v>8</v>
      </c>
      <c r="D38">
        <v>3010</v>
      </c>
      <c r="F38">
        <v>0</v>
      </c>
      <c r="H38">
        <v>1310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9010</v>
      </c>
      <c r="G39" t="str">
        <f>INDEX(Define!E:E,MATCH(F39,Define!D:D))</f>
        <v>イベント終了明示</v>
      </c>
      <c r="H39">
        <v>0</v>
      </c>
      <c r="I39">
        <v>0</v>
      </c>
      <c r="J39">
        <v>0</v>
      </c>
      <c r="K39" t="b">
        <v>0</v>
      </c>
    </row>
    <row r="40" spans="1:11">
      <c r="A40">
        <v>31</v>
      </c>
      <c r="B40">
        <v>1</v>
      </c>
      <c r="C40">
        <v>6</v>
      </c>
      <c r="D40">
        <v>3010</v>
      </c>
      <c r="F40">
        <v>3010</v>
      </c>
      <c r="G40" t="str">
        <f>INDEX(Define!E:E,MATCH(F40,Define!D:D))</f>
        <v>アーティファクト取得</v>
      </c>
      <c r="H40">
        <v>2020</v>
      </c>
      <c r="I40">
        <v>0</v>
      </c>
      <c r="J40">
        <v>0</v>
      </c>
      <c r="K40" t="b">
        <v>1</v>
      </c>
    </row>
    <row r="41" spans="1:11">
      <c r="A41">
        <v>32</v>
      </c>
      <c r="B41">
        <v>4</v>
      </c>
      <c r="C41">
        <v>9</v>
      </c>
      <c r="D41">
        <v>3010</v>
      </c>
      <c r="F41">
        <v>2020</v>
      </c>
      <c r="G41" t="str">
        <f>INDEX(Define!E:E,MATCH(F41,Define!D:D))</f>
        <v>ダンジョン移動</v>
      </c>
      <c r="H41">
        <v>30</v>
      </c>
      <c r="I41">
        <v>4</v>
      </c>
      <c r="J41">
        <v>1</v>
      </c>
      <c r="K41" t="b">
        <v>0</v>
      </c>
    </row>
    <row r="42" spans="1:11">
      <c r="A42">
        <v>32</v>
      </c>
      <c r="B42">
        <v>9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9</v>
      </c>
      <c r="J42">
        <v>1</v>
      </c>
      <c r="K42" t="b">
        <v>0</v>
      </c>
    </row>
    <row r="43" spans="1:11">
      <c r="A43">
        <v>32</v>
      </c>
      <c r="B43">
        <v>4</v>
      </c>
      <c r="C43">
        <v>6</v>
      </c>
      <c r="D43">
        <v>3010</v>
      </c>
      <c r="F43">
        <v>5020</v>
      </c>
      <c r="G43" t="str">
        <f>INDEX(Define!E:E,MATCH(F43,Define!D:D))</f>
        <v>強制ボス戦闘</v>
      </c>
      <c r="H43">
        <v>2010</v>
      </c>
      <c r="I43">
        <v>0</v>
      </c>
      <c r="J43">
        <v>0</v>
      </c>
      <c r="K43" t="b">
        <v>1</v>
      </c>
    </row>
    <row r="44" spans="1:11">
      <c r="A44">
        <v>32</v>
      </c>
      <c r="B44">
        <v>4</v>
      </c>
      <c r="C44">
        <v>3</v>
      </c>
      <c r="D44">
        <v>3010</v>
      </c>
      <c r="F44">
        <v>3010</v>
      </c>
      <c r="G44" t="str">
        <f>INDEX(Define!E:E,MATCH(F44,Define!D:D))</f>
        <v>アーティファクト取得</v>
      </c>
      <c r="H44">
        <v>2030</v>
      </c>
      <c r="I44">
        <v>0</v>
      </c>
      <c r="J44">
        <v>0</v>
      </c>
      <c r="K44" t="b">
        <v>1</v>
      </c>
    </row>
    <row r="45" spans="1:11">
      <c r="A45">
        <v>40</v>
      </c>
      <c r="B45">
        <v>1</v>
      </c>
      <c r="C45">
        <v>19</v>
      </c>
      <c r="D45">
        <v>3010</v>
      </c>
      <c r="F45">
        <v>2010</v>
      </c>
      <c r="G45" t="str">
        <f>INDEX(Define!E:E,MATCH(F45,Define!D:D))</f>
        <v>ダンジョンから出る</v>
      </c>
      <c r="H45">
        <v>0</v>
      </c>
      <c r="I45">
        <v>0</v>
      </c>
      <c r="J45">
        <v>0</v>
      </c>
      <c r="K45" t="b">
        <v>0</v>
      </c>
    </row>
    <row r="46" spans="1:11">
      <c r="A46">
        <v>40</v>
      </c>
      <c r="B46">
        <v>6</v>
      </c>
      <c r="C46">
        <v>1</v>
      </c>
      <c r="D46">
        <v>3010</v>
      </c>
      <c r="F46">
        <v>2020</v>
      </c>
      <c r="G46" t="str">
        <f>INDEX(Define!E:E,MATCH(F46,Define!D:D))</f>
        <v>ダンジョン移動</v>
      </c>
      <c r="H46">
        <v>41</v>
      </c>
      <c r="I46">
        <v>11</v>
      </c>
      <c r="J46">
        <v>18</v>
      </c>
      <c r="K46" t="b">
        <v>0</v>
      </c>
    </row>
    <row r="47" spans="1:11">
      <c r="A47">
        <v>40</v>
      </c>
      <c r="B47">
        <v>8</v>
      </c>
      <c r="C47">
        <v>8</v>
      </c>
      <c r="D47">
        <v>3010</v>
      </c>
      <c r="F47">
        <v>1010</v>
      </c>
      <c r="G47" t="str">
        <f>INDEX(Define!E:E,MATCH(F47,Define!D:D))</f>
        <v>Adv再生</v>
      </c>
      <c r="H47">
        <v>140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6010</v>
      </c>
      <c r="G48" t="str">
        <f>INDEX(Define!E:E,MATCH(F48,Define!D:D))</f>
        <v>指定のイベントマスを消す</v>
      </c>
      <c r="H48">
        <v>45</v>
      </c>
      <c r="I48">
        <v>0</v>
      </c>
      <c r="J48">
        <v>0</v>
      </c>
      <c r="K48" t="b">
        <v>1</v>
      </c>
    </row>
    <row r="49" spans="1:11">
      <c r="A49">
        <v>40</v>
      </c>
      <c r="B49">
        <v>4</v>
      </c>
      <c r="C49">
        <v>5</v>
      </c>
      <c r="D49">
        <v>3010</v>
      </c>
      <c r="F49">
        <v>0</v>
      </c>
      <c r="H49">
        <v>45</v>
      </c>
      <c r="I49">
        <v>0</v>
      </c>
      <c r="J49">
        <v>0</v>
      </c>
      <c r="K49" t="b">
        <v>1</v>
      </c>
    </row>
    <row r="50" spans="1:11">
      <c r="A50">
        <v>40</v>
      </c>
      <c r="B50">
        <v>8</v>
      </c>
      <c r="C50">
        <v>8</v>
      </c>
      <c r="D50">
        <v>3010</v>
      </c>
      <c r="F50">
        <v>9010</v>
      </c>
      <c r="G50" t="str">
        <f>INDEX(Define!E:E,MATCH(F50,Define!D:D))</f>
        <v>イベント終了明示</v>
      </c>
      <c r="H50">
        <v>0</v>
      </c>
      <c r="I50">
        <v>0</v>
      </c>
      <c r="J50">
        <v>0</v>
      </c>
      <c r="K50" t="b">
        <v>0</v>
      </c>
    </row>
    <row r="51" spans="1:11">
      <c r="A51">
        <v>41</v>
      </c>
      <c r="B51">
        <v>11</v>
      </c>
      <c r="C51">
        <v>18</v>
      </c>
      <c r="D51">
        <v>3010</v>
      </c>
      <c r="F51">
        <v>2020</v>
      </c>
      <c r="G51" t="str">
        <f>INDEX(Define!E:E,MATCH(F51,Define!D:D))</f>
        <v>ダンジョン移動</v>
      </c>
      <c r="H51">
        <v>40</v>
      </c>
      <c r="I51">
        <v>10</v>
      </c>
      <c r="J51">
        <v>1</v>
      </c>
      <c r="K51" t="b">
        <v>0</v>
      </c>
    </row>
    <row r="52" spans="1:11">
      <c r="A52">
        <v>41</v>
      </c>
      <c r="B52">
        <v>9</v>
      </c>
      <c r="C52">
        <v>4</v>
      </c>
      <c r="D52">
        <v>3010</v>
      </c>
      <c r="F52">
        <v>2020</v>
      </c>
      <c r="G52" t="str">
        <f>INDEX(Define!E:E,MATCH(F52,Define!D:D))</f>
        <v>ダンジョン移動</v>
      </c>
      <c r="H52">
        <v>42</v>
      </c>
      <c r="I52">
        <v>2</v>
      </c>
      <c r="J52">
        <v>18</v>
      </c>
      <c r="K52" t="b">
        <v>0</v>
      </c>
    </row>
    <row r="53" spans="1:11">
      <c r="A53">
        <v>41</v>
      </c>
      <c r="B53">
        <v>14</v>
      </c>
      <c r="C53">
        <v>16</v>
      </c>
      <c r="D53">
        <v>3010</v>
      </c>
      <c r="F53">
        <v>3010</v>
      </c>
      <c r="G53" t="str">
        <f>INDEX(Define!E:E,MATCH(F53,Define!D:D))</f>
        <v>アーティファクト取得</v>
      </c>
      <c r="H53">
        <v>2130</v>
      </c>
      <c r="I53">
        <v>0</v>
      </c>
      <c r="J53">
        <v>0</v>
      </c>
      <c r="K53" t="b">
        <v>1</v>
      </c>
    </row>
    <row r="54" spans="1:11">
      <c r="A54">
        <v>41</v>
      </c>
      <c r="B54">
        <v>3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1200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1</v>
      </c>
      <c r="D55">
        <v>3010</v>
      </c>
      <c r="F55">
        <v>3020</v>
      </c>
      <c r="G55" t="str">
        <f>INDEX(Define!E:E,MATCH(F55,Define!D:D))</f>
        <v>アイテム取得</v>
      </c>
      <c r="H55">
        <v>1200</v>
      </c>
      <c r="I55">
        <v>0</v>
      </c>
      <c r="J55">
        <v>0</v>
      </c>
      <c r="K55" t="b">
        <v>1</v>
      </c>
    </row>
    <row r="56" spans="1:11">
      <c r="A56">
        <v>41</v>
      </c>
      <c r="B56">
        <v>5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1200</v>
      </c>
      <c r="I56">
        <v>0</v>
      </c>
      <c r="J56">
        <v>0</v>
      </c>
      <c r="K56" t="b">
        <v>1</v>
      </c>
    </row>
    <row r="57" spans="1:11">
      <c r="A57">
        <v>41</v>
      </c>
      <c r="B57">
        <v>4</v>
      </c>
      <c r="C57">
        <v>6</v>
      </c>
      <c r="D57">
        <v>3010</v>
      </c>
      <c r="F57">
        <v>1010</v>
      </c>
      <c r="G57" t="str">
        <f>INDEX(Define!E:E,MATCH(F57,Define!D:D))</f>
        <v>Adv再生</v>
      </c>
      <c r="H57">
        <v>1040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6</v>
      </c>
      <c r="D58">
        <v>3010</v>
      </c>
      <c r="F58">
        <v>9010</v>
      </c>
      <c r="G58" t="str">
        <f>INDEX(Define!E:E,MATCH(F58,Define!D:D))</f>
        <v>イベント終了明示</v>
      </c>
      <c r="H58">
        <v>0</v>
      </c>
      <c r="I58">
        <v>0</v>
      </c>
      <c r="J58">
        <v>0</v>
      </c>
      <c r="K58" t="b">
        <v>0</v>
      </c>
    </row>
    <row r="59" spans="1:11">
      <c r="A59">
        <v>41</v>
      </c>
      <c r="B59">
        <v>4</v>
      </c>
      <c r="C59">
        <v>4</v>
      </c>
      <c r="D59">
        <v>3010</v>
      </c>
      <c r="F59">
        <v>1010</v>
      </c>
      <c r="G59" t="str">
        <f>INDEX(Define!E:E,MATCH(F59,Define!D:D))</f>
        <v>Adv再生</v>
      </c>
      <c r="H59">
        <v>100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6010</v>
      </c>
      <c r="G60" t="str">
        <f>INDEX(Define!E:E,MATCH(F60,Define!D:D))</f>
        <v>指定のイベントマスを消す</v>
      </c>
      <c r="H60">
        <v>43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3</v>
      </c>
      <c r="D61">
        <v>3010</v>
      </c>
      <c r="F61">
        <v>0</v>
      </c>
      <c r="H61">
        <v>43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4</v>
      </c>
      <c r="D62">
        <v>3010</v>
      </c>
      <c r="F62">
        <v>5010</v>
      </c>
      <c r="G62" t="str">
        <f>INDEX(Define!E:E,MATCH(F62,Define!D:D))</f>
        <v>強制戦闘</v>
      </c>
      <c r="H62">
        <v>3020</v>
      </c>
      <c r="I62">
        <v>0</v>
      </c>
      <c r="J62">
        <v>0</v>
      </c>
      <c r="K62" t="b">
        <v>1</v>
      </c>
    </row>
    <row r="63" spans="1:11">
      <c r="A63">
        <v>41</v>
      </c>
      <c r="B63">
        <v>4</v>
      </c>
      <c r="C63">
        <v>4</v>
      </c>
      <c r="D63">
        <v>3010</v>
      </c>
      <c r="F63">
        <v>9010</v>
      </c>
      <c r="G63" t="str">
        <f>INDEX(Define!E:E,MATCH(F63,Define!D:D))</f>
        <v>イベント終了明示</v>
      </c>
      <c r="H63">
        <v>0</v>
      </c>
      <c r="I63">
        <v>0</v>
      </c>
      <c r="J63">
        <v>0</v>
      </c>
      <c r="K63" t="b">
        <v>0</v>
      </c>
    </row>
    <row r="64" spans="1:11">
      <c r="A64">
        <v>41</v>
      </c>
      <c r="B64">
        <v>4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5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spans="1:11">
      <c r="A66">
        <v>41</v>
      </c>
      <c r="B66">
        <v>6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spans="1:11">
      <c r="A67">
        <v>41</v>
      </c>
      <c r="B67">
        <v>7</v>
      </c>
      <c r="C67">
        <v>13</v>
      </c>
      <c r="D67">
        <v>3010</v>
      </c>
      <c r="F67">
        <v>6011</v>
      </c>
      <c r="G67" t="str">
        <f>INDEX(Define!E:E,MATCH(F67,Define!D:D))</f>
        <v>指定のイベントマスを表示する</v>
      </c>
      <c r="H67">
        <v>713</v>
      </c>
      <c r="I67">
        <v>0</v>
      </c>
      <c r="J67">
        <v>0</v>
      </c>
      <c r="K67" t="b">
        <v>1</v>
      </c>
    </row>
    <row r="68" spans="1:11">
      <c r="A68">
        <v>41</v>
      </c>
      <c r="B68">
        <v>8</v>
      </c>
      <c r="C68">
        <v>13</v>
      </c>
      <c r="D68">
        <v>3010</v>
      </c>
      <c r="F68">
        <v>0</v>
      </c>
      <c r="H68">
        <v>713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110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7020</v>
      </c>
      <c r="G70" t="str">
        <f>INDEX(Define!E:E,MATCH(F70,Define!D:D))</f>
        <v>怨嗟床</v>
      </c>
      <c r="H70">
        <v>0</v>
      </c>
      <c r="I70">
        <v>0</v>
      </c>
      <c r="J70">
        <v>0</v>
      </c>
      <c r="K70" t="b">
        <v>1</v>
      </c>
    </row>
    <row r="71" spans="1:11">
      <c r="A71">
        <v>41</v>
      </c>
      <c r="B71">
        <v>7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120</v>
      </c>
      <c r="I71">
        <v>0</v>
      </c>
      <c r="J71">
        <v>0</v>
      </c>
      <c r="K71" t="b">
        <v>1</v>
      </c>
    </row>
    <row r="72" spans="1:11">
      <c r="A72">
        <v>41</v>
      </c>
      <c r="B72">
        <v>7</v>
      </c>
      <c r="C72">
        <v>13</v>
      </c>
      <c r="D72">
        <v>3010</v>
      </c>
      <c r="F72">
        <v>9010</v>
      </c>
      <c r="G72" t="str">
        <f>INDEX(Define!E:E,MATCH(F72,Define!D:D))</f>
        <v>イベント終了明示</v>
      </c>
      <c r="H72">
        <v>0</v>
      </c>
      <c r="I72">
        <v>0</v>
      </c>
      <c r="J72">
        <v>0</v>
      </c>
      <c r="K72" t="b">
        <v>0</v>
      </c>
    </row>
    <row r="73" spans="1:11">
      <c r="A73">
        <v>41</v>
      </c>
      <c r="B73">
        <v>2</v>
      </c>
      <c r="C73">
        <v>13</v>
      </c>
      <c r="D73">
        <v>3010</v>
      </c>
      <c r="F73">
        <v>1010</v>
      </c>
      <c r="G73" t="str">
        <f>INDEX(Define!E:E,MATCH(F73,Define!D:D))</f>
        <v>Adv再生</v>
      </c>
      <c r="H73">
        <v>130</v>
      </c>
      <c r="I73">
        <v>0</v>
      </c>
      <c r="J73">
        <v>0</v>
      </c>
      <c r="K73" t="b">
        <v>1</v>
      </c>
    </row>
    <row r="74" spans="1:11">
      <c r="A74">
        <v>41</v>
      </c>
      <c r="B74">
        <v>2</v>
      </c>
      <c r="C74">
        <v>13</v>
      </c>
      <c r="D74">
        <v>3010</v>
      </c>
      <c r="F74">
        <v>7021</v>
      </c>
      <c r="G74" t="str">
        <f>INDEX(Define!E:E,MATCH(F74,Define!D:D))</f>
        <v>怨嗟床解除</v>
      </c>
      <c r="H74">
        <v>0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6010</v>
      </c>
      <c r="G75" t="str">
        <f>INDEX(Define!E:E,MATCH(F75,Define!D:D))</f>
        <v>指定のイベントマスを消す</v>
      </c>
      <c r="H75">
        <v>813</v>
      </c>
      <c r="I75">
        <v>0</v>
      </c>
      <c r="J75">
        <v>0</v>
      </c>
      <c r="K75" t="b">
        <v>1</v>
      </c>
    </row>
    <row r="76" spans="1:11">
      <c r="A76">
        <v>41</v>
      </c>
      <c r="B76">
        <v>8</v>
      </c>
      <c r="C76">
        <v>13</v>
      </c>
      <c r="D76">
        <v>3010</v>
      </c>
      <c r="F76">
        <v>0</v>
      </c>
      <c r="H76">
        <v>813</v>
      </c>
      <c r="I76">
        <v>0</v>
      </c>
      <c r="J76">
        <v>0</v>
      </c>
      <c r="K76" t="b">
        <v>1</v>
      </c>
    </row>
    <row r="77" spans="1:11">
      <c r="A77">
        <v>41</v>
      </c>
      <c r="B77">
        <v>2</v>
      </c>
      <c r="C77">
        <v>13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42</v>
      </c>
      <c r="B78">
        <v>8</v>
      </c>
      <c r="C78">
        <v>1</v>
      </c>
      <c r="D78">
        <v>3010</v>
      </c>
      <c r="F78">
        <v>3010</v>
      </c>
      <c r="G78" t="str">
        <f>INDEX(Define!E:E,MATCH(F78,Define!D:D))</f>
        <v>アーティファクト取得</v>
      </c>
      <c r="H78">
        <v>2040</v>
      </c>
      <c r="I78">
        <v>0</v>
      </c>
      <c r="J78">
        <v>0</v>
      </c>
      <c r="K78" t="b">
        <v>1</v>
      </c>
    </row>
    <row r="79" spans="1:11">
      <c r="A79">
        <v>42</v>
      </c>
      <c r="B79">
        <v>8</v>
      </c>
      <c r="C79">
        <v>8</v>
      </c>
      <c r="D79">
        <v>3010</v>
      </c>
      <c r="F79">
        <v>5020</v>
      </c>
      <c r="G79" t="str">
        <f>INDEX(Define!E:E,MATCH(F79,Define!D:D))</f>
        <v>強制ボス戦闘</v>
      </c>
      <c r="H79">
        <v>3010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8</v>
      </c>
      <c r="D80">
        <v>3010</v>
      </c>
      <c r="F80">
        <v>9010</v>
      </c>
      <c r="G80" t="str">
        <f>INDEX(Define!E:E,MATCH(F80,Define!D:D))</f>
        <v>イベント終了明示</v>
      </c>
      <c r="H80">
        <v>0</v>
      </c>
      <c r="I80">
        <v>0</v>
      </c>
      <c r="J80">
        <v>0</v>
      </c>
      <c r="K80" t="b">
        <v>0</v>
      </c>
    </row>
    <row r="81" spans="1:11">
      <c r="A81">
        <v>42</v>
      </c>
      <c r="B81">
        <v>8</v>
      </c>
      <c r="C81">
        <v>7</v>
      </c>
      <c r="D81">
        <v>3010</v>
      </c>
      <c r="F81">
        <v>6010</v>
      </c>
      <c r="G81" t="str">
        <f>INDEX(Define!E:E,MATCH(F81,Define!D:D))</f>
        <v>指定のイベントマスを消す</v>
      </c>
      <c r="H81">
        <v>83</v>
      </c>
      <c r="I81">
        <v>0</v>
      </c>
      <c r="J81">
        <v>0</v>
      </c>
      <c r="K81" t="b">
        <v>1</v>
      </c>
    </row>
    <row r="82" spans="1:11">
      <c r="A82">
        <v>42</v>
      </c>
      <c r="B82">
        <v>8</v>
      </c>
      <c r="C82">
        <v>3</v>
      </c>
      <c r="D82">
        <v>3010</v>
      </c>
      <c r="F82">
        <v>0</v>
      </c>
      <c r="H82">
        <v>83</v>
      </c>
      <c r="I82">
        <v>0</v>
      </c>
      <c r="J82">
        <v>0</v>
      </c>
      <c r="K82" t="b">
        <v>1</v>
      </c>
    </row>
    <row r="83" spans="1:11">
      <c r="A83">
        <v>42</v>
      </c>
      <c r="B83">
        <v>8</v>
      </c>
      <c r="C83">
        <v>7</v>
      </c>
      <c r="D83">
        <v>3010</v>
      </c>
      <c r="F83">
        <v>9010</v>
      </c>
      <c r="G83" t="str">
        <f>INDEX(Define!E:E,MATCH(F83,Define!D:D))</f>
        <v>イベント終了明示</v>
      </c>
      <c r="H83">
        <v>0</v>
      </c>
      <c r="I83">
        <v>0</v>
      </c>
      <c r="J83">
        <v>0</v>
      </c>
      <c r="K83" t="b">
        <v>0</v>
      </c>
    </row>
    <row r="84" spans="1:11">
      <c r="A84">
        <v>42</v>
      </c>
      <c r="B84">
        <v>4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4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3030</v>
      </c>
      <c r="I85">
        <v>0</v>
      </c>
      <c r="J85">
        <v>0</v>
      </c>
      <c r="K85" t="b">
        <v>1</v>
      </c>
    </row>
    <row r="86" spans="1:11">
      <c r="A86">
        <v>42</v>
      </c>
      <c r="B86">
        <v>12</v>
      </c>
      <c r="C86">
        <v>8</v>
      </c>
      <c r="D86">
        <v>3010</v>
      </c>
      <c r="F86">
        <v>1010</v>
      </c>
      <c r="G86" t="str">
        <f>INDEX(Define!E:E,MATCH(F86,Define!D:D))</f>
        <v>Adv再生</v>
      </c>
      <c r="H86">
        <v>100</v>
      </c>
      <c r="I86">
        <v>0</v>
      </c>
      <c r="J86">
        <v>0</v>
      </c>
      <c r="K86" t="b">
        <v>1</v>
      </c>
    </row>
    <row r="87" spans="1:11">
      <c r="A87">
        <v>42</v>
      </c>
      <c r="B87">
        <v>12</v>
      </c>
      <c r="C87">
        <v>8</v>
      </c>
      <c r="D87">
        <v>3010</v>
      </c>
      <c r="F87">
        <v>5010</v>
      </c>
      <c r="G87" t="str">
        <f>INDEX(Define!E:E,MATCH(F87,Define!D:D))</f>
        <v>強制戦闘</v>
      </c>
      <c r="H87">
        <v>3040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10</v>
      </c>
      <c r="D88">
        <v>3010</v>
      </c>
      <c r="F88">
        <v>1010</v>
      </c>
      <c r="G88" t="str">
        <f>INDEX(Define!E:E,MATCH(F88,Define!D:D))</f>
        <v>Adv再生</v>
      </c>
      <c r="H88">
        <v>1050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6020</v>
      </c>
      <c r="G89" t="str">
        <f>INDEX(Define!E:E,MATCH(F89,Define!D:D))</f>
        <v>同フロアの強制戦闘が終わってたらイベントマスを消す</v>
      </c>
      <c r="H89">
        <v>89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9</v>
      </c>
      <c r="D90">
        <v>3010</v>
      </c>
      <c r="F90">
        <v>0</v>
      </c>
      <c r="H90">
        <v>89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10</v>
      </c>
      <c r="D91">
        <v>3010</v>
      </c>
      <c r="F91">
        <v>9010</v>
      </c>
      <c r="G91" t="str">
        <f>INDEX(Define!E:E,MATCH(F91,Define!D:D))</f>
        <v>イベント終了明示</v>
      </c>
      <c r="H91">
        <v>0</v>
      </c>
      <c r="I91">
        <v>0</v>
      </c>
      <c r="J91">
        <v>0</v>
      </c>
      <c r="K91" t="b">
        <v>0</v>
      </c>
    </row>
    <row r="92" spans="1:11">
      <c r="A92">
        <v>50</v>
      </c>
      <c r="B92">
        <v>9</v>
      </c>
      <c r="C92">
        <v>10</v>
      </c>
      <c r="D92">
        <v>3010</v>
      </c>
      <c r="F92">
        <v>2010</v>
      </c>
      <c r="G92" t="str">
        <f>INDEX(Define!E:E,MATCH(F92,Define!D:D))</f>
        <v>ダンジョンから出る</v>
      </c>
      <c r="H92">
        <v>0</v>
      </c>
      <c r="I92">
        <v>0</v>
      </c>
      <c r="J92">
        <v>0</v>
      </c>
      <c r="K92" t="b">
        <v>0</v>
      </c>
    </row>
    <row r="93" spans="1:11">
      <c r="A93">
        <v>50</v>
      </c>
      <c r="B93">
        <v>2</v>
      </c>
      <c r="C93">
        <v>1</v>
      </c>
      <c r="D93">
        <v>3010</v>
      </c>
      <c r="F93">
        <v>2020</v>
      </c>
      <c r="G93" t="str">
        <f>INDEX(Define!E:E,MATCH(F93,Define!D:D))</f>
        <v>ダンジョン移動</v>
      </c>
      <c r="H93">
        <v>51</v>
      </c>
      <c r="I93">
        <v>1</v>
      </c>
      <c r="J93">
        <v>12</v>
      </c>
      <c r="K93" t="b">
        <v>0</v>
      </c>
    </row>
    <row r="94" spans="1:11">
      <c r="A94">
        <v>50</v>
      </c>
      <c r="B94">
        <v>5</v>
      </c>
      <c r="C94">
        <v>2</v>
      </c>
      <c r="D94">
        <v>3010</v>
      </c>
      <c r="F94">
        <v>3020</v>
      </c>
      <c r="G94" t="str">
        <f>INDEX(Define!E:E,MATCH(F94,Define!D:D))</f>
        <v>アイテム取得</v>
      </c>
      <c r="H94">
        <v>1200</v>
      </c>
      <c r="I94">
        <v>0</v>
      </c>
      <c r="J94">
        <v>0</v>
      </c>
      <c r="K94" t="b">
        <v>1</v>
      </c>
    </row>
    <row r="95" spans="1:11">
      <c r="A95">
        <v>50</v>
      </c>
      <c r="B95">
        <v>9</v>
      </c>
      <c r="C95">
        <v>3</v>
      </c>
      <c r="D95">
        <v>3010</v>
      </c>
      <c r="F95">
        <v>3020</v>
      </c>
      <c r="G95" t="str">
        <f>INDEX(Define!E:E,MATCH(F95,Define!D:D))</f>
        <v>アイテム取得</v>
      </c>
      <c r="H95">
        <v>1000</v>
      </c>
      <c r="I95">
        <v>0</v>
      </c>
      <c r="J95">
        <v>0</v>
      </c>
      <c r="K95" t="b">
        <v>1</v>
      </c>
    </row>
    <row r="96" spans="1:11">
      <c r="A96">
        <v>51</v>
      </c>
      <c r="B96">
        <v>1</v>
      </c>
      <c r="C96">
        <v>12</v>
      </c>
      <c r="D96">
        <v>3010</v>
      </c>
      <c r="F96">
        <v>2020</v>
      </c>
      <c r="G96" t="str">
        <f>INDEX(Define!E:E,MATCH(F96,Define!D:D))</f>
        <v>ダンジョン移動</v>
      </c>
      <c r="H96">
        <v>50</v>
      </c>
      <c r="I96">
        <v>2</v>
      </c>
      <c r="J96">
        <v>1</v>
      </c>
      <c r="K96" t="b">
        <v>0</v>
      </c>
    </row>
    <row r="97" spans="1:11">
      <c r="A97">
        <v>51</v>
      </c>
      <c r="B97">
        <v>2</v>
      </c>
      <c r="C97">
        <v>1</v>
      </c>
      <c r="D97">
        <v>3010</v>
      </c>
      <c r="F97">
        <v>2020</v>
      </c>
      <c r="G97" t="str">
        <f>INDEX(Define!E:E,MATCH(F97,Define!D:D))</f>
        <v>ダンジョン移動</v>
      </c>
      <c r="H97">
        <v>52</v>
      </c>
      <c r="I97">
        <v>2</v>
      </c>
      <c r="J97">
        <v>10</v>
      </c>
      <c r="K97" t="b">
        <v>0</v>
      </c>
    </row>
    <row r="98" spans="1:11">
      <c r="A98">
        <v>51</v>
      </c>
      <c r="B98">
        <v>2</v>
      </c>
      <c r="C98">
        <v>6</v>
      </c>
      <c r="D98">
        <v>3010</v>
      </c>
      <c r="F98">
        <v>3020</v>
      </c>
      <c r="G98" t="str">
        <f>INDEX(Define!E:E,MATCH(F98,Define!D:D))</f>
        <v>アイテム取得</v>
      </c>
      <c r="H98">
        <v>1100</v>
      </c>
      <c r="I98">
        <v>0</v>
      </c>
      <c r="J98">
        <v>0</v>
      </c>
      <c r="K98" t="b">
        <v>1</v>
      </c>
    </row>
    <row r="99" spans="1:11">
      <c r="A99">
        <v>51</v>
      </c>
      <c r="B99">
        <v>13</v>
      </c>
      <c r="C99">
        <v>9</v>
      </c>
      <c r="D99">
        <v>3010</v>
      </c>
      <c r="F99">
        <v>3010</v>
      </c>
      <c r="G99" t="str">
        <f>INDEX(Define!E:E,MATCH(F99,Define!D:D))</f>
        <v>アーティファクト取得</v>
      </c>
      <c r="H99">
        <v>2050</v>
      </c>
      <c r="I99">
        <v>0</v>
      </c>
      <c r="J99">
        <v>0</v>
      </c>
      <c r="K99" t="b">
        <v>1</v>
      </c>
    </row>
    <row r="100" spans="1:11">
      <c r="A100">
        <v>51</v>
      </c>
      <c r="B100">
        <v>15</v>
      </c>
      <c r="C100">
        <v>5</v>
      </c>
      <c r="D100">
        <v>3010</v>
      </c>
      <c r="F100">
        <v>1010</v>
      </c>
      <c r="G100" t="str">
        <f>INDEX(Define!E:E,MATCH(F100,Define!D:D))</f>
        <v>Adv再生</v>
      </c>
      <c r="H100">
        <v>140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15</v>
      </c>
      <c r="C101">
        <v>5</v>
      </c>
      <c r="D101">
        <v>3010</v>
      </c>
      <c r="F101">
        <v>6010</v>
      </c>
      <c r="G101" t="str">
        <f>INDEX(Define!E:E,MATCH(F101,Define!D:D))</f>
        <v>指定のイベントマスを消す</v>
      </c>
      <c r="H101">
        <v>106</v>
      </c>
      <c r="I101">
        <v>0</v>
      </c>
      <c r="J101">
        <v>0</v>
      </c>
      <c r="K101" t="b">
        <v>1</v>
      </c>
    </row>
    <row r="102" spans="1:11">
      <c r="A102">
        <v>51</v>
      </c>
      <c r="B102">
        <v>10</v>
      </c>
      <c r="C102">
        <v>6</v>
      </c>
      <c r="D102">
        <v>3010</v>
      </c>
      <c r="F102">
        <v>0</v>
      </c>
      <c r="H102">
        <v>106</v>
      </c>
      <c r="I102">
        <v>0</v>
      </c>
      <c r="J102">
        <v>0</v>
      </c>
      <c r="K102" t="b">
        <v>1</v>
      </c>
    </row>
    <row r="103" spans="1:11">
      <c r="A103">
        <v>51</v>
      </c>
      <c r="B103">
        <v>15</v>
      </c>
      <c r="C103">
        <v>5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51</v>
      </c>
      <c r="B104">
        <v>12</v>
      </c>
      <c r="C104">
        <v>9</v>
      </c>
      <c r="D104">
        <v>3010</v>
      </c>
      <c r="F104">
        <v>7010</v>
      </c>
      <c r="G104" t="str">
        <f>INDEX(Define!E:E,MATCH(F104,Define!D:D))</f>
        <v>ダメージ床</v>
      </c>
      <c r="H104">
        <v>20</v>
      </c>
      <c r="I104">
        <v>0</v>
      </c>
      <c r="J104">
        <v>0</v>
      </c>
      <c r="K104" t="b">
        <v>0</v>
      </c>
    </row>
    <row r="105" spans="1:11">
      <c r="A105">
        <v>51</v>
      </c>
      <c r="B105">
        <v>14</v>
      </c>
      <c r="C105">
        <v>5</v>
      </c>
      <c r="D105">
        <v>3010</v>
      </c>
      <c r="F105">
        <v>5010</v>
      </c>
      <c r="G105" t="str">
        <f>INDEX(Define!E:E,MATCH(F105,Define!D:D))</f>
        <v>強制戦闘</v>
      </c>
      <c r="H105">
        <v>-1</v>
      </c>
      <c r="I105">
        <v>40020</v>
      </c>
      <c r="J105">
        <v>0</v>
      </c>
      <c r="K105" t="b">
        <v>1</v>
      </c>
    </row>
    <row r="106" spans="1:11">
      <c r="A106">
        <v>52</v>
      </c>
      <c r="B106">
        <v>2</v>
      </c>
      <c r="C106">
        <v>10</v>
      </c>
      <c r="D106">
        <v>3010</v>
      </c>
      <c r="F106">
        <v>2020</v>
      </c>
      <c r="G106" t="str">
        <f>INDEX(Define!E:E,MATCH(F106,Define!D:D))</f>
        <v>ダンジョン移動</v>
      </c>
      <c r="H106">
        <v>51</v>
      </c>
      <c r="I106">
        <v>2</v>
      </c>
      <c r="J106">
        <v>1</v>
      </c>
      <c r="K106" t="b">
        <v>0</v>
      </c>
    </row>
    <row r="107" spans="1:11">
      <c r="A107">
        <v>52</v>
      </c>
      <c r="B107">
        <v>15</v>
      </c>
      <c r="C107">
        <v>5</v>
      </c>
      <c r="D107">
        <v>3010</v>
      </c>
      <c r="F107">
        <v>2020</v>
      </c>
      <c r="G107" t="str">
        <f>INDEX(Define!E:E,MATCH(F107,Define!D:D))</f>
        <v>ダンジョン移動</v>
      </c>
      <c r="H107">
        <v>53</v>
      </c>
      <c r="I107">
        <v>4</v>
      </c>
      <c r="J107">
        <v>11</v>
      </c>
      <c r="K107" t="b">
        <v>0</v>
      </c>
    </row>
    <row r="108" spans="1:11">
      <c r="A108">
        <v>52</v>
      </c>
      <c r="B108">
        <v>5</v>
      </c>
      <c r="C108">
        <v>9</v>
      </c>
      <c r="D108">
        <v>3010</v>
      </c>
      <c r="F108">
        <v>7010</v>
      </c>
      <c r="G108" t="str">
        <f>INDEX(Define!E:E,MATCH(F108,Define!D:D))</f>
        <v>ダメージ床</v>
      </c>
      <c r="H108">
        <v>20</v>
      </c>
      <c r="I108">
        <v>0</v>
      </c>
      <c r="J108">
        <v>0</v>
      </c>
      <c r="K108" t="b">
        <v>0</v>
      </c>
    </row>
    <row r="109" spans="1:11">
      <c r="A109">
        <v>52</v>
      </c>
      <c r="B109">
        <v>8</v>
      </c>
      <c r="C109">
        <v>10</v>
      </c>
      <c r="D109">
        <v>3010</v>
      </c>
      <c r="F109">
        <v>7010</v>
      </c>
      <c r="G109" t="str">
        <f>INDEX(Define!E:E,MATCH(F109,Define!D:D))</f>
        <v>ダメージ床</v>
      </c>
      <c r="H109">
        <v>20</v>
      </c>
      <c r="I109">
        <v>0</v>
      </c>
      <c r="J109">
        <v>0</v>
      </c>
      <c r="K109" t="b">
        <v>0</v>
      </c>
    </row>
    <row r="110" spans="1:11">
      <c r="A110">
        <v>52</v>
      </c>
      <c r="B110">
        <v>7</v>
      </c>
      <c r="C110">
        <v>5</v>
      </c>
      <c r="D110">
        <v>3010</v>
      </c>
      <c r="F110">
        <v>5010</v>
      </c>
      <c r="G110" t="str">
        <f>INDEX(Define!E:E,MATCH(F110,Define!D:D))</f>
        <v>強制戦闘</v>
      </c>
      <c r="H110">
        <v>-1</v>
      </c>
      <c r="I110">
        <v>40020</v>
      </c>
      <c r="J110">
        <v>0</v>
      </c>
      <c r="K110" t="b">
        <v>1</v>
      </c>
    </row>
    <row r="111" spans="1:11">
      <c r="A111">
        <v>52</v>
      </c>
      <c r="B111">
        <v>9</v>
      </c>
      <c r="C111">
        <v>5</v>
      </c>
      <c r="D111">
        <v>3010</v>
      </c>
      <c r="F111">
        <v>5010</v>
      </c>
      <c r="G111" t="str">
        <f>INDEX(Define!E:E,MATCH(F111,Define!D:D))</f>
        <v>強制戦闘</v>
      </c>
      <c r="H111">
        <v>-1</v>
      </c>
      <c r="I111">
        <v>40020</v>
      </c>
      <c r="J111">
        <v>0</v>
      </c>
      <c r="K111" t="b">
        <v>1</v>
      </c>
    </row>
    <row r="112" spans="1:11">
      <c r="A112">
        <v>52</v>
      </c>
      <c r="B112">
        <v>5</v>
      </c>
      <c r="C112">
        <v>5</v>
      </c>
      <c r="D112">
        <v>3010</v>
      </c>
      <c r="F112">
        <v>1010</v>
      </c>
      <c r="G112" t="str">
        <f>INDEX(Define!E:E,MATCH(F112,Define!D:D))</f>
        <v>Adv再生</v>
      </c>
      <c r="H112">
        <v>1060</v>
      </c>
      <c r="I112">
        <v>0</v>
      </c>
      <c r="J112">
        <v>0</v>
      </c>
      <c r="K112" t="b">
        <v>1</v>
      </c>
    </row>
    <row r="113" spans="1:11">
      <c r="A113">
        <v>52</v>
      </c>
      <c r="B113">
        <v>5</v>
      </c>
      <c r="C113">
        <v>5</v>
      </c>
      <c r="D113">
        <v>3010</v>
      </c>
      <c r="F113">
        <v>9010</v>
      </c>
      <c r="G113" t="str">
        <f>INDEX(Define!E:E,MATCH(F113,Define!D:D))</f>
        <v>イベント終了明示</v>
      </c>
      <c r="H113">
        <v>0</v>
      </c>
      <c r="I113">
        <v>0</v>
      </c>
      <c r="J113">
        <v>0</v>
      </c>
      <c r="K113" t="b">
        <v>0</v>
      </c>
    </row>
    <row r="114" spans="1:11">
      <c r="A114">
        <v>53</v>
      </c>
      <c r="B114">
        <v>4</v>
      </c>
      <c r="C114">
        <v>11</v>
      </c>
      <c r="D114">
        <v>3010</v>
      </c>
      <c r="F114">
        <v>2020</v>
      </c>
      <c r="G114" t="str">
        <f>INDEX(Define!E:E,MATCH(F114,Define!D:D))</f>
        <v>ダンジョン移動</v>
      </c>
      <c r="H114">
        <v>52</v>
      </c>
      <c r="I114">
        <v>15</v>
      </c>
      <c r="J114">
        <v>5</v>
      </c>
      <c r="K114" t="b">
        <v>0</v>
      </c>
    </row>
    <row r="115" spans="1:11">
      <c r="A115">
        <v>53</v>
      </c>
      <c r="B115">
        <v>8</v>
      </c>
      <c r="C115">
        <v>5</v>
      </c>
      <c r="D115">
        <v>3010</v>
      </c>
      <c r="F115">
        <v>2020</v>
      </c>
      <c r="G115" t="str">
        <f>INDEX(Define!E:E,MATCH(F115,Define!D:D))</f>
        <v>ダンジョン移動</v>
      </c>
      <c r="H115">
        <v>54</v>
      </c>
      <c r="I115">
        <v>8</v>
      </c>
      <c r="J115">
        <v>5</v>
      </c>
      <c r="K115" t="b">
        <v>0</v>
      </c>
    </row>
    <row r="116" spans="1:11">
      <c r="A116">
        <v>53</v>
      </c>
      <c r="B116">
        <v>15</v>
      </c>
      <c r="C116">
        <v>3</v>
      </c>
      <c r="D116">
        <v>3010</v>
      </c>
      <c r="F116">
        <v>3020</v>
      </c>
      <c r="G116" t="str">
        <f>INDEX(Define!E:E,MATCH(F116,Define!D:D))</f>
        <v>アイテム取得</v>
      </c>
      <c r="H116">
        <v>1100</v>
      </c>
      <c r="I116">
        <v>0</v>
      </c>
      <c r="J116">
        <v>0</v>
      </c>
      <c r="K116" t="b">
        <v>1</v>
      </c>
    </row>
    <row r="117" spans="1:11">
      <c r="A117">
        <v>53</v>
      </c>
      <c r="B117">
        <v>14</v>
      </c>
      <c r="C117">
        <v>4</v>
      </c>
      <c r="D117">
        <v>3010</v>
      </c>
      <c r="F117">
        <v>7010</v>
      </c>
      <c r="G117" t="str">
        <f>INDEX(Define!E:E,MATCH(F117,Define!D:D))</f>
        <v>ダメージ床</v>
      </c>
      <c r="H117">
        <v>20</v>
      </c>
      <c r="I117">
        <v>0</v>
      </c>
      <c r="J117">
        <v>0</v>
      </c>
      <c r="K117" t="b">
        <v>0</v>
      </c>
    </row>
    <row r="118" spans="1:11">
      <c r="A118">
        <v>53</v>
      </c>
      <c r="B118">
        <v>15</v>
      </c>
      <c r="C118">
        <v>5</v>
      </c>
      <c r="D118">
        <v>3010</v>
      </c>
      <c r="F118">
        <v>7010</v>
      </c>
      <c r="G118" t="str">
        <f>INDEX(Define!E:E,MATCH(F118,Define!D:D))</f>
        <v>ダメージ床</v>
      </c>
      <c r="H118">
        <v>20</v>
      </c>
      <c r="I118">
        <v>0</v>
      </c>
      <c r="J118">
        <v>0</v>
      </c>
      <c r="K118" t="b">
        <v>0</v>
      </c>
    </row>
    <row r="119" spans="1:11">
      <c r="A119">
        <v>53</v>
      </c>
      <c r="B119">
        <v>13</v>
      </c>
      <c r="C119">
        <v>6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53</v>
      </c>
      <c r="B120">
        <v>14</v>
      </c>
      <c r="C120">
        <v>7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53</v>
      </c>
      <c r="B121">
        <v>9</v>
      </c>
      <c r="C121">
        <v>3</v>
      </c>
      <c r="D121">
        <v>3010</v>
      </c>
      <c r="F121">
        <v>5020</v>
      </c>
      <c r="G121" t="str">
        <f>INDEX(Define!E:E,MATCH(F121,Define!D:D))</f>
        <v>強制ボス戦闘</v>
      </c>
      <c r="H121">
        <v>4010</v>
      </c>
      <c r="I121">
        <v>0</v>
      </c>
      <c r="J121">
        <v>0</v>
      </c>
      <c r="K121" t="b">
        <v>1</v>
      </c>
    </row>
    <row r="122" spans="1:11">
      <c r="A122">
        <v>54</v>
      </c>
      <c r="B122">
        <v>8</v>
      </c>
      <c r="C122">
        <v>5</v>
      </c>
      <c r="D122">
        <v>3010</v>
      </c>
      <c r="F122">
        <v>2020</v>
      </c>
      <c r="G122" t="str">
        <f>INDEX(Define!E:E,MATCH(F122,Define!D:D))</f>
        <v>ダンジョン移動</v>
      </c>
      <c r="H122">
        <v>53</v>
      </c>
      <c r="I122">
        <v>8</v>
      </c>
      <c r="J122">
        <v>5</v>
      </c>
      <c r="K122" t="b">
        <v>0</v>
      </c>
    </row>
    <row r="123" spans="1:11">
      <c r="A123">
        <v>54</v>
      </c>
      <c r="B123">
        <v>6</v>
      </c>
      <c r="C123">
        <v>7</v>
      </c>
      <c r="D123">
        <v>3010</v>
      </c>
      <c r="F123">
        <v>3010</v>
      </c>
      <c r="G123" t="str">
        <f>INDEX(Define!E:E,MATCH(F123,Define!D:D))</f>
        <v>アーティファクト取得</v>
      </c>
      <c r="H123">
        <v>2130</v>
      </c>
      <c r="I123">
        <v>0</v>
      </c>
      <c r="J123">
        <v>0</v>
      </c>
      <c r="K123" t="b">
        <v>1</v>
      </c>
    </row>
    <row r="124" spans="1:11">
      <c r="A124">
        <v>54</v>
      </c>
      <c r="B124">
        <v>8</v>
      </c>
      <c r="C124">
        <v>9</v>
      </c>
      <c r="D124">
        <v>3010</v>
      </c>
      <c r="F124">
        <v>3020</v>
      </c>
      <c r="G124" t="str">
        <f>INDEX(Define!E:E,MATCH(F124,Define!D:D))</f>
        <v>アイテム取得</v>
      </c>
      <c r="H124">
        <v>1200</v>
      </c>
      <c r="I124">
        <v>0</v>
      </c>
      <c r="J124">
        <v>0</v>
      </c>
      <c r="K124" t="b">
        <v>1</v>
      </c>
    </row>
    <row r="125" spans="1:11">
      <c r="A125">
        <v>54</v>
      </c>
      <c r="B125">
        <v>10</v>
      </c>
      <c r="C125">
        <v>7</v>
      </c>
      <c r="D125">
        <v>3010</v>
      </c>
      <c r="F125">
        <v>3010</v>
      </c>
      <c r="G125" t="str">
        <f>INDEX(Define!E:E,MATCH(F125,Define!D:D))</f>
        <v>アーティファクト取得</v>
      </c>
      <c r="H125">
        <v>2130</v>
      </c>
      <c r="I125">
        <v>0</v>
      </c>
      <c r="J125">
        <v>0</v>
      </c>
      <c r="K125" t="b">
        <v>1</v>
      </c>
    </row>
    <row r="126" spans="1:11">
      <c r="A126">
        <v>1010</v>
      </c>
      <c r="B126">
        <v>13</v>
      </c>
      <c r="C126">
        <v>13</v>
      </c>
      <c r="D126">
        <v>3010</v>
      </c>
      <c r="F126">
        <v>2010</v>
      </c>
      <c r="G126" t="str">
        <f>INDEX(Define!E:E,MATCH(F126,Define!D:D))</f>
        <v>ダンジョンから出る</v>
      </c>
      <c r="H126">
        <v>0</v>
      </c>
      <c r="I126">
        <v>0</v>
      </c>
      <c r="J126">
        <v>0</v>
      </c>
      <c r="K126" t="b">
        <v>0</v>
      </c>
    </row>
    <row r="127" spans="1:11">
      <c r="A127">
        <v>1010</v>
      </c>
      <c r="B127">
        <v>10</v>
      </c>
      <c r="C127">
        <v>4</v>
      </c>
      <c r="D127">
        <v>3010</v>
      </c>
      <c r="F127">
        <v>3030</v>
      </c>
      <c r="G127" t="str">
        <f>INDEX(Define!E:E,MATCH(F127,Define!D:D))</f>
        <v>魔法入手</v>
      </c>
      <c r="H127">
        <v>30010</v>
      </c>
      <c r="I127">
        <v>0</v>
      </c>
      <c r="J127">
        <v>0</v>
      </c>
      <c r="K127" t="b">
        <v>1</v>
      </c>
    </row>
    <row r="128" spans="1:11">
      <c r="A128">
        <v>1020</v>
      </c>
      <c r="B128">
        <v>7</v>
      </c>
      <c r="C128">
        <v>8</v>
      </c>
      <c r="D128">
        <v>3010</v>
      </c>
      <c r="F128">
        <v>2010</v>
      </c>
      <c r="G128" t="str">
        <f>INDEX(Define!E:E,MATCH(F128,Define!D:D))</f>
        <v>ダンジョンから出る</v>
      </c>
      <c r="H128">
        <v>0</v>
      </c>
      <c r="I128">
        <v>0</v>
      </c>
      <c r="J128">
        <v>0</v>
      </c>
      <c r="K128" t="b">
        <v>0</v>
      </c>
    </row>
    <row r="129" spans="1:11">
      <c r="A129">
        <v>1020</v>
      </c>
      <c r="B129">
        <v>12</v>
      </c>
      <c r="C129">
        <v>12</v>
      </c>
      <c r="D129">
        <v>3010</v>
      </c>
      <c r="F129">
        <v>3030</v>
      </c>
      <c r="G129" t="str">
        <f>INDEX(Define!E:E,MATCH(F129,Define!D:D))</f>
        <v>魔法入手</v>
      </c>
      <c r="H129">
        <v>30020</v>
      </c>
      <c r="I129">
        <v>0</v>
      </c>
      <c r="J129">
        <v>0</v>
      </c>
      <c r="K129" t="b">
        <v>1</v>
      </c>
    </row>
    <row r="130" spans="1:11">
      <c r="A130">
        <v>1020</v>
      </c>
      <c r="B130">
        <v>2</v>
      </c>
      <c r="C130">
        <v>1</v>
      </c>
      <c r="D130">
        <v>3010</v>
      </c>
      <c r="F130">
        <v>3020</v>
      </c>
      <c r="G130" t="str">
        <f>INDEX(Define!E:E,MATCH(F130,Define!D:D))</f>
        <v>アイテム取得</v>
      </c>
      <c r="H130">
        <v>1110</v>
      </c>
      <c r="I130">
        <v>0</v>
      </c>
      <c r="J130">
        <v>0</v>
      </c>
      <c r="K130" t="b">
        <v>1</v>
      </c>
    </row>
    <row r="131" spans="1:11">
      <c r="A131">
        <v>1020</v>
      </c>
      <c r="B131">
        <v>9</v>
      </c>
      <c r="C131">
        <v>4</v>
      </c>
      <c r="D131">
        <v>3010</v>
      </c>
      <c r="F131">
        <v>3020</v>
      </c>
      <c r="G131" t="str">
        <f>INDEX(Define!E:E,MATCH(F131,Define!D:D))</f>
        <v>アイテム取得</v>
      </c>
      <c r="H131">
        <v>1120</v>
      </c>
      <c r="I131">
        <v>0</v>
      </c>
      <c r="J131">
        <v>0</v>
      </c>
      <c r="K131" t="b">
        <v>1</v>
      </c>
    </row>
    <row r="132" spans="1:11">
      <c r="A132">
        <v>1020</v>
      </c>
      <c r="B132">
        <v>10</v>
      </c>
      <c r="C132">
        <v>12</v>
      </c>
      <c r="D132">
        <v>3010</v>
      </c>
      <c r="F132">
        <v>3020</v>
      </c>
      <c r="G132" t="str">
        <f>INDEX(Define!E:E,MATCH(F132,Define!D:D))</f>
        <v>アイテム取得</v>
      </c>
      <c r="H132">
        <v>1130</v>
      </c>
      <c r="I132">
        <v>0</v>
      </c>
      <c r="J132">
        <v>0</v>
      </c>
      <c r="K132" t="b">
        <v>1</v>
      </c>
    </row>
    <row r="133" spans="1:11">
      <c r="A133">
        <v>1030</v>
      </c>
      <c r="B133">
        <v>1</v>
      </c>
      <c r="C133">
        <v>13</v>
      </c>
      <c r="D133">
        <v>3010</v>
      </c>
      <c r="F133">
        <v>2010</v>
      </c>
      <c r="G133" t="str">
        <f>INDEX(Define!E:E,MATCH(F133,Define!D:D))</f>
        <v>ダンジョンから出る</v>
      </c>
      <c r="H133">
        <v>0</v>
      </c>
      <c r="I133">
        <v>0</v>
      </c>
      <c r="J133">
        <v>0</v>
      </c>
      <c r="K133" t="b">
        <v>0</v>
      </c>
    </row>
    <row r="134" spans="1:11">
      <c r="A134">
        <v>1030</v>
      </c>
      <c r="B134">
        <v>9</v>
      </c>
      <c r="C134">
        <v>11</v>
      </c>
      <c r="D134">
        <v>3010</v>
      </c>
      <c r="F134">
        <v>3020</v>
      </c>
      <c r="G134" t="str">
        <f>INDEX(Define!E:E,MATCH(F134,Define!D:D))</f>
        <v>アイテム取得</v>
      </c>
      <c r="H134">
        <v>1140</v>
      </c>
      <c r="I134">
        <v>0</v>
      </c>
      <c r="J134">
        <v>0</v>
      </c>
      <c r="K134" t="b">
        <v>1</v>
      </c>
    </row>
    <row r="135" spans="1:11">
      <c r="A135">
        <v>1030</v>
      </c>
      <c r="B135">
        <v>10</v>
      </c>
      <c r="C135">
        <v>11</v>
      </c>
      <c r="D135">
        <v>3010</v>
      </c>
      <c r="F135">
        <v>3020</v>
      </c>
      <c r="G135" t="str">
        <f>INDEX(Define!E:E,MATCH(F135,Define!D:D))</f>
        <v>アイテム取得</v>
      </c>
      <c r="H135">
        <v>1150</v>
      </c>
      <c r="I135">
        <v>0</v>
      </c>
      <c r="J135">
        <v>0</v>
      </c>
      <c r="K135" t="b">
        <v>1</v>
      </c>
    </row>
    <row r="136" spans="1:11">
      <c r="A136">
        <v>1030</v>
      </c>
      <c r="B136">
        <v>7</v>
      </c>
      <c r="C136">
        <v>8</v>
      </c>
      <c r="D136">
        <v>3010</v>
      </c>
      <c r="F136">
        <v>3030</v>
      </c>
      <c r="G136" t="str">
        <f>INDEX(Define!E:E,MATCH(F136,Define!D:D))</f>
        <v>魔法入手</v>
      </c>
      <c r="H136">
        <v>30030</v>
      </c>
      <c r="I136">
        <v>0</v>
      </c>
      <c r="J136">
        <v>0</v>
      </c>
      <c r="K136" t="b">
        <v>1</v>
      </c>
    </row>
    <row r="137" spans="1:11">
      <c r="A137">
        <v>2010</v>
      </c>
      <c r="B137">
        <v>7</v>
      </c>
      <c r="C137">
        <v>1</v>
      </c>
      <c r="D137">
        <v>3010</v>
      </c>
      <c r="F137">
        <v>2020</v>
      </c>
      <c r="G137" t="str">
        <f>INDEX(Define!E:E,MATCH(F137,Define!D:D))</f>
        <v>ダンジョン移動</v>
      </c>
      <c r="H137">
        <v>2011</v>
      </c>
      <c r="I137">
        <v>7</v>
      </c>
      <c r="J137">
        <v>13</v>
      </c>
      <c r="K137" t="b">
        <v>0</v>
      </c>
    </row>
    <row r="138" spans="1:11">
      <c r="A138">
        <v>2010</v>
      </c>
      <c r="B138">
        <v>7</v>
      </c>
      <c r="C138">
        <v>10</v>
      </c>
      <c r="D138">
        <v>3010</v>
      </c>
      <c r="F138">
        <v>5010</v>
      </c>
      <c r="G138" t="str">
        <f>INDEX(Define!E:E,MATCH(F138,Define!D:D))</f>
        <v>強制戦闘</v>
      </c>
      <c r="H138">
        <v>-1</v>
      </c>
      <c r="I138">
        <v>40020</v>
      </c>
      <c r="J138">
        <v>0</v>
      </c>
      <c r="K138" t="b">
        <v>1</v>
      </c>
    </row>
    <row r="139" spans="1:11">
      <c r="A139">
        <v>2010</v>
      </c>
      <c r="B139">
        <v>7</v>
      </c>
      <c r="C139">
        <v>6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0</v>
      </c>
      <c r="K139" t="b">
        <v>1</v>
      </c>
    </row>
    <row r="140" spans="1:11">
      <c r="A140">
        <v>2011</v>
      </c>
      <c r="B140">
        <v>7</v>
      </c>
      <c r="C140">
        <v>1</v>
      </c>
      <c r="D140">
        <v>3010</v>
      </c>
      <c r="F140">
        <v>2020</v>
      </c>
      <c r="G140" t="str">
        <f>INDEX(Define!E:E,MATCH(F140,Define!D:D))</f>
        <v>ダンジョン移動</v>
      </c>
      <c r="H140">
        <v>2012</v>
      </c>
      <c r="I140">
        <v>7</v>
      </c>
      <c r="J140">
        <v>13</v>
      </c>
      <c r="K140" t="b">
        <v>0</v>
      </c>
    </row>
    <row r="141" spans="1:11">
      <c r="A141">
        <v>2011</v>
      </c>
      <c r="B141">
        <v>7</v>
      </c>
      <c r="C141">
        <v>10</v>
      </c>
      <c r="D141">
        <v>3010</v>
      </c>
      <c r="F141">
        <v>5010</v>
      </c>
      <c r="G141" t="str">
        <f>INDEX(Define!E:E,MATCH(F141,Define!D:D))</f>
        <v>強制戦闘</v>
      </c>
      <c r="H141">
        <v>-1</v>
      </c>
      <c r="I141">
        <v>40020</v>
      </c>
      <c r="J141">
        <v>0</v>
      </c>
      <c r="K141" t="b">
        <v>1</v>
      </c>
    </row>
    <row r="142" spans="1:11">
      <c r="A142">
        <v>2011</v>
      </c>
      <c r="B142">
        <v>7</v>
      </c>
      <c r="C142">
        <v>6</v>
      </c>
      <c r="D142">
        <v>3010</v>
      </c>
      <c r="F142">
        <v>5010</v>
      </c>
      <c r="G142" t="str">
        <f>INDEX(Define!E:E,MATCH(F142,Define!D:D))</f>
        <v>強制戦闘</v>
      </c>
      <c r="H142">
        <v>20010</v>
      </c>
      <c r="I142">
        <v>40020</v>
      </c>
      <c r="J142">
        <v>0</v>
      </c>
      <c r="K142" t="b">
        <v>1</v>
      </c>
    </row>
    <row r="143" spans="1:11">
      <c r="A143">
        <v>2012</v>
      </c>
      <c r="B143">
        <v>7</v>
      </c>
      <c r="C143">
        <v>8</v>
      </c>
      <c r="D143">
        <v>3010</v>
      </c>
      <c r="F143">
        <v>5020</v>
      </c>
      <c r="G143" t="str">
        <f>INDEX(Define!E:E,MATCH(F143,Define!D:D))</f>
        <v>強制ボス戦闘</v>
      </c>
      <c r="H143">
        <v>20020</v>
      </c>
      <c r="I143">
        <v>40010</v>
      </c>
      <c r="J143">
        <v>0</v>
      </c>
      <c r="K143" t="b">
        <v>1</v>
      </c>
    </row>
    <row r="144" spans="1:11">
      <c r="A144">
        <v>2012</v>
      </c>
      <c r="B144">
        <v>7</v>
      </c>
      <c r="C144">
        <v>4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28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2025-07-27T00:48:18Z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