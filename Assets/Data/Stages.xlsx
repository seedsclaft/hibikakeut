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<sst xmlns="http://schemas.openxmlformats.org/spreadsheetml/2006/main" count="165" uniqueCount="109">
  <si>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</si>
  <si>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</si>
  <si>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</si>
  <si>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</si>
  <si>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</si>
  <si>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</si>
  <si>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</si>
  <si>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</si>
  <si>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</si>
  <si>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</si>
  <si>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</si>
  <si>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</si>
  <si>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</si>
  <si>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</si>
  <si>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</si>
  <si>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</si>
  <si>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</si>
  <si>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</si>
  <si>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</si>
  <si>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</si>
  <si>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</si>
  <si>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</si>
  <si>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042-EvilCastle02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</si>
  <si>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</si>
  <si>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</si>
  <si>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</si>
  <si>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</si>
  <si>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</si>
  <si>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</si>
  <si>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</si>
  <si>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</si>
  <si>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</si>
  <si>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</si>
  <si>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</si>
  <si>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</si>
  <si>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</si>
  <si>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</si>
  <si>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</si>
  <si>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</si>
  <si>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</si>
  <si>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</si>
  <si>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</si>
  <si>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</si>
  <si>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</si>
  <si>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</si>
  <si>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</si>
  <si>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</si>
  <si>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</si>
  <si>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</si>
  <si>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亡国の廃墟宮殿・城門</t>
  </si>
  <si>
    <t>亡国の廃墟宮殿・館内</t>
  </si>
  <si>
    <t>亡国の廃墟宮殿・王室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</si>
  <si>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</si>
  <si>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</si>
  <si>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</si>
  <si>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</si>
  <si>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</si>
  <si>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</si>
  <si>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</si>
  <si>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</si>
  <si>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</si>
  <si>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</si>
  <si>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</si>
  <si>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</si>
  <si>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</si>
  <si>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</si>
  <si>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</si>
  <si>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</si>
  <si>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</si>
  <si>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</si>
  <si>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</si>
  <si>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</si>
  <si>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</si>
  <si>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</si>
  <si>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</si>
  <si>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</si>
  <si>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</si>
  <si>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</si>
  <si>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</si>
  <si>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</si>
  <si>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</si>
  <si>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</si>
  <si>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</si>
  <si>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</si>
  <si>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</si>
  <si>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</si>
  <si>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</si>
  <si>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</si>
  <si>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</si>
  <si>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</si>
  <si>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</si>
  <si>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</si>
  <si>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</si>
  <si>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</si>
  <si>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</si>
  <si>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</si>
  <si>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</si>
  <si>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</si>
  <si>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</si>
  <si>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</si>
  <si>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</si>
  <si>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</si>
  <si>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</si>
  <si>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</si>
  <si>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</si>
  <si>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</si>
  <si>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同フロアの強制戦闘が終わってたらイベントマスを消す</t>
  </si>
  <si>
    <t>Battler</t>
  </si>
  <si>
    <t>ダメージ床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</si>
</sst>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8" fillId="4" borderId="2" applyNumberFormat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4" fillId="17" borderId="4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workbookViewId="0">
      <selection activeCell="F10" sqref="F10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16</v>
      </c>
      <c r="O3" t="s">
        <v>18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16</v>
      </c>
      <c r="O4" t="s">
        <v>18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19</v>
      </c>
      <c r="O5" t="s">
        <v>20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21</v>
      </c>
      <c r="O6" t="s">
        <v>20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19</v>
      </c>
      <c r="O7" t="s">
        <v>20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10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22</v>
      </c>
      <c r="O8" t="s">
        <v>20</v>
      </c>
      <c r="P8">
        <v>3010</v>
      </c>
    </row>
    <row r="9" spans="1:16">
      <c r="A9">
        <v>41</v>
      </c>
      <c r="B9">
        <v>41</v>
      </c>
      <c r="C9">
        <v>4</v>
      </c>
      <c r="D9">
        <v>0</v>
      </c>
      <c r="E9">
        <v>1</v>
      </c>
      <c r="F9">
        <v>12</v>
      </c>
      <c r="G9">
        <v>4</v>
      </c>
      <c r="H9">
        <v>30</v>
      </c>
      <c r="I9">
        <v>6</v>
      </c>
      <c r="J9">
        <v>12</v>
      </c>
      <c r="K9">
        <v>1030</v>
      </c>
      <c r="L9">
        <v>3010</v>
      </c>
      <c r="M9">
        <v>100</v>
      </c>
      <c r="N9" s="1" t="s">
        <v>22</v>
      </c>
      <c r="O9" t="s">
        <v>20</v>
      </c>
      <c r="P9">
        <v>0</v>
      </c>
    </row>
    <row r="10" spans="1:16">
      <c r="A10">
        <v>42</v>
      </c>
      <c r="B10">
        <v>42</v>
      </c>
      <c r="C10">
        <v>4</v>
      </c>
      <c r="D10">
        <v>0</v>
      </c>
      <c r="E10">
        <v>1</v>
      </c>
      <c r="F10">
        <v>14</v>
      </c>
      <c r="G10">
        <v>4</v>
      </c>
      <c r="H10">
        <v>30</v>
      </c>
      <c r="I10">
        <v>6</v>
      </c>
      <c r="J10">
        <v>12</v>
      </c>
      <c r="K10">
        <v>1030</v>
      </c>
      <c r="L10">
        <v>3010</v>
      </c>
      <c r="M10">
        <v>100</v>
      </c>
      <c r="N10" s="1" t="s">
        <v>22</v>
      </c>
      <c r="O10" t="s">
        <v>20</v>
      </c>
      <c r="P10">
        <v>0</v>
      </c>
    </row>
    <row r="11" spans="1:16">
      <c r="A11">
        <v>1010</v>
      </c>
      <c r="B11">
        <v>1010</v>
      </c>
      <c r="C11">
        <v>101</v>
      </c>
      <c r="D11">
        <v>1</v>
      </c>
      <c r="E11">
        <v>1</v>
      </c>
      <c r="F11">
        <v>5</v>
      </c>
      <c r="G11">
        <v>3</v>
      </c>
      <c r="H11">
        <v>30</v>
      </c>
      <c r="I11">
        <v>6</v>
      </c>
      <c r="J11">
        <v>12</v>
      </c>
      <c r="K11">
        <v>1210</v>
      </c>
      <c r="L11">
        <v>3010</v>
      </c>
      <c r="M11">
        <v>100</v>
      </c>
      <c r="N11" s="1" t="s">
        <v>16</v>
      </c>
      <c r="O11" t="s">
        <v>18</v>
      </c>
      <c r="P11">
        <v>0</v>
      </c>
    </row>
    <row r="12" spans="1:16">
      <c r="A12">
        <v>1020</v>
      </c>
      <c r="B12">
        <v>1020</v>
      </c>
      <c r="C12">
        <v>102</v>
      </c>
      <c r="D12">
        <v>1</v>
      </c>
      <c r="E12">
        <v>2</v>
      </c>
      <c r="F12">
        <v>10</v>
      </c>
      <c r="G12">
        <v>4</v>
      </c>
      <c r="H12">
        <v>30</v>
      </c>
      <c r="I12">
        <v>6</v>
      </c>
      <c r="J12">
        <v>12</v>
      </c>
      <c r="K12">
        <v>1210</v>
      </c>
      <c r="L12">
        <v>3010</v>
      </c>
      <c r="M12">
        <v>100</v>
      </c>
      <c r="N12" s="1" t="s">
        <v>16</v>
      </c>
      <c r="O12" t="s">
        <v>18</v>
      </c>
      <c r="P12">
        <v>0</v>
      </c>
    </row>
    <row r="13" spans="1:16">
      <c r="A13">
        <v>2010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16</v>
      </c>
      <c r="O13" t="s">
        <v>18</v>
      </c>
      <c r="P13">
        <v>0</v>
      </c>
    </row>
    <row r="14" spans="1:16">
      <c r="A14">
        <v>2011</v>
      </c>
      <c r="B14">
        <v>2010</v>
      </c>
      <c r="C14">
        <v>201</v>
      </c>
      <c r="D14">
        <v>0</v>
      </c>
      <c r="E14">
        <v>2</v>
      </c>
      <c r="F14">
        <v>10</v>
      </c>
      <c r="G14">
        <v>0</v>
      </c>
      <c r="H14">
        <v>30</v>
      </c>
      <c r="I14">
        <v>0</v>
      </c>
      <c r="J14">
        <v>0</v>
      </c>
      <c r="K14">
        <v>3020</v>
      </c>
      <c r="L14">
        <v>3020</v>
      </c>
      <c r="M14">
        <v>100</v>
      </c>
      <c r="N14" s="1" t="s">
        <v>16</v>
      </c>
      <c r="O14" t="s">
        <v>18</v>
      </c>
      <c r="P14">
        <v>0</v>
      </c>
    </row>
    <row r="15" spans="1:16">
      <c r="A15">
        <v>2012</v>
      </c>
      <c r="B15">
        <v>2010</v>
      </c>
      <c r="C15">
        <v>201</v>
      </c>
      <c r="D15">
        <v>0</v>
      </c>
      <c r="E15">
        <v>2</v>
      </c>
      <c r="F15">
        <v>10</v>
      </c>
      <c r="G15">
        <v>0</v>
      </c>
      <c r="H15">
        <v>30</v>
      </c>
      <c r="I15">
        <v>0</v>
      </c>
      <c r="J15">
        <v>0</v>
      </c>
      <c r="K15">
        <v>3020</v>
      </c>
      <c r="L15">
        <v>3020</v>
      </c>
      <c r="M15">
        <v>100</v>
      </c>
      <c r="N15" s="1" t="s">
        <v>16</v>
      </c>
      <c r="O15" t="s">
        <v>18</v>
      </c>
      <c r="P15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1"/>
  <sheetViews>
    <sheetView tabSelected="1" topLeftCell="A31" workbookViewId="0">
      <selection activeCell="H42" sqref="H4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23</v>
      </c>
      <c r="C1" t="s">
        <v>24</v>
      </c>
      <c r="D1" t="s">
        <v>25</v>
      </c>
      <c r="E1" s="1" t="s">
        <v>26</v>
      </c>
      <c r="F1" t="s">
        <v>27</v>
      </c>
      <c r="G1" s="1" t="s">
        <v>26</v>
      </c>
      <c r="H1" t="s">
        <v>28</v>
      </c>
      <c r="I1" t="s">
        <v>29</v>
      </c>
      <c r="J1" t="s">
        <v>30</v>
      </c>
      <c r="K1" t="s">
        <v>31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9</v>
      </c>
      <c r="C20">
        <v>0</v>
      </c>
      <c r="D20">
        <v>3010</v>
      </c>
      <c r="F20">
        <v>2020</v>
      </c>
      <c r="G20" t="str">
        <f>INDEX(Define!E:E,MATCH(F20,Define!D:D))</f>
        <v>ダンジョン移動</v>
      </c>
      <c r="H20">
        <v>32</v>
      </c>
      <c r="I20">
        <v>9</v>
      </c>
      <c r="J20">
        <v>9</v>
      </c>
      <c r="K20" t="b">
        <v>0</v>
      </c>
    </row>
    <row r="21" spans="1:11">
      <c r="A21">
        <v>30</v>
      </c>
      <c r="B21">
        <v>6</v>
      </c>
      <c r="C21">
        <v>1</v>
      </c>
      <c r="D21">
        <v>3010</v>
      </c>
      <c r="F21">
        <v>6010</v>
      </c>
      <c r="G21" t="str">
        <f>INDEX(Define!E:E,MATCH(F21,Define!D:D))</f>
        <v>指定のイベントマスを消す</v>
      </c>
      <c r="H21">
        <v>71</v>
      </c>
      <c r="I21">
        <v>0</v>
      </c>
      <c r="J21">
        <v>0</v>
      </c>
      <c r="K21" t="b">
        <v>1</v>
      </c>
    </row>
    <row r="22" spans="1:11">
      <c r="A22">
        <v>30</v>
      </c>
      <c r="B22">
        <v>7</v>
      </c>
      <c r="C22">
        <v>1</v>
      </c>
      <c r="D22">
        <v>3010</v>
      </c>
      <c r="F22">
        <v>0</v>
      </c>
      <c r="H22">
        <v>71</v>
      </c>
      <c r="I22">
        <v>0</v>
      </c>
      <c r="J22">
        <v>0</v>
      </c>
      <c r="K22" t="b">
        <v>1</v>
      </c>
    </row>
    <row r="23" spans="1:11">
      <c r="A23">
        <v>30</v>
      </c>
      <c r="B23">
        <v>8</v>
      </c>
      <c r="C23">
        <v>4</v>
      </c>
      <c r="D23">
        <v>3010</v>
      </c>
      <c r="F23">
        <v>1010</v>
      </c>
      <c r="G23" t="str">
        <f>INDEX(Define!E:E,MATCH(F23,Define!D:D))</f>
        <v>Adv再生</v>
      </c>
      <c r="H23">
        <v>1030</v>
      </c>
      <c r="I23">
        <v>0</v>
      </c>
      <c r="J23">
        <v>0</v>
      </c>
      <c r="K23" t="b">
        <v>1</v>
      </c>
    </row>
    <row r="24" spans="1:11">
      <c r="A24">
        <v>30</v>
      </c>
      <c r="B24">
        <v>8</v>
      </c>
      <c r="C24">
        <v>2</v>
      </c>
      <c r="D24">
        <v>3010</v>
      </c>
      <c r="F24">
        <v>7010</v>
      </c>
      <c r="G24" t="str">
        <f>INDEX(Define!E:E,MATCH(F24,Define!D:D))</f>
        <v>ダメージ床</v>
      </c>
      <c r="H24">
        <v>20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3</v>
      </c>
      <c r="D25">
        <v>3010</v>
      </c>
      <c r="F25">
        <v>7010</v>
      </c>
      <c r="G25" t="str">
        <f>INDEX(Define!E:E,MATCH(F25,Define!D:D))</f>
        <v>ダメージ床</v>
      </c>
      <c r="H25">
        <v>20</v>
      </c>
      <c r="I25">
        <v>0</v>
      </c>
      <c r="J25">
        <v>0</v>
      </c>
      <c r="K25" t="b">
        <v>0</v>
      </c>
    </row>
    <row r="26" spans="1:11">
      <c r="A26">
        <v>31</v>
      </c>
      <c r="B26">
        <v>1</v>
      </c>
      <c r="C26">
        <v>2</v>
      </c>
      <c r="D26">
        <v>3010</v>
      </c>
      <c r="F26">
        <v>2020</v>
      </c>
      <c r="G26" t="str">
        <f>INDEX(Define!E:E,MATCH(F26,Define!D:D))</f>
        <v>ダンジョン移動</v>
      </c>
      <c r="H26">
        <v>30</v>
      </c>
      <c r="I26">
        <v>1</v>
      </c>
      <c r="J26">
        <v>2</v>
      </c>
      <c r="K26" t="b">
        <v>0</v>
      </c>
    </row>
    <row r="27" spans="1:11">
      <c r="A27">
        <v>31</v>
      </c>
      <c r="B27">
        <v>14</v>
      </c>
      <c r="C27">
        <v>2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12</v>
      </c>
      <c r="J27">
        <v>13</v>
      </c>
      <c r="K27" t="b">
        <v>0</v>
      </c>
    </row>
    <row r="28" spans="1:11">
      <c r="A28">
        <v>31</v>
      </c>
      <c r="B28">
        <v>13</v>
      </c>
      <c r="C28">
        <v>10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1310</v>
      </c>
      <c r="I28">
        <v>0</v>
      </c>
      <c r="J28">
        <v>0</v>
      </c>
      <c r="K28" t="b">
        <v>1</v>
      </c>
    </row>
    <row r="29" spans="1:11">
      <c r="A29">
        <v>31</v>
      </c>
      <c r="B29">
        <v>13</v>
      </c>
      <c r="C29">
        <v>8</v>
      </c>
      <c r="D29">
        <v>3010</v>
      </c>
      <c r="F29">
        <v>0</v>
      </c>
      <c r="H29">
        <v>1310</v>
      </c>
      <c r="I29">
        <v>0</v>
      </c>
      <c r="J29">
        <v>0</v>
      </c>
      <c r="K29" t="b">
        <v>1</v>
      </c>
    </row>
    <row r="30" spans="1:11">
      <c r="A30">
        <v>31</v>
      </c>
      <c r="B30">
        <v>1</v>
      </c>
      <c r="C30">
        <v>6</v>
      </c>
      <c r="D30">
        <v>3010</v>
      </c>
      <c r="F30">
        <v>3010</v>
      </c>
      <c r="G30" t="str">
        <f>INDEX(Define!E:E,MATCH(F30,Define!D:D))</f>
        <v>アーティファクト取得</v>
      </c>
      <c r="H30">
        <v>2020</v>
      </c>
      <c r="I30">
        <v>0</v>
      </c>
      <c r="J30">
        <v>0</v>
      </c>
      <c r="K30" t="b">
        <v>1</v>
      </c>
    </row>
    <row r="31" spans="1:11">
      <c r="A31">
        <v>32</v>
      </c>
      <c r="B31">
        <v>4</v>
      </c>
      <c r="C31">
        <v>9</v>
      </c>
      <c r="D31">
        <v>3010</v>
      </c>
      <c r="F31">
        <v>2020</v>
      </c>
      <c r="G31" t="str">
        <f>INDEX(Define!E:E,MATCH(F31,Define!D:D))</f>
        <v>ダンジョン移動</v>
      </c>
      <c r="H31">
        <v>30</v>
      </c>
      <c r="I31">
        <v>4</v>
      </c>
      <c r="J31">
        <v>0</v>
      </c>
      <c r="K31" t="b">
        <v>0</v>
      </c>
    </row>
    <row r="32" spans="1:11">
      <c r="A32">
        <v>32</v>
      </c>
      <c r="B32">
        <v>9</v>
      </c>
      <c r="C32">
        <v>9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9</v>
      </c>
      <c r="J32">
        <v>0</v>
      </c>
      <c r="K32" t="b">
        <v>0</v>
      </c>
    </row>
    <row r="33" spans="1:11">
      <c r="A33">
        <v>32</v>
      </c>
      <c r="B33">
        <v>4</v>
      </c>
      <c r="C33">
        <v>6</v>
      </c>
      <c r="D33">
        <v>3010</v>
      </c>
      <c r="F33">
        <v>5020</v>
      </c>
      <c r="G33" t="str">
        <f>INDEX(Define!E:E,MATCH(F33,Define!D:D))</f>
        <v>強制ボス戦闘</v>
      </c>
      <c r="H33">
        <v>2010</v>
      </c>
      <c r="I33">
        <v>0</v>
      </c>
      <c r="J33">
        <v>0</v>
      </c>
      <c r="K33" t="b">
        <v>1</v>
      </c>
    </row>
    <row r="34" spans="1:11">
      <c r="A34">
        <v>32</v>
      </c>
      <c r="B34">
        <v>4</v>
      </c>
      <c r="C34">
        <v>3</v>
      </c>
      <c r="D34">
        <v>3010</v>
      </c>
      <c r="F34">
        <v>3010</v>
      </c>
      <c r="G34" t="str">
        <f>INDEX(Define!E:E,MATCH(F34,Define!D:D))</f>
        <v>アーティファクト取得</v>
      </c>
      <c r="H34">
        <v>2030</v>
      </c>
      <c r="I34">
        <v>0</v>
      </c>
      <c r="J34">
        <v>0</v>
      </c>
      <c r="K34" t="b">
        <v>1</v>
      </c>
    </row>
    <row r="35" spans="1:11">
      <c r="A35">
        <v>40</v>
      </c>
      <c r="B35">
        <v>1</v>
      </c>
      <c r="C35">
        <v>19</v>
      </c>
      <c r="D35">
        <v>3010</v>
      </c>
      <c r="F35">
        <v>2010</v>
      </c>
      <c r="G35" t="str">
        <f>INDEX(Define!E:E,MATCH(F35,Define!D:D))</f>
        <v>ダンジョンから出る</v>
      </c>
      <c r="H35">
        <v>0</v>
      </c>
      <c r="I35">
        <v>0</v>
      </c>
      <c r="J35">
        <v>0</v>
      </c>
      <c r="K35" t="b">
        <v>0</v>
      </c>
    </row>
    <row r="36" spans="1:11">
      <c r="A36">
        <v>40</v>
      </c>
      <c r="B36">
        <v>6</v>
      </c>
      <c r="C36">
        <v>1</v>
      </c>
      <c r="D36">
        <v>3010</v>
      </c>
      <c r="F36">
        <v>2020</v>
      </c>
      <c r="G36" t="str">
        <f>INDEX(Define!E:E,MATCH(F36,Define!D:D))</f>
        <v>ダンジョン移動</v>
      </c>
      <c r="H36">
        <v>41</v>
      </c>
      <c r="I36">
        <v>11</v>
      </c>
      <c r="J36">
        <v>18</v>
      </c>
      <c r="K36" t="b">
        <v>0</v>
      </c>
    </row>
    <row r="37" spans="1:11">
      <c r="A37">
        <v>40</v>
      </c>
      <c r="B37">
        <v>8</v>
      </c>
      <c r="C37">
        <v>8</v>
      </c>
      <c r="D37">
        <v>3010</v>
      </c>
      <c r="F37">
        <v>6010</v>
      </c>
      <c r="G37" t="str">
        <f>INDEX(Define!E:E,MATCH(F37,Define!D:D))</f>
        <v>指定のイベントマスを消す</v>
      </c>
      <c r="H37">
        <v>45</v>
      </c>
      <c r="I37">
        <v>0</v>
      </c>
      <c r="J37">
        <v>0</v>
      </c>
      <c r="K37" t="b">
        <v>1</v>
      </c>
    </row>
    <row r="38" spans="1:11">
      <c r="A38">
        <v>40</v>
      </c>
      <c r="B38">
        <v>4</v>
      </c>
      <c r="C38">
        <v>5</v>
      </c>
      <c r="D38">
        <v>3010</v>
      </c>
      <c r="F38">
        <v>0</v>
      </c>
      <c r="H38">
        <v>45</v>
      </c>
      <c r="I38">
        <v>0</v>
      </c>
      <c r="J38">
        <v>0</v>
      </c>
      <c r="K38" t="b">
        <v>1</v>
      </c>
    </row>
    <row r="39" spans="1:11">
      <c r="A39">
        <v>41</v>
      </c>
      <c r="B39">
        <v>11</v>
      </c>
      <c r="C39">
        <v>18</v>
      </c>
      <c r="D39">
        <v>3010</v>
      </c>
      <c r="F39">
        <v>2020</v>
      </c>
      <c r="G39" t="str">
        <f>INDEX(Define!E:E,MATCH(F39,Define!D:D))</f>
        <v>ダンジョン移動</v>
      </c>
      <c r="H39">
        <v>40</v>
      </c>
      <c r="I39">
        <v>10</v>
      </c>
      <c r="J39">
        <v>1</v>
      </c>
      <c r="K39" t="b">
        <v>0</v>
      </c>
    </row>
    <row r="40" spans="1:11">
      <c r="A40">
        <v>41</v>
      </c>
      <c r="B40">
        <v>9</v>
      </c>
      <c r="C40">
        <v>4</v>
      </c>
      <c r="D40">
        <v>3010</v>
      </c>
      <c r="F40">
        <v>2020</v>
      </c>
      <c r="G40" t="str">
        <f>INDEX(Define!E:E,MATCH(F40,Define!D:D))</f>
        <v>ダンジョン移動</v>
      </c>
      <c r="H40">
        <v>42</v>
      </c>
      <c r="I40">
        <v>2</v>
      </c>
      <c r="J40">
        <v>18</v>
      </c>
      <c r="K40" t="b">
        <v>0</v>
      </c>
    </row>
    <row r="41" spans="1:11">
      <c r="A41">
        <v>41</v>
      </c>
      <c r="B41">
        <v>14</v>
      </c>
      <c r="C41">
        <v>16</v>
      </c>
      <c r="D41">
        <v>3010</v>
      </c>
      <c r="F41">
        <v>3010</v>
      </c>
      <c r="G41" t="str">
        <f>INDEX(Define!E:E,MATCH(F41,Define!D:D))</f>
        <v>アーティファクト取得</v>
      </c>
      <c r="H41">
        <v>2130</v>
      </c>
      <c r="I41">
        <v>0</v>
      </c>
      <c r="J41">
        <v>0</v>
      </c>
      <c r="K41" t="b">
        <v>1</v>
      </c>
    </row>
    <row r="42" spans="1:11">
      <c r="A42">
        <v>41</v>
      </c>
      <c r="B42">
        <v>3</v>
      </c>
      <c r="C42">
        <v>1</v>
      </c>
      <c r="D42">
        <v>3010</v>
      </c>
      <c r="F42">
        <v>3020</v>
      </c>
      <c r="G42" t="str">
        <f>INDEX(Define!E:E,MATCH(F42,Define!D:D))</f>
        <v>アイテム取得</v>
      </c>
      <c r="H42">
        <v>11010</v>
      </c>
      <c r="I42">
        <v>0</v>
      </c>
      <c r="J42">
        <v>0</v>
      </c>
      <c r="K42" t="b">
        <v>1</v>
      </c>
    </row>
    <row r="43" spans="1:11">
      <c r="A43">
        <v>41</v>
      </c>
      <c r="B43">
        <v>4</v>
      </c>
      <c r="C43">
        <v>1</v>
      </c>
      <c r="D43">
        <v>3010</v>
      </c>
      <c r="F43">
        <v>3020</v>
      </c>
      <c r="G43" t="str">
        <f>INDEX(Define!E:E,MATCH(F43,Define!D:D))</f>
        <v>アイテム取得</v>
      </c>
      <c r="H43">
        <v>11010</v>
      </c>
      <c r="I43">
        <v>0</v>
      </c>
      <c r="J43">
        <v>0</v>
      </c>
      <c r="K43" t="b">
        <v>1</v>
      </c>
    </row>
    <row r="44" spans="1:11">
      <c r="A44">
        <v>41</v>
      </c>
      <c r="B44">
        <v>5</v>
      </c>
      <c r="C44">
        <v>1</v>
      </c>
      <c r="D44">
        <v>3010</v>
      </c>
      <c r="F44">
        <v>3020</v>
      </c>
      <c r="G44" t="str">
        <f>INDEX(Define!E:E,MATCH(F44,Define!D:D))</f>
        <v>アイテム取得</v>
      </c>
      <c r="H44">
        <v>11010</v>
      </c>
      <c r="I44">
        <v>0</v>
      </c>
      <c r="J44">
        <v>0</v>
      </c>
      <c r="K44" t="b">
        <v>1</v>
      </c>
    </row>
    <row r="45" spans="1:11">
      <c r="A45">
        <v>41</v>
      </c>
      <c r="B45">
        <v>4</v>
      </c>
      <c r="C45">
        <v>6</v>
      </c>
      <c r="D45">
        <v>3010</v>
      </c>
      <c r="F45">
        <v>1010</v>
      </c>
      <c r="G45" t="str">
        <f>INDEX(Define!E:E,MATCH(F45,Define!D:D))</f>
        <v>Adv再生</v>
      </c>
      <c r="H45">
        <v>1040</v>
      </c>
      <c r="I45">
        <v>0</v>
      </c>
      <c r="J45">
        <v>0</v>
      </c>
      <c r="K45" t="b">
        <v>1</v>
      </c>
    </row>
    <row r="46" spans="1:11">
      <c r="A46">
        <v>41</v>
      </c>
      <c r="B46">
        <v>4</v>
      </c>
      <c r="C46">
        <v>4</v>
      </c>
      <c r="D46">
        <v>3010</v>
      </c>
      <c r="F46">
        <v>1010</v>
      </c>
      <c r="G46" t="str">
        <f>INDEX(Define!E:E,MATCH(F46,Define!D:D))</f>
        <v>Adv再生</v>
      </c>
      <c r="H46">
        <v>100</v>
      </c>
      <c r="I46">
        <v>0</v>
      </c>
      <c r="J46">
        <v>0</v>
      </c>
      <c r="K46" t="b">
        <v>1</v>
      </c>
    </row>
    <row r="47" spans="1:11">
      <c r="A47">
        <v>41</v>
      </c>
      <c r="B47">
        <v>4</v>
      </c>
      <c r="C47">
        <v>4</v>
      </c>
      <c r="D47">
        <v>3010</v>
      </c>
      <c r="F47">
        <v>5010</v>
      </c>
      <c r="G47" t="str">
        <f>INDEX(Define!E:E,MATCH(F47,Define!D:D))</f>
        <v>強制戦闘</v>
      </c>
      <c r="H47">
        <v>3020</v>
      </c>
      <c r="I47">
        <v>0</v>
      </c>
      <c r="J47">
        <v>0</v>
      </c>
      <c r="K47" t="b">
        <v>1</v>
      </c>
    </row>
    <row r="48" spans="1:11">
      <c r="A48">
        <v>41</v>
      </c>
      <c r="B48">
        <v>4</v>
      </c>
      <c r="C48">
        <v>4</v>
      </c>
      <c r="D48">
        <v>3010</v>
      </c>
      <c r="F48">
        <v>6010</v>
      </c>
      <c r="G48" t="str">
        <f>INDEX(Define!E:E,MATCH(F48,Define!D:D))</f>
        <v>指定のイベントマスを消す</v>
      </c>
      <c r="H48">
        <v>43</v>
      </c>
      <c r="I48">
        <v>0</v>
      </c>
      <c r="J48">
        <v>0</v>
      </c>
      <c r="K48" t="b">
        <v>1</v>
      </c>
    </row>
    <row r="49" spans="1:11">
      <c r="A49">
        <v>41</v>
      </c>
      <c r="B49">
        <v>4</v>
      </c>
      <c r="C49">
        <v>3</v>
      </c>
      <c r="D49">
        <v>3010</v>
      </c>
      <c r="F49">
        <v>0</v>
      </c>
      <c r="H49">
        <v>43</v>
      </c>
      <c r="I49">
        <v>0</v>
      </c>
      <c r="J49">
        <v>0</v>
      </c>
      <c r="K49" t="b">
        <v>1</v>
      </c>
    </row>
    <row r="50" spans="1:11">
      <c r="A50">
        <v>42</v>
      </c>
      <c r="B50">
        <v>2</v>
      </c>
      <c r="C50">
        <v>18</v>
      </c>
      <c r="D50">
        <v>3010</v>
      </c>
      <c r="F50">
        <v>2020</v>
      </c>
      <c r="G50" t="str">
        <f>INDEX(Define!E:E,MATCH(F50,Define!D:D))</f>
        <v>ダンジョン移動</v>
      </c>
      <c r="H50">
        <v>41</v>
      </c>
      <c r="I50">
        <v>9</v>
      </c>
      <c r="J50">
        <v>4</v>
      </c>
      <c r="K50" t="b">
        <v>0</v>
      </c>
    </row>
    <row r="51" spans="1:11">
      <c r="A51">
        <v>42</v>
      </c>
      <c r="B51">
        <v>8</v>
      </c>
      <c r="C51">
        <v>1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2020</v>
      </c>
      <c r="I51">
        <v>0</v>
      </c>
      <c r="J51">
        <v>0</v>
      </c>
      <c r="K51" t="b">
        <v>1</v>
      </c>
    </row>
    <row r="52" spans="1:11">
      <c r="A52">
        <v>42</v>
      </c>
      <c r="B52">
        <v>8</v>
      </c>
      <c r="C52">
        <v>8</v>
      </c>
      <c r="D52">
        <v>3010</v>
      </c>
      <c r="F52">
        <v>5020</v>
      </c>
      <c r="G52" t="str">
        <f>INDEX(Define!E:E,MATCH(F52,Define!D:D))</f>
        <v>強制ボス戦闘</v>
      </c>
      <c r="H52">
        <v>3010</v>
      </c>
      <c r="I52">
        <v>0</v>
      </c>
      <c r="J52">
        <v>0</v>
      </c>
      <c r="K52" t="b">
        <v>1</v>
      </c>
    </row>
    <row r="53" spans="1:11">
      <c r="A53">
        <v>42</v>
      </c>
      <c r="B53">
        <v>4</v>
      </c>
      <c r="C53">
        <v>8</v>
      </c>
      <c r="D53">
        <v>3010</v>
      </c>
      <c r="F53">
        <v>1010</v>
      </c>
      <c r="G53" t="str">
        <f>INDEX(Define!E:E,MATCH(F53,Define!D:D))</f>
        <v>Adv再生</v>
      </c>
      <c r="H53">
        <v>100</v>
      </c>
      <c r="I53">
        <v>0</v>
      </c>
      <c r="J53">
        <v>0</v>
      </c>
      <c r="K53" t="b">
        <v>1</v>
      </c>
    </row>
    <row r="54" spans="1:11">
      <c r="A54">
        <v>42</v>
      </c>
      <c r="B54">
        <v>4</v>
      </c>
      <c r="C54">
        <v>8</v>
      </c>
      <c r="D54">
        <v>3010</v>
      </c>
      <c r="F54">
        <v>5010</v>
      </c>
      <c r="G54" t="str">
        <f>INDEX(Define!E:E,MATCH(F54,Define!D:D))</f>
        <v>強制戦闘</v>
      </c>
      <c r="H54">
        <v>3030</v>
      </c>
      <c r="I54">
        <v>0</v>
      </c>
      <c r="J54">
        <v>0</v>
      </c>
      <c r="K54" t="b">
        <v>1</v>
      </c>
    </row>
    <row r="55" spans="1:11">
      <c r="A55">
        <v>42</v>
      </c>
      <c r="B55">
        <v>12</v>
      </c>
      <c r="C55">
        <v>8</v>
      </c>
      <c r="D55">
        <v>3010</v>
      </c>
      <c r="F55">
        <v>1010</v>
      </c>
      <c r="G55" t="str">
        <f>INDEX(Define!E:E,MATCH(F55,Define!D:D))</f>
        <v>Adv再生</v>
      </c>
      <c r="H55">
        <v>100</v>
      </c>
      <c r="I55">
        <v>0</v>
      </c>
      <c r="J55">
        <v>0</v>
      </c>
      <c r="K55" t="b">
        <v>1</v>
      </c>
    </row>
    <row r="56" spans="1:11">
      <c r="A56">
        <v>42</v>
      </c>
      <c r="B56">
        <v>12</v>
      </c>
      <c r="C56">
        <v>8</v>
      </c>
      <c r="D56">
        <v>3010</v>
      </c>
      <c r="F56">
        <v>5010</v>
      </c>
      <c r="G56" t="str">
        <f>INDEX(Define!E:E,MATCH(F56,Define!D:D))</f>
        <v>強制戦闘</v>
      </c>
      <c r="H56">
        <v>3040</v>
      </c>
      <c r="I56">
        <v>0</v>
      </c>
      <c r="J56">
        <v>0</v>
      </c>
      <c r="K56" t="b">
        <v>1</v>
      </c>
    </row>
    <row r="57" spans="1:11">
      <c r="A57">
        <v>42</v>
      </c>
      <c r="B57">
        <v>8</v>
      </c>
      <c r="C57">
        <v>10</v>
      </c>
      <c r="D57">
        <v>3010</v>
      </c>
      <c r="F57">
        <v>1010</v>
      </c>
      <c r="G57" t="str">
        <f>INDEX(Define!E:E,MATCH(F57,Define!D:D))</f>
        <v>Adv再生</v>
      </c>
      <c r="H57">
        <v>1030</v>
      </c>
      <c r="I57">
        <v>0</v>
      </c>
      <c r="J57">
        <v>0</v>
      </c>
      <c r="K57" t="b">
        <v>1</v>
      </c>
    </row>
    <row r="58" spans="1:11">
      <c r="A58">
        <v>42</v>
      </c>
      <c r="B58">
        <v>8</v>
      </c>
      <c r="C58">
        <v>10</v>
      </c>
      <c r="D58">
        <v>3010</v>
      </c>
      <c r="F58">
        <v>6020</v>
      </c>
      <c r="G58" t="str">
        <f>INDEX(Define!E:E,MATCH(F58,Define!D:D))</f>
        <v>同フロアの強制戦闘が終わってたらイベントマスを消す</v>
      </c>
      <c r="H58">
        <v>89</v>
      </c>
      <c r="I58">
        <v>0</v>
      </c>
      <c r="J58">
        <v>0</v>
      </c>
      <c r="K58" t="b">
        <v>1</v>
      </c>
    </row>
    <row r="59" spans="1:11">
      <c r="A59">
        <v>42</v>
      </c>
      <c r="B59">
        <v>8</v>
      </c>
      <c r="C59">
        <v>9</v>
      </c>
      <c r="D59">
        <v>3010</v>
      </c>
      <c r="F59">
        <v>0</v>
      </c>
      <c r="H59">
        <v>89</v>
      </c>
      <c r="I59">
        <v>0</v>
      </c>
      <c r="J59">
        <v>0</v>
      </c>
      <c r="K59" t="b">
        <v>1</v>
      </c>
    </row>
    <row r="60" spans="1:11">
      <c r="A60">
        <v>1010</v>
      </c>
      <c r="B60">
        <v>13</v>
      </c>
      <c r="C60">
        <v>13</v>
      </c>
      <c r="D60">
        <v>3010</v>
      </c>
      <c r="F60">
        <v>2010</v>
      </c>
      <c r="G60" t="str">
        <f>INDEX(Define!E:E,MATCH(F60,Define!D:D))</f>
        <v>ダンジョンから出る</v>
      </c>
      <c r="H60">
        <v>0</v>
      </c>
      <c r="I60">
        <v>0</v>
      </c>
      <c r="J60">
        <v>0</v>
      </c>
      <c r="K60" t="b">
        <v>0</v>
      </c>
    </row>
    <row r="61" spans="1:11">
      <c r="A61">
        <v>1010</v>
      </c>
      <c r="B61">
        <v>10</v>
      </c>
      <c r="C61">
        <v>4</v>
      </c>
      <c r="D61">
        <v>3010</v>
      </c>
      <c r="F61">
        <v>3030</v>
      </c>
      <c r="G61" t="str">
        <f>INDEX(Define!E:E,MATCH(F61,Define!D:D))</f>
        <v>魔法入手</v>
      </c>
      <c r="H61">
        <v>30010</v>
      </c>
      <c r="I61">
        <v>0</v>
      </c>
      <c r="J61">
        <v>0</v>
      </c>
      <c r="K61" t="b">
        <v>1</v>
      </c>
    </row>
    <row r="62" spans="1:11">
      <c r="A62">
        <v>1020</v>
      </c>
      <c r="B62">
        <v>7</v>
      </c>
      <c r="C62">
        <v>8</v>
      </c>
      <c r="D62">
        <v>3010</v>
      </c>
      <c r="F62">
        <v>2010</v>
      </c>
      <c r="G62" t="str">
        <f>INDEX(Define!E:E,MATCH(F62,Define!D:D))</f>
        <v>ダンジョンから出る</v>
      </c>
      <c r="H62">
        <v>0</v>
      </c>
      <c r="I62">
        <v>0</v>
      </c>
      <c r="J62">
        <v>0</v>
      </c>
      <c r="K62" t="b">
        <v>0</v>
      </c>
    </row>
    <row r="63" spans="1:11">
      <c r="A63">
        <v>1020</v>
      </c>
      <c r="B63">
        <v>12</v>
      </c>
      <c r="C63">
        <v>12</v>
      </c>
      <c r="D63">
        <v>3010</v>
      </c>
      <c r="F63">
        <v>3030</v>
      </c>
      <c r="G63" t="str">
        <f>INDEX(Define!E:E,MATCH(F63,Define!D:D))</f>
        <v>魔法入手</v>
      </c>
      <c r="H63">
        <v>30020</v>
      </c>
      <c r="I63">
        <v>0</v>
      </c>
      <c r="J63">
        <v>0</v>
      </c>
      <c r="K63" t="b">
        <v>1</v>
      </c>
    </row>
    <row r="64" spans="1:11">
      <c r="A64">
        <v>1020</v>
      </c>
      <c r="B64">
        <v>2</v>
      </c>
      <c r="C64">
        <v>1</v>
      </c>
      <c r="D64">
        <v>3010</v>
      </c>
      <c r="F64">
        <v>3020</v>
      </c>
      <c r="G64" t="str">
        <f>INDEX(Define!E:E,MATCH(F64,Define!D:D))</f>
        <v>アイテム取得</v>
      </c>
      <c r="H64">
        <v>11010</v>
      </c>
      <c r="I64">
        <v>0</v>
      </c>
      <c r="J64">
        <v>0</v>
      </c>
      <c r="K64" t="b">
        <v>1</v>
      </c>
    </row>
    <row r="65" spans="1:11">
      <c r="A65">
        <v>1020</v>
      </c>
      <c r="B65">
        <v>9</v>
      </c>
      <c r="C65">
        <v>4</v>
      </c>
      <c r="D65">
        <v>3010</v>
      </c>
      <c r="F65">
        <v>3020</v>
      </c>
      <c r="G65" t="str">
        <f>INDEX(Define!E:E,MATCH(F65,Define!D:D))</f>
        <v>アイテム取得</v>
      </c>
      <c r="H65">
        <v>11020</v>
      </c>
      <c r="I65">
        <v>0</v>
      </c>
      <c r="J65">
        <v>0</v>
      </c>
      <c r="K65" t="b">
        <v>1</v>
      </c>
    </row>
    <row r="66" spans="1:11">
      <c r="A66">
        <v>1020</v>
      </c>
      <c r="B66">
        <v>10</v>
      </c>
      <c r="C66">
        <v>12</v>
      </c>
      <c r="D66">
        <v>3010</v>
      </c>
      <c r="F66">
        <v>3020</v>
      </c>
      <c r="G66" t="str">
        <f>INDEX(Define!E:E,MATCH(F66,Define!D:D))</f>
        <v>アイテム取得</v>
      </c>
      <c r="H66">
        <v>11030</v>
      </c>
      <c r="I66">
        <v>0</v>
      </c>
      <c r="J66">
        <v>0</v>
      </c>
      <c r="K66" t="b">
        <v>1</v>
      </c>
    </row>
    <row r="67" spans="1:11">
      <c r="A67">
        <v>2010</v>
      </c>
      <c r="B67">
        <v>7</v>
      </c>
      <c r="C67">
        <v>1</v>
      </c>
      <c r="D67">
        <v>3010</v>
      </c>
      <c r="F67">
        <v>2020</v>
      </c>
      <c r="G67" t="str">
        <f>INDEX(Define!E:E,MATCH(F67,Define!D:D))</f>
        <v>ダンジョン移動</v>
      </c>
      <c r="H67">
        <v>2011</v>
      </c>
      <c r="I67">
        <v>7</v>
      </c>
      <c r="J67">
        <v>12</v>
      </c>
      <c r="K67" t="b">
        <v>0</v>
      </c>
    </row>
    <row r="68" spans="1:11">
      <c r="A68">
        <v>2010</v>
      </c>
      <c r="B68">
        <v>7</v>
      </c>
      <c r="C68">
        <v>7</v>
      </c>
      <c r="D68">
        <v>3010</v>
      </c>
      <c r="F68">
        <v>5020</v>
      </c>
      <c r="G68" t="str">
        <f>INDEX(Define!E:E,MATCH(F68,Define!D:D))</f>
        <v>強制ボス戦闘</v>
      </c>
      <c r="H68">
        <v>20010</v>
      </c>
      <c r="I68">
        <v>0</v>
      </c>
      <c r="J68">
        <v>0</v>
      </c>
      <c r="K68" t="b">
        <v>1</v>
      </c>
    </row>
    <row r="69" spans="1:11">
      <c r="A69">
        <v>2011</v>
      </c>
      <c r="B69">
        <v>7</v>
      </c>
      <c r="C69">
        <v>1</v>
      </c>
      <c r="D69">
        <v>3010</v>
      </c>
      <c r="F69">
        <v>2020</v>
      </c>
      <c r="G69" t="str">
        <f>INDEX(Define!E:E,MATCH(F69,Define!D:D))</f>
        <v>ダンジョン移動</v>
      </c>
      <c r="H69">
        <v>2012</v>
      </c>
      <c r="I69">
        <v>7</v>
      </c>
      <c r="J69">
        <v>12</v>
      </c>
      <c r="K69" t="b">
        <v>0</v>
      </c>
    </row>
    <row r="70" spans="1:11">
      <c r="A70">
        <v>2011</v>
      </c>
      <c r="B70">
        <v>7</v>
      </c>
      <c r="C70">
        <v>7</v>
      </c>
      <c r="D70">
        <v>3010</v>
      </c>
      <c r="F70">
        <v>5020</v>
      </c>
      <c r="G70" t="str">
        <f>INDEX(Define!E:E,MATCH(F70,Define!D:D))</f>
        <v>強制ボス戦闘</v>
      </c>
      <c r="H70">
        <v>20020</v>
      </c>
      <c r="I70">
        <v>0</v>
      </c>
      <c r="J70">
        <v>0</v>
      </c>
      <c r="K70" t="b">
        <v>1</v>
      </c>
    </row>
    <row r="71" spans="1:11">
      <c r="A71">
        <v>2012</v>
      </c>
      <c r="B71">
        <v>7</v>
      </c>
      <c r="C71">
        <v>7</v>
      </c>
      <c r="D71">
        <v>3010</v>
      </c>
      <c r="F71">
        <v>5020</v>
      </c>
      <c r="G71" t="str">
        <f>INDEX(Define!E:E,MATCH(F71,Define!D:D))</f>
        <v>強制ボス戦闘</v>
      </c>
      <c r="H71">
        <v>20030</v>
      </c>
      <c r="I71">
        <v>0</v>
      </c>
      <c r="J71">
        <v>0</v>
      </c>
      <c r="K71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"/>
  <sheetViews>
    <sheetView topLeftCell="A13" workbookViewId="0">
      <selection activeCell="B36" sqref="B36"/>
    </sheetView>
  </sheetViews>
  <sheetFormatPr defaultColWidth="8.72727272727273" defaultRowHeight="13" outlineLevelCol="2"/>
  <sheetData>
    <row r="1" spans="1:3">
      <c r="A1" t="s">
        <v>0</v>
      </c>
      <c r="B1" t="s">
        <v>32</v>
      </c>
      <c r="C1" t="s">
        <v>33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42</v>
      </c>
      <c r="B36">
        <v>15</v>
      </c>
      <c r="C36">
        <v>15</v>
      </c>
    </row>
    <row r="37" spans="1:3">
      <c r="A37">
        <v>1010</v>
      </c>
      <c r="B37">
        <v>3</v>
      </c>
      <c r="C37">
        <v>20</v>
      </c>
    </row>
    <row r="38" spans="1:3">
      <c r="A38">
        <v>1010</v>
      </c>
      <c r="B38">
        <v>6</v>
      </c>
      <c r="C38">
        <v>20</v>
      </c>
    </row>
    <row r="39" spans="1:3">
      <c r="A39">
        <v>1010</v>
      </c>
      <c r="B39">
        <v>1</v>
      </c>
      <c r="C39">
        <v>20</v>
      </c>
    </row>
    <row r="40" spans="1:3">
      <c r="A40">
        <v>1010</v>
      </c>
      <c r="B40">
        <v>7</v>
      </c>
      <c r="C40">
        <v>20</v>
      </c>
    </row>
    <row r="41" spans="1:3">
      <c r="A41">
        <v>1020</v>
      </c>
      <c r="B41">
        <v>2</v>
      </c>
      <c r="C41">
        <v>15</v>
      </c>
    </row>
    <row r="42" spans="1:3">
      <c r="A42">
        <v>1020</v>
      </c>
      <c r="B42">
        <v>4</v>
      </c>
      <c r="C42">
        <v>15</v>
      </c>
    </row>
    <row r="43" spans="1:3">
      <c r="A43">
        <v>1020</v>
      </c>
      <c r="B43">
        <v>7</v>
      </c>
      <c r="C43">
        <v>15</v>
      </c>
    </row>
    <row r="44" spans="1:3">
      <c r="A44">
        <v>1020</v>
      </c>
      <c r="B44">
        <v>8</v>
      </c>
      <c r="C44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34</v>
      </c>
      <c r="C1" t="s">
        <v>25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B12" sqref="B1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40</v>
      </c>
      <c r="C1" t="s">
        <v>41</v>
      </c>
    </row>
    <row r="2" spans="1:3">
      <c r="A2">
        <v>1</v>
      </c>
      <c r="B2" t="s">
        <v>42</v>
      </c>
      <c r="C2" s="3" t="s">
        <v>17</v>
      </c>
    </row>
    <row r="3" spans="1:4">
      <c r="A3">
        <v>10</v>
      </c>
      <c r="B3" s="1" t="s">
        <v>43</v>
      </c>
      <c r="C3" s="2" t="s">
        <v>17</v>
      </c>
      <c r="D3" s="3"/>
    </row>
    <row r="4" spans="1:4">
      <c r="A4">
        <v>20</v>
      </c>
      <c r="B4" s="1" t="s">
        <v>44</v>
      </c>
      <c r="C4" s="2" t="s">
        <v>17</v>
      </c>
      <c r="D4" s="3"/>
    </row>
    <row r="5" spans="1:4">
      <c r="A5">
        <v>21</v>
      </c>
      <c r="B5" s="1" t="s">
        <v>45</v>
      </c>
      <c r="C5" s="2" t="s">
        <v>17</v>
      </c>
      <c r="D5" s="3"/>
    </row>
    <row r="6" spans="1:4">
      <c r="A6">
        <v>30</v>
      </c>
      <c r="B6" s="1" t="s">
        <v>46</v>
      </c>
      <c r="C6" s="2" t="s">
        <v>17</v>
      </c>
      <c r="D6" s="3"/>
    </row>
    <row r="7" spans="1:4">
      <c r="A7">
        <v>31</v>
      </c>
      <c r="B7" s="1" t="s">
        <v>47</v>
      </c>
      <c r="C7" s="2" t="s">
        <v>17</v>
      </c>
      <c r="D7" s="3"/>
    </row>
    <row r="8" spans="1:4">
      <c r="A8">
        <v>32</v>
      </c>
      <c r="B8" s="1" t="s">
        <v>48</v>
      </c>
      <c r="C8" s="2" t="s">
        <v>17</v>
      </c>
      <c r="D8" s="3"/>
    </row>
    <row r="9" spans="1:4">
      <c r="A9">
        <v>40</v>
      </c>
      <c r="B9" s="1" t="s">
        <v>49</v>
      </c>
      <c r="C9" s="2" t="s">
        <v>17</v>
      </c>
      <c r="D9" s="3"/>
    </row>
    <row r="10" spans="1:4">
      <c r="A10">
        <v>41</v>
      </c>
      <c r="B10" s="1" t="s">
        <v>50</v>
      </c>
      <c r="C10" s="2" t="s">
        <v>17</v>
      </c>
      <c r="D10" s="3"/>
    </row>
    <row r="11" spans="1:4">
      <c r="A11">
        <v>42</v>
      </c>
      <c r="B11" s="1" t="s">
        <v>51</v>
      </c>
      <c r="C11" s="2" t="s">
        <v>17</v>
      </c>
      <c r="D11" s="3"/>
    </row>
    <row r="12" spans="1:4">
      <c r="A12">
        <v>1010</v>
      </c>
      <c r="B12" s="1" t="s">
        <v>52</v>
      </c>
      <c r="C12" s="4" t="s">
        <v>17</v>
      </c>
      <c r="D12" s="3"/>
    </row>
    <row r="13" spans="1:4">
      <c r="A13">
        <v>1020</v>
      </c>
      <c r="B13" s="1" t="s">
        <v>52</v>
      </c>
      <c r="C13" s="4" t="s">
        <v>17</v>
      </c>
      <c r="D13" s="3"/>
    </row>
    <row r="14" spans="1:4">
      <c r="A14">
        <v>1030</v>
      </c>
      <c r="B14" s="1" t="s">
        <v>53</v>
      </c>
      <c r="C14" s="4" t="s">
        <v>17</v>
      </c>
      <c r="D14" s="3"/>
    </row>
    <row r="15" spans="1:4">
      <c r="A15">
        <v>2010</v>
      </c>
      <c r="B15" s="1" t="s">
        <v>54</v>
      </c>
      <c r="C15" s="4" t="s">
        <v>17</v>
      </c>
      <c r="D15" s="3"/>
    </row>
    <row r="16" spans="1:4">
      <c r="A16">
        <v>10010</v>
      </c>
      <c r="B16" s="1" t="s">
        <v>55</v>
      </c>
      <c r="C16" s="4" t="s">
        <v>17</v>
      </c>
      <c r="D16" s="3"/>
    </row>
    <row r="17" spans="3:4">
      <c r="C17" s="3"/>
      <c r="D17" s="3"/>
    </row>
    <row r="18" spans="3:3">
      <c r="C18" s="3"/>
    </row>
    <row r="19" spans="3:3">
      <c r="C19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4" sqref="E1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25</v>
      </c>
      <c r="D1" t="s">
        <v>27</v>
      </c>
      <c r="I1" t="s">
        <v>56</v>
      </c>
      <c r="K1" s="1" t="s">
        <v>57</v>
      </c>
      <c r="M1" s="1" t="s">
        <v>58</v>
      </c>
    </row>
    <row r="2" spans="1:14">
      <c r="A2">
        <v>0</v>
      </c>
      <c r="B2" t="s">
        <v>59</v>
      </c>
      <c r="D2">
        <v>0</v>
      </c>
      <c r="E2" t="s">
        <v>59</v>
      </c>
      <c r="I2">
        <v>-1</v>
      </c>
      <c r="J2" t="s">
        <v>60</v>
      </c>
      <c r="K2">
        <v>-1</v>
      </c>
      <c r="L2" t="s">
        <v>60</v>
      </c>
      <c r="M2">
        <v>0</v>
      </c>
      <c r="N2" s="1" t="s">
        <v>61</v>
      </c>
    </row>
    <row r="3" spans="1:15">
      <c r="A3">
        <v>110</v>
      </c>
      <c r="B3" t="s">
        <v>62</v>
      </c>
      <c r="D3">
        <v>1010</v>
      </c>
      <c r="E3" t="s">
        <v>63</v>
      </c>
      <c r="I3">
        <v>0</v>
      </c>
      <c r="J3" s="1" t="s">
        <v>64</v>
      </c>
      <c r="K3">
        <v>0</v>
      </c>
      <c r="L3" s="1" t="s">
        <v>64</v>
      </c>
      <c r="M3">
        <v>10</v>
      </c>
      <c r="N3" s="1" t="s">
        <v>65</v>
      </c>
      <c r="O3" s="1" t="s">
        <v>66</v>
      </c>
    </row>
    <row r="4" spans="1:15">
      <c r="A4">
        <v>210</v>
      </c>
      <c r="B4" t="s">
        <v>67</v>
      </c>
      <c r="D4">
        <v>2010</v>
      </c>
      <c r="E4" t="s">
        <v>68</v>
      </c>
      <c r="I4">
        <v>10</v>
      </c>
      <c r="J4" t="s">
        <v>69</v>
      </c>
      <c r="K4">
        <v>11</v>
      </c>
      <c r="L4" t="s">
        <v>70</v>
      </c>
      <c r="M4">
        <v>20</v>
      </c>
      <c r="N4" s="1" t="s">
        <v>71</v>
      </c>
      <c r="O4" s="1" t="s">
        <v>72</v>
      </c>
    </row>
    <row r="5" ht="39" spans="1:15">
      <c r="A5">
        <v>1010</v>
      </c>
      <c r="B5" s="1" t="s">
        <v>73</v>
      </c>
      <c r="D5">
        <v>2020</v>
      </c>
      <c r="E5" t="s">
        <v>74</v>
      </c>
      <c r="I5">
        <v>11</v>
      </c>
      <c r="J5" t="s">
        <v>70</v>
      </c>
      <c r="K5">
        <v>20</v>
      </c>
      <c r="L5" s="1" t="s">
        <v>75</v>
      </c>
      <c r="M5">
        <v>30</v>
      </c>
      <c r="N5" s="1" t="s">
        <v>76</v>
      </c>
      <c r="O5" s="2" t="s">
        <v>77</v>
      </c>
    </row>
    <row r="6" spans="1:15">
      <c r="A6">
        <v>3010</v>
      </c>
      <c r="B6" t="s">
        <v>78</v>
      </c>
      <c r="D6">
        <v>3010</v>
      </c>
      <c r="E6" t="s">
        <v>79</v>
      </c>
      <c r="I6">
        <v>20</v>
      </c>
      <c r="J6" t="s">
        <v>80</v>
      </c>
      <c r="K6">
        <v>30</v>
      </c>
      <c r="L6" s="1" t="s">
        <v>81</v>
      </c>
      <c r="M6">
        <v>40</v>
      </c>
      <c r="N6" s="1" t="s">
        <v>82</v>
      </c>
      <c r="O6" s="1" t="s">
        <v>83</v>
      </c>
    </row>
    <row r="7" spans="4:15">
      <c r="D7">
        <v>3020</v>
      </c>
      <c r="E7" t="s">
        <v>84</v>
      </c>
      <c r="I7">
        <v>30</v>
      </c>
      <c r="J7" t="s">
        <v>81</v>
      </c>
      <c r="K7">
        <v>40</v>
      </c>
      <c r="L7" s="1" t="s">
        <v>85</v>
      </c>
      <c r="M7">
        <v>50</v>
      </c>
      <c r="N7" s="1" t="s">
        <v>86</v>
      </c>
      <c r="O7" s="1" t="s">
        <v>87</v>
      </c>
    </row>
    <row r="8" ht="39" spans="4:15">
      <c r="D8">
        <v>3030</v>
      </c>
      <c r="E8" t="s">
        <v>88</v>
      </c>
      <c r="I8">
        <v>40</v>
      </c>
      <c r="J8" t="s">
        <v>89</v>
      </c>
      <c r="K8">
        <v>50</v>
      </c>
      <c r="L8" t="s">
        <v>90</v>
      </c>
      <c r="M8">
        <v>60</v>
      </c>
      <c r="N8" s="1" t="s">
        <v>61</v>
      </c>
      <c r="O8" s="2" t="s">
        <v>91</v>
      </c>
    </row>
    <row r="9" spans="4:15">
      <c r="D9">
        <v>4010</v>
      </c>
      <c r="E9" t="s">
        <v>92</v>
      </c>
      <c r="I9">
        <v>50</v>
      </c>
      <c r="J9" t="s">
        <v>90</v>
      </c>
      <c r="K9">
        <v>60</v>
      </c>
      <c r="L9" t="s">
        <v>93</v>
      </c>
      <c r="M9">
        <v>70</v>
      </c>
      <c r="N9" s="1" t="s">
        <v>94</v>
      </c>
      <c r="O9" s="1" t="s">
        <v>95</v>
      </c>
    </row>
    <row r="10" spans="4:15">
      <c r="D10">
        <v>4020</v>
      </c>
      <c r="E10" t="s">
        <v>96</v>
      </c>
      <c r="I10">
        <v>60</v>
      </c>
      <c r="J10" t="s">
        <v>93</v>
      </c>
      <c r="K10">
        <v>70</v>
      </c>
      <c r="L10" t="s">
        <v>97</v>
      </c>
      <c r="M10">
        <v>80</v>
      </c>
      <c r="N10" s="1" t="s">
        <v>98</v>
      </c>
      <c r="O10" s="1" t="s">
        <v>99</v>
      </c>
    </row>
    <row r="11" spans="4:12">
      <c r="D11">
        <v>5010</v>
      </c>
      <c r="E11" t="s">
        <v>100</v>
      </c>
      <c r="I11">
        <v>70</v>
      </c>
      <c r="J11" t="s">
        <v>97</v>
      </c>
      <c r="K11">
        <v>80</v>
      </c>
      <c r="L11" t="s">
        <v>101</v>
      </c>
    </row>
    <row r="12" spans="4:12">
      <c r="D12">
        <v>5020</v>
      </c>
      <c r="E12" t="s">
        <v>102</v>
      </c>
      <c r="I12">
        <v>80</v>
      </c>
      <c r="J12" t="s">
        <v>101</v>
      </c>
      <c r="K12">
        <v>90</v>
      </c>
      <c r="L12" s="1" t="s">
        <v>103</v>
      </c>
    </row>
    <row r="13" spans="4:12">
      <c r="D13">
        <v>6010</v>
      </c>
      <c r="E13" t="s">
        <v>104</v>
      </c>
      <c r="I13">
        <v>99</v>
      </c>
      <c r="J13" t="s">
        <v>105</v>
      </c>
      <c r="K13">
        <v>99</v>
      </c>
      <c r="L13" t="s">
        <v>105</v>
      </c>
    </row>
    <row r="14" spans="4:12">
      <c r="D14">
        <v>6020</v>
      </c>
      <c r="E14" t="s">
        <v>106</v>
      </c>
      <c r="K14">
        <v>1000</v>
      </c>
      <c r="L14" s="1" t="s">
        <v>107</v>
      </c>
    </row>
    <row r="15" spans="4:5">
      <c r="D15">
        <v>7010</v>
      </c>
      <c r="E15" t="s">
        <v>108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2025-06-24T02:34:02Z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