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623"/>
  <workbookPr/>
  <mc:AlternateContent xmlns:mc="http://schemas.openxmlformats.org/markup-compatibility/2006">
    <mc:Choice Requires="x15">
      <x15ac:absPath xmlns:x15ac="http://schemas.microsoft.com/office/spreadsheetml/2010/11/ac" url="C:\Users\User\Documents\hibikake_unity\Assets\Data\"/>
    </mc:Choice>
  </mc:AlternateContent>
  <xr:revisionPtr revIDLastSave="0" documentId="13_ncr:1_{1AB5B736-DAB8-4836-8BE5-EA21197FA1CB}" xr6:coauthVersionLast="47" xr6:coauthVersionMax="47" xr10:uidLastSave="{00000000-0000-0000-0000-000000000000}"/>
  <bookViews>
    <workbookView xWindow="-110" yWindow="490" windowWidth="19420" windowHeight="11620" tabRatio="802" activeTab="6" xr2:uid="{00000000-000D-0000-FFFF-FFFF00000000}"/>
  </bookViews>
  <sheets>
    <sheet name="Stages" sheetId="1" r:id="rId1"/>
    <sheet name="StageEvents" sheetId="2" r:id="rId2"/>
    <sheet name="StageSymbols" sheetId="8" r:id="rId3"/>
    <sheet name="StageEnemyRates" sheetId="9" r:id="rId4"/>
    <sheet name="SymbolGroup" sheetId="7" r:id="rId5"/>
    <sheet name="Tutorials" sheetId="4" r:id="rId6"/>
    <sheet name="TextData" sheetId="5" r:id="rId7"/>
    <sheet name="Define" sheetId="6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26" i="8" l="1"/>
  <c r="F25" i="8"/>
  <c r="F27" i="8"/>
  <c r="F18" i="8"/>
  <c r="F24" i="8"/>
  <c r="F23" i="8"/>
  <c r="F22" i="8"/>
  <c r="F21" i="8"/>
  <c r="F20" i="8"/>
  <c r="F19" i="8"/>
  <c r="F28" i="8"/>
  <c r="F17" i="8"/>
  <c r="F16" i="8"/>
  <c r="F15" i="8"/>
  <c r="F14" i="8"/>
  <c r="F13" i="8"/>
  <c r="F12" i="8"/>
  <c r="F11" i="8"/>
  <c r="F10" i="8"/>
  <c r="F9" i="8"/>
  <c r="F8" i="8"/>
  <c r="F7" i="8"/>
  <c r="F6" i="8"/>
  <c r="F5" i="8"/>
  <c r="F4" i="8"/>
  <c r="F2" i="8"/>
  <c r="F3" i="8"/>
  <c r="C16" i="7"/>
  <c r="C15" i="7"/>
  <c r="C14" i="7"/>
  <c r="C13" i="7"/>
  <c r="C12" i="7"/>
  <c r="C11" i="7"/>
  <c r="C10" i="7"/>
  <c r="C9" i="7"/>
  <c r="C8" i="7"/>
  <c r="C7" i="7"/>
  <c r="C6" i="7"/>
  <c r="C5" i="7"/>
  <c r="C4" i="7"/>
  <c r="C3" i="7"/>
  <c r="C2" i="7"/>
</calcChain>
</file>

<file path=xl/sharedStrings.xml><?xml version="1.0" encoding="utf-8"?>
<sst xmlns="http://schemas.openxmlformats.org/spreadsheetml/2006/main" count="163" uniqueCount="104">
  <si>
    <t>Id</t>
  </si>
  <si>
    <t>NameId</t>
  </si>
  <si>
    <t>StageNo</t>
  </si>
  <si>
    <t>Selectable</t>
  </si>
  <si>
    <t>StageLv</t>
  </si>
  <si>
    <t>RandomTroopWeight</t>
  </si>
  <si>
    <t>BGMId</t>
  </si>
  <si>
    <t>BossBGMId</t>
  </si>
  <si>
    <t>MenuBGMId</t>
  </si>
  <si>
    <t>BackGround</t>
  </si>
  <si>
    <t>-</t>
  </si>
  <si>
    <t>Turns</t>
  </si>
  <si>
    <t>Timing</t>
  </si>
  <si>
    <t>_</t>
  </si>
  <si>
    <t>Type</t>
  </si>
  <si>
    <t>Param</t>
  </si>
  <si>
    <t>ReadFlag</t>
  </si>
  <si>
    <t>SymbolType</t>
  </si>
  <si>
    <t>Rate</t>
  </si>
  <si>
    <t>Param1</t>
  </si>
  <si>
    <t>Param2</t>
  </si>
  <si>
    <t>PrizeSetId</t>
  </si>
  <si>
    <t>ClearCount</t>
  </si>
  <si>
    <t>Seek=-1でステージ開始時に入手</t>
  </si>
  <si>
    <t>Seek=0でランダム生成用</t>
  </si>
  <si>
    <t>EnemyId</t>
  </si>
  <si>
    <t>Weight</t>
  </si>
  <si>
    <t>GroupId</t>
  </si>
  <si>
    <t>SceneType</t>
  </si>
  <si>
    <t>X</t>
  </si>
  <si>
    <t>Y</t>
  </si>
  <si>
    <t>Width</t>
  </si>
  <si>
    <t>Height</t>
  </si>
  <si>
    <t>Text</t>
  </si>
  <si>
    <t>Help</t>
  </si>
  <si>
    <t>ダミー</t>
  </si>
  <si>
    <t>なし</t>
  </si>
  <si>
    <t>Random</t>
  </si>
  <si>
    <t>Tactics開始(UI表示前)</t>
  </si>
  <si>
    <t>コマンドを制限する</t>
  </si>
  <si>
    <t>Battle勝利後</t>
  </si>
  <si>
    <t>バトルをチュートリアルで固定する</t>
  </si>
  <si>
    <t>Battle</t>
  </si>
  <si>
    <t>全員コマンドを選ばないと進まない</t>
  </si>
  <si>
    <t>Boss</t>
  </si>
  <si>
    <t>隷従属度フラグを管理</t>
  </si>
  <si>
    <t>Event</t>
  </si>
  <si>
    <t>アルカナフラグを管理</t>
  </si>
  <si>
    <t>Alcana</t>
  </si>
  <si>
    <t>仲間を選んで加入する</t>
  </si>
  <si>
    <t>Actor</t>
  </si>
  <si>
    <t>セーブを行う</t>
  </si>
  <si>
    <t>Resource</t>
  </si>
  <si>
    <t>ボスの選択番号を設定する</t>
  </si>
  <si>
    <t>Rebirth</t>
  </si>
  <si>
    <t>SPを消費しないと進まない</t>
  </si>
  <si>
    <t>SelectActor</t>
  </si>
  <si>
    <t>IDにActorIDを加算してADV再生</t>
  </si>
  <si>
    <t>Shop</t>
  </si>
  <si>
    <t>ルート分岐イベント</t>
  </si>
  <si>
    <t>Group</t>
  </si>
  <si>
    <t>ルート分岐パラメータ設定</t>
  </si>
  <si>
    <t>ルート分岐ステージ移動</t>
  </si>
  <si>
    <t>ステージクリア</t>
  </si>
  <si>
    <t>ルート分岐でステージに移動</t>
  </si>
  <si>
    <t>ルート分岐敵グループを生成</t>
  </si>
  <si>
    <t>表示残りターンをマスターから取得</t>
  </si>
  <si>
    <t>継承スキル演出開始</t>
  </si>
  <si>
    <t>ステージ移動</t>
  </si>
  <si>
    <t>中ボスを設置する(コマンド制限判定あり)</t>
  </si>
  <si>
    <t>上位者ボスを設置する(コマンド制限判定あり)</t>
  </si>
  <si>
    <t>ADV再生</t>
  </si>
  <si>
    <t>今のステージシンボルの〇SeekIndexのバトルを開始</t>
  </si>
  <si>
    <t>サバイバルモードにする</t>
  </si>
  <si>
    <t>*</t>
    <phoneticPr fontId="2"/>
  </si>
  <si>
    <t>NA_background image_3D like_894</t>
    <phoneticPr fontId="2"/>
  </si>
  <si>
    <t>Width</t>
    <phoneticPr fontId="2"/>
  </si>
  <si>
    <t>Height</t>
    <phoneticPr fontId="2"/>
  </si>
  <si>
    <t>InitX</t>
    <phoneticPr fontId="2"/>
  </si>
  <si>
    <t>InitY</t>
    <phoneticPr fontId="2"/>
  </si>
  <si>
    <t>PartyMemberIds</t>
    <phoneticPr fontId="2"/>
  </si>
  <si>
    <t>UnitType</t>
    <phoneticPr fontId="2"/>
  </si>
  <si>
    <t>Battler</t>
    <phoneticPr fontId="2"/>
  </si>
  <si>
    <t>Basement</t>
    <phoneticPr fontId="2"/>
  </si>
  <si>
    <t>None</t>
    <phoneticPr fontId="2"/>
  </si>
  <si>
    <t>StageId</t>
    <phoneticPr fontId="2"/>
  </si>
  <si>
    <t>Id</t>
    <phoneticPr fontId="2"/>
  </si>
  <si>
    <t>MoveType</t>
    <phoneticPr fontId="2"/>
  </si>
  <si>
    <t>MoveParam</t>
    <phoneticPr fontId="2"/>
  </si>
  <si>
    <t>InitTeamId</t>
    <phoneticPr fontId="2"/>
  </si>
  <si>
    <t>MinX</t>
    <phoneticPr fontId="2"/>
  </si>
  <si>
    <t>MaxX</t>
    <phoneticPr fontId="2"/>
  </si>
  <si>
    <t>MinY</t>
    <phoneticPr fontId="2"/>
  </si>
  <si>
    <t>MaxY</t>
    <phoneticPr fontId="2"/>
  </si>
  <si>
    <t>ステージ1</t>
    <phoneticPr fontId="2"/>
  </si>
  <si>
    <t>""</t>
    <phoneticPr fontId="2"/>
  </si>
  <si>
    <t>ゲームの流れ</t>
    <rPh sb="4" eb="5">
      <t>ナガ</t>
    </rPh>
    <phoneticPr fontId="2"/>
  </si>
  <si>
    <t>チュートリアル開始</t>
    <rPh sb="7" eb="9">
      <t>カイシ</t>
    </rPh>
    <phoneticPr fontId="2"/>
  </si>
  <si>
    <t>ターン終了コマンド操作有効</t>
    <rPh sb="3" eb="5">
      <t>シュウリョウ</t>
    </rPh>
    <rPh sb="9" eb="11">
      <t>ソウサ</t>
    </rPh>
    <rPh sb="11" eb="13">
      <t>ユウコウ</t>
    </rPh>
    <phoneticPr fontId="2"/>
  </si>
  <si>
    <t>ターン終了コマンド操作無効</t>
    <rPh sb="3" eb="5">
      <t>シュウリョウ</t>
    </rPh>
    <rPh sb="9" eb="11">
      <t>ソウサ</t>
    </rPh>
    <rPh sb="11" eb="13">
      <t>ムコウ</t>
    </rPh>
    <phoneticPr fontId="2"/>
  </si>
  <si>
    <t>AchieveTextId</t>
    <phoneticPr fontId="2"/>
  </si>
  <si>
    <t>AchieveType</t>
    <phoneticPr fontId="2"/>
  </si>
  <si>
    <t>EnemyBasementId</t>
    <phoneticPr fontId="2"/>
  </si>
  <si>
    <t>有利なバトルの進め方</t>
    <rPh sb="0" eb="2">
      <t>ユウリ</t>
    </rPh>
    <rPh sb="7" eb="8">
      <t>スス</t>
    </rPh>
    <rPh sb="9" eb="10">
      <t>カタ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</si>
</sst>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ＭＳ Ｐゴシック"/>
      <charset val="134"/>
      <scheme val="minor"/>
    </font>
    <font>
      <sz val="11"/>
      <color theme="1"/>
      <name val="ＭＳ Ｐゴシック"/>
      <family val="3"/>
      <charset val="128"/>
      <scheme val="minor"/>
    </font>
    <font>
      <sz val="6"/>
      <name val="ＭＳ Ｐゴシック"/>
      <family val="3"/>
      <charset val="128"/>
      <scheme val="minor"/>
    </font>
    <font>
      <sz val="10.5"/>
      <name val="ＭＳ Ｐゴシック"/>
      <family val="3"/>
      <charset val="128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1" fillId="0" borderId="0" xfId="0" applyFont="1">
      <alignment vertical="center"/>
    </xf>
    <xf numFmtId="0" fontId="1" fillId="0" borderId="0" xfId="0" applyFont="1" applyAlignment="1">
      <alignment vertical="center" wrapText="1"/>
    </xf>
    <xf numFmtId="0" fontId="3" fillId="0" borderId="0" xfId="0" applyFont="1" applyAlignment="1">
      <alignment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5"/>
  <sheetViews>
    <sheetView workbookViewId="0">
      <selection activeCell="E5" sqref="E5"/>
    </sheetView>
  </sheetViews>
  <sheetFormatPr defaultColWidth="8.7265625" defaultRowHeight="13" x14ac:dyDescent="0.2"/>
  <cols>
    <col min="5" max="6" width="8.453125" customWidth="1"/>
    <col min="7" max="7" width="10.36328125" customWidth="1"/>
    <col min="22" max="22" width="32" customWidth="1"/>
  </cols>
  <sheetData>
    <row r="1" spans="1:22" x14ac:dyDescent="0.2">
      <c r="A1" t="s">
        <v>0</v>
      </c>
      <c r="B1" t="s">
        <v>1</v>
      </c>
      <c r="C1" t="s">
        <v>2</v>
      </c>
      <c r="D1" s="2" t="s">
        <v>101</v>
      </c>
      <c r="E1" s="2" t="s">
        <v>100</v>
      </c>
      <c r="F1" s="2" t="s">
        <v>102</v>
      </c>
      <c r="G1" t="s">
        <v>3</v>
      </c>
      <c r="H1" t="s">
        <v>4</v>
      </c>
      <c r="I1" s="2" t="s">
        <v>80</v>
      </c>
      <c r="J1" s="2" t="s">
        <v>76</v>
      </c>
      <c r="K1" s="2" t="s">
        <v>90</v>
      </c>
      <c r="L1" s="2" t="s">
        <v>91</v>
      </c>
      <c r="M1" s="2" t="s">
        <v>77</v>
      </c>
      <c r="N1" s="2" t="s">
        <v>92</v>
      </c>
      <c r="O1" s="2" t="s">
        <v>93</v>
      </c>
      <c r="P1" s="2" t="s">
        <v>78</v>
      </c>
      <c r="Q1" s="2" t="s">
        <v>79</v>
      </c>
      <c r="R1" t="s">
        <v>5</v>
      </c>
      <c r="S1" t="s">
        <v>6</v>
      </c>
      <c r="T1" t="s">
        <v>7</v>
      </c>
      <c r="U1" t="s">
        <v>8</v>
      </c>
      <c r="V1" t="s">
        <v>9</v>
      </c>
    </row>
    <row r="2" spans="1:22" x14ac:dyDescent="0.2">
      <c r="A2">
        <v>0</v>
      </c>
      <c r="B2">
        <v>1</v>
      </c>
      <c r="C2">
        <v>0</v>
      </c>
      <c r="D2">
        <v>1</v>
      </c>
      <c r="E2">
        <v>10001</v>
      </c>
      <c r="F2">
        <v>0</v>
      </c>
      <c r="G2">
        <v>0</v>
      </c>
      <c r="H2">
        <v>0</v>
      </c>
      <c r="I2">
        <v>0</v>
      </c>
      <c r="J2">
        <v>6</v>
      </c>
      <c r="K2">
        <v>0</v>
      </c>
      <c r="L2">
        <v>0</v>
      </c>
      <c r="M2">
        <v>6</v>
      </c>
      <c r="N2">
        <v>0</v>
      </c>
      <c r="O2">
        <v>0</v>
      </c>
      <c r="P2">
        <v>0</v>
      </c>
      <c r="Q2">
        <v>0</v>
      </c>
      <c r="R2">
        <v>30</v>
      </c>
      <c r="S2">
        <v>1010</v>
      </c>
      <c r="T2">
        <v>2010</v>
      </c>
      <c r="U2">
        <v>100</v>
      </c>
      <c r="V2" t="s">
        <v>10</v>
      </c>
    </row>
    <row r="3" spans="1:22" x14ac:dyDescent="0.2">
      <c r="A3">
        <v>10</v>
      </c>
      <c r="B3">
        <v>10</v>
      </c>
      <c r="C3">
        <v>1</v>
      </c>
      <c r="D3">
        <v>1</v>
      </c>
      <c r="E3">
        <v>10001</v>
      </c>
      <c r="F3">
        <v>0</v>
      </c>
      <c r="G3">
        <v>1</v>
      </c>
      <c r="H3">
        <v>0</v>
      </c>
      <c r="I3">
        <v>0</v>
      </c>
      <c r="J3">
        <v>30</v>
      </c>
      <c r="K3">
        <v>1</v>
      </c>
      <c r="L3">
        <v>29</v>
      </c>
      <c r="M3">
        <v>20</v>
      </c>
      <c r="N3">
        <v>1</v>
      </c>
      <c r="O3">
        <v>19</v>
      </c>
      <c r="P3">
        <v>1</v>
      </c>
      <c r="Q3">
        <v>5</v>
      </c>
      <c r="R3">
        <v>30</v>
      </c>
      <c r="S3">
        <v>1010</v>
      </c>
      <c r="T3">
        <v>2010</v>
      </c>
      <c r="U3">
        <v>100</v>
      </c>
      <c r="V3" s="2" t="s">
        <v>75</v>
      </c>
    </row>
    <row r="4" spans="1:22" x14ac:dyDescent="0.2">
      <c r="A4">
        <v>1010</v>
      </c>
      <c r="B4">
        <v>1010</v>
      </c>
      <c r="C4">
        <v>101</v>
      </c>
      <c r="D4">
        <v>1</v>
      </c>
      <c r="E4">
        <v>10001</v>
      </c>
      <c r="F4">
        <v>10030</v>
      </c>
      <c r="G4">
        <v>1</v>
      </c>
      <c r="H4">
        <v>0</v>
      </c>
      <c r="I4">
        <v>0</v>
      </c>
      <c r="J4">
        <v>16</v>
      </c>
      <c r="K4">
        <v>5</v>
      </c>
      <c r="L4">
        <v>12</v>
      </c>
      <c r="M4">
        <v>8</v>
      </c>
      <c r="N4">
        <v>3</v>
      </c>
      <c r="O4">
        <v>6</v>
      </c>
      <c r="P4">
        <v>4</v>
      </c>
      <c r="Q4">
        <v>4</v>
      </c>
      <c r="R4">
        <v>30</v>
      </c>
      <c r="S4">
        <v>1010</v>
      </c>
      <c r="T4">
        <v>2010</v>
      </c>
      <c r="U4">
        <v>100</v>
      </c>
      <c r="V4" s="2" t="s">
        <v>75</v>
      </c>
    </row>
    <row r="5" spans="1:22" x14ac:dyDescent="0.2">
      <c r="A5">
        <v>1020</v>
      </c>
      <c r="B5">
        <v>1020</v>
      </c>
      <c r="C5">
        <v>101</v>
      </c>
      <c r="D5">
        <v>1</v>
      </c>
      <c r="E5">
        <v>10001</v>
      </c>
      <c r="F5">
        <v>10030</v>
      </c>
      <c r="G5">
        <v>1</v>
      </c>
      <c r="H5">
        <v>0</v>
      </c>
      <c r="I5">
        <v>0</v>
      </c>
      <c r="J5">
        <v>20</v>
      </c>
      <c r="K5">
        <v>5</v>
      </c>
      <c r="L5">
        <v>16</v>
      </c>
      <c r="M5">
        <v>8</v>
      </c>
      <c r="N5">
        <v>3</v>
      </c>
      <c r="O5">
        <v>6</v>
      </c>
      <c r="P5">
        <v>10</v>
      </c>
      <c r="Q5">
        <v>4</v>
      </c>
      <c r="R5">
        <v>30</v>
      </c>
      <c r="S5">
        <v>1010</v>
      </c>
      <c r="T5">
        <v>2010</v>
      </c>
      <c r="U5">
        <v>100</v>
      </c>
      <c r="V5" s="2" t="s">
        <v>75</v>
      </c>
    </row>
  </sheetData>
  <phoneticPr fontId="2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5"/>
  <sheetViews>
    <sheetView workbookViewId="0">
      <selection activeCell="G6" sqref="G6"/>
    </sheetView>
  </sheetViews>
  <sheetFormatPr defaultColWidth="8.7265625" defaultRowHeight="13" x14ac:dyDescent="0.2"/>
  <cols>
    <col min="4" max="4" width="22.08984375" customWidth="1"/>
    <col min="6" max="6" width="18.36328125" customWidth="1"/>
  </cols>
  <sheetData>
    <row r="1" spans="1:8" x14ac:dyDescent="0.2">
      <c r="A1" t="s">
        <v>0</v>
      </c>
      <c r="B1" t="s">
        <v>11</v>
      </c>
      <c r="C1" t="s">
        <v>12</v>
      </c>
      <c r="D1" s="2" t="s">
        <v>74</v>
      </c>
      <c r="E1" t="s">
        <v>14</v>
      </c>
      <c r="F1" s="2" t="s">
        <v>74</v>
      </c>
      <c r="G1" t="s">
        <v>15</v>
      </c>
      <c r="H1" t="s">
        <v>16</v>
      </c>
    </row>
    <row r="2" spans="1:8" x14ac:dyDescent="0.2">
      <c r="A2">
        <v>1010</v>
      </c>
      <c r="B2">
        <v>1</v>
      </c>
      <c r="C2">
        <v>1010</v>
      </c>
      <c r="E2">
        <v>1011</v>
      </c>
      <c r="G2">
        <v>0</v>
      </c>
      <c r="H2" t="b">
        <v>1</v>
      </c>
    </row>
    <row r="3" spans="1:8" x14ac:dyDescent="0.2">
      <c r="A3">
        <v>1010</v>
      </c>
      <c r="B3">
        <v>1</v>
      </c>
      <c r="C3">
        <v>1010</v>
      </c>
      <c r="E3">
        <v>1010</v>
      </c>
      <c r="G3">
        <v>400</v>
      </c>
      <c r="H3" t="b">
        <v>1</v>
      </c>
    </row>
    <row r="4" spans="1:8" x14ac:dyDescent="0.2">
      <c r="A4">
        <v>1010</v>
      </c>
      <c r="B4">
        <v>1</v>
      </c>
      <c r="C4">
        <v>1010</v>
      </c>
      <c r="E4">
        <v>1011</v>
      </c>
      <c r="G4">
        <v>500</v>
      </c>
      <c r="H4" t="b">
        <v>1</v>
      </c>
    </row>
    <row r="5" spans="1:8" x14ac:dyDescent="0.2">
      <c r="A5">
        <v>1010</v>
      </c>
      <c r="B5">
        <v>1</v>
      </c>
      <c r="C5">
        <v>1010</v>
      </c>
      <c r="E5">
        <v>1010</v>
      </c>
      <c r="G5">
        <v>600</v>
      </c>
      <c r="H5" t="b">
        <v>1</v>
      </c>
    </row>
  </sheetData>
  <phoneticPr fontId="2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28"/>
  <sheetViews>
    <sheetView topLeftCell="A7" workbookViewId="0">
      <selection activeCell="A29" sqref="A29"/>
    </sheetView>
  </sheetViews>
  <sheetFormatPr defaultColWidth="8.7265625" defaultRowHeight="13" x14ac:dyDescent="0.2"/>
  <sheetData>
    <row r="1" spans="1:15" x14ac:dyDescent="0.2">
      <c r="A1" s="2" t="s">
        <v>86</v>
      </c>
      <c r="B1" s="2" t="s">
        <v>85</v>
      </c>
      <c r="C1" s="2" t="s">
        <v>78</v>
      </c>
      <c r="D1" s="2" t="s">
        <v>79</v>
      </c>
      <c r="E1" s="2" t="s">
        <v>81</v>
      </c>
      <c r="F1" s="2" t="s">
        <v>74</v>
      </c>
      <c r="G1" s="2" t="s">
        <v>89</v>
      </c>
      <c r="H1" t="s">
        <v>18</v>
      </c>
      <c r="I1" t="s">
        <v>19</v>
      </c>
      <c r="J1" t="s">
        <v>20</v>
      </c>
      <c r="K1" t="s">
        <v>21</v>
      </c>
      <c r="L1" t="s">
        <v>22</v>
      </c>
      <c r="M1" s="2" t="s">
        <v>87</v>
      </c>
      <c r="N1" s="2" t="s">
        <v>88</v>
      </c>
    </row>
    <row r="2" spans="1:15" x14ac:dyDescent="0.2">
      <c r="A2">
        <v>1000</v>
      </c>
      <c r="B2">
        <v>10</v>
      </c>
      <c r="C2">
        <v>-1</v>
      </c>
      <c r="D2">
        <v>0</v>
      </c>
      <c r="E2">
        <v>70</v>
      </c>
      <c r="F2" t="str">
        <f>INDEX(Define!L:L,MATCH(E2,Define!K:K))</f>
        <v>SelectActor</v>
      </c>
      <c r="G2">
        <v>0</v>
      </c>
      <c r="H2">
        <v>100</v>
      </c>
      <c r="I2">
        <v>0</v>
      </c>
      <c r="J2">
        <v>0</v>
      </c>
      <c r="K2">
        <v>1001</v>
      </c>
      <c r="L2">
        <v>0</v>
      </c>
      <c r="M2">
        <v>0</v>
      </c>
      <c r="N2">
        <v>0</v>
      </c>
      <c r="O2" t="s">
        <v>23</v>
      </c>
    </row>
    <row r="3" spans="1:15" x14ac:dyDescent="0.2">
      <c r="A3">
        <v>1010</v>
      </c>
      <c r="B3">
        <v>10</v>
      </c>
      <c r="C3">
        <v>11</v>
      </c>
      <c r="D3">
        <v>5</v>
      </c>
      <c r="E3">
        <v>1000</v>
      </c>
      <c r="F3" t="str">
        <f>INDEX(Define!L:L,MATCH(E3,Define!K:K))</f>
        <v>Battler</v>
      </c>
      <c r="G3">
        <v>2</v>
      </c>
      <c r="H3">
        <v>100</v>
      </c>
      <c r="I3">
        <v>1011</v>
      </c>
      <c r="J3">
        <v>0</v>
      </c>
      <c r="K3">
        <v>1011</v>
      </c>
      <c r="L3">
        <v>0</v>
      </c>
      <c r="M3">
        <v>1</v>
      </c>
      <c r="N3">
        <v>0</v>
      </c>
      <c r="O3" t="s">
        <v>24</v>
      </c>
    </row>
    <row r="4" spans="1:15" x14ac:dyDescent="0.2">
      <c r="A4">
        <v>1020</v>
      </c>
      <c r="B4">
        <v>10</v>
      </c>
      <c r="C4">
        <v>4</v>
      </c>
      <c r="D4">
        <v>4</v>
      </c>
      <c r="E4">
        <v>20</v>
      </c>
      <c r="F4" t="str">
        <f>INDEX(Define!L:L,MATCH(E4,Define!K:K))</f>
        <v>Basement</v>
      </c>
      <c r="G4">
        <v>1</v>
      </c>
      <c r="H4">
        <v>100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 t="s">
        <v>24</v>
      </c>
    </row>
    <row r="5" spans="1:15" x14ac:dyDescent="0.2">
      <c r="A5">
        <v>1030</v>
      </c>
      <c r="B5">
        <v>10</v>
      </c>
      <c r="C5">
        <v>4</v>
      </c>
      <c r="D5">
        <v>3</v>
      </c>
      <c r="E5">
        <v>0</v>
      </c>
      <c r="F5" t="str">
        <f>INDEX(Define!L:L,MATCH(E5,Define!K:K))</f>
        <v>None</v>
      </c>
      <c r="G5">
        <v>0</v>
      </c>
      <c r="H5">
        <v>100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 t="s">
        <v>24</v>
      </c>
    </row>
    <row r="6" spans="1:15" x14ac:dyDescent="0.2">
      <c r="A6">
        <v>1040</v>
      </c>
      <c r="B6">
        <v>10</v>
      </c>
      <c r="C6">
        <v>4</v>
      </c>
      <c r="D6">
        <v>5</v>
      </c>
      <c r="E6">
        <v>0</v>
      </c>
      <c r="F6" t="str">
        <f>INDEX(Define!L:L,MATCH(E6,Define!K:K))</f>
        <v>None</v>
      </c>
      <c r="G6">
        <v>0</v>
      </c>
      <c r="H6">
        <v>100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 t="s">
        <v>24</v>
      </c>
    </row>
    <row r="7" spans="1:15" x14ac:dyDescent="0.2">
      <c r="A7">
        <v>1050</v>
      </c>
      <c r="B7">
        <v>10</v>
      </c>
      <c r="C7">
        <v>6</v>
      </c>
      <c r="D7">
        <v>4</v>
      </c>
      <c r="E7">
        <v>0</v>
      </c>
      <c r="F7" t="str">
        <f>INDEX(Define!L:L,MATCH(E7,Define!K:K))</f>
        <v>None</v>
      </c>
      <c r="G7">
        <v>0</v>
      </c>
      <c r="H7">
        <v>100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 t="s">
        <v>24</v>
      </c>
    </row>
    <row r="8" spans="1:15" x14ac:dyDescent="0.2">
      <c r="A8">
        <v>1060</v>
      </c>
      <c r="B8">
        <v>10</v>
      </c>
      <c r="C8">
        <v>6</v>
      </c>
      <c r="D8">
        <v>5</v>
      </c>
      <c r="E8">
        <v>0</v>
      </c>
      <c r="F8" t="str">
        <f>INDEX(Define!L:L,MATCH(E8,Define!K:K))</f>
        <v>None</v>
      </c>
      <c r="G8">
        <v>0</v>
      </c>
      <c r="H8">
        <v>100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 t="s">
        <v>24</v>
      </c>
    </row>
    <row r="9" spans="1:15" x14ac:dyDescent="0.2">
      <c r="A9">
        <v>10000</v>
      </c>
      <c r="B9">
        <v>1010</v>
      </c>
      <c r="C9">
        <v>-1</v>
      </c>
      <c r="D9">
        <v>0</v>
      </c>
      <c r="E9">
        <v>70</v>
      </c>
      <c r="F9" t="str">
        <f>INDEX(Define!L:L,MATCH(E9,Define!K:K))</f>
        <v>SelectActor</v>
      </c>
      <c r="G9">
        <v>0</v>
      </c>
      <c r="H9">
        <v>100</v>
      </c>
      <c r="I9">
        <v>0</v>
      </c>
      <c r="J9">
        <v>0</v>
      </c>
      <c r="K9">
        <v>1001</v>
      </c>
      <c r="L9">
        <v>0</v>
      </c>
      <c r="M9">
        <v>0</v>
      </c>
      <c r="N9">
        <v>0</v>
      </c>
      <c r="O9" t="s">
        <v>23</v>
      </c>
    </row>
    <row r="10" spans="1:15" x14ac:dyDescent="0.2">
      <c r="A10">
        <v>10010</v>
      </c>
      <c r="B10">
        <v>1010</v>
      </c>
      <c r="C10">
        <v>10</v>
      </c>
      <c r="D10">
        <v>4</v>
      </c>
      <c r="E10">
        <v>1000</v>
      </c>
      <c r="F10" t="str">
        <f>INDEX(Define!L:L,MATCH(E10,Define!K:K))</f>
        <v>Battler</v>
      </c>
      <c r="G10">
        <v>2</v>
      </c>
      <c r="H10">
        <v>100</v>
      </c>
      <c r="I10">
        <v>1011</v>
      </c>
      <c r="J10">
        <v>0</v>
      </c>
      <c r="K10">
        <v>1011</v>
      </c>
      <c r="L10">
        <v>0</v>
      </c>
      <c r="M10">
        <v>0</v>
      </c>
      <c r="N10">
        <v>0</v>
      </c>
      <c r="O10" t="s">
        <v>24</v>
      </c>
    </row>
    <row r="11" spans="1:15" x14ac:dyDescent="0.2">
      <c r="A11">
        <v>10020</v>
      </c>
      <c r="B11">
        <v>1010</v>
      </c>
      <c r="C11">
        <v>6</v>
      </c>
      <c r="D11">
        <v>4</v>
      </c>
      <c r="E11">
        <v>20</v>
      </c>
      <c r="F11" t="str">
        <f>INDEX(Define!L:L,MATCH(E11,Define!K:K))</f>
        <v>Basement</v>
      </c>
      <c r="G11">
        <v>1</v>
      </c>
      <c r="H11">
        <v>100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 t="s">
        <v>24</v>
      </c>
    </row>
    <row r="12" spans="1:15" x14ac:dyDescent="0.2">
      <c r="A12">
        <v>10030</v>
      </c>
      <c r="B12">
        <v>1010</v>
      </c>
      <c r="C12">
        <v>10</v>
      </c>
      <c r="D12">
        <v>4</v>
      </c>
      <c r="E12">
        <v>20</v>
      </c>
      <c r="F12" t="str">
        <f>INDEX(Define!L:L,MATCH(E12,Define!K:K))</f>
        <v>Basement</v>
      </c>
      <c r="G12">
        <v>2</v>
      </c>
      <c r="H12">
        <v>100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 t="s">
        <v>24</v>
      </c>
    </row>
    <row r="13" spans="1:15" x14ac:dyDescent="0.2">
      <c r="A13">
        <v>10040</v>
      </c>
      <c r="B13">
        <v>1010</v>
      </c>
      <c r="C13">
        <v>5</v>
      </c>
      <c r="D13">
        <v>5</v>
      </c>
      <c r="E13">
        <v>0</v>
      </c>
      <c r="F13" t="str">
        <f>INDEX(Define!L:L,MATCH(E13,Define!K:K))</f>
        <v>None</v>
      </c>
      <c r="G13">
        <v>0</v>
      </c>
      <c r="H13">
        <v>100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 t="s">
        <v>24</v>
      </c>
    </row>
    <row r="14" spans="1:15" x14ac:dyDescent="0.2">
      <c r="A14">
        <v>10050</v>
      </c>
      <c r="B14">
        <v>1010</v>
      </c>
      <c r="C14">
        <v>7</v>
      </c>
      <c r="D14">
        <v>5</v>
      </c>
      <c r="E14">
        <v>0</v>
      </c>
      <c r="F14" t="str">
        <f>INDEX(Define!L:L,MATCH(E14,Define!K:K))</f>
        <v>None</v>
      </c>
      <c r="G14">
        <v>0</v>
      </c>
      <c r="H14">
        <v>100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 t="s">
        <v>24</v>
      </c>
    </row>
    <row r="15" spans="1:15" x14ac:dyDescent="0.2">
      <c r="A15">
        <v>10060</v>
      </c>
      <c r="B15">
        <v>1010</v>
      </c>
      <c r="C15">
        <v>9</v>
      </c>
      <c r="D15">
        <v>5</v>
      </c>
      <c r="E15">
        <v>0</v>
      </c>
      <c r="F15" t="str">
        <f>INDEX(Define!L:L,MATCH(E15,Define!K:K))</f>
        <v>None</v>
      </c>
      <c r="G15">
        <v>0</v>
      </c>
      <c r="H15">
        <v>100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 t="s">
        <v>24</v>
      </c>
    </row>
    <row r="16" spans="1:15" x14ac:dyDescent="0.2">
      <c r="A16">
        <v>10070</v>
      </c>
      <c r="B16">
        <v>1010</v>
      </c>
      <c r="C16">
        <v>11</v>
      </c>
      <c r="D16">
        <v>5</v>
      </c>
      <c r="E16">
        <v>0</v>
      </c>
      <c r="F16" t="str">
        <f>INDEX(Define!L:L,MATCH(E16,Define!K:K))</f>
        <v>None</v>
      </c>
      <c r="G16">
        <v>0</v>
      </c>
      <c r="H16">
        <v>100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 t="s">
        <v>24</v>
      </c>
    </row>
    <row r="17" spans="1:15" x14ac:dyDescent="0.2">
      <c r="A17">
        <v>11000</v>
      </c>
      <c r="B17">
        <v>1020</v>
      </c>
      <c r="C17">
        <v>-1</v>
      </c>
      <c r="D17">
        <v>0</v>
      </c>
      <c r="E17">
        <v>70</v>
      </c>
      <c r="F17" t="str">
        <f>INDEX(Define!L:L,MATCH(E17,Define!K:K))</f>
        <v>SelectActor</v>
      </c>
      <c r="G17">
        <v>0</v>
      </c>
      <c r="H17">
        <v>100</v>
      </c>
      <c r="I17">
        <v>0</v>
      </c>
      <c r="J17">
        <v>0</v>
      </c>
      <c r="K17">
        <v>1001</v>
      </c>
      <c r="L17">
        <v>0</v>
      </c>
      <c r="M17">
        <v>0</v>
      </c>
      <c r="N17">
        <v>0</v>
      </c>
      <c r="O17" t="s">
        <v>23</v>
      </c>
    </row>
    <row r="18" spans="1:15" x14ac:dyDescent="0.2">
      <c r="A18">
        <v>11010</v>
      </c>
      <c r="B18">
        <v>1020</v>
      </c>
      <c r="C18">
        <v>-1</v>
      </c>
      <c r="D18">
        <v>0</v>
      </c>
      <c r="E18">
        <v>70</v>
      </c>
      <c r="F18" t="str">
        <f>INDEX(Define!L:L,MATCH(E18,Define!K:K))</f>
        <v>SelectActor</v>
      </c>
      <c r="G18">
        <v>0</v>
      </c>
      <c r="H18">
        <v>100</v>
      </c>
      <c r="I18">
        <v>0</v>
      </c>
      <c r="J18">
        <v>0</v>
      </c>
      <c r="K18">
        <v>1002</v>
      </c>
      <c r="L18">
        <v>0</v>
      </c>
      <c r="M18">
        <v>0</v>
      </c>
      <c r="N18">
        <v>0</v>
      </c>
      <c r="O18" t="s">
        <v>23</v>
      </c>
    </row>
    <row r="19" spans="1:15" x14ac:dyDescent="0.2">
      <c r="A19">
        <v>10020</v>
      </c>
      <c r="B19">
        <v>1020</v>
      </c>
      <c r="C19">
        <v>6</v>
      </c>
      <c r="D19">
        <v>4</v>
      </c>
      <c r="E19">
        <v>20</v>
      </c>
      <c r="F19" t="str">
        <f>INDEX(Define!L:L,MATCH(E19,Define!K:K))</f>
        <v>Basement</v>
      </c>
      <c r="G19">
        <v>1</v>
      </c>
      <c r="H19">
        <v>100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 t="s">
        <v>24</v>
      </c>
    </row>
    <row r="20" spans="1:15" x14ac:dyDescent="0.2">
      <c r="A20">
        <v>10030</v>
      </c>
      <c r="B20">
        <v>1020</v>
      </c>
      <c r="C20">
        <v>10</v>
      </c>
      <c r="D20">
        <v>4</v>
      </c>
      <c r="E20">
        <v>20</v>
      </c>
      <c r="F20" t="str">
        <f>INDEX(Define!L:L,MATCH(E20,Define!K:K))</f>
        <v>Basement</v>
      </c>
      <c r="G20">
        <v>1</v>
      </c>
      <c r="H20">
        <v>100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 t="s">
        <v>24</v>
      </c>
    </row>
    <row r="21" spans="1:15" x14ac:dyDescent="0.2">
      <c r="A21">
        <v>10040</v>
      </c>
      <c r="B21">
        <v>1020</v>
      </c>
      <c r="C21">
        <v>5</v>
      </c>
      <c r="D21">
        <v>5</v>
      </c>
      <c r="E21">
        <v>0</v>
      </c>
      <c r="F21" t="str">
        <f>INDEX(Define!L:L,MATCH(E21,Define!K:K))</f>
        <v>None</v>
      </c>
      <c r="G21">
        <v>0</v>
      </c>
      <c r="H21">
        <v>100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 t="s">
        <v>24</v>
      </c>
    </row>
    <row r="22" spans="1:15" x14ac:dyDescent="0.2">
      <c r="A22">
        <v>10050</v>
      </c>
      <c r="B22">
        <v>1020</v>
      </c>
      <c r="C22">
        <v>7</v>
      </c>
      <c r="D22">
        <v>5</v>
      </c>
      <c r="E22">
        <v>0</v>
      </c>
      <c r="F22" t="str">
        <f>INDEX(Define!L:L,MATCH(E22,Define!K:K))</f>
        <v>None</v>
      </c>
      <c r="G22">
        <v>0</v>
      </c>
      <c r="H22">
        <v>100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 t="s">
        <v>24</v>
      </c>
    </row>
    <row r="23" spans="1:15" x14ac:dyDescent="0.2">
      <c r="A23">
        <v>10060</v>
      </c>
      <c r="B23">
        <v>1020</v>
      </c>
      <c r="C23">
        <v>9</v>
      </c>
      <c r="D23">
        <v>5</v>
      </c>
      <c r="E23">
        <v>0</v>
      </c>
      <c r="F23" t="str">
        <f>INDEX(Define!L:L,MATCH(E23,Define!K:K))</f>
        <v>None</v>
      </c>
      <c r="G23">
        <v>0</v>
      </c>
      <c r="H23">
        <v>100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 t="s">
        <v>24</v>
      </c>
    </row>
    <row r="24" spans="1:15" x14ac:dyDescent="0.2">
      <c r="A24">
        <v>10070</v>
      </c>
      <c r="B24">
        <v>1020</v>
      </c>
      <c r="C24">
        <v>11</v>
      </c>
      <c r="D24">
        <v>5</v>
      </c>
      <c r="E24">
        <v>0</v>
      </c>
      <c r="F24" t="str">
        <f>INDEX(Define!L:L,MATCH(E24,Define!K:K))</f>
        <v>None</v>
      </c>
      <c r="G24">
        <v>0</v>
      </c>
      <c r="H24">
        <v>100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 t="s">
        <v>24</v>
      </c>
    </row>
    <row r="25" spans="1:15" x14ac:dyDescent="0.2">
      <c r="A25">
        <v>11020</v>
      </c>
      <c r="B25">
        <v>1020</v>
      </c>
      <c r="C25">
        <v>13</v>
      </c>
      <c r="D25">
        <v>5</v>
      </c>
      <c r="E25">
        <v>0</v>
      </c>
      <c r="F25" t="str">
        <f>INDEX(Define!L:L,MATCH(E25,Define!K:K))</f>
        <v>None</v>
      </c>
      <c r="G25">
        <v>0</v>
      </c>
      <c r="H25">
        <v>100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 t="s">
        <v>24</v>
      </c>
    </row>
    <row r="26" spans="1:15" x14ac:dyDescent="0.2">
      <c r="A26">
        <v>11030</v>
      </c>
      <c r="B26">
        <v>1020</v>
      </c>
      <c r="C26">
        <v>15</v>
      </c>
      <c r="D26">
        <v>5</v>
      </c>
      <c r="E26">
        <v>0</v>
      </c>
      <c r="F26" t="str">
        <f>INDEX(Define!L:L,MATCH(E26,Define!K:K))</f>
        <v>None</v>
      </c>
      <c r="G26">
        <v>0</v>
      </c>
      <c r="H26">
        <v>100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 t="s">
        <v>24</v>
      </c>
    </row>
    <row r="27" spans="1:15" x14ac:dyDescent="0.2">
      <c r="A27">
        <v>11040</v>
      </c>
      <c r="B27">
        <v>1020</v>
      </c>
      <c r="C27">
        <v>14</v>
      </c>
      <c r="D27">
        <v>4</v>
      </c>
      <c r="E27">
        <v>20</v>
      </c>
      <c r="F27" t="str">
        <f>INDEX(Define!L:L,MATCH(E27,Define!K:K))</f>
        <v>Basement</v>
      </c>
      <c r="G27">
        <v>2</v>
      </c>
      <c r="H27">
        <v>100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 t="s">
        <v>24</v>
      </c>
    </row>
    <row r="28" spans="1:15" x14ac:dyDescent="0.2">
      <c r="A28">
        <v>11050</v>
      </c>
      <c r="B28">
        <v>1020</v>
      </c>
      <c r="C28">
        <v>14</v>
      </c>
      <c r="D28">
        <v>4</v>
      </c>
      <c r="E28">
        <v>1000</v>
      </c>
      <c r="F28" t="str">
        <f>INDEX(Define!L:L,MATCH(E28,Define!K:K))</f>
        <v>Battler</v>
      </c>
      <c r="G28">
        <v>2</v>
      </c>
      <c r="H28">
        <v>100</v>
      </c>
      <c r="I28">
        <v>1011</v>
      </c>
      <c r="J28">
        <v>0</v>
      </c>
      <c r="K28">
        <v>1011</v>
      </c>
      <c r="L28">
        <v>0</v>
      </c>
      <c r="M28">
        <v>0</v>
      </c>
      <c r="N28">
        <v>0</v>
      </c>
      <c r="O28" t="s">
        <v>24</v>
      </c>
    </row>
  </sheetData>
  <phoneticPr fontId="2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7"/>
  <sheetViews>
    <sheetView workbookViewId="0">
      <selection activeCell="A8" sqref="A8:XFD89"/>
    </sheetView>
  </sheetViews>
  <sheetFormatPr defaultColWidth="8.7265625" defaultRowHeight="13" x14ac:dyDescent="0.2"/>
  <sheetData>
    <row r="1" spans="1:3" x14ac:dyDescent="0.2">
      <c r="A1" t="s">
        <v>0</v>
      </c>
      <c r="B1" t="s">
        <v>25</v>
      </c>
      <c r="C1" t="s">
        <v>26</v>
      </c>
    </row>
    <row r="2" spans="1:3" x14ac:dyDescent="0.2">
      <c r="A2">
        <v>10</v>
      </c>
      <c r="B2">
        <v>1</v>
      </c>
      <c r="C2">
        <v>15</v>
      </c>
    </row>
    <row r="3" spans="1:3" x14ac:dyDescent="0.2">
      <c r="A3">
        <v>10</v>
      </c>
      <c r="B3">
        <v>1</v>
      </c>
      <c r="C3">
        <v>15</v>
      </c>
    </row>
    <row r="4" spans="1:3" x14ac:dyDescent="0.2">
      <c r="A4">
        <v>10</v>
      </c>
      <c r="B4">
        <v>3</v>
      </c>
      <c r="C4">
        <v>15</v>
      </c>
    </row>
    <row r="5" spans="1:3" x14ac:dyDescent="0.2">
      <c r="A5">
        <v>10</v>
      </c>
      <c r="B5">
        <v>7</v>
      </c>
      <c r="C5">
        <v>20</v>
      </c>
    </row>
    <row r="6" spans="1:3" x14ac:dyDescent="0.2">
      <c r="A6">
        <v>10</v>
      </c>
      <c r="B6">
        <v>7</v>
      </c>
      <c r="C6">
        <v>20</v>
      </c>
    </row>
    <row r="7" spans="1:3" x14ac:dyDescent="0.2">
      <c r="A7">
        <v>10</v>
      </c>
      <c r="B7">
        <v>16</v>
      </c>
      <c r="C7">
        <v>30</v>
      </c>
    </row>
  </sheetData>
  <phoneticPr fontId="2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6"/>
  <sheetViews>
    <sheetView workbookViewId="0">
      <selection activeCell="E16" sqref="E16"/>
    </sheetView>
  </sheetViews>
  <sheetFormatPr defaultColWidth="8.7265625" defaultRowHeight="13" x14ac:dyDescent="0.2"/>
  <cols>
    <col min="2" max="2" width="11.90625" customWidth="1"/>
  </cols>
  <sheetData>
    <row r="1" spans="1:7" x14ac:dyDescent="0.2">
      <c r="A1" t="s">
        <v>27</v>
      </c>
      <c r="B1" t="s">
        <v>17</v>
      </c>
      <c r="C1" t="s">
        <v>13</v>
      </c>
      <c r="D1" t="s">
        <v>18</v>
      </c>
      <c r="E1" t="s">
        <v>19</v>
      </c>
      <c r="F1" t="s">
        <v>20</v>
      </c>
      <c r="G1" t="s">
        <v>21</v>
      </c>
    </row>
    <row r="2" spans="1:7" x14ac:dyDescent="0.2">
      <c r="A2">
        <v>201</v>
      </c>
      <c r="B2">
        <v>10</v>
      </c>
      <c r="C2" t="str">
        <f>INDEX(Define!J:J,MATCH(B2,Define!I:I))</f>
        <v>Battle</v>
      </c>
      <c r="D2">
        <v>50</v>
      </c>
      <c r="E2">
        <v>-1</v>
      </c>
      <c r="F2">
        <v>0</v>
      </c>
      <c r="G2">
        <v>11020</v>
      </c>
    </row>
    <row r="3" spans="1:7" x14ac:dyDescent="0.2">
      <c r="A3">
        <v>201</v>
      </c>
      <c r="B3">
        <v>10</v>
      </c>
      <c r="C3" t="str">
        <f>INDEX(Define!J:J,MATCH(B3,Define!I:I))</f>
        <v>Battle</v>
      </c>
      <c r="D3">
        <v>50</v>
      </c>
      <c r="E3">
        <v>-1</v>
      </c>
      <c r="F3">
        <v>0</v>
      </c>
      <c r="G3">
        <v>11030</v>
      </c>
    </row>
    <row r="4" spans="1:7" x14ac:dyDescent="0.2">
      <c r="A4">
        <v>201</v>
      </c>
      <c r="B4">
        <v>10</v>
      </c>
      <c r="C4" t="str">
        <f>INDEX(Define!J:J,MATCH(B4,Define!I:I))</f>
        <v>Battle</v>
      </c>
      <c r="D4">
        <v>50</v>
      </c>
      <c r="E4">
        <v>-1</v>
      </c>
      <c r="F4">
        <v>0</v>
      </c>
      <c r="G4">
        <v>11040</v>
      </c>
    </row>
    <row r="5" spans="1:7" x14ac:dyDescent="0.2">
      <c r="A5">
        <v>202</v>
      </c>
      <c r="B5">
        <v>10</v>
      </c>
      <c r="C5" t="str">
        <f>INDEX(Define!J:J,MATCH(B5,Define!I:I))</f>
        <v>Battle</v>
      </c>
      <c r="D5">
        <v>50</v>
      </c>
      <c r="E5">
        <v>-1</v>
      </c>
      <c r="F5">
        <v>0</v>
      </c>
      <c r="G5">
        <v>12020</v>
      </c>
    </row>
    <row r="6" spans="1:7" x14ac:dyDescent="0.2">
      <c r="A6">
        <v>202</v>
      </c>
      <c r="B6">
        <v>10</v>
      </c>
      <c r="C6" t="str">
        <f>INDEX(Define!J:J,MATCH(B6,Define!I:I))</f>
        <v>Battle</v>
      </c>
      <c r="D6">
        <v>50</v>
      </c>
      <c r="E6">
        <v>-1</v>
      </c>
      <c r="F6">
        <v>0</v>
      </c>
      <c r="G6">
        <v>12030</v>
      </c>
    </row>
    <row r="7" spans="1:7" x14ac:dyDescent="0.2">
      <c r="A7">
        <v>202</v>
      </c>
      <c r="B7">
        <v>10</v>
      </c>
      <c r="C7" t="str">
        <f>INDEX(Define!J:J,MATCH(B7,Define!I:I))</f>
        <v>Battle</v>
      </c>
      <c r="D7">
        <v>50</v>
      </c>
      <c r="E7">
        <v>-1</v>
      </c>
      <c r="F7">
        <v>0</v>
      </c>
      <c r="G7">
        <v>12040</v>
      </c>
    </row>
    <row r="8" spans="1:7" x14ac:dyDescent="0.2">
      <c r="A8">
        <v>203</v>
      </c>
      <c r="B8">
        <v>10</v>
      </c>
      <c r="C8" t="str">
        <f>INDEX(Define!J:J,MATCH(B8,Define!I:I))</f>
        <v>Battle</v>
      </c>
      <c r="D8">
        <v>50</v>
      </c>
      <c r="E8">
        <v>-1</v>
      </c>
      <c r="F8">
        <v>0</v>
      </c>
      <c r="G8">
        <v>13020</v>
      </c>
    </row>
    <row r="9" spans="1:7" x14ac:dyDescent="0.2">
      <c r="A9">
        <v>203</v>
      </c>
      <c r="B9">
        <v>10</v>
      </c>
      <c r="C9" t="str">
        <f>INDEX(Define!J:J,MATCH(B9,Define!I:I))</f>
        <v>Battle</v>
      </c>
      <c r="D9">
        <v>50</v>
      </c>
      <c r="E9">
        <v>-1</v>
      </c>
      <c r="F9">
        <v>0</v>
      </c>
      <c r="G9">
        <v>13030</v>
      </c>
    </row>
    <row r="10" spans="1:7" x14ac:dyDescent="0.2">
      <c r="A10">
        <v>203</v>
      </c>
      <c r="B10">
        <v>10</v>
      </c>
      <c r="C10" t="str">
        <f>INDEX(Define!J:J,MATCH(B10,Define!I:I))</f>
        <v>Battle</v>
      </c>
      <c r="D10">
        <v>50</v>
      </c>
      <c r="E10">
        <v>-1</v>
      </c>
      <c r="F10">
        <v>0</v>
      </c>
      <c r="G10">
        <v>13040</v>
      </c>
    </row>
    <row r="11" spans="1:7" x14ac:dyDescent="0.2">
      <c r="A11">
        <v>204</v>
      </c>
      <c r="B11">
        <v>10</v>
      </c>
      <c r="C11" t="str">
        <f>INDEX(Define!J:J,MATCH(B11,Define!I:I))</f>
        <v>Battle</v>
      </c>
      <c r="D11">
        <v>50</v>
      </c>
      <c r="E11">
        <v>-1</v>
      </c>
      <c r="F11">
        <v>0</v>
      </c>
      <c r="G11">
        <v>14010</v>
      </c>
    </row>
    <row r="12" spans="1:7" x14ac:dyDescent="0.2">
      <c r="A12">
        <v>204</v>
      </c>
      <c r="B12">
        <v>10</v>
      </c>
      <c r="C12" t="str">
        <f>INDEX(Define!J:J,MATCH(B12,Define!I:I))</f>
        <v>Battle</v>
      </c>
      <c r="D12">
        <v>50</v>
      </c>
      <c r="E12">
        <v>-1</v>
      </c>
      <c r="F12">
        <v>0</v>
      </c>
      <c r="G12">
        <v>14020</v>
      </c>
    </row>
    <row r="13" spans="1:7" x14ac:dyDescent="0.2">
      <c r="A13">
        <v>204</v>
      </c>
      <c r="B13">
        <v>10</v>
      </c>
      <c r="C13" t="str">
        <f>INDEX(Define!J:J,MATCH(B13,Define!I:I))</f>
        <v>Battle</v>
      </c>
      <c r="D13">
        <v>50</v>
      </c>
      <c r="E13">
        <v>-1</v>
      </c>
      <c r="F13">
        <v>0</v>
      </c>
      <c r="G13">
        <v>14030</v>
      </c>
    </row>
    <row r="14" spans="1:7" x14ac:dyDescent="0.2">
      <c r="A14">
        <v>205</v>
      </c>
      <c r="B14">
        <v>10</v>
      </c>
      <c r="C14" t="str">
        <f>INDEX(Define!J:J,MATCH(B14,Define!I:I))</f>
        <v>Battle</v>
      </c>
      <c r="D14">
        <v>50</v>
      </c>
      <c r="E14">
        <v>-1</v>
      </c>
      <c r="F14">
        <v>0</v>
      </c>
      <c r="G14">
        <v>15020</v>
      </c>
    </row>
    <row r="15" spans="1:7" x14ac:dyDescent="0.2">
      <c r="A15">
        <v>205</v>
      </c>
      <c r="B15">
        <v>10</v>
      </c>
      <c r="C15" t="str">
        <f>INDEX(Define!J:J,MATCH(B15,Define!I:I))</f>
        <v>Battle</v>
      </c>
      <c r="D15">
        <v>50</v>
      </c>
      <c r="E15">
        <v>-1</v>
      </c>
      <c r="F15">
        <v>0</v>
      </c>
      <c r="G15">
        <v>15030</v>
      </c>
    </row>
    <row r="16" spans="1:7" x14ac:dyDescent="0.2">
      <c r="A16">
        <v>205</v>
      </c>
      <c r="B16">
        <v>10</v>
      </c>
      <c r="C16" t="str">
        <f>INDEX(Define!J:J,MATCH(B16,Define!I:I))</f>
        <v>Battle</v>
      </c>
      <c r="D16">
        <v>50</v>
      </c>
      <c r="E16">
        <v>-1</v>
      </c>
      <c r="F16">
        <v>0</v>
      </c>
      <c r="G16">
        <v>15050</v>
      </c>
    </row>
  </sheetData>
  <phoneticPr fontId="2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2"/>
  <sheetViews>
    <sheetView workbookViewId="0">
      <selection activeCell="E1" sqref="E1:E1048576"/>
    </sheetView>
  </sheetViews>
  <sheetFormatPr defaultColWidth="8.7265625" defaultRowHeight="13" x14ac:dyDescent="0.2"/>
  <sheetData>
    <row r="1" spans="1:8" x14ac:dyDescent="0.2">
      <c r="A1" t="s">
        <v>0</v>
      </c>
      <c r="B1" t="s">
        <v>11</v>
      </c>
      <c r="C1" t="s">
        <v>12</v>
      </c>
      <c r="D1" t="s">
        <v>28</v>
      </c>
      <c r="E1" t="s">
        <v>29</v>
      </c>
      <c r="F1" t="s">
        <v>30</v>
      </c>
      <c r="G1" t="s">
        <v>31</v>
      </c>
      <c r="H1" t="s">
        <v>32</v>
      </c>
    </row>
    <row r="2" spans="1:8" x14ac:dyDescent="0.2">
      <c r="A2">
        <v>1010</v>
      </c>
      <c r="B2">
        <v>1</v>
      </c>
      <c r="C2">
        <v>110</v>
      </c>
      <c r="D2">
        <v>9</v>
      </c>
      <c r="E2">
        <v>0</v>
      </c>
      <c r="F2">
        <v>0</v>
      </c>
      <c r="G2">
        <v>0</v>
      </c>
      <c r="H2">
        <v>0</v>
      </c>
    </row>
  </sheetData>
  <phoneticPr fontId="2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10"/>
  <sheetViews>
    <sheetView tabSelected="1" workbookViewId="0">
      <selection activeCell="B5" sqref="B5"/>
    </sheetView>
  </sheetViews>
  <sheetFormatPr defaultColWidth="8.7265625" defaultRowHeight="13" x14ac:dyDescent="0.2"/>
  <cols>
    <col min="2" max="2" width="34.1796875" customWidth="1"/>
    <col min="3" max="3" width="29.1796875" customWidth="1"/>
  </cols>
  <sheetData>
    <row r="1" spans="1:4" x14ac:dyDescent="0.2">
      <c r="A1" t="s">
        <v>0</v>
      </c>
      <c r="B1" t="s">
        <v>33</v>
      </c>
      <c r="C1" t="s">
        <v>34</v>
      </c>
    </row>
    <row r="2" spans="1:4" x14ac:dyDescent="0.2">
      <c r="A2">
        <v>1</v>
      </c>
      <c r="B2" t="s">
        <v>35</v>
      </c>
      <c r="C2" s="1" t="s">
        <v>35</v>
      </c>
    </row>
    <row r="3" spans="1:4" x14ac:dyDescent="0.2">
      <c r="A3">
        <v>10</v>
      </c>
      <c r="B3" s="2" t="s">
        <v>94</v>
      </c>
      <c r="C3" s="3" t="s">
        <v>95</v>
      </c>
      <c r="D3" s="1"/>
    </row>
    <row r="4" spans="1:4" x14ac:dyDescent="0.2">
      <c r="A4">
        <v>1010</v>
      </c>
      <c r="B4" s="2" t="s">
        <v>96</v>
      </c>
      <c r="C4" s="4" t="s">
        <v>95</v>
      </c>
      <c r="D4" s="1"/>
    </row>
    <row r="5" spans="1:4" x14ac:dyDescent="0.2">
      <c r="A5">
        <v>1020</v>
      </c>
      <c r="B5" s="2" t="s">
        <v>103</v>
      </c>
      <c r="C5" s="4" t="s">
        <v>95</v>
      </c>
      <c r="D5" s="1"/>
    </row>
    <row r="6" spans="1:4" x14ac:dyDescent="0.2">
      <c r="C6" s="1"/>
      <c r="D6" s="1"/>
    </row>
    <row r="7" spans="1:4" x14ac:dyDescent="0.2">
      <c r="C7" s="1"/>
      <c r="D7" s="1"/>
    </row>
    <row r="8" spans="1:4" x14ac:dyDescent="0.2">
      <c r="C8" s="1"/>
      <c r="D8" s="1"/>
    </row>
    <row r="9" spans="1:4" x14ac:dyDescent="0.2">
      <c r="C9" s="1"/>
    </row>
    <row r="10" spans="1:4" x14ac:dyDescent="0.2">
      <c r="C10" s="1"/>
    </row>
  </sheetData>
  <phoneticPr fontId="2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28"/>
  <sheetViews>
    <sheetView topLeftCell="A13" workbookViewId="0">
      <selection activeCell="E29" sqref="E29"/>
    </sheetView>
  </sheetViews>
  <sheetFormatPr defaultColWidth="8.7265625" defaultRowHeight="13" x14ac:dyDescent="0.2"/>
  <sheetData>
    <row r="1" spans="1:12" x14ac:dyDescent="0.2">
      <c r="A1" t="s">
        <v>12</v>
      </c>
      <c r="D1" t="s">
        <v>14</v>
      </c>
      <c r="I1" t="s">
        <v>17</v>
      </c>
      <c r="K1" s="2" t="s">
        <v>81</v>
      </c>
    </row>
    <row r="2" spans="1:12" x14ac:dyDescent="0.2">
      <c r="A2">
        <v>0</v>
      </c>
      <c r="B2" t="s">
        <v>36</v>
      </c>
      <c r="D2">
        <v>0</v>
      </c>
      <c r="E2" t="s">
        <v>36</v>
      </c>
      <c r="I2">
        <v>-1</v>
      </c>
      <c r="J2" t="s">
        <v>37</v>
      </c>
      <c r="K2">
        <v>-1</v>
      </c>
      <c r="L2" t="s">
        <v>37</v>
      </c>
    </row>
    <row r="3" spans="1:12" x14ac:dyDescent="0.2">
      <c r="A3">
        <v>110</v>
      </c>
      <c r="B3" t="s">
        <v>38</v>
      </c>
      <c r="D3">
        <v>1</v>
      </c>
      <c r="E3" t="s">
        <v>39</v>
      </c>
      <c r="I3">
        <v>0</v>
      </c>
      <c r="J3" s="2" t="s">
        <v>84</v>
      </c>
      <c r="K3">
        <v>0</v>
      </c>
      <c r="L3" s="2" t="s">
        <v>84</v>
      </c>
    </row>
    <row r="4" spans="1:12" x14ac:dyDescent="0.2">
      <c r="A4">
        <v>210</v>
      </c>
      <c r="B4" t="s">
        <v>40</v>
      </c>
      <c r="D4">
        <v>2</v>
      </c>
      <c r="E4" t="s">
        <v>41</v>
      </c>
      <c r="I4">
        <v>10</v>
      </c>
      <c r="J4" t="s">
        <v>42</v>
      </c>
      <c r="K4">
        <v>11</v>
      </c>
      <c r="L4" t="s">
        <v>44</v>
      </c>
    </row>
    <row r="5" spans="1:12" x14ac:dyDescent="0.2">
      <c r="A5">
        <v>1010</v>
      </c>
      <c r="B5" s="2" t="s">
        <v>97</v>
      </c>
      <c r="D5">
        <v>3</v>
      </c>
      <c r="E5" t="s">
        <v>43</v>
      </c>
      <c r="I5">
        <v>11</v>
      </c>
      <c r="J5" t="s">
        <v>44</v>
      </c>
      <c r="K5">
        <v>20</v>
      </c>
      <c r="L5" s="2" t="s">
        <v>83</v>
      </c>
    </row>
    <row r="6" spans="1:12" x14ac:dyDescent="0.2">
      <c r="D6">
        <v>4</v>
      </c>
      <c r="E6" t="s">
        <v>45</v>
      </c>
      <c r="I6">
        <v>20</v>
      </c>
      <c r="J6" t="s">
        <v>46</v>
      </c>
      <c r="K6">
        <v>30</v>
      </c>
      <c r="L6" t="s">
        <v>48</v>
      </c>
    </row>
    <row r="7" spans="1:12" x14ac:dyDescent="0.2">
      <c r="D7">
        <v>5</v>
      </c>
      <c r="E7" t="s">
        <v>47</v>
      </c>
      <c r="I7">
        <v>30</v>
      </c>
      <c r="J7" t="s">
        <v>48</v>
      </c>
      <c r="K7">
        <v>40</v>
      </c>
      <c r="L7" t="s">
        <v>50</v>
      </c>
    </row>
    <row r="8" spans="1:12" x14ac:dyDescent="0.2">
      <c r="D8">
        <v>6</v>
      </c>
      <c r="E8" t="s">
        <v>49</v>
      </c>
      <c r="I8">
        <v>40</v>
      </c>
      <c r="J8" t="s">
        <v>50</v>
      </c>
      <c r="K8">
        <v>50</v>
      </c>
      <c r="L8" t="s">
        <v>52</v>
      </c>
    </row>
    <row r="9" spans="1:12" x14ac:dyDescent="0.2">
      <c r="D9">
        <v>7</v>
      </c>
      <c r="E9" t="s">
        <v>51</v>
      </c>
      <c r="I9">
        <v>50</v>
      </c>
      <c r="J9" t="s">
        <v>52</v>
      </c>
      <c r="K9">
        <v>60</v>
      </c>
      <c r="L9" t="s">
        <v>54</v>
      </c>
    </row>
    <row r="10" spans="1:12" x14ac:dyDescent="0.2">
      <c r="D10">
        <v>8</v>
      </c>
      <c r="E10" t="s">
        <v>53</v>
      </c>
      <c r="I10">
        <v>60</v>
      </c>
      <c r="J10" t="s">
        <v>54</v>
      </c>
      <c r="K10">
        <v>70</v>
      </c>
      <c r="L10" t="s">
        <v>56</v>
      </c>
    </row>
    <row r="11" spans="1:12" x14ac:dyDescent="0.2">
      <c r="D11">
        <v>9</v>
      </c>
      <c r="E11" t="s">
        <v>55</v>
      </c>
      <c r="I11">
        <v>70</v>
      </c>
      <c r="J11" t="s">
        <v>56</v>
      </c>
      <c r="K11">
        <v>80</v>
      </c>
      <c r="L11" t="s">
        <v>58</v>
      </c>
    </row>
    <row r="12" spans="1:12" x14ac:dyDescent="0.2">
      <c r="D12">
        <v>12</v>
      </c>
      <c r="E12" t="s">
        <v>57</v>
      </c>
      <c r="I12">
        <v>80</v>
      </c>
      <c r="J12" t="s">
        <v>58</v>
      </c>
      <c r="K12">
        <v>99</v>
      </c>
      <c r="L12" t="s">
        <v>60</v>
      </c>
    </row>
    <row r="13" spans="1:12" x14ac:dyDescent="0.2">
      <c r="D13">
        <v>13</v>
      </c>
      <c r="E13" t="s">
        <v>59</v>
      </c>
      <c r="I13">
        <v>99</v>
      </c>
      <c r="J13" t="s">
        <v>60</v>
      </c>
      <c r="K13">
        <v>1000</v>
      </c>
      <c r="L13" s="2" t="s">
        <v>82</v>
      </c>
    </row>
    <row r="14" spans="1:12" x14ac:dyDescent="0.2">
      <c r="D14">
        <v>14</v>
      </c>
      <c r="E14" t="s">
        <v>61</v>
      </c>
    </row>
    <row r="15" spans="1:12" x14ac:dyDescent="0.2">
      <c r="D15">
        <v>15</v>
      </c>
      <c r="E15" t="s">
        <v>62</v>
      </c>
    </row>
    <row r="16" spans="1:12" x14ac:dyDescent="0.2">
      <c r="D16">
        <v>21</v>
      </c>
      <c r="E16" t="s">
        <v>63</v>
      </c>
    </row>
    <row r="17" spans="4:5" x14ac:dyDescent="0.2">
      <c r="D17">
        <v>31</v>
      </c>
      <c r="E17" t="s">
        <v>64</v>
      </c>
    </row>
    <row r="18" spans="4:5" x14ac:dyDescent="0.2">
      <c r="D18">
        <v>32</v>
      </c>
      <c r="E18" t="s">
        <v>65</v>
      </c>
    </row>
    <row r="19" spans="4:5" x14ac:dyDescent="0.2">
      <c r="D19">
        <v>33</v>
      </c>
      <c r="E19" t="s">
        <v>66</v>
      </c>
    </row>
    <row r="20" spans="4:5" x14ac:dyDescent="0.2">
      <c r="D20">
        <v>41</v>
      </c>
      <c r="E20" t="s">
        <v>67</v>
      </c>
    </row>
    <row r="21" spans="4:5" x14ac:dyDescent="0.2">
      <c r="D21">
        <v>51</v>
      </c>
      <c r="E21" t="s">
        <v>68</v>
      </c>
    </row>
    <row r="22" spans="4:5" x14ac:dyDescent="0.2">
      <c r="D22">
        <v>61</v>
      </c>
      <c r="E22" t="s">
        <v>69</v>
      </c>
    </row>
    <row r="23" spans="4:5" x14ac:dyDescent="0.2">
      <c r="D23">
        <v>62</v>
      </c>
      <c r="E23" t="s">
        <v>70</v>
      </c>
    </row>
    <row r="24" spans="4:5" x14ac:dyDescent="0.2">
      <c r="D24">
        <v>100</v>
      </c>
      <c r="E24" t="s">
        <v>71</v>
      </c>
    </row>
    <row r="25" spans="4:5" x14ac:dyDescent="0.2">
      <c r="D25">
        <v>110</v>
      </c>
      <c r="E25" t="s">
        <v>72</v>
      </c>
    </row>
    <row r="26" spans="4:5" x14ac:dyDescent="0.2">
      <c r="D26">
        <v>201</v>
      </c>
      <c r="E26" t="s">
        <v>73</v>
      </c>
    </row>
    <row r="27" spans="4:5" x14ac:dyDescent="0.2">
      <c r="D27">
        <v>1010</v>
      </c>
      <c r="E27" s="2" t="s">
        <v>98</v>
      </c>
    </row>
    <row r="28" spans="4:5" x14ac:dyDescent="0.2">
      <c r="D28">
        <v>1011</v>
      </c>
      <c r="E28" s="2" t="s">
        <v>99</v>
      </c>
    </row>
  </sheetData>
  <phoneticPr fontId="2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8</vt:i4>
      </vt:variant>
    </vt:vector>
  </HeadingPairs>
  <TitlesOfParts>
    <vt:vector size="8" baseType="lpstr">
      <vt:lpstr>Stages</vt:lpstr>
      <vt:lpstr>StageEvents</vt:lpstr>
      <vt:lpstr>StageSymbols</vt:lpstr>
      <vt:lpstr>StageEnemyRates</vt:lpstr>
      <vt:lpstr>SymbolGroup</vt:lpstr>
      <vt:lpstr>Tutorials</vt:lpstr>
      <vt:lpstr>TextData</vt:lpstr>
      <vt:lpstr>Define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孝司 鴫原</cp:lastModifiedBy>
  <dcterms:created xsi:type="dcterms:W3CDTF">2024-01-16T09:09:00Z</dcterms:created>
  <dcterms:modified xsi:type="dcterms:W3CDTF">2025-04-13T01:48:22Z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C43817069AFD451BBCCDA0C7BB202E01</vt:lpwstr>
  </property>
  <property fmtid="{D5CDD505-2E9C-101B-9397-08002B2CF9AE}" pid="3" name="KSOProductBuildVer">
    <vt:lpwstr>1041-11.2.0.10624</vt:lpwstr>
  </property>
</Properties>
</file>