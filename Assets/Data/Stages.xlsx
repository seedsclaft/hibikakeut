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7BB4EA97-505E-4868-854F-9C6B3F6D3DF2}" xr6:coauthVersionLast="47" xr6:coauthVersionMax="47" xr10:uidLastSave="{00000000-0000-0000-0000-000000000000}"/>
  <bookViews>
    <workbookView xWindow="-110" yWindow="490" windowWidth="19420" windowHeight="11620" tabRatio="802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Tutorials" sheetId="4" r:id="rId6"/>
    <sheet name="TextData" sheetId="5" r:id="rId7"/>
    <sheet name="Define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6" i="8" l="1"/>
  <c r="F15" i="8"/>
  <c r="F14" i="8"/>
  <c r="F13" i="8"/>
  <c r="F12" i="8"/>
  <c r="F11" i="8"/>
  <c r="F10" i="8"/>
  <c r="F9" i="8"/>
  <c r="F8" i="8"/>
  <c r="F7" i="8"/>
  <c r="F6" i="8"/>
  <c r="F5" i="8"/>
  <c r="F4" i="8"/>
  <c r="F2" i="8"/>
  <c r="F3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<sst xmlns="http://schemas.openxmlformats.org/spreadsheetml/2006/main" count="148" uniqueCount="103">
  <si>
    <t>Id</t>
  </si>
  <si>
    <t>NameId</t>
  </si>
  <si>
    <t>StageNo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</si>
  <si>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</si>
  <si>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</si>
  <si>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</si>
  <si>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</si>
  <si>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</si>
  <si>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</si>
  <si>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</si>
  <si>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</si>
  <si>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</si>
  <si>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</si>
  <si>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</si>
  <si>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</si>
  <si>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</si>
  <si>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</si>
  <si>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</si>
  <si>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</si>
  <si>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</si>
  <si>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</si>
  <si>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</si>
  <si>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</si>
  <si>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</si>
  <si>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Seek=0でランダム生成用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</si>
  <si>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</si>
  <si>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</si>
  <si>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</si>
  <si>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</si>
  <si>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</si>
  <si>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</si>
  <si>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</si>
  <si>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</si>
  <si>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</si>
  <si>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</si>
  <si>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</si>
  <si>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</si>
  <si>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</si>
  <si>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</si>
  <si>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</si>
  <si>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</si>
  <si>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</si>
  <si>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</si>
  <si>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</si>
  <si>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</si>
  <si>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</si>
  <si>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</si>
  <si>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</si>
  <si>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</si>
  <si>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</si>
  <si>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</si>
  <si>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</si>
  <si>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</si>
  <si>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</si>
  <si>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</si>
  <si>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</si>
  <si>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</si>
  <si>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</si>
  <si>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</si>
  <si>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</si>
  <si>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</si>
  <si>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</si>
  <si>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</si>
  <si>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</si>
  <si>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</si>
  <si>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</si>
  <si>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</si>
  <si>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</si>
  <si>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</si>
  <si>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</si>
  <si>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</si>
  <si>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</si>
  <si>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</si>
  <si>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</si>
  <si>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</si>
  <si>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</si>
  <si>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</si>
  <si>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</si>
  <si>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</si>
  <si>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</si>
  <si>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</si>
  <si>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</si>
  <si>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</si>
  <si>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</si>
  <si>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</si>
  <si>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</si>
  <si>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</si>
  <si>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</si>
  <si>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</si>
  <si>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</si>
  <si>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MinX</t>
    <phoneticPr fontId="2"/>
  </si>
  <si>
    <t>MaxX</t>
    <phoneticPr fontId="2"/>
  </si>
  <si>
    <t>MinY</t>
    <phoneticPr fontId="2"/>
  </si>
  <si>
    <t>MaxY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</si>
  <si>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</si>
  <si>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</si>
  <si>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</si>
  <si>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チュートリアル開始</t>
    <rPh sb="7" eb="9">
      <t>カイシ</t>
    </rPh>
    <phoneticPr fontId="2"/>
  </si>
  <si>
    <t>ターン終了コマンド操作有効</t>
    <rPh sb="3" eb="5">
      <t>シュウリョウ</t>
    </rPh>
    <rPh sb="9" eb="11">
      <t>ソウサ</t>
    </rPh>
    <rPh sb="11" eb="13">
      <t>ユウコウ</t>
    </rPh>
    <phoneticPr fontId="2"/>
  </si>
  <si>
    <t>ターン終了コマンド操作無効</t>
    <rPh sb="3" eb="5">
      <t>シュウリョウ</t>
    </rPh>
    <rPh sb="9" eb="11">
      <t>ソウサ</t>
    </rPh>
    <rPh sb="11" eb="13">
      <t>ムコウ</t>
    </rPh>
    <phoneticPr fontId="2"/>
  </si>
  <si>
    <t>AchieveTextId</t>
    <phoneticPr fontId="2"/>
  </si>
  <si>
    <t>AchieveType</t>
    <phoneticPr fontId="2"/>
  </si>
  <si>
    <t>EnemyBasementId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</si>
</sst>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"/>
  <sheetViews>
    <sheetView tabSelected="1" workbookViewId="0">
      <selection activeCell="F4" sqref="F4"/>
    </sheetView>
  </sheetViews>
  <sheetFormatPr defaultColWidth="8.7265625" defaultRowHeight="13" x14ac:dyDescent="0.2"/>
  <cols>
    <col min="5" max="6" width="8.453125" customWidth="1"/>
    <col min="7" max="7" width="10.36328125" customWidth="1"/>
    <col min="22" max="22" width="32" customWidth="1"/>
  </cols>
  <sheetData>
    <row r="1" spans="1:22" x14ac:dyDescent="0.2">
      <c r="A1" t="s">
        <v>0</v>
      </c>
      <c r="B1" t="s">
        <v>1</v>
      </c>
      <c r="C1" t="s">
        <v>2</v>
      </c>
      <c r="D1" s="2" t="s">
        <v>101</v>
      </c>
      <c r="E1" s="2" t="s">
        <v>100</v>
      </c>
      <c r="F1" s="2" t="s">
        <v>102</v>
      </c>
      <c r="G1" t="s">
        <v>3</v>
      </c>
      <c r="H1" t="s">
        <v>4</v>
      </c>
      <c r="I1" s="2" t="s">
        <v>80</v>
      </c>
      <c r="J1" s="2" t="s">
        <v>76</v>
      </c>
      <c r="K1" s="2" t="s">
        <v>90</v>
      </c>
      <c r="L1" s="2" t="s">
        <v>91</v>
      </c>
      <c r="M1" s="2" t="s">
        <v>77</v>
      </c>
      <c r="N1" s="2" t="s">
        <v>92</v>
      </c>
      <c r="O1" s="2" t="s">
        <v>93</v>
      </c>
      <c r="P1" s="2" t="s">
        <v>78</v>
      </c>
      <c r="Q1" s="2" t="s">
        <v>79</v>
      </c>
      <c r="R1" t="s">
        <v>5</v>
      </c>
      <c r="S1" t="s">
        <v>6</v>
      </c>
      <c r="T1" t="s">
        <v>7</v>
      </c>
      <c r="U1" t="s">
        <v>8</v>
      </c>
      <c r="V1" t="s">
        <v>9</v>
      </c>
    </row>
    <row r="2" spans="1:22" x14ac:dyDescent="0.2">
      <c r="A2">
        <v>0</v>
      </c>
      <c r="B2">
        <v>1</v>
      </c>
      <c r="C2">
        <v>0</v>
      </c>
      <c r="D2">
        <v>1</v>
      </c>
      <c r="E2">
        <v>10001</v>
      </c>
      <c r="F2">
        <v>0</v>
      </c>
      <c r="G2">
        <v>0</v>
      </c>
      <c r="H2">
        <v>0</v>
      </c>
      <c r="I2">
        <v>0</v>
      </c>
      <c r="J2">
        <v>6</v>
      </c>
      <c r="K2">
        <v>0</v>
      </c>
      <c r="L2">
        <v>0</v>
      </c>
      <c r="M2">
        <v>6</v>
      </c>
      <c r="N2">
        <v>0</v>
      </c>
      <c r="O2">
        <v>0</v>
      </c>
      <c r="P2">
        <v>0</v>
      </c>
      <c r="Q2">
        <v>0</v>
      </c>
      <c r="R2">
        <v>30</v>
      </c>
      <c r="S2">
        <v>1010</v>
      </c>
      <c r="T2">
        <v>2010</v>
      </c>
      <c r="U2">
        <v>100</v>
      </c>
      <c r="V2" t="s">
        <v>10</v>
      </c>
    </row>
    <row r="3" spans="1:22" x14ac:dyDescent="0.2">
      <c r="A3">
        <v>10</v>
      </c>
      <c r="B3">
        <v>10</v>
      </c>
      <c r="C3">
        <v>1</v>
      </c>
      <c r="D3">
        <v>1</v>
      </c>
      <c r="E3">
        <v>10001</v>
      </c>
      <c r="F3">
        <v>0</v>
      </c>
      <c r="G3">
        <v>1</v>
      </c>
      <c r="H3">
        <v>0</v>
      </c>
      <c r="I3">
        <v>0</v>
      </c>
      <c r="J3">
        <v>30</v>
      </c>
      <c r="K3">
        <v>1</v>
      </c>
      <c r="L3">
        <v>29</v>
      </c>
      <c r="M3">
        <v>20</v>
      </c>
      <c r="N3">
        <v>1</v>
      </c>
      <c r="O3">
        <v>19</v>
      </c>
      <c r="P3">
        <v>1</v>
      </c>
      <c r="Q3">
        <v>5</v>
      </c>
      <c r="R3">
        <v>30</v>
      </c>
      <c r="S3">
        <v>1010</v>
      </c>
      <c r="T3">
        <v>2010</v>
      </c>
      <c r="U3">
        <v>100</v>
      </c>
      <c r="V3" s="2" t="s">
        <v>75</v>
      </c>
    </row>
    <row r="4" spans="1:22" x14ac:dyDescent="0.2">
      <c r="A4">
        <v>1010</v>
      </c>
      <c r="B4">
        <v>1010</v>
      </c>
      <c r="C4">
        <v>101</v>
      </c>
      <c r="D4">
        <v>1</v>
      </c>
      <c r="E4">
        <v>10001</v>
      </c>
      <c r="F4">
        <v>10030</v>
      </c>
      <c r="G4">
        <v>1</v>
      </c>
      <c r="H4">
        <v>0</v>
      </c>
      <c r="I4">
        <v>0</v>
      </c>
      <c r="J4">
        <v>16</v>
      </c>
      <c r="K4">
        <v>5</v>
      </c>
      <c r="L4">
        <v>12</v>
      </c>
      <c r="M4">
        <v>8</v>
      </c>
      <c r="N4">
        <v>3</v>
      </c>
      <c r="O4">
        <v>6</v>
      </c>
      <c r="P4">
        <v>4</v>
      </c>
      <c r="Q4">
        <v>4</v>
      </c>
      <c r="R4">
        <v>30</v>
      </c>
      <c r="S4">
        <v>1010</v>
      </c>
      <c r="T4">
        <v>2010</v>
      </c>
      <c r="U4">
        <v>100</v>
      </c>
      <c r="V4" s="2" t="s">
        <v>75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G6" sqref="G6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11</v>
      </c>
      <c r="C1" t="s">
        <v>12</v>
      </c>
      <c r="D1" s="2" t="s">
        <v>74</v>
      </c>
      <c r="E1" t="s">
        <v>14</v>
      </c>
      <c r="F1" s="2" t="s">
        <v>74</v>
      </c>
      <c r="G1" t="s">
        <v>15</v>
      </c>
      <c r="H1" t="s">
        <v>16</v>
      </c>
    </row>
    <row r="2" spans="1:8" x14ac:dyDescent="0.2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 x14ac:dyDescent="0.2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 x14ac:dyDescent="0.2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6"/>
  <sheetViews>
    <sheetView workbookViewId="0">
      <selection activeCell="A12" sqref="A12"/>
    </sheetView>
  </sheetViews>
  <sheetFormatPr defaultColWidth="8.7265625" defaultRowHeight="13" x14ac:dyDescent="0.2"/>
  <sheetData>
    <row r="1" spans="1:15" x14ac:dyDescent="0.2">
      <c r="A1" s="2" t="s">
        <v>86</v>
      </c>
      <c r="B1" s="2" t="s">
        <v>85</v>
      </c>
      <c r="C1" s="2" t="s">
        <v>78</v>
      </c>
      <c r="D1" s="2" t="s">
        <v>79</v>
      </c>
      <c r="E1" s="2" t="s">
        <v>81</v>
      </c>
      <c r="F1" s="2" t="s">
        <v>74</v>
      </c>
      <c r="G1" s="2" t="s">
        <v>89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s="2" t="s">
        <v>87</v>
      </c>
      <c r="N1" s="2" t="s">
        <v>88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23</v>
      </c>
    </row>
    <row r="3" spans="1:15" x14ac:dyDescent="0.2">
      <c r="A3">
        <v>1010</v>
      </c>
      <c r="B3">
        <v>10</v>
      </c>
      <c r="C3">
        <v>11</v>
      </c>
      <c r="D3">
        <v>5</v>
      </c>
      <c r="E3">
        <v>1000</v>
      </c>
      <c r="F3" t="str">
        <f>INDEX(Define!L:L,MATCH(E3,Define!K:K))</f>
        <v>Battler</v>
      </c>
      <c r="G3">
        <v>2</v>
      </c>
      <c r="H3">
        <v>100</v>
      </c>
      <c r="I3">
        <v>1011</v>
      </c>
      <c r="J3">
        <v>0</v>
      </c>
      <c r="K3">
        <v>1011</v>
      </c>
      <c r="L3">
        <v>0</v>
      </c>
      <c r="M3">
        <v>1</v>
      </c>
      <c r="N3">
        <v>0</v>
      </c>
      <c r="O3" t="s">
        <v>24</v>
      </c>
    </row>
    <row r="4" spans="1:15" x14ac:dyDescent="0.2">
      <c r="A4">
        <v>1020</v>
      </c>
      <c r="B4">
        <v>10</v>
      </c>
      <c r="C4">
        <v>4</v>
      </c>
      <c r="D4">
        <v>4</v>
      </c>
      <c r="E4">
        <v>20</v>
      </c>
      <c r="F4" t="str">
        <f>INDEX(Define!L:L,MATCH(E4,Define!K:K))</f>
        <v>Basement</v>
      </c>
      <c r="G4">
        <v>1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 t="s">
        <v>24</v>
      </c>
    </row>
    <row r="5" spans="1:15" x14ac:dyDescent="0.2">
      <c r="A5">
        <v>1030</v>
      </c>
      <c r="B5">
        <v>10</v>
      </c>
      <c r="C5">
        <v>4</v>
      </c>
      <c r="D5">
        <v>3</v>
      </c>
      <c r="E5">
        <v>0</v>
      </c>
      <c r="F5" t="str">
        <f>INDEX(Define!L:L,MATCH(E5,Define!K:K))</f>
        <v>None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 t="s">
        <v>24</v>
      </c>
    </row>
    <row r="6" spans="1:15" x14ac:dyDescent="0.2">
      <c r="A6">
        <v>1040</v>
      </c>
      <c r="B6">
        <v>10</v>
      </c>
      <c r="C6">
        <v>4</v>
      </c>
      <c r="D6">
        <v>5</v>
      </c>
      <c r="E6">
        <v>0</v>
      </c>
      <c r="F6" t="str">
        <f>INDEX(Define!L:L,MATCH(E6,Define!K:K))</f>
        <v>None</v>
      </c>
      <c r="G6">
        <v>0</v>
      </c>
      <c r="H6">
        <v>100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 t="s">
        <v>24</v>
      </c>
    </row>
    <row r="7" spans="1:15" x14ac:dyDescent="0.2">
      <c r="A7">
        <v>1050</v>
      </c>
      <c r="B7">
        <v>10</v>
      </c>
      <c r="C7">
        <v>6</v>
      </c>
      <c r="D7">
        <v>4</v>
      </c>
      <c r="E7">
        <v>0</v>
      </c>
      <c r="F7" t="str">
        <f>INDEX(Define!L:L,MATCH(E7,Define!K:K))</f>
        <v>None</v>
      </c>
      <c r="G7">
        <v>0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 t="s">
        <v>24</v>
      </c>
    </row>
    <row r="8" spans="1:15" x14ac:dyDescent="0.2">
      <c r="A8">
        <v>1060</v>
      </c>
      <c r="B8">
        <v>10</v>
      </c>
      <c r="C8">
        <v>6</v>
      </c>
      <c r="D8">
        <v>5</v>
      </c>
      <c r="E8">
        <v>0</v>
      </c>
      <c r="F8" t="str">
        <f>INDEX(Define!L:L,MATCH(E8,Define!K:K))</f>
        <v>None</v>
      </c>
      <c r="G8">
        <v>0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 t="s">
        <v>24</v>
      </c>
    </row>
    <row r="9" spans="1:15" x14ac:dyDescent="0.2">
      <c r="A9">
        <v>10000</v>
      </c>
      <c r="B9">
        <v>1010</v>
      </c>
      <c r="C9">
        <v>-1</v>
      </c>
      <c r="D9">
        <v>0</v>
      </c>
      <c r="E9">
        <v>70</v>
      </c>
      <c r="F9" t="str">
        <f>INDEX(Define!L:L,MATCH(E9,Define!K:K))</f>
        <v>SelectActor</v>
      </c>
      <c r="G9">
        <v>0</v>
      </c>
      <c r="H9">
        <v>100</v>
      </c>
      <c r="I9">
        <v>0</v>
      </c>
      <c r="J9">
        <v>0</v>
      </c>
      <c r="K9">
        <v>1001</v>
      </c>
      <c r="L9">
        <v>0</v>
      </c>
      <c r="M9">
        <v>0</v>
      </c>
      <c r="N9">
        <v>0</v>
      </c>
      <c r="O9" t="s">
        <v>23</v>
      </c>
    </row>
    <row r="10" spans="1:15" x14ac:dyDescent="0.2">
      <c r="A10">
        <v>10010</v>
      </c>
      <c r="B10">
        <v>1010</v>
      </c>
      <c r="C10">
        <v>10</v>
      </c>
      <c r="D10">
        <v>4</v>
      </c>
      <c r="E10">
        <v>1000</v>
      </c>
      <c r="F10" t="str">
        <f>INDEX(Define!L:L,MATCH(E10,Define!K:K))</f>
        <v>Battler</v>
      </c>
      <c r="G10">
        <v>2</v>
      </c>
      <c r="H10">
        <v>100</v>
      </c>
      <c r="I10">
        <v>1011</v>
      </c>
      <c r="J10">
        <v>0</v>
      </c>
      <c r="K10">
        <v>1011</v>
      </c>
      <c r="L10">
        <v>0</v>
      </c>
      <c r="M10">
        <v>0</v>
      </c>
      <c r="N10">
        <v>0</v>
      </c>
      <c r="O10" t="s">
        <v>24</v>
      </c>
    </row>
    <row r="11" spans="1:15" x14ac:dyDescent="0.2">
      <c r="A11">
        <v>10020</v>
      </c>
      <c r="B11">
        <v>1010</v>
      </c>
      <c r="C11">
        <v>6</v>
      </c>
      <c r="D11">
        <v>4</v>
      </c>
      <c r="E11">
        <v>20</v>
      </c>
      <c r="F11" t="str">
        <f>INDEX(Define!L:L,MATCH(E11,Define!K:K))</f>
        <v>Basement</v>
      </c>
      <c r="G11">
        <v>1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 t="s">
        <v>24</v>
      </c>
    </row>
    <row r="12" spans="1:15" x14ac:dyDescent="0.2">
      <c r="A12">
        <v>10030</v>
      </c>
      <c r="B12">
        <v>1010</v>
      </c>
      <c r="C12">
        <v>10</v>
      </c>
      <c r="D12">
        <v>4</v>
      </c>
      <c r="E12">
        <v>20</v>
      </c>
      <c r="F12" t="str">
        <f>INDEX(Define!L:L,MATCH(E12,Define!K:K))</f>
        <v>Basement</v>
      </c>
      <c r="G12">
        <v>2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 t="s">
        <v>24</v>
      </c>
    </row>
    <row r="13" spans="1:15" x14ac:dyDescent="0.2">
      <c r="A13">
        <v>10040</v>
      </c>
      <c r="B13">
        <v>1010</v>
      </c>
      <c r="C13">
        <v>5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 t="s">
        <v>24</v>
      </c>
    </row>
    <row r="14" spans="1:15" x14ac:dyDescent="0.2">
      <c r="A14">
        <v>10050</v>
      </c>
      <c r="B14">
        <v>1010</v>
      </c>
      <c r="C14">
        <v>7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 t="s">
        <v>24</v>
      </c>
    </row>
    <row r="15" spans="1:15" x14ac:dyDescent="0.2">
      <c r="A15">
        <v>10060</v>
      </c>
      <c r="B15">
        <v>1010</v>
      </c>
      <c r="C15">
        <v>9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t="s">
        <v>24</v>
      </c>
    </row>
    <row r="16" spans="1:15" x14ac:dyDescent="0.2">
      <c r="A16">
        <v>10070</v>
      </c>
      <c r="B16">
        <v>1010</v>
      </c>
      <c r="C16">
        <v>11</v>
      </c>
      <c r="D16">
        <v>5</v>
      </c>
      <c r="E16">
        <v>0</v>
      </c>
      <c r="F16" t="str">
        <f>INDEX(Define!L:L,MATCH(E16,Define!K:K))</f>
        <v>None</v>
      </c>
      <c r="G16">
        <v>0</v>
      </c>
      <c r="H16">
        <v>100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 t="s">
        <v>24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25</v>
      </c>
      <c r="C1" t="s">
        <v>26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27</v>
      </c>
      <c r="B1" t="s">
        <v>17</v>
      </c>
      <c r="C1" t="s">
        <v>13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E1" sqref="E1:E1048576"/>
    </sheetView>
  </sheetViews>
  <sheetFormatPr defaultColWidth="8.7265625" defaultRowHeight="13" x14ac:dyDescent="0.2"/>
  <sheetData>
    <row r="1" spans="1:8" x14ac:dyDescent="0.2">
      <c r="A1" t="s">
        <v>0</v>
      </c>
      <c r="B1" t="s">
        <v>11</v>
      </c>
      <c r="C1" t="s">
        <v>12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B5" sqref="B5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33</v>
      </c>
      <c r="C1" t="s">
        <v>34</v>
      </c>
    </row>
    <row r="2" spans="1:4" x14ac:dyDescent="0.2">
      <c r="A2">
        <v>1</v>
      </c>
      <c r="B2" t="s">
        <v>35</v>
      </c>
      <c r="C2" s="1" t="s">
        <v>35</v>
      </c>
    </row>
    <row r="3" spans="1:4" x14ac:dyDescent="0.2">
      <c r="A3">
        <v>10</v>
      </c>
      <c r="B3" s="2" t="s">
        <v>94</v>
      </c>
      <c r="C3" s="3" t="s">
        <v>95</v>
      </c>
      <c r="D3" s="1"/>
    </row>
    <row r="4" spans="1:4" x14ac:dyDescent="0.2">
      <c r="A4">
        <v>1010</v>
      </c>
      <c r="B4" s="2" t="s">
        <v>96</v>
      </c>
      <c r="C4" s="4" t="s">
        <v>95</v>
      </c>
      <c r="D4" s="1"/>
    </row>
    <row r="5" spans="1:4" x14ac:dyDescent="0.2">
      <c r="C5" s="1"/>
      <c r="D5" s="1"/>
    </row>
    <row r="6" spans="1:4" x14ac:dyDescent="0.2">
      <c r="C6" s="1"/>
      <c r="D6" s="1"/>
    </row>
    <row r="7" spans="1:4" x14ac:dyDescent="0.2">
      <c r="C7" s="1"/>
      <c r="D7" s="1"/>
    </row>
    <row r="8" spans="1:4" x14ac:dyDescent="0.2">
      <c r="C8" s="1"/>
      <c r="D8" s="1"/>
    </row>
    <row r="9" spans="1:4" x14ac:dyDescent="0.2">
      <c r="C9" s="1"/>
    </row>
    <row r="10" spans="1:4" x14ac:dyDescent="0.2">
      <c r="C10" s="1"/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8"/>
  <sheetViews>
    <sheetView topLeftCell="A13" workbookViewId="0">
      <selection activeCell="E29" sqref="E29"/>
    </sheetView>
  </sheetViews>
  <sheetFormatPr defaultColWidth="8.7265625" defaultRowHeight="13" x14ac:dyDescent="0.2"/>
  <sheetData>
    <row r="1" spans="1:12" x14ac:dyDescent="0.2">
      <c r="A1" t="s">
        <v>12</v>
      </c>
      <c r="D1" t="s">
        <v>14</v>
      </c>
      <c r="I1" t="s">
        <v>17</v>
      </c>
      <c r="K1" s="2" t="s">
        <v>81</v>
      </c>
    </row>
    <row r="2" spans="1:12" x14ac:dyDescent="0.2">
      <c r="A2">
        <v>0</v>
      </c>
      <c r="B2" t="s">
        <v>36</v>
      </c>
      <c r="D2">
        <v>0</v>
      </c>
      <c r="E2" t="s">
        <v>36</v>
      </c>
      <c r="I2">
        <v>-1</v>
      </c>
      <c r="J2" t="s">
        <v>37</v>
      </c>
      <c r="K2">
        <v>-1</v>
      </c>
      <c r="L2" t="s">
        <v>37</v>
      </c>
    </row>
    <row r="3" spans="1:12" x14ac:dyDescent="0.2">
      <c r="A3">
        <v>110</v>
      </c>
      <c r="B3" t="s">
        <v>38</v>
      </c>
      <c r="D3">
        <v>1</v>
      </c>
      <c r="E3" t="s">
        <v>39</v>
      </c>
      <c r="I3">
        <v>0</v>
      </c>
      <c r="J3" s="2" t="s">
        <v>84</v>
      </c>
      <c r="K3">
        <v>0</v>
      </c>
      <c r="L3" s="2" t="s">
        <v>84</v>
      </c>
    </row>
    <row r="4" spans="1:12" x14ac:dyDescent="0.2">
      <c r="A4">
        <v>210</v>
      </c>
      <c r="B4" t="s">
        <v>40</v>
      </c>
      <c r="D4">
        <v>2</v>
      </c>
      <c r="E4" t="s">
        <v>41</v>
      </c>
      <c r="I4">
        <v>10</v>
      </c>
      <c r="J4" t="s">
        <v>42</v>
      </c>
      <c r="K4">
        <v>11</v>
      </c>
      <c r="L4" t="s">
        <v>44</v>
      </c>
    </row>
    <row r="5" spans="1:12" x14ac:dyDescent="0.2">
      <c r="A5">
        <v>1010</v>
      </c>
      <c r="B5" s="2" t="s">
        <v>97</v>
      </c>
      <c r="D5">
        <v>3</v>
      </c>
      <c r="E5" t="s">
        <v>43</v>
      </c>
      <c r="I5">
        <v>11</v>
      </c>
      <c r="J5" t="s">
        <v>44</v>
      </c>
      <c r="K5">
        <v>20</v>
      </c>
      <c r="L5" s="2" t="s">
        <v>83</v>
      </c>
    </row>
    <row r="6" spans="1:12" x14ac:dyDescent="0.2">
      <c r="D6">
        <v>4</v>
      </c>
      <c r="E6" t="s">
        <v>45</v>
      </c>
      <c r="I6">
        <v>20</v>
      </c>
      <c r="J6" t="s">
        <v>46</v>
      </c>
      <c r="K6">
        <v>30</v>
      </c>
      <c r="L6" t="s">
        <v>48</v>
      </c>
    </row>
    <row r="7" spans="1:12" x14ac:dyDescent="0.2">
      <c r="D7">
        <v>5</v>
      </c>
      <c r="E7" t="s">
        <v>47</v>
      </c>
      <c r="I7">
        <v>30</v>
      </c>
      <c r="J7" t="s">
        <v>48</v>
      </c>
      <c r="K7">
        <v>40</v>
      </c>
      <c r="L7" t="s">
        <v>50</v>
      </c>
    </row>
    <row r="8" spans="1:12" x14ac:dyDescent="0.2">
      <c r="D8">
        <v>6</v>
      </c>
      <c r="E8" t="s">
        <v>49</v>
      </c>
      <c r="I8">
        <v>40</v>
      </c>
      <c r="J8" t="s">
        <v>50</v>
      </c>
      <c r="K8">
        <v>50</v>
      </c>
      <c r="L8" t="s">
        <v>52</v>
      </c>
    </row>
    <row r="9" spans="1:12" x14ac:dyDescent="0.2">
      <c r="D9">
        <v>7</v>
      </c>
      <c r="E9" t="s">
        <v>51</v>
      </c>
      <c r="I9">
        <v>50</v>
      </c>
      <c r="J9" t="s">
        <v>52</v>
      </c>
      <c r="K9">
        <v>60</v>
      </c>
      <c r="L9" t="s">
        <v>54</v>
      </c>
    </row>
    <row r="10" spans="1:12" x14ac:dyDescent="0.2">
      <c r="D10">
        <v>8</v>
      </c>
      <c r="E10" t="s">
        <v>53</v>
      </c>
      <c r="I10">
        <v>60</v>
      </c>
      <c r="J10" t="s">
        <v>54</v>
      </c>
      <c r="K10">
        <v>70</v>
      </c>
      <c r="L10" t="s">
        <v>56</v>
      </c>
    </row>
    <row r="11" spans="1:12" x14ac:dyDescent="0.2">
      <c r="D11">
        <v>9</v>
      </c>
      <c r="E11" t="s">
        <v>55</v>
      </c>
      <c r="I11">
        <v>70</v>
      </c>
      <c r="J11" t="s">
        <v>56</v>
      </c>
      <c r="K11">
        <v>80</v>
      </c>
      <c r="L11" t="s">
        <v>58</v>
      </c>
    </row>
    <row r="12" spans="1:12" x14ac:dyDescent="0.2">
      <c r="D12">
        <v>12</v>
      </c>
      <c r="E12" t="s">
        <v>57</v>
      </c>
      <c r="I12">
        <v>80</v>
      </c>
      <c r="J12" t="s">
        <v>58</v>
      </c>
      <c r="K12">
        <v>99</v>
      </c>
      <c r="L12" t="s">
        <v>60</v>
      </c>
    </row>
    <row r="13" spans="1:12" x14ac:dyDescent="0.2">
      <c r="D13">
        <v>13</v>
      </c>
      <c r="E13" t="s">
        <v>59</v>
      </c>
      <c r="I13">
        <v>99</v>
      </c>
      <c r="J13" t="s">
        <v>60</v>
      </c>
      <c r="K13">
        <v>1000</v>
      </c>
      <c r="L13" s="2" t="s">
        <v>82</v>
      </c>
    </row>
    <row r="14" spans="1:12" x14ac:dyDescent="0.2">
      <c r="D14">
        <v>14</v>
      </c>
      <c r="E14" t="s">
        <v>61</v>
      </c>
    </row>
    <row r="15" spans="1:12" x14ac:dyDescent="0.2">
      <c r="D15">
        <v>15</v>
      </c>
      <c r="E15" t="s">
        <v>62</v>
      </c>
    </row>
    <row r="16" spans="1:12" x14ac:dyDescent="0.2">
      <c r="D16">
        <v>21</v>
      </c>
      <c r="E16" t="s">
        <v>63</v>
      </c>
    </row>
    <row r="17" spans="4:5" x14ac:dyDescent="0.2">
      <c r="D17">
        <v>31</v>
      </c>
      <c r="E17" t="s">
        <v>64</v>
      </c>
    </row>
    <row r="18" spans="4:5" x14ac:dyDescent="0.2">
      <c r="D18">
        <v>32</v>
      </c>
      <c r="E18" t="s">
        <v>65</v>
      </c>
    </row>
    <row r="19" spans="4:5" x14ac:dyDescent="0.2">
      <c r="D19">
        <v>33</v>
      </c>
      <c r="E19" t="s">
        <v>66</v>
      </c>
    </row>
    <row r="20" spans="4:5" x14ac:dyDescent="0.2">
      <c r="D20">
        <v>41</v>
      </c>
      <c r="E20" t="s">
        <v>67</v>
      </c>
    </row>
    <row r="21" spans="4:5" x14ac:dyDescent="0.2">
      <c r="D21">
        <v>51</v>
      </c>
      <c r="E21" t="s">
        <v>68</v>
      </c>
    </row>
    <row r="22" spans="4:5" x14ac:dyDescent="0.2">
      <c r="D22">
        <v>61</v>
      </c>
      <c r="E22" t="s">
        <v>69</v>
      </c>
    </row>
    <row r="23" spans="4:5" x14ac:dyDescent="0.2">
      <c r="D23">
        <v>62</v>
      </c>
      <c r="E23" t="s">
        <v>70</v>
      </c>
    </row>
    <row r="24" spans="4:5" x14ac:dyDescent="0.2">
      <c r="D24">
        <v>100</v>
      </c>
      <c r="E24" t="s">
        <v>71</v>
      </c>
    </row>
    <row r="25" spans="4:5" x14ac:dyDescent="0.2">
      <c r="D25">
        <v>110</v>
      </c>
      <c r="E25" t="s">
        <v>72</v>
      </c>
    </row>
    <row r="26" spans="4:5" x14ac:dyDescent="0.2">
      <c r="D26">
        <v>201</v>
      </c>
      <c r="E26" t="s">
        <v>73</v>
      </c>
    </row>
    <row r="27" spans="4:5" x14ac:dyDescent="0.2">
      <c r="D27">
        <v>1010</v>
      </c>
      <c r="E27" s="2" t="s">
        <v>98</v>
      </c>
    </row>
    <row r="28" spans="4:5" x14ac:dyDescent="0.2">
      <c r="D28">
        <v>1011</v>
      </c>
      <c r="E28" s="2" t="s">
        <v>99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Stages</vt:lpstr>
      <vt:lpstr>StageEvents</vt:lpstr>
      <vt:lpstr>StageSymbols</vt:lpstr>
      <vt:lpstr>StageEnemyRates</vt:lpstr>
      <vt:lpstr>SymbolGroup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2025-04-12T07:04:07Z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