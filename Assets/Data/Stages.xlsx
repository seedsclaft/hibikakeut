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StageEvents!$F$1:$F$149</definedName>
  </definedName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<sst xmlns="http://schemas.openxmlformats.org/spreadsheetml/2006/main" count="219" uniqueCount="134">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</sst>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1" fillId="9" borderId="1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G23" sqref="G2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8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13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14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15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49"/>
  <sheetViews>
    <sheetView tabSelected="1" workbookViewId="0">
      <selection activeCell="H103" sqref="H10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hidden="1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hidden="1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hidden="1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hidden="1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hidden="1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hidden="1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hidden="1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hidden="1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hidden="1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hidden="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hidden="1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hidden="1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hidden="1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hidden="1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hidden="1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hidden="1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hidden="1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hidden="1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hidden="1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hidden="1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hidden="1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hidden="1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hidden="1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hidden="1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hidden="1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hidden="1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hidden="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hidden="1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hidden="1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hidden="1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hidden="1" spans="1:11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hidden="1" spans="1:11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hidden="1" spans="1:11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hidden="1" spans="1:11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hidden="1" spans="1:11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hidden="1" spans="1:11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spans="1:11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hidden="1" spans="1:11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hidden="1" spans="1:11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hidden="1" spans="1:11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spans="1:11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hidden="1" spans="1:11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hidden="1" spans="1:11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hidden="1" spans="1:11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hidden="1" spans="1:11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hidden="1" spans="1:11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hidden="1" spans="1:11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hidden="1" spans="1:11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hidden="1" spans="1:11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8</v>
      </c>
      <c r="J53">
        <v>18</v>
      </c>
      <c r="K53" t="b">
        <v>0</v>
      </c>
    </row>
    <row r="54" spans="1:11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>
      <c r="A55">
        <v>41</v>
      </c>
      <c r="B55">
        <v>3</v>
      </c>
      <c r="C55">
        <v>2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1300</v>
      </c>
      <c r="I56">
        <v>0</v>
      </c>
      <c r="J56">
        <v>0</v>
      </c>
      <c r="K56" t="b">
        <v>1</v>
      </c>
    </row>
    <row r="57" spans="1:11">
      <c r="A57">
        <v>41</v>
      </c>
      <c r="B57">
        <v>5</v>
      </c>
      <c r="C57">
        <v>2</v>
      </c>
      <c r="D57">
        <v>3010</v>
      </c>
      <c r="F57">
        <v>3020</v>
      </c>
      <c r="G57" t="str">
        <f>INDEX(Define!E:E,MATCH(F57,Define!D:D))</f>
        <v>アイテム取得</v>
      </c>
      <c r="H57">
        <v>3010</v>
      </c>
      <c r="I57">
        <v>0</v>
      </c>
      <c r="J57">
        <v>0</v>
      </c>
      <c r="K57" t="b">
        <v>1</v>
      </c>
    </row>
    <row r="58" hidden="1" spans="1:11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hidden="1" spans="1:11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hidden="1" spans="1:11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hidden="1" spans="1:11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hidden="1" spans="1:11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hidden="1" spans="1:11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hidden="1" spans="1:11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hidden="1" spans="1:11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hidden="1" spans="1:11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hidden="1" spans="1:11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hidden="1" spans="1:11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hidden="1" spans="1:11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hidden="1" spans="1:11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hidden="1" spans="1:11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hidden="1" spans="1:11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hidden="1" spans="1:11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hidden="1" spans="1:11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hidden="1" spans="1:11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hidden="1" spans="1:11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hidden="1" spans="1:11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hidden="1" spans="1:11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hidden="1" spans="1:11">
      <c r="A79">
        <v>42</v>
      </c>
      <c r="B79">
        <v>8</v>
      </c>
      <c r="C79">
        <v>18</v>
      </c>
      <c r="D79">
        <v>3010</v>
      </c>
      <c r="F79">
        <v>2020</v>
      </c>
      <c r="G79" t="str">
        <f>INDEX(Define!E:E,MATCH(F79,Define!D:D))</f>
        <v>ダンジョン移動</v>
      </c>
      <c r="H79">
        <v>41</v>
      </c>
      <c r="I79">
        <v>9</v>
      </c>
      <c r="J79">
        <v>4</v>
      </c>
      <c r="K79" t="b">
        <v>0</v>
      </c>
    </row>
    <row r="80" spans="1:11">
      <c r="A80">
        <v>42</v>
      </c>
      <c r="B80">
        <v>8</v>
      </c>
      <c r="C80">
        <v>1</v>
      </c>
      <c r="D80">
        <v>3010</v>
      </c>
      <c r="F80">
        <v>3010</v>
      </c>
      <c r="G80" t="str">
        <f>INDEX(Define!E:E,MATCH(F80,Define!D:D))</f>
        <v>アーティファクト取得</v>
      </c>
      <c r="H80">
        <v>2040</v>
      </c>
      <c r="I80">
        <v>0</v>
      </c>
      <c r="J80">
        <v>0</v>
      </c>
      <c r="K80" t="b">
        <v>1</v>
      </c>
    </row>
    <row r="81" hidden="1" spans="1:11">
      <c r="A81">
        <v>42</v>
      </c>
      <c r="B81">
        <v>8</v>
      </c>
      <c r="C81">
        <v>8</v>
      </c>
      <c r="D81">
        <v>3010</v>
      </c>
      <c r="F81">
        <v>5020</v>
      </c>
      <c r="G81" t="str">
        <f>INDEX(Define!E:E,MATCH(F81,Define!D:D))</f>
        <v>強制ボス戦闘</v>
      </c>
      <c r="H81">
        <v>3010</v>
      </c>
      <c r="I81">
        <v>0</v>
      </c>
      <c r="J81">
        <v>0</v>
      </c>
      <c r="K81" t="b">
        <v>1</v>
      </c>
    </row>
    <row r="82" hidden="1" spans="1:11">
      <c r="A82">
        <v>42</v>
      </c>
      <c r="B82">
        <v>8</v>
      </c>
      <c r="C82">
        <v>8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hidden="1" spans="1:11">
      <c r="A83">
        <v>42</v>
      </c>
      <c r="B83">
        <v>8</v>
      </c>
      <c r="C83">
        <v>7</v>
      </c>
      <c r="D83">
        <v>3010</v>
      </c>
      <c r="F83">
        <v>1010</v>
      </c>
      <c r="G83" t="str">
        <f>INDEX(Define!E:E,MATCH(F83,Define!D:D))</f>
        <v>Adv再生</v>
      </c>
      <c r="H83">
        <v>140</v>
      </c>
      <c r="I83">
        <v>0</v>
      </c>
      <c r="J83">
        <v>0</v>
      </c>
      <c r="K83" t="b">
        <v>1</v>
      </c>
    </row>
    <row r="84" hidden="1" spans="1:11">
      <c r="A84">
        <v>42</v>
      </c>
      <c r="B84">
        <v>8</v>
      </c>
      <c r="C84">
        <v>7</v>
      </c>
      <c r="D84">
        <v>3010</v>
      </c>
      <c r="F84">
        <v>6010</v>
      </c>
      <c r="G84" t="str">
        <f>INDEX(Define!E:E,MATCH(F84,Define!D:D))</f>
        <v>指定のイベントマスを消す</v>
      </c>
      <c r="H84">
        <v>83</v>
      </c>
      <c r="I84">
        <v>0</v>
      </c>
      <c r="J84">
        <v>0</v>
      </c>
      <c r="K84" t="b">
        <v>1</v>
      </c>
    </row>
    <row r="85" hidden="1" spans="1:11">
      <c r="A85">
        <v>42</v>
      </c>
      <c r="B85">
        <v>8</v>
      </c>
      <c r="C85">
        <v>3</v>
      </c>
      <c r="D85">
        <v>3010</v>
      </c>
      <c r="F85">
        <v>0</v>
      </c>
      <c r="H85">
        <v>83</v>
      </c>
      <c r="I85">
        <v>0</v>
      </c>
      <c r="J85">
        <v>0</v>
      </c>
      <c r="K85" t="b">
        <v>1</v>
      </c>
    </row>
    <row r="86" hidden="1" spans="1:11">
      <c r="A86">
        <v>42</v>
      </c>
      <c r="B86">
        <v>8</v>
      </c>
      <c r="C86">
        <v>7</v>
      </c>
      <c r="D86">
        <v>3010</v>
      </c>
      <c r="F86">
        <v>6010</v>
      </c>
      <c r="G86" t="str">
        <f>INDEX(Define!E:E,MATCH(F86,Define!D:D))</f>
        <v>指定のイベントマスを消す</v>
      </c>
      <c r="H86">
        <v>86</v>
      </c>
      <c r="I86">
        <v>0</v>
      </c>
      <c r="J86">
        <v>0</v>
      </c>
      <c r="K86" t="b">
        <v>1</v>
      </c>
    </row>
    <row r="87" hidden="1" spans="1:11">
      <c r="A87">
        <v>42</v>
      </c>
      <c r="B87">
        <v>8</v>
      </c>
      <c r="C87">
        <v>6</v>
      </c>
      <c r="D87">
        <v>3010</v>
      </c>
      <c r="F87">
        <v>0</v>
      </c>
      <c r="H87">
        <v>86</v>
      </c>
      <c r="I87">
        <v>0</v>
      </c>
      <c r="J87">
        <v>0</v>
      </c>
      <c r="K87" t="b">
        <v>1</v>
      </c>
    </row>
    <row r="88" hidden="1" spans="1:11">
      <c r="A88">
        <v>42</v>
      </c>
      <c r="B88">
        <v>8</v>
      </c>
      <c r="C88">
        <v>7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hidden="1" spans="1:11">
      <c r="A89">
        <v>42</v>
      </c>
      <c r="B89">
        <v>4</v>
      </c>
      <c r="C89">
        <v>8</v>
      </c>
      <c r="D89">
        <v>3010</v>
      </c>
      <c r="F89">
        <v>1010</v>
      </c>
      <c r="G89" t="str">
        <f>INDEX(Define!E:E,MATCH(F89,Define!D:D))</f>
        <v>Adv再生</v>
      </c>
      <c r="H89">
        <v>100</v>
      </c>
      <c r="I89">
        <v>0</v>
      </c>
      <c r="J89">
        <v>0</v>
      </c>
      <c r="K89" t="b">
        <v>1</v>
      </c>
    </row>
    <row r="90" hidden="1" spans="1:11">
      <c r="A90">
        <v>42</v>
      </c>
      <c r="B90">
        <v>4</v>
      </c>
      <c r="C90">
        <v>8</v>
      </c>
      <c r="D90">
        <v>3010</v>
      </c>
      <c r="F90">
        <v>5010</v>
      </c>
      <c r="G90" t="str">
        <f>INDEX(Define!E:E,MATCH(F90,Define!D:D))</f>
        <v>強制戦闘</v>
      </c>
      <c r="H90">
        <v>3030</v>
      </c>
      <c r="I90">
        <v>0</v>
      </c>
      <c r="J90">
        <v>0</v>
      </c>
      <c r="K90" t="b">
        <v>1</v>
      </c>
    </row>
    <row r="91" hidden="1" spans="1:11">
      <c r="A91">
        <v>42</v>
      </c>
      <c r="B91">
        <v>12</v>
      </c>
      <c r="C91">
        <v>8</v>
      </c>
      <c r="D91">
        <v>3010</v>
      </c>
      <c r="F91">
        <v>1010</v>
      </c>
      <c r="G91" t="str">
        <f>INDEX(Define!E:E,MATCH(F91,Define!D:D))</f>
        <v>Adv再生</v>
      </c>
      <c r="H91">
        <v>100</v>
      </c>
      <c r="I91">
        <v>0</v>
      </c>
      <c r="J91">
        <v>0</v>
      </c>
      <c r="K91" t="b">
        <v>1</v>
      </c>
    </row>
    <row r="92" hidden="1" spans="1:11">
      <c r="A92">
        <v>42</v>
      </c>
      <c r="B92">
        <v>12</v>
      </c>
      <c r="C92">
        <v>8</v>
      </c>
      <c r="D92">
        <v>3010</v>
      </c>
      <c r="F92">
        <v>5010</v>
      </c>
      <c r="G92" t="str">
        <f>INDEX(Define!E:E,MATCH(F92,Define!D:D))</f>
        <v>強制戦闘</v>
      </c>
      <c r="H92">
        <v>3040</v>
      </c>
      <c r="I92">
        <v>0</v>
      </c>
      <c r="J92">
        <v>0</v>
      </c>
      <c r="K92" t="b">
        <v>1</v>
      </c>
    </row>
    <row r="93" hidden="1" spans="1:11">
      <c r="A93">
        <v>42</v>
      </c>
      <c r="B93">
        <v>8</v>
      </c>
      <c r="C93">
        <v>10</v>
      </c>
      <c r="D93">
        <v>3010</v>
      </c>
      <c r="F93">
        <v>1010</v>
      </c>
      <c r="G93" t="str">
        <f>INDEX(Define!E:E,MATCH(F93,Define!D:D))</f>
        <v>Adv再生</v>
      </c>
      <c r="H93">
        <v>1050</v>
      </c>
      <c r="I93">
        <v>0</v>
      </c>
      <c r="J93">
        <v>0</v>
      </c>
      <c r="K93" t="b">
        <v>1</v>
      </c>
    </row>
    <row r="94" hidden="1" spans="1:11">
      <c r="A94">
        <v>42</v>
      </c>
      <c r="B94">
        <v>8</v>
      </c>
      <c r="C94">
        <v>10</v>
      </c>
      <c r="D94">
        <v>3010</v>
      </c>
      <c r="F94">
        <v>6020</v>
      </c>
      <c r="G94" t="str">
        <f>INDEX(Define!E:E,MATCH(F94,Define!D:D))</f>
        <v>同フロアの強制戦闘が終わってたらイベントマスを消す</v>
      </c>
      <c r="H94">
        <v>89</v>
      </c>
      <c r="I94">
        <v>0</v>
      </c>
      <c r="J94">
        <v>0</v>
      </c>
      <c r="K94" t="b">
        <v>1</v>
      </c>
    </row>
    <row r="95" hidden="1" spans="1:11">
      <c r="A95">
        <v>42</v>
      </c>
      <c r="B95">
        <v>8</v>
      </c>
      <c r="C95">
        <v>9</v>
      </c>
      <c r="D95">
        <v>3010</v>
      </c>
      <c r="F95">
        <v>0</v>
      </c>
      <c r="H95">
        <v>89</v>
      </c>
      <c r="I95">
        <v>0</v>
      </c>
      <c r="J95">
        <v>0</v>
      </c>
      <c r="K95" t="b">
        <v>1</v>
      </c>
    </row>
    <row r="96" hidden="1" spans="1:11">
      <c r="A96">
        <v>42</v>
      </c>
      <c r="B96">
        <v>8</v>
      </c>
      <c r="C96">
        <v>10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hidden="1" spans="1:11">
      <c r="A97">
        <v>50</v>
      </c>
      <c r="B97">
        <v>9</v>
      </c>
      <c r="C97">
        <v>10</v>
      </c>
      <c r="D97">
        <v>3010</v>
      </c>
      <c r="F97">
        <v>2010</v>
      </c>
      <c r="G97" t="str">
        <f>INDEX(Define!E:E,MATCH(F97,Define!D:D))</f>
        <v>ダンジョンから出る</v>
      </c>
      <c r="H97">
        <v>0</v>
      </c>
      <c r="I97">
        <v>0</v>
      </c>
      <c r="J97">
        <v>0</v>
      </c>
      <c r="K97" t="b">
        <v>0</v>
      </c>
    </row>
    <row r="98" hidden="1" spans="1:11">
      <c r="A98">
        <v>50</v>
      </c>
      <c r="B98">
        <v>2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51</v>
      </c>
      <c r="I98">
        <v>1</v>
      </c>
      <c r="J98">
        <v>12</v>
      </c>
      <c r="K98" t="b">
        <v>0</v>
      </c>
    </row>
    <row r="99" spans="1:11">
      <c r="A99">
        <v>50</v>
      </c>
      <c r="B99">
        <v>5</v>
      </c>
      <c r="C99">
        <v>2</v>
      </c>
      <c r="D99">
        <v>3010</v>
      </c>
      <c r="F99">
        <v>3020</v>
      </c>
      <c r="G99" t="str">
        <f>INDEX(Define!E:E,MATCH(F99,Define!D:D))</f>
        <v>アイテム取得</v>
      </c>
      <c r="H99">
        <v>1200</v>
      </c>
      <c r="I99">
        <v>0</v>
      </c>
      <c r="J99">
        <v>0</v>
      </c>
      <c r="K99" t="b">
        <v>1</v>
      </c>
    </row>
    <row r="100" spans="1:11">
      <c r="A100">
        <v>50</v>
      </c>
      <c r="B100">
        <v>9</v>
      </c>
      <c r="C100">
        <v>3</v>
      </c>
      <c r="D100">
        <v>3010</v>
      </c>
      <c r="F100">
        <v>3020</v>
      </c>
      <c r="G100" t="str">
        <f>INDEX(Define!E:E,MATCH(F100,Define!D:D))</f>
        <v>アイテム取得</v>
      </c>
      <c r="H100">
        <v>3020</v>
      </c>
      <c r="I100">
        <v>0</v>
      </c>
      <c r="J100">
        <v>0</v>
      </c>
      <c r="K100" t="b">
        <v>1</v>
      </c>
    </row>
    <row r="101" hidden="1" spans="1:11">
      <c r="A101">
        <v>51</v>
      </c>
      <c r="B101">
        <v>1</v>
      </c>
      <c r="C101">
        <v>12</v>
      </c>
      <c r="D101">
        <v>3010</v>
      </c>
      <c r="F101">
        <v>2020</v>
      </c>
      <c r="G101" t="str">
        <f>INDEX(Define!E:E,MATCH(F101,Define!D:D))</f>
        <v>ダンジョン移動</v>
      </c>
      <c r="H101">
        <v>50</v>
      </c>
      <c r="I101">
        <v>2</v>
      </c>
      <c r="J101">
        <v>1</v>
      </c>
      <c r="K101" t="b">
        <v>0</v>
      </c>
    </row>
    <row r="102" hidden="1" spans="1:11">
      <c r="A102">
        <v>51</v>
      </c>
      <c r="B102">
        <v>2</v>
      </c>
      <c r="C102">
        <v>1</v>
      </c>
      <c r="D102">
        <v>3010</v>
      </c>
      <c r="F102">
        <v>2020</v>
      </c>
      <c r="G102" t="str">
        <f>INDEX(Define!E:E,MATCH(F102,Define!D:D))</f>
        <v>ダンジョン移動</v>
      </c>
      <c r="H102">
        <v>52</v>
      </c>
      <c r="I102">
        <v>2</v>
      </c>
      <c r="J102">
        <v>10</v>
      </c>
      <c r="K102" t="b">
        <v>0</v>
      </c>
    </row>
    <row r="103" spans="1:11">
      <c r="A103">
        <v>51</v>
      </c>
      <c r="B103">
        <v>2</v>
      </c>
      <c r="C103">
        <v>6</v>
      </c>
      <c r="D103">
        <v>3010</v>
      </c>
      <c r="F103">
        <v>3020</v>
      </c>
      <c r="G103" t="str">
        <f>INDEX(Define!E:E,MATCH(F103,Define!D:D))</f>
        <v>アイテム取得</v>
      </c>
      <c r="H103">
        <v>1100</v>
      </c>
      <c r="I103">
        <v>0</v>
      </c>
      <c r="J103">
        <v>0</v>
      </c>
      <c r="K103" t="b">
        <v>1</v>
      </c>
    </row>
    <row r="104" spans="1:11">
      <c r="A104">
        <v>51</v>
      </c>
      <c r="B104">
        <v>13</v>
      </c>
      <c r="C104">
        <v>9</v>
      </c>
      <c r="D104">
        <v>3010</v>
      </c>
      <c r="F104">
        <v>3010</v>
      </c>
      <c r="G104" t="str">
        <f>INDEX(Define!E:E,MATCH(F104,Define!D:D))</f>
        <v>アーティファクト取得</v>
      </c>
      <c r="H104">
        <v>2050</v>
      </c>
      <c r="I104">
        <v>0</v>
      </c>
      <c r="J104">
        <v>0</v>
      </c>
      <c r="K104" t="b">
        <v>1</v>
      </c>
    </row>
    <row r="105" hidden="1" spans="1:11">
      <c r="A105">
        <v>51</v>
      </c>
      <c r="B105">
        <v>15</v>
      </c>
      <c r="C105">
        <v>5</v>
      </c>
      <c r="D105">
        <v>3010</v>
      </c>
      <c r="F105">
        <v>1010</v>
      </c>
      <c r="G105" t="str">
        <f>INDEX(Define!E:E,MATCH(F105,Define!D:D))</f>
        <v>Adv再生</v>
      </c>
      <c r="H105">
        <v>140</v>
      </c>
      <c r="I105">
        <v>0</v>
      </c>
      <c r="J105">
        <v>0</v>
      </c>
      <c r="K105" t="b">
        <v>1</v>
      </c>
    </row>
    <row r="106" hidden="1" spans="1:11">
      <c r="A106">
        <v>51</v>
      </c>
      <c r="B106">
        <v>15</v>
      </c>
      <c r="C106">
        <v>5</v>
      </c>
      <c r="D106">
        <v>3010</v>
      </c>
      <c r="F106">
        <v>6010</v>
      </c>
      <c r="G106" t="str">
        <f>INDEX(Define!E:E,MATCH(F106,Define!D:D))</f>
        <v>指定のイベントマスを消す</v>
      </c>
      <c r="H106">
        <v>106</v>
      </c>
      <c r="I106">
        <v>0</v>
      </c>
      <c r="J106">
        <v>0</v>
      </c>
      <c r="K106" t="b">
        <v>1</v>
      </c>
    </row>
    <row r="107" hidden="1" spans="1:11">
      <c r="A107">
        <v>51</v>
      </c>
      <c r="B107">
        <v>10</v>
      </c>
      <c r="C107">
        <v>6</v>
      </c>
      <c r="D107">
        <v>3010</v>
      </c>
      <c r="F107">
        <v>0</v>
      </c>
      <c r="H107">
        <v>106</v>
      </c>
      <c r="I107">
        <v>0</v>
      </c>
      <c r="J107">
        <v>0</v>
      </c>
      <c r="K107" t="b">
        <v>1</v>
      </c>
    </row>
    <row r="108" hidden="1" spans="1:11">
      <c r="A108">
        <v>51</v>
      </c>
      <c r="B108">
        <v>15</v>
      </c>
      <c r="C108">
        <v>5</v>
      </c>
      <c r="D108">
        <v>3010</v>
      </c>
      <c r="F108">
        <v>9010</v>
      </c>
      <c r="G108" t="str">
        <f>INDEX(Define!E:E,MATCH(F108,Define!D:D))</f>
        <v>イベント終了明示</v>
      </c>
      <c r="H108">
        <v>0</v>
      </c>
      <c r="I108">
        <v>0</v>
      </c>
      <c r="J108">
        <v>0</v>
      </c>
      <c r="K108" t="b">
        <v>0</v>
      </c>
    </row>
    <row r="109" hidden="1" spans="1:11">
      <c r="A109">
        <v>51</v>
      </c>
      <c r="B109">
        <v>12</v>
      </c>
      <c r="C109">
        <v>9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hidden="1" spans="1:11">
      <c r="A110">
        <v>51</v>
      </c>
      <c r="B110">
        <v>14</v>
      </c>
      <c r="C110">
        <v>5</v>
      </c>
      <c r="D110">
        <v>3010</v>
      </c>
      <c r="F110">
        <v>5010</v>
      </c>
      <c r="G110" t="str">
        <f>INDEX(Define!E:E,MATCH(F110,Define!D:D))</f>
        <v>強制戦闘</v>
      </c>
      <c r="H110">
        <v>-1</v>
      </c>
      <c r="I110">
        <v>40020</v>
      </c>
      <c r="J110">
        <v>0</v>
      </c>
      <c r="K110" t="b">
        <v>1</v>
      </c>
    </row>
    <row r="111" hidden="1" spans="1:11">
      <c r="A111">
        <v>52</v>
      </c>
      <c r="B111">
        <v>2</v>
      </c>
      <c r="C111">
        <v>10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2</v>
      </c>
      <c r="J111">
        <v>1</v>
      </c>
      <c r="K111" t="b">
        <v>0</v>
      </c>
    </row>
    <row r="112" hidden="1" spans="1:11">
      <c r="A112">
        <v>52</v>
      </c>
      <c r="B112">
        <v>15</v>
      </c>
      <c r="C112">
        <v>5</v>
      </c>
      <c r="D112">
        <v>3010</v>
      </c>
      <c r="F112">
        <v>2020</v>
      </c>
      <c r="G112" t="str">
        <f>INDEX(Define!E:E,MATCH(F112,Define!D:D))</f>
        <v>ダンジョン移動</v>
      </c>
      <c r="H112">
        <v>53</v>
      </c>
      <c r="I112">
        <v>4</v>
      </c>
      <c r="J112">
        <v>11</v>
      </c>
      <c r="K112" t="b">
        <v>0</v>
      </c>
    </row>
    <row r="113" hidden="1" spans="1:11">
      <c r="A113">
        <v>52</v>
      </c>
      <c r="B113">
        <v>5</v>
      </c>
      <c r="C113">
        <v>9</v>
      </c>
      <c r="D113">
        <v>3010</v>
      </c>
      <c r="F113">
        <v>7010</v>
      </c>
      <c r="G113" t="str">
        <f>INDEX(Define!E:E,MATCH(F113,Define!D:D))</f>
        <v>ダメージ床</v>
      </c>
      <c r="H113">
        <v>20</v>
      </c>
      <c r="I113">
        <v>0</v>
      </c>
      <c r="J113">
        <v>0</v>
      </c>
      <c r="K113" t="b">
        <v>0</v>
      </c>
    </row>
    <row r="114" hidden="1" spans="1:11">
      <c r="A114">
        <v>52</v>
      </c>
      <c r="B114">
        <v>8</v>
      </c>
      <c r="C114">
        <v>10</v>
      </c>
      <c r="D114">
        <v>3010</v>
      </c>
      <c r="F114">
        <v>7010</v>
      </c>
      <c r="G114" t="str">
        <f>INDEX(Define!E:E,MATCH(F114,Define!D:D))</f>
        <v>ダメージ床</v>
      </c>
      <c r="H114">
        <v>20</v>
      </c>
      <c r="I114">
        <v>0</v>
      </c>
      <c r="J114">
        <v>0</v>
      </c>
      <c r="K114" t="b">
        <v>0</v>
      </c>
    </row>
    <row r="115" hidden="1" spans="1:11">
      <c r="A115">
        <v>52</v>
      </c>
      <c r="B115">
        <v>7</v>
      </c>
      <c r="C115">
        <v>5</v>
      </c>
      <c r="D115">
        <v>3010</v>
      </c>
      <c r="F115">
        <v>5010</v>
      </c>
      <c r="G115" t="str">
        <f>INDEX(Define!E:E,MATCH(F115,Define!D:D))</f>
        <v>強制戦闘</v>
      </c>
      <c r="H115">
        <v>-1</v>
      </c>
      <c r="I115">
        <v>40020</v>
      </c>
      <c r="J115">
        <v>0</v>
      </c>
      <c r="K115" t="b">
        <v>1</v>
      </c>
    </row>
    <row r="116" hidden="1" spans="1:11">
      <c r="A116">
        <v>52</v>
      </c>
      <c r="B116">
        <v>9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hidden="1" spans="1:11">
      <c r="A117">
        <v>52</v>
      </c>
      <c r="B117">
        <v>5</v>
      </c>
      <c r="C117">
        <v>5</v>
      </c>
      <c r="D117">
        <v>3010</v>
      </c>
      <c r="F117">
        <v>1010</v>
      </c>
      <c r="G117" t="str">
        <f>INDEX(Define!E:E,MATCH(F117,Define!D:D))</f>
        <v>Adv再生</v>
      </c>
      <c r="H117">
        <v>1060</v>
      </c>
      <c r="I117">
        <v>0</v>
      </c>
      <c r="J117">
        <v>0</v>
      </c>
      <c r="K117" t="b">
        <v>1</v>
      </c>
    </row>
    <row r="118" hidden="1" spans="1:11">
      <c r="A118">
        <v>52</v>
      </c>
      <c r="B118">
        <v>5</v>
      </c>
      <c r="C118">
        <v>5</v>
      </c>
      <c r="D118">
        <v>3010</v>
      </c>
      <c r="F118">
        <v>9010</v>
      </c>
      <c r="G118" t="str">
        <f>INDEX(Define!E:E,MATCH(F118,Define!D:D))</f>
        <v>イベント終了明示</v>
      </c>
      <c r="H118">
        <v>0</v>
      </c>
      <c r="I118">
        <v>0</v>
      </c>
      <c r="J118">
        <v>0</v>
      </c>
      <c r="K118" t="b">
        <v>0</v>
      </c>
    </row>
    <row r="119" hidden="1" spans="1:11">
      <c r="A119">
        <v>53</v>
      </c>
      <c r="B119">
        <v>4</v>
      </c>
      <c r="C119">
        <v>11</v>
      </c>
      <c r="D119">
        <v>3010</v>
      </c>
      <c r="F119">
        <v>2020</v>
      </c>
      <c r="G119" t="str">
        <f>INDEX(Define!E:E,MATCH(F119,Define!D:D))</f>
        <v>ダンジョン移動</v>
      </c>
      <c r="H119">
        <v>52</v>
      </c>
      <c r="I119">
        <v>15</v>
      </c>
      <c r="J119">
        <v>5</v>
      </c>
      <c r="K119" t="b">
        <v>0</v>
      </c>
    </row>
    <row r="120" hidden="1" spans="1:11">
      <c r="A120">
        <v>53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54</v>
      </c>
      <c r="I120">
        <v>8</v>
      </c>
      <c r="J120">
        <v>5</v>
      </c>
      <c r="K120" t="b">
        <v>0</v>
      </c>
    </row>
    <row r="121" spans="1:11">
      <c r="A121">
        <v>53</v>
      </c>
      <c r="B121">
        <v>15</v>
      </c>
      <c r="C121">
        <v>3</v>
      </c>
      <c r="D121">
        <v>3010</v>
      </c>
      <c r="F121">
        <v>3020</v>
      </c>
      <c r="G121" t="str">
        <f>INDEX(Define!E:E,MATCH(F121,Define!D:D))</f>
        <v>アイテム取得</v>
      </c>
      <c r="H121">
        <v>1100</v>
      </c>
      <c r="I121">
        <v>0</v>
      </c>
      <c r="J121">
        <v>0</v>
      </c>
      <c r="K121" t="b">
        <v>1</v>
      </c>
    </row>
    <row r="122" hidden="1" spans="1:11">
      <c r="A122">
        <v>53</v>
      </c>
      <c r="B122">
        <v>14</v>
      </c>
      <c r="C122">
        <v>4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hidden="1" spans="1:11">
      <c r="A123">
        <v>53</v>
      </c>
      <c r="B123">
        <v>15</v>
      </c>
      <c r="C123">
        <v>5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hidden="1" spans="1:11">
      <c r="A124">
        <v>53</v>
      </c>
      <c r="B124">
        <v>13</v>
      </c>
      <c r="C124">
        <v>6</v>
      </c>
      <c r="D124">
        <v>3010</v>
      </c>
      <c r="F124">
        <v>7010</v>
      </c>
      <c r="G124" t="str">
        <f>INDEX(Define!E:E,MATCH(F124,Define!D:D))</f>
        <v>ダメージ床</v>
      </c>
      <c r="H124">
        <v>20</v>
      </c>
      <c r="I124">
        <v>0</v>
      </c>
      <c r="J124">
        <v>0</v>
      </c>
      <c r="K124" t="b">
        <v>0</v>
      </c>
    </row>
    <row r="125" hidden="1" spans="1:11">
      <c r="A125">
        <v>53</v>
      </c>
      <c r="B125">
        <v>14</v>
      </c>
      <c r="C125">
        <v>7</v>
      </c>
      <c r="D125">
        <v>3010</v>
      </c>
      <c r="F125">
        <v>7010</v>
      </c>
      <c r="G125" t="str">
        <f>INDEX(Define!E:E,MATCH(F125,Define!D:D))</f>
        <v>ダメージ床</v>
      </c>
      <c r="H125">
        <v>20</v>
      </c>
      <c r="I125">
        <v>0</v>
      </c>
      <c r="J125">
        <v>0</v>
      </c>
      <c r="K125" t="b">
        <v>0</v>
      </c>
    </row>
    <row r="126" hidden="1" spans="1:11">
      <c r="A126">
        <v>53</v>
      </c>
      <c r="B126">
        <v>9</v>
      </c>
      <c r="C126">
        <v>3</v>
      </c>
      <c r="D126">
        <v>3010</v>
      </c>
      <c r="F126">
        <v>5020</v>
      </c>
      <c r="G126" t="str">
        <f>INDEX(Define!E:E,MATCH(F126,Define!D:D))</f>
        <v>強制ボス戦闘</v>
      </c>
      <c r="H126">
        <v>4010</v>
      </c>
      <c r="I126">
        <v>0</v>
      </c>
      <c r="J126">
        <v>0</v>
      </c>
      <c r="K126" t="b">
        <v>1</v>
      </c>
    </row>
    <row r="127" hidden="1" spans="1:11">
      <c r="A127">
        <v>54</v>
      </c>
      <c r="B127">
        <v>8</v>
      </c>
      <c r="C127">
        <v>5</v>
      </c>
      <c r="D127">
        <v>3010</v>
      </c>
      <c r="F127">
        <v>2020</v>
      </c>
      <c r="G127" t="str">
        <f>INDEX(Define!E:E,MATCH(F127,Define!D:D))</f>
        <v>ダンジョン移動</v>
      </c>
      <c r="H127">
        <v>53</v>
      </c>
      <c r="I127">
        <v>8</v>
      </c>
      <c r="J127">
        <v>5</v>
      </c>
      <c r="K127" t="b">
        <v>0</v>
      </c>
    </row>
    <row r="128" spans="1:11">
      <c r="A128">
        <v>54</v>
      </c>
      <c r="B128">
        <v>6</v>
      </c>
      <c r="C128">
        <v>7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2130</v>
      </c>
      <c r="I128">
        <v>0</v>
      </c>
      <c r="J128">
        <v>0</v>
      </c>
      <c r="K128" t="b">
        <v>1</v>
      </c>
    </row>
    <row r="129" spans="1:11">
      <c r="A129">
        <v>54</v>
      </c>
      <c r="B129">
        <v>8</v>
      </c>
      <c r="C129">
        <v>9</v>
      </c>
      <c r="D129">
        <v>3010</v>
      </c>
      <c r="F129">
        <v>3020</v>
      </c>
      <c r="G129" t="str">
        <f>INDEX(Define!E:E,MATCH(F129,Define!D:D))</f>
        <v>アイテム取得</v>
      </c>
      <c r="H129">
        <v>1300</v>
      </c>
      <c r="I129">
        <v>0</v>
      </c>
      <c r="J129">
        <v>0</v>
      </c>
      <c r="K129" t="b">
        <v>1</v>
      </c>
    </row>
    <row r="130" spans="1:11">
      <c r="A130">
        <v>54</v>
      </c>
      <c r="B130">
        <v>10</v>
      </c>
      <c r="C130">
        <v>7</v>
      </c>
      <c r="D130">
        <v>3010</v>
      </c>
      <c r="F130">
        <v>3010</v>
      </c>
      <c r="G130" t="str">
        <f>INDEX(Define!E:E,MATCH(F130,Define!D:D))</f>
        <v>アーティファクト取得</v>
      </c>
      <c r="H130">
        <v>2130</v>
      </c>
      <c r="I130">
        <v>0</v>
      </c>
      <c r="J130">
        <v>0</v>
      </c>
      <c r="K130" t="b">
        <v>1</v>
      </c>
    </row>
    <row r="131" hidden="1" spans="1:11">
      <c r="A131">
        <v>1010</v>
      </c>
      <c r="B131">
        <v>13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hidden="1" spans="1:11">
      <c r="A132">
        <v>1010</v>
      </c>
      <c r="B132">
        <v>10</v>
      </c>
      <c r="C132">
        <v>4</v>
      </c>
      <c r="D132">
        <v>3010</v>
      </c>
      <c r="F132">
        <v>3030</v>
      </c>
      <c r="G132" t="str">
        <f>INDEX(Define!E:E,MATCH(F132,Define!D:D))</f>
        <v>魔法入手</v>
      </c>
      <c r="H132">
        <v>30010</v>
      </c>
      <c r="I132">
        <v>0</v>
      </c>
      <c r="J132">
        <v>0</v>
      </c>
      <c r="K132" t="b">
        <v>1</v>
      </c>
    </row>
    <row r="133" hidden="1" spans="1:11">
      <c r="A133">
        <v>1020</v>
      </c>
      <c r="B133">
        <v>7</v>
      </c>
      <c r="C133">
        <v>8</v>
      </c>
      <c r="D133">
        <v>3010</v>
      </c>
      <c r="F133">
        <v>2010</v>
      </c>
      <c r="G133" t="str">
        <f>INDEX(Define!E:E,MATCH(F133,Define!D:D))</f>
        <v>ダンジョンから出る</v>
      </c>
      <c r="H133">
        <v>0</v>
      </c>
      <c r="I133">
        <v>0</v>
      </c>
      <c r="J133">
        <v>0</v>
      </c>
      <c r="K133" t="b">
        <v>0</v>
      </c>
    </row>
    <row r="134" hidden="1" spans="1:11">
      <c r="A134">
        <v>1020</v>
      </c>
      <c r="B134">
        <v>12</v>
      </c>
      <c r="C134">
        <v>12</v>
      </c>
      <c r="D134">
        <v>3010</v>
      </c>
      <c r="F134">
        <v>3030</v>
      </c>
      <c r="G134" t="str">
        <f>INDEX(Define!E:E,MATCH(F134,Define!D:D))</f>
        <v>魔法入手</v>
      </c>
      <c r="H134">
        <v>30020</v>
      </c>
      <c r="I134">
        <v>0</v>
      </c>
      <c r="J134">
        <v>0</v>
      </c>
      <c r="K134" t="b">
        <v>1</v>
      </c>
    </row>
    <row r="135" spans="1:11">
      <c r="A135">
        <v>1020</v>
      </c>
      <c r="B135">
        <v>2</v>
      </c>
      <c r="C135">
        <v>1</v>
      </c>
      <c r="D135">
        <v>3010</v>
      </c>
      <c r="F135">
        <v>3020</v>
      </c>
      <c r="G135" t="str">
        <f>INDEX(Define!E:E,MATCH(F135,Define!D:D))</f>
        <v>アイテム取得</v>
      </c>
      <c r="H135">
        <v>1110</v>
      </c>
      <c r="I135">
        <v>0</v>
      </c>
      <c r="J135">
        <v>0</v>
      </c>
      <c r="K135" t="b">
        <v>1</v>
      </c>
    </row>
    <row r="136" spans="1:11">
      <c r="A136">
        <v>1020</v>
      </c>
      <c r="B136">
        <v>9</v>
      </c>
      <c r="C136">
        <v>4</v>
      </c>
      <c r="D136">
        <v>3010</v>
      </c>
      <c r="F136">
        <v>3020</v>
      </c>
      <c r="G136" t="str">
        <f>INDEX(Define!E:E,MATCH(F136,Define!D:D))</f>
        <v>アイテム取得</v>
      </c>
      <c r="H136">
        <v>1120</v>
      </c>
      <c r="I136">
        <v>0</v>
      </c>
      <c r="J136">
        <v>0</v>
      </c>
      <c r="K136" t="b">
        <v>1</v>
      </c>
    </row>
    <row r="137" spans="1:11">
      <c r="A137">
        <v>1020</v>
      </c>
      <c r="B137">
        <v>10</v>
      </c>
      <c r="C137">
        <v>12</v>
      </c>
      <c r="D137">
        <v>3010</v>
      </c>
      <c r="F137">
        <v>3020</v>
      </c>
      <c r="G137" t="str">
        <f>INDEX(Define!E:E,MATCH(F137,Define!D:D))</f>
        <v>アイテム取得</v>
      </c>
      <c r="H137">
        <v>1130</v>
      </c>
      <c r="I137">
        <v>0</v>
      </c>
      <c r="J137">
        <v>0</v>
      </c>
      <c r="K137" t="b">
        <v>1</v>
      </c>
    </row>
    <row r="138" hidden="1" spans="1:11">
      <c r="A138">
        <v>1030</v>
      </c>
      <c r="B138">
        <v>1</v>
      </c>
      <c r="C138">
        <v>13</v>
      </c>
      <c r="D138">
        <v>3010</v>
      </c>
      <c r="F138">
        <v>2010</v>
      </c>
      <c r="G138" t="str">
        <f>INDEX(Define!E:E,MATCH(F138,Define!D:D))</f>
        <v>ダンジョンから出る</v>
      </c>
      <c r="H138">
        <v>0</v>
      </c>
      <c r="I138">
        <v>0</v>
      </c>
      <c r="J138">
        <v>0</v>
      </c>
      <c r="K138" t="b">
        <v>0</v>
      </c>
    </row>
    <row r="139" spans="1:11">
      <c r="A139">
        <v>1030</v>
      </c>
      <c r="B139">
        <v>9</v>
      </c>
      <c r="C139">
        <v>11</v>
      </c>
      <c r="D139">
        <v>3010</v>
      </c>
      <c r="F139">
        <v>3020</v>
      </c>
      <c r="G139" t="str">
        <f>INDEX(Define!E:E,MATCH(F139,Define!D:D))</f>
        <v>アイテム取得</v>
      </c>
      <c r="H139">
        <v>1140</v>
      </c>
      <c r="I139">
        <v>0</v>
      </c>
      <c r="J139">
        <v>0</v>
      </c>
      <c r="K139" t="b">
        <v>1</v>
      </c>
    </row>
    <row r="140" spans="1:11">
      <c r="A140">
        <v>1030</v>
      </c>
      <c r="B140">
        <v>10</v>
      </c>
      <c r="C140">
        <v>11</v>
      </c>
      <c r="D140">
        <v>3010</v>
      </c>
      <c r="F140">
        <v>3020</v>
      </c>
      <c r="G140" t="str">
        <f>INDEX(Define!E:E,MATCH(F140,Define!D:D))</f>
        <v>アイテム取得</v>
      </c>
      <c r="H140">
        <v>1150</v>
      </c>
      <c r="I140">
        <v>0</v>
      </c>
      <c r="J140">
        <v>0</v>
      </c>
      <c r="K140" t="b">
        <v>1</v>
      </c>
    </row>
    <row r="141" hidden="1" spans="1:11">
      <c r="A141">
        <v>1030</v>
      </c>
      <c r="B141">
        <v>7</v>
      </c>
      <c r="C141">
        <v>8</v>
      </c>
      <c r="D141">
        <v>3010</v>
      </c>
      <c r="F141">
        <v>3030</v>
      </c>
      <c r="G141" t="str">
        <f>INDEX(Define!E:E,MATCH(F141,Define!D:D))</f>
        <v>魔法入手</v>
      </c>
      <c r="H141">
        <v>30030</v>
      </c>
      <c r="I141">
        <v>0</v>
      </c>
      <c r="J141">
        <v>0</v>
      </c>
      <c r="K141" t="b">
        <v>1</v>
      </c>
    </row>
    <row r="142" hidden="1" spans="1:11">
      <c r="A142">
        <v>2010</v>
      </c>
      <c r="B142">
        <v>7</v>
      </c>
      <c r="C142">
        <v>1</v>
      </c>
      <c r="D142">
        <v>3010</v>
      </c>
      <c r="F142">
        <v>2020</v>
      </c>
      <c r="G142" t="str">
        <f>INDEX(Define!E:E,MATCH(F142,Define!D:D))</f>
        <v>ダンジョン移動</v>
      </c>
      <c r="H142">
        <v>2011</v>
      </c>
      <c r="I142">
        <v>7</v>
      </c>
      <c r="J142">
        <v>13</v>
      </c>
      <c r="K142" t="b">
        <v>0</v>
      </c>
    </row>
    <row r="143" hidden="1" spans="1:11">
      <c r="A143">
        <v>2010</v>
      </c>
      <c r="B143">
        <v>7</v>
      </c>
      <c r="C143">
        <v>10</v>
      </c>
      <c r="D143">
        <v>3010</v>
      </c>
      <c r="F143">
        <v>5010</v>
      </c>
      <c r="G143" t="str">
        <f>INDEX(Define!E:E,MATCH(F143,Define!D:D))</f>
        <v>強制戦闘</v>
      </c>
      <c r="H143">
        <v>-1</v>
      </c>
      <c r="I143">
        <v>40020</v>
      </c>
      <c r="J143">
        <v>0</v>
      </c>
      <c r="K143" t="b">
        <v>1</v>
      </c>
    </row>
    <row r="144" hidden="1" spans="1:11">
      <c r="A144">
        <v>2010</v>
      </c>
      <c r="B144">
        <v>7</v>
      </c>
      <c r="C144">
        <v>6</v>
      </c>
      <c r="D144">
        <v>3010</v>
      </c>
      <c r="F144">
        <v>5010</v>
      </c>
      <c r="G144" t="str">
        <f>INDEX(Define!E:E,MATCH(F144,Define!D:D))</f>
        <v>強制戦闘</v>
      </c>
      <c r="H144">
        <v>-1</v>
      </c>
      <c r="I144">
        <v>40020</v>
      </c>
      <c r="J144">
        <v>0</v>
      </c>
      <c r="K144" t="b">
        <v>1</v>
      </c>
    </row>
    <row r="145" hidden="1" spans="1:11">
      <c r="A145">
        <v>2011</v>
      </c>
      <c r="B145">
        <v>7</v>
      </c>
      <c r="C145">
        <v>1</v>
      </c>
      <c r="D145">
        <v>3010</v>
      </c>
      <c r="F145">
        <v>2020</v>
      </c>
      <c r="G145" t="str">
        <f>INDEX(Define!E:E,MATCH(F145,Define!D:D))</f>
        <v>ダンジョン移動</v>
      </c>
      <c r="H145">
        <v>2012</v>
      </c>
      <c r="I145">
        <v>7</v>
      </c>
      <c r="J145">
        <v>13</v>
      </c>
      <c r="K145" t="b">
        <v>0</v>
      </c>
    </row>
    <row r="146" hidden="1" spans="1:11">
      <c r="A146">
        <v>2011</v>
      </c>
      <c r="B146">
        <v>7</v>
      </c>
      <c r="C146">
        <v>10</v>
      </c>
      <c r="D146">
        <v>3010</v>
      </c>
      <c r="F146">
        <v>5010</v>
      </c>
      <c r="G146" t="str">
        <f>INDEX(Define!E:E,MATCH(F146,Define!D:D))</f>
        <v>強制戦闘</v>
      </c>
      <c r="H146">
        <v>-1</v>
      </c>
      <c r="I146">
        <v>40020</v>
      </c>
      <c r="J146">
        <v>0</v>
      </c>
      <c r="K146" t="b">
        <v>1</v>
      </c>
    </row>
    <row r="147" hidden="1" spans="1:11">
      <c r="A147">
        <v>2011</v>
      </c>
      <c r="B147">
        <v>7</v>
      </c>
      <c r="C147">
        <v>6</v>
      </c>
      <c r="D147">
        <v>3010</v>
      </c>
      <c r="F147">
        <v>5010</v>
      </c>
      <c r="G147" t="str">
        <f>INDEX(Define!E:E,MATCH(F147,Define!D:D))</f>
        <v>強制戦闘</v>
      </c>
      <c r="H147">
        <v>20010</v>
      </c>
      <c r="I147">
        <v>40020</v>
      </c>
      <c r="J147">
        <v>0</v>
      </c>
      <c r="K147" t="b">
        <v>1</v>
      </c>
    </row>
    <row r="148" hidden="1" spans="1:11">
      <c r="A148">
        <v>2012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20020</v>
      </c>
      <c r="I148">
        <v>40010</v>
      </c>
      <c r="J148">
        <v>0</v>
      </c>
      <c r="K148" t="b">
        <v>1</v>
      </c>
    </row>
    <row r="149" hidden="1" spans="1:11">
      <c r="A149">
        <v>2012</v>
      </c>
      <c r="B149">
        <v>7</v>
      </c>
      <c r="C149">
        <v>4</v>
      </c>
      <c r="D149">
        <v>3010</v>
      </c>
      <c r="F149">
        <v>2010</v>
      </c>
      <c r="G149" t="str">
        <f>INDEX(Define!E:E,MATCH(F149,Define!D:D))</f>
        <v>ダンジョンから出る</v>
      </c>
      <c r="H149">
        <v>0</v>
      </c>
      <c r="I149">
        <v>0</v>
      </c>
      <c r="J149">
        <v>0</v>
      </c>
      <c r="K149" t="b">
        <v>0</v>
      </c>
    </row>
  </sheetData>
  <autoFilter ref="F1:F149">
    <filterColumn colId="0">
      <customFilters>
        <customFilter operator="equal" val="3010"/>
        <customFilter operator="equal" val="3020"/>
      </customFilters>
    </filterColumn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49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2025-08-11T00:55:40Z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