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9200" windowHeight="8270" tabRatio="802" activeTab="1"/>
  </bookViews>
  <sheets>
    <sheet name="Stages" sheetId="1" r:id="rId1"/>
    <sheet name="StageEvents" sheetId="2" r:id="rId2"/>
    <sheet name="StageEnemyRates" sheetId="9" r:id="rId3"/>
    <sheet name="Tutorials" sheetId="4" r:id="rId4"/>
    <sheet name="TextData" sheetId="5" r:id="rId5"/>
    <sheet name="Define" sheetId="6" r:id="rId6"/>
  </sheets>
  <calcPr calcId="144525" concurrentCalc="0"/>
</workbook>
</file>

<file path=xl/sharedStrings.xml><?xml version="1.0" encoding="utf-8"?>
<sst xmlns="http://schemas.openxmlformats.org/spreadsheetml/2006/main" count="126" uniqueCount="96">
  <si>
    <t>Id</t>
  </si>
  <si>
    <t>NameId</t>
  </si>
  <si>
    <t>StageNo</t>
  </si>
  <si>
    <t>Selectable</t>
  </si>
  <si>
    <t>StageLv</t>
  </si>
  <si>
    <t>DisplayRank</t>
  </si>
  <si>
    <t>RandomTroopWeight</t>
  </si>
  <si>
    <t>EncountMin</t>
  </si>
  <si>
    <t>EncountMax</t>
  </si>
  <si>
    <t>BGMId</t>
  </si>
  <si>
    <t>BossBGMId</t>
  </si>
  <si>
    <t>MenuBGMId</t>
  </si>
  <si>
    <t>BackGround</t>
  </si>
  <si>
    <t>RockCave2</t>
  </si>
  <si>
    <t>002-Woods01</t>
  </si>
  <si>
    <t>DirtCave</t>
  </si>
  <si>
    <t>PositionX</t>
  </si>
  <si>
    <t>PositionY</t>
  </si>
  <si>
    <t>Timing</t>
  </si>
  <si>
    <t>*</t>
  </si>
  <si>
    <t>Type</t>
  </si>
  <si>
    <t>Param</t>
  </si>
  <si>
    <t>Param2</t>
  </si>
  <si>
    <t>Param3</t>
  </si>
  <si>
    <t>ReadFlag</t>
  </si>
  <si>
    <t>EnemyId</t>
  </si>
  <si>
    <t>Weight</t>
  </si>
  <si>
    <t>Turns</t>
  </si>
  <si>
    <t>SceneType</t>
  </si>
  <si>
    <t>X</t>
  </si>
  <si>
    <t>Y</t>
  </si>
  <si>
    <t>Width</t>
  </si>
  <si>
    <t>Height</t>
  </si>
  <si>
    <t>Text</t>
  </si>
  <si>
    <t>Help</t>
  </si>
  <si>
    <t>準備画面</t>
  </si>
  <si>
    <t>""</t>
  </si>
  <si>
    <t>始まりの時</t>
  </si>
  <si>
    <t>山岳遺跡</t>
  </si>
  <si>
    <t>山岳遺跡・奥</t>
  </si>
  <si>
    <t>森</t>
  </si>
  <si>
    <t>森・地下洞窟</t>
  </si>
  <si>
    <t>ゲームの流れ</t>
  </si>
  <si>
    <t>有利なバトルの進め方</t>
  </si>
  <si>
    <t>ユニットの強化</t>
  </si>
  <si>
    <t>敵拠点を制圧する</t>
  </si>
  <si>
    <t>SymbolType</t>
  </si>
  <si>
    <t>UnitType</t>
  </si>
  <si>
    <t>MoveType</t>
  </si>
  <si>
    <t>なし</t>
  </si>
  <si>
    <t>Random</t>
  </si>
  <si>
    <t>固定</t>
  </si>
  <si>
    <t>Tactics開始(UI表示前)</t>
  </si>
  <si>
    <t>Adv再生</t>
  </si>
  <si>
    <t>None</t>
  </si>
  <si>
    <t>進撃</t>
  </si>
  <si>
    <t>近くにいる敵に向かって移動し、射程に捉えれば攻撃してくる。</t>
  </si>
  <si>
    <t>Battle勝利後</t>
  </si>
  <si>
    <t>ダンジョンから出る</t>
  </si>
  <si>
    <t>Battle</t>
  </si>
  <si>
    <t>Boss</t>
  </si>
  <si>
    <t>迎撃</t>
  </si>
  <si>
    <t>射程内に攻撃可能な敵がいれば攻撃、いなければその場で待機。</t>
  </si>
  <si>
    <t>チュートリアル開始</t>
  </si>
  <si>
    <t>ダンジョン移動</t>
  </si>
  <si>
    <t>Basement</t>
  </si>
  <si>
    <t>警戒</t>
  </si>
  <si>
    <t>射程内に攻撃可能な敵がいれば攻撃、
いない場合は敵の射程に入っていれば射程外へ逃げる、入っていなければその場で待機。</t>
  </si>
  <si>
    <t>ダンジョン内</t>
  </si>
  <si>
    <t>アーティファクト取得</t>
  </si>
  <si>
    <t>Event</t>
  </si>
  <si>
    <t>Alcana</t>
  </si>
  <si>
    <t>徘徊</t>
  </si>
  <si>
    <t>ランダムに移動。</t>
  </si>
  <si>
    <t>アイテム取得</t>
  </si>
  <si>
    <t>GetItem</t>
  </si>
  <si>
    <t>巡回</t>
  </si>
  <si>
    <t>射程内に攻撃可能な敵がいれば攻撃、いなければ一定のルートを移動。</t>
  </si>
  <si>
    <t>仲間を増やす</t>
  </si>
  <si>
    <t>Actor</t>
  </si>
  <si>
    <t>Resource</t>
  </si>
  <si>
    <t>その場を動かない。
その場から攻撃可能なら攻撃する。
隣接など攻撃可能でないと挑発は出来ない。</t>
  </si>
  <si>
    <t>選択して仲間を増やす</t>
  </si>
  <si>
    <t>Rebirth</t>
  </si>
  <si>
    <t>移動</t>
  </si>
  <si>
    <t>特定の目標に向かって移動。攻撃してこない。</t>
  </si>
  <si>
    <t>強制戦闘</t>
  </si>
  <si>
    <t>SelectActor</t>
  </si>
  <si>
    <t>離脱</t>
  </si>
  <si>
    <t>離脱ポイントへ向かう。攻撃してこない。</t>
  </si>
  <si>
    <t>強制ボス戦闘</t>
  </si>
  <si>
    <t>Shop</t>
  </si>
  <si>
    <t>指定のイベントマスを消す</t>
  </si>
  <si>
    <t>Gacha</t>
  </si>
  <si>
    <t>Group</t>
  </si>
  <si>
    <t>Battler</t>
  </si>
</sst>
</file>

<file path=xl/styles.xml><?xml version="1.0" encoding="utf-8"?>
<styleSheet xmlns="http://schemas.openxmlformats.org/spreadsheetml/2006/main">
  <numFmts count="4">
    <numFmt numFmtId="176" formatCode="_-&quot;\&quot;* #,##0_-\ ;\-&quot;\&quot;* #,##0_-\ ;_-&quot;\&quot;* &quot;-&quot;??_-\ ;_-@_-"/>
    <numFmt numFmtId="43" formatCode="_ * #,##0.00_ ;_ * \-#,##0.00_ ;_ * &quot;-&quot;??_ ;_ @_ "/>
    <numFmt numFmtId="177" formatCode="_-&quot;\&quot;* #,##0.00_-\ ;\-&quot;\&quot;* #,##0.00_-\ ;_-&quot;\&quot;* &quot;-&quot;??_-\ ;_-@_-"/>
    <numFmt numFmtId="178" formatCode="_ * #,##0_ ;_ * \-#,##0_ ;_ * &quot;-&quot;??_ ;_ @_ "/>
  </numFmts>
  <fonts count="22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0.5"/>
      <name val="ＭＳ Ｐゴシック"/>
      <charset val="128"/>
    </font>
    <font>
      <sz val="11"/>
      <color theme="1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sz val="11"/>
      <color theme="0"/>
      <name val="ＭＳ Ｐゴシック"/>
      <charset val="0"/>
      <scheme val="minor"/>
    </font>
    <font>
      <sz val="11"/>
      <color rgb="FF3F3F76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0061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FA7D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i/>
      <sz val="11"/>
      <color rgb="FF7F7F7F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b/>
      <sz val="11"/>
      <color rgb="FF3F3F3F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</fonts>
  <fills count="33">
    <fill>
      <patternFill patternType="none"/>
    </fill>
    <fill>
      <patternFill patternType="gray125"/>
    </fill>
    <fill>
      <patternFill patternType="solid">
        <fgColor theme="6" tint="0.799981688894314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</fills>
  <borders count="9">
    <border>
      <left/>
      <right/>
      <top/>
      <bottom/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6" fillId="7" borderId="1" applyNumberFormat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5" fillId="10" borderId="0" applyNumberFormat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3" fillId="11" borderId="0" applyNumberFormat="0" applyBorder="0" applyAlignment="0" applyProtection="0">
      <alignment vertical="center"/>
    </xf>
    <xf numFmtId="0" fontId="0" fillId="8" borderId="2" applyNumberFormat="0" applyFont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3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5" fillId="15" borderId="0" applyNumberFormat="0" applyBorder="0" applyAlignment="0" applyProtection="0">
      <alignment vertical="center"/>
    </xf>
    <xf numFmtId="0" fontId="18" fillId="13" borderId="6" applyNumberFormat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11" fillId="13" borderId="1" applyNumberFormat="0" applyAlignment="0" applyProtection="0">
      <alignment vertical="center"/>
    </xf>
    <xf numFmtId="0" fontId="21" fillId="0" borderId="8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5" fillId="22" borderId="0" applyNumberFormat="0" applyBorder="0" applyAlignment="0" applyProtection="0">
      <alignment vertical="center"/>
    </xf>
    <xf numFmtId="0" fontId="20" fillId="20" borderId="7" applyNumberFormat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6" fillId="17" borderId="0" applyNumberFormat="0" applyBorder="0" applyAlignment="0" applyProtection="0">
      <alignment vertical="center"/>
    </xf>
    <xf numFmtId="0" fontId="4" fillId="3" borderId="0" applyNumberFormat="0" applyBorder="0" applyAlignment="0" applyProtection="0">
      <alignment vertical="center"/>
    </xf>
    <xf numFmtId="0" fontId="5" fillId="25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5" fillId="18" borderId="0" applyNumberFormat="0" applyBorder="0" applyAlignment="0" applyProtection="0">
      <alignment vertical="center"/>
    </xf>
    <xf numFmtId="0" fontId="3" fillId="16" borderId="0" applyNumberFormat="0" applyBorder="0" applyAlignment="0" applyProtection="0">
      <alignment vertical="center"/>
    </xf>
    <xf numFmtId="0" fontId="3" fillId="24" borderId="0" applyNumberFormat="0" applyBorder="0" applyAlignment="0" applyProtection="0">
      <alignment vertical="center"/>
    </xf>
    <xf numFmtId="0" fontId="3" fillId="26" borderId="0" applyNumberFormat="0" applyBorder="0" applyAlignment="0" applyProtection="0">
      <alignment vertical="center"/>
    </xf>
    <xf numFmtId="0" fontId="5" fillId="19" borderId="0" applyNumberFormat="0" applyBorder="0" applyAlignment="0" applyProtection="0">
      <alignment vertical="center"/>
    </xf>
    <xf numFmtId="0" fontId="5" fillId="12" borderId="0" applyNumberFormat="0" applyBorder="0" applyAlignment="0" applyProtection="0">
      <alignment vertical="center"/>
    </xf>
    <xf numFmtId="0" fontId="3" fillId="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5" fillId="28" borderId="0" applyNumberFormat="0" applyBorder="0" applyAlignment="0" applyProtection="0">
      <alignment vertical="center"/>
    </xf>
    <xf numFmtId="0" fontId="5" fillId="30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5" fillId="4" borderId="0" applyNumberFormat="0" applyBorder="0" applyAlignment="0" applyProtection="0">
      <alignment vertical="center"/>
    </xf>
    <xf numFmtId="0" fontId="5" fillId="32" borderId="0" applyNumberFormat="0" applyBorder="0" applyAlignment="0" applyProtection="0">
      <alignment vertical="center"/>
    </xf>
    <xf numFmtId="0" fontId="3" fillId="29" borderId="0" applyNumberFormat="0" applyBorder="0" applyAlignment="0" applyProtection="0">
      <alignment vertical="center"/>
    </xf>
    <xf numFmtId="0" fontId="5" fillId="21" borderId="0" applyNumberFormat="0" applyBorder="0" applyAlignment="0" applyProtection="0">
      <alignment vertical="center"/>
    </xf>
  </cellStyleXfs>
  <cellXfs count="5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パーセント" xfId="7" builtinId="5"/>
    <cellStyle name="ハイパーリンク" xfId="8" builtinId="8"/>
    <cellStyle name="アクセント 2" xfId="9" builtinId="33"/>
    <cellStyle name="訪問済ハイパーリンク" xfId="10" builtinId="9"/>
    <cellStyle name="20% - アクセント 4" xfId="11" builtinId="42"/>
    <cellStyle name="メモ" xfId="12" builtinId="10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styles" Target="style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M6"/>
  <sheetViews>
    <sheetView workbookViewId="0">
      <selection activeCell="M5" sqref="M5"/>
    </sheetView>
  </sheetViews>
  <sheetFormatPr defaultColWidth="8.72727272727273" defaultRowHeight="13" outlineLevelRow="5"/>
  <cols>
    <col min="4" max="4" width="10.3636363636364" customWidth="1"/>
    <col min="13" max="13" width="32" customWidth="1"/>
  </cols>
  <sheetData>
    <row r="1" spans="1:13">
      <c r="A1" t="s">
        <v>0</v>
      </c>
      <c r="B1" t="s">
        <v>1</v>
      </c>
      <c r="C1" t="s">
        <v>2</v>
      </c>
      <c r="D1" t="s">
        <v>3</v>
      </c>
      <c r="E1" t="s">
        <v>4</v>
      </c>
      <c r="F1" s="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 spans="1:13">
      <c r="A2">
        <v>10</v>
      </c>
      <c r="B2">
        <v>10</v>
      </c>
      <c r="C2">
        <v>1</v>
      </c>
      <c r="D2">
        <v>0</v>
      </c>
      <c r="E2">
        <v>0</v>
      </c>
      <c r="F2">
        <v>0</v>
      </c>
      <c r="G2">
        <v>30</v>
      </c>
      <c r="H2">
        <v>0</v>
      </c>
      <c r="I2">
        <v>0</v>
      </c>
      <c r="J2">
        <v>0</v>
      </c>
      <c r="K2">
        <v>2010</v>
      </c>
      <c r="L2">
        <v>100</v>
      </c>
      <c r="M2" s="1" t="s">
        <v>13</v>
      </c>
    </row>
    <row r="3" spans="1:13">
      <c r="A3">
        <v>20</v>
      </c>
      <c r="B3">
        <v>20</v>
      </c>
      <c r="C3">
        <v>2</v>
      </c>
      <c r="D3">
        <v>1</v>
      </c>
      <c r="E3">
        <v>1</v>
      </c>
      <c r="F3">
        <v>2</v>
      </c>
      <c r="G3">
        <v>30</v>
      </c>
      <c r="H3">
        <v>4</v>
      </c>
      <c r="I3">
        <v>8</v>
      </c>
      <c r="J3">
        <v>1010</v>
      </c>
      <c r="K3">
        <v>3010</v>
      </c>
      <c r="L3">
        <v>100</v>
      </c>
      <c r="M3" s="1" t="s">
        <v>13</v>
      </c>
    </row>
    <row r="4" spans="1:13">
      <c r="A4">
        <v>21</v>
      </c>
      <c r="B4">
        <v>21</v>
      </c>
      <c r="C4">
        <v>2</v>
      </c>
      <c r="D4">
        <v>0</v>
      </c>
      <c r="E4">
        <v>1</v>
      </c>
      <c r="F4">
        <v>0</v>
      </c>
      <c r="G4">
        <v>30</v>
      </c>
      <c r="H4">
        <v>4</v>
      </c>
      <c r="I4">
        <v>8</v>
      </c>
      <c r="J4">
        <v>1010</v>
      </c>
      <c r="K4">
        <v>3010</v>
      </c>
      <c r="L4">
        <v>100</v>
      </c>
      <c r="M4" s="1" t="s">
        <v>13</v>
      </c>
    </row>
    <row r="5" spans="1:13">
      <c r="A5">
        <v>30</v>
      </c>
      <c r="B5">
        <v>30</v>
      </c>
      <c r="C5">
        <v>3</v>
      </c>
      <c r="D5">
        <v>1</v>
      </c>
      <c r="E5">
        <v>4</v>
      </c>
      <c r="F5">
        <v>3</v>
      </c>
      <c r="G5">
        <v>30</v>
      </c>
      <c r="H5">
        <v>4</v>
      </c>
      <c r="I5">
        <v>8</v>
      </c>
      <c r="J5">
        <v>1020</v>
      </c>
      <c r="K5">
        <v>3010</v>
      </c>
      <c r="L5">
        <v>100</v>
      </c>
      <c r="M5" s="1" t="s">
        <v>14</v>
      </c>
    </row>
    <row r="6" spans="1:13">
      <c r="A6">
        <v>31</v>
      </c>
      <c r="B6">
        <v>31</v>
      </c>
      <c r="C6">
        <v>3</v>
      </c>
      <c r="D6">
        <v>0</v>
      </c>
      <c r="E6">
        <v>4</v>
      </c>
      <c r="F6">
        <v>0</v>
      </c>
      <c r="G6">
        <v>30</v>
      </c>
      <c r="H6">
        <v>4</v>
      </c>
      <c r="I6">
        <v>8</v>
      </c>
      <c r="J6">
        <v>1020</v>
      </c>
      <c r="K6">
        <v>3010</v>
      </c>
      <c r="L6">
        <v>100</v>
      </c>
      <c r="M6" s="1" t="s">
        <v>15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2"/>
  <sheetViews>
    <sheetView tabSelected="1" workbookViewId="0">
      <selection activeCell="C13" sqref="C13"/>
    </sheetView>
  </sheetViews>
  <sheetFormatPr defaultColWidth="8.72727272727273" defaultRowHeight="13"/>
  <cols>
    <col min="5" max="5" width="22.0909090909091" customWidth="1"/>
    <col min="7" max="7" width="21.7272727272727" customWidth="1"/>
  </cols>
  <sheetData>
    <row r="1" spans="1:11">
      <c r="A1" t="s">
        <v>0</v>
      </c>
      <c r="B1" t="s">
        <v>16</v>
      </c>
      <c r="C1" t="s">
        <v>17</v>
      </c>
      <c r="D1" t="s">
        <v>18</v>
      </c>
      <c r="E1" s="1" t="s">
        <v>19</v>
      </c>
      <c r="F1" t="s">
        <v>20</v>
      </c>
      <c r="G1" s="1" t="s">
        <v>19</v>
      </c>
      <c r="H1" t="s">
        <v>21</v>
      </c>
      <c r="I1" t="s">
        <v>22</v>
      </c>
      <c r="J1" t="s">
        <v>23</v>
      </c>
      <c r="K1" t="s">
        <v>24</v>
      </c>
    </row>
    <row r="2" spans="1:11">
      <c r="A2">
        <v>10</v>
      </c>
      <c r="B2">
        <v>7</v>
      </c>
      <c r="C2">
        <v>6</v>
      </c>
      <c r="D2">
        <v>3010</v>
      </c>
      <c r="F2">
        <v>4020</v>
      </c>
      <c r="G2" t="str">
        <f>INDEX(Define!E:E,MATCH(F2,Define!D:D))</f>
        <v>選択して仲間を増やす</v>
      </c>
      <c r="H2">
        <v>1</v>
      </c>
      <c r="I2">
        <v>0</v>
      </c>
      <c r="J2">
        <v>0</v>
      </c>
      <c r="K2" t="b">
        <v>1</v>
      </c>
    </row>
    <row r="3" spans="1:11">
      <c r="A3">
        <v>10</v>
      </c>
      <c r="B3">
        <v>7</v>
      </c>
      <c r="C3">
        <v>8</v>
      </c>
      <c r="D3">
        <v>3010</v>
      </c>
      <c r="F3">
        <v>5010</v>
      </c>
      <c r="G3" t="str">
        <f>INDEX(Define!E:E,MATCH(F3,Define!D:D))</f>
        <v>強制戦闘</v>
      </c>
      <c r="H3">
        <v>1010</v>
      </c>
      <c r="I3">
        <v>0</v>
      </c>
      <c r="J3">
        <v>0</v>
      </c>
      <c r="K3" t="b">
        <v>1</v>
      </c>
    </row>
    <row r="4" spans="1:11">
      <c r="A4">
        <v>10</v>
      </c>
      <c r="B4">
        <v>7</v>
      </c>
      <c r="C4">
        <v>13</v>
      </c>
      <c r="D4">
        <v>3010</v>
      </c>
      <c r="F4">
        <v>2010</v>
      </c>
      <c r="G4" t="str">
        <f>INDEX(Define!E:E,MATCH(F4,Define!D:D))</f>
        <v>ダンジョンから出る</v>
      </c>
      <c r="H4">
        <v>0</v>
      </c>
      <c r="I4">
        <v>0</v>
      </c>
      <c r="J4">
        <v>0</v>
      </c>
      <c r="K4" t="b">
        <v>0</v>
      </c>
    </row>
    <row r="5" spans="1:11">
      <c r="A5">
        <v>20</v>
      </c>
      <c r="B5">
        <v>10</v>
      </c>
      <c r="C5">
        <v>9</v>
      </c>
      <c r="D5">
        <v>3010</v>
      </c>
      <c r="F5">
        <v>6010</v>
      </c>
      <c r="G5" t="str">
        <f>INDEX(Define!E:E,MATCH(F5,Define!D:D))</f>
        <v>指定のイベントマスを消す</v>
      </c>
      <c r="H5">
        <v>79</v>
      </c>
      <c r="I5">
        <v>0</v>
      </c>
      <c r="J5">
        <v>0</v>
      </c>
      <c r="K5" t="b">
        <v>1</v>
      </c>
    </row>
    <row r="6" spans="1:11">
      <c r="A6">
        <v>20</v>
      </c>
      <c r="B6">
        <v>7</v>
      </c>
      <c r="C6">
        <v>9</v>
      </c>
      <c r="D6">
        <v>3010</v>
      </c>
      <c r="F6">
        <v>0</v>
      </c>
      <c r="H6">
        <v>79</v>
      </c>
      <c r="I6">
        <v>0</v>
      </c>
      <c r="J6">
        <v>0</v>
      </c>
      <c r="K6" t="b">
        <v>1</v>
      </c>
    </row>
    <row r="7" spans="1:11">
      <c r="A7">
        <v>20</v>
      </c>
      <c r="B7">
        <v>7</v>
      </c>
      <c r="C7">
        <v>0</v>
      </c>
      <c r="D7">
        <v>3010</v>
      </c>
      <c r="F7">
        <v>2020</v>
      </c>
      <c r="G7" t="str">
        <f>INDEX(Define!E:E,MATCH(F7,Define!D:D))</f>
        <v>ダンジョン移動</v>
      </c>
      <c r="H7">
        <v>21</v>
      </c>
      <c r="I7">
        <v>1</v>
      </c>
      <c r="J7">
        <v>14</v>
      </c>
      <c r="K7" t="b">
        <v>0</v>
      </c>
    </row>
    <row r="8" spans="1:11">
      <c r="A8">
        <v>21</v>
      </c>
      <c r="B8">
        <v>1</v>
      </c>
      <c r="C8">
        <v>15</v>
      </c>
      <c r="D8">
        <v>3010</v>
      </c>
      <c r="F8">
        <v>2020</v>
      </c>
      <c r="G8" t="str">
        <f>INDEX(Define!E:E,MATCH(F8,Define!D:D))</f>
        <v>ダンジョン移動</v>
      </c>
      <c r="H8">
        <v>20</v>
      </c>
      <c r="I8">
        <v>7</v>
      </c>
      <c r="J8">
        <v>1</v>
      </c>
      <c r="K8" t="b">
        <v>0</v>
      </c>
    </row>
    <row r="9" spans="1:11">
      <c r="A9">
        <v>21</v>
      </c>
      <c r="B9">
        <v>10</v>
      </c>
      <c r="C9">
        <v>8</v>
      </c>
      <c r="D9">
        <v>3010</v>
      </c>
      <c r="F9">
        <v>5020</v>
      </c>
      <c r="G9" t="str">
        <f>INDEX(Define!E:E,MATCH(F9,Define!D:D))</f>
        <v>強制ボス戦闘</v>
      </c>
      <c r="H9">
        <v>1020</v>
      </c>
      <c r="I9">
        <v>0</v>
      </c>
      <c r="J9">
        <v>0</v>
      </c>
      <c r="K9" t="b">
        <v>1</v>
      </c>
    </row>
    <row r="10" spans="1:11">
      <c r="A10">
        <v>21</v>
      </c>
      <c r="B10">
        <v>10</v>
      </c>
      <c r="C10">
        <v>6</v>
      </c>
      <c r="D10">
        <v>3010</v>
      </c>
      <c r="F10">
        <v>3010</v>
      </c>
      <c r="G10" t="str">
        <f>INDEX(Define!E:E,MATCH(F10,Define!D:D))</f>
        <v>アーティファクト取得</v>
      </c>
      <c r="H10">
        <v>2010</v>
      </c>
      <c r="I10">
        <v>0</v>
      </c>
      <c r="J10">
        <v>0</v>
      </c>
      <c r="K10" t="b">
        <v>1</v>
      </c>
    </row>
    <row r="11" spans="1:11">
      <c r="A11">
        <v>21</v>
      </c>
      <c r="B11">
        <v>4</v>
      </c>
      <c r="C11">
        <v>7</v>
      </c>
      <c r="D11">
        <v>3010</v>
      </c>
      <c r="F11">
        <v>3020</v>
      </c>
      <c r="G11" t="str">
        <f>INDEX(Define!E:E,MATCH(F11,Define!D:D))</f>
        <v>アイテム取得</v>
      </c>
      <c r="H11">
        <v>1000</v>
      </c>
      <c r="I11">
        <v>1</v>
      </c>
      <c r="J11">
        <v>0</v>
      </c>
      <c r="K11" t="b">
        <v>1</v>
      </c>
    </row>
    <row r="12" spans="1:11">
      <c r="A12">
        <v>30</v>
      </c>
      <c r="B12">
        <v>8</v>
      </c>
      <c r="C12">
        <v>15</v>
      </c>
      <c r="D12">
        <v>3010</v>
      </c>
      <c r="F12">
        <v>2010</v>
      </c>
      <c r="G12" t="str">
        <f>INDEX(Define!E:E,MATCH(F12,Define!D:D))</f>
        <v>ダンジョンから出る</v>
      </c>
      <c r="H12">
        <v>0</v>
      </c>
      <c r="I12">
        <v>0</v>
      </c>
      <c r="J12">
        <v>0</v>
      </c>
      <c r="K12" t="b">
        <v>0</v>
      </c>
    </row>
    <row r="13" spans="1:11">
      <c r="A13">
        <v>30</v>
      </c>
      <c r="B13">
        <v>1</v>
      </c>
      <c r="C13">
        <v>2</v>
      </c>
      <c r="D13">
        <v>3010</v>
      </c>
      <c r="F13">
        <v>2020</v>
      </c>
      <c r="G13" t="str">
        <f>INDEX(Define!E:E,MATCH(F13,Define!D:D))</f>
        <v>ダンジョン移動</v>
      </c>
      <c r="H13">
        <v>31</v>
      </c>
      <c r="I13">
        <v>1</v>
      </c>
      <c r="J13">
        <v>2</v>
      </c>
      <c r="K13" t="b">
        <v>0</v>
      </c>
    </row>
    <row r="14" spans="1:11">
      <c r="A14">
        <v>30</v>
      </c>
      <c r="B14">
        <v>14</v>
      </c>
      <c r="C14">
        <v>2</v>
      </c>
      <c r="D14">
        <v>3010</v>
      </c>
      <c r="F14">
        <v>2020</v>
      </c>
      <c r="G14" t="str">
        <f>INDEX(Define!E:E,MATCH(F14,Define!D:D))</f>
        <v>ダンジョン移動</v>
      </c>
      <c r="H14">
        <v>31</v>
      </c>
      <c r="I14">
        <v>14</v>
      </c>
      <c r="J14">
        <v>2</v>
      </c>
      <c r="K14" t="b">
        <v>0</v>
      </c>
    </row>
    <row r="15" spans="1:11">
      <c r="A15">
        <v>30</v>
      </c>
      <c r="B15">
        <v>1</v>
      </c>
      <c r="C15">
        <v>3</v>
      </c>
      <c r="D15">
        <v>3010</v>
      </c>
      <c r="F15">
        <v>6010</v>
      </c>
      <c r="G15" t="str">
        <f>INDEX(Define!E:E,MATCH(F15,Define!D:D))</f>
        <v>指定のイベントマスを消す</v>
      </c>
      <c r="H15">
        <v>612</v>
      </c>
      <c r="I15">
        <v>0</v>
      </c>
      <c r="J15">
        <v>0</v>
      </c>
      <c r="K15" t="b">
        <v>1</v>
      </c>
    </row>
    <row r="16" spans="1:11">
      <c r="A16">
        <v>30</v>
      </c>
      <c r="B16">
        <v>6</v>
      </c>
      <c r="C16">
        <v>12</v>
      </c>
      <c r="D16">
        <v>3010</v>
      </c>
      <c r="F16">
        <v>0</v>
      </c>
      <c r="H16">
        <v>612</v>
      </c>
      <c r="I16">
        <v>0</v>
      </c>
      <c r="J16">
        <v>0</v>
      </c>
      <c r="K16" t="b">
        <v>1</v>
      </c>
    </row>
    <row r="17" spans="1:11">
      <c r="A17">
        <v>30</v>
      </c>
      <c r="B17">
        <v>1</v>
      </c>
      <c r="C17">
        <v>4</v>
      </c>
      <c r="D17">
        <v>3010</v>
      </c>
      <c r="F17">
        <v>6010</v>
      </c>
      <c r="G17" t="str">
        <f>INDEX(Define!E:E,MATCH(F17,Define!D:D))</f>
        <v>指定のイベントマスを消す</v>
      </c>
      <c r="H17">
        <v>86</v>
      </c>
      <c r="I17">
        <v>0</v>
      </c>
      <c r="J17">
        <v>0</v>
      </c>
      <c r="K17" t="b">
        <v>1</v>
      </c>
    </row>
    <row r="18" spans="1:11">
      <c r="A18">
        <v>30</v>
      </c>
      <c r="B18">
        <v>8</v>
      </c>
      <c r="C18">
        <v>6</v>
      </c>
      <c r="D18">
        <v>3010</v>
      </c>
      <c r="F18">
        <v>0</v>
      </c>
      <c r="H18">
        <v>86</v>
      </c>
      <c r="I18">
        <v>0</v>
      </c>
      <c r="J18">
        <v>0</v>
      </c>
      <c r="K18" t="b">
        <v>1</v>
      </c>
    </row>
    <row r="19" spans="1:11">
      <c r="A19">
        <v>31</v>
      </c>
      <c r="B19">
        <v>1</v>
      </c>
      <c r="C19">
        <v>2</v>
      </c>
      <c r="D19">
        <v>3010</v>
      </c>
      <c r="F19">
        <v>2020</v>
      </c>
      <c r="G19" t="str">
        <f>INDEX(Define!E:E,MATCH(F19,Define!D:D))</f>
        <v>ダンジョン移動</v>
      </c>
      <c r="H19">
        <v>30</v>
      </c>
      <c r="I19">
        <v>1</v>
      </c>
      <c r="J19">
        <v>2</v>
      </c>
      <c r="K19" t="b">
        <v>0</v>
      </c>
    </row>
    <row r="20" spans="1:11">
      <c r="A20">
        <v>31</v>
      </c>
      <c r="B20">
        <v>14</v>
      </c>
      <c r="C20">
        <v>2</v>
      </c>
      <c r="D20">
        <v>3010</v>
      </c>
      <c r="F20">
        <v>2020</v>
      </c>
      <c r="G20" t="str">
        <f>INDEX(Define!E:E,MATCH(F20,Define!D:D))</f>
        <v>ダンジョン移動</v>
      </c>
      <c r="H20">
        <v>30</v>
      </c>
      <c r="I20">
        <v>14</v>
      </c>
      <c r="J20">
        <v>2</v>
      </c>
      <c r="K20" t="b">
        <v>0</v>
      </c>
    </row>
    <row r="21" spans="1:11">
      <c r="A21">
        <v>31</v>
      </c>
      <c r="B21">
        <v>11</v>
      </c>
      <c r="C21">
        <v>7</v>
      </c>
      <c r="D21">
        <v>3010</v>
      </c>
      <c r="F21">
        <v>5020</v>
      </c>
      <c r="G21" t="str">
        <f>INDEX(Define!E:E,MATCH(F21,Define!D:D))</f>
        <v>強制ボス戦闘</v>
      </c>
      <c r="H21">
        <v>2010</v>
      </c>
      <c r="I21">
        <v>0</v>
      </c>
      <c r="J21">
        <v>0</v>
      </c>
      <c r="K21" t="b">
        <v>1</v>
      </c>
    </row>
    <row r="22" spans="1:11">
      <c r="A22">
        <v>31</v>
      </c>
      <c r="B22">
        <v>8</v>
      </c>
      <c r="C22">
        <v>13</v>
      </c>
      <c r="D22">
        <v>3010</v>
      </c>
      <c r="F22">
        <v>3010</v>
      </c>
      <c r="G22" t="str">
        <f>INDEX(Define!E:E,MATCH(F22,Define!D:D))</f>
        <v>アーティファクト取得</v>
      </c>
      <c r="H22">
        <v>2020</v>
      </c>
      <c r="I22">
        <v>0</v>
      </c>
      <c r="J22">
        <v>0</v>
      </c>
      <c r="K22" t="b">
        <v>1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"/>
  <sheetViews>
    <sheetView workbookViewId="0">
      <selection activeCell="A20" sqref="A20"/>
    </sheetView>
  </sheetViews>
  <sheetFormatPr defaultColWidth="8.72727272727273" defaultRowHeight="13" outlineLevelCol="2"/>
  <sheetData>
    <row r="1" spans="1:3">
      <c r="A1" t="s">
        <v>0</v>
      </c>
      <c r="B1" t="s">
        <v>25</v>
      </c>
      <c r="C1" t="s">
        <v>26</v>
      </c>
    </row>
    <row r="2" spans="1:3">
      <c r="A2">
        <v>20</v>
      </c>
      <c r="B2">
        <v>1</v>
      </c>
      <c r="C2">
        <v>15</v>
      </c>
    </row>
    <row r="3" spans="1:3">
      <c r="A3">
        <v>20</v>
      </c>
      <c r="B3">
        <v>1</v>
      </c>
      <c r="C3">
        <v>15</v>
      </c>
    </row>
    <row r="4" spans="1:3">
      <c r="A4">
        <v>20</v>
      </c>
      <c r="B4">
        <v>3</v>
      </c>
      <c r="C4">
        <v>15</v>
      </c>
    </row>
    <row r="5" spans="1:3">
      <c r="A5">
        <v>20</v>
      </c>
      <c r="B5">
        <v>7</v>
      </c>
      <c r="C5">
        <v>20</v>
      </c>
    </row>
    <row r="6" spans="1:3">
      <c r="A6">
        <v>20</v>
      </c>
      <c r="B6">
        <v>7</v>
      </c>
      <c r="C6">
        <v>20</v>
      </c>
    </row>
    <row r="7" spans="1:3">
      <c r="A7">
        <v>21</v>
      </c>
      <c r="B7">
        <v>1</v>
      </c>
      <c r="C7">
        <v>15</v>
      </c>
    </row>
    <row r="8" spans="1:3">
      <c r="A8">
        <v>21</v>
      </c>
      <c r="B8">
        <v>1</v>
      </c>
      <c r="C8">
        <v>15</v>
      </c>
    </row>
    <row r="9" spans="1:3">
      <c r="A9">
        <v>21</v>
      </c>
      <c r="B9">
        <v>3</v>
      </c>
      <c r="C9">
        <v>15</v>
      </c>
    </row>
    <row r="10" spans="1:3">
      <c r="A10">
        <v>21</v>
      </c>
      <c r="B10">
        <v>7</v>
      </c>
      <c r="C10">
        <v>20</v>
      </c>
    </row>
    <row r="11" spans="1:3">
      <c r="A11">
        <v>21</v>
      </c>
      <c r="B11">
        <v>7</v>
      </c>
      <c r="C11">
        <v>20</v>
      </c>
    </row>
    <row r="12" spans="1:3">
      <c r="A12">
        <v>30</v>
      </c>
      <c r="B12">
        <v>1</v>
      </c>
      <c r="C12">
        <v>15</v>
      </c>
    </row>
    <row r="13" spans="1:3">
      <c r="A13">
        <v>30</v>
      </c>
      <c r="B13">
        <v>1</v>
      </c>
      <c r="C13">
        <v>15</v>
      </c>
    </row>
    <row r="14" spans="1:3">
      <c r="A14">
        <v>30</v>
      </c>
      <c r="B14">
        <v>3</v>
      </c>
      <c r="C14">
        <v>15</v>
      </c>
    </row>
    <row r="15" spans="1:3">
      <c r="A15">
        <v>30</v>
      </c>
      <c r="B15">
        <v>7</v>
      </c>
      <c r="C15">
        <v>20</v>
      </c>
    </row>
    <row r="16" spans="1:3">
      <c r="A16">
        <v>30</v>
      </c>
      <c r="B16">
        <v>7</v>
      </c>
      <c r="C16">
        <v>20</v>
      </c>
    </row>
    <row r="17" spans="1:3">
      <c r="A17">
        <v>31</v>
      </c>
      <c r="B17">
        <v>1</v>
      </c>
      <c r="C17">
        <v>15</v>
      </c>
    </row>
    <row r="18" spans="1:3">
      <c r="A18">
        <v>31</v>
      </c>
      <c r="B18">
        <v>1</v>
      </c>
      <c r="C18">
        <v>15</v>
      </c>
    </row>
    <row r="19" spans="1:3">
      <c r="A19">
        <v>31</v>
      </c>
      <c r="B19">
        <v>3</v>
      </c>
      <c r="C19">
        <v>15</v>
      </c>
    </row>
    <row r="20" spans="1:3">
      <c r="A20">
        <v>31</v>
      </c>
      <c r="B20">
        <v>7</v>
      </c>
      <c r="C20">
        <v>20</v>
      </c>
    </row>
    <row r="21" spans="1:3">
      <c r="A21">
        <v>31</v>
      </c>
      <c r="B21">
        <v>7</v>
      </c>
      <c r="C21">
        <v>20</v>
      </c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E2" sqref="E2"/>
    </sheetView>
  </sheetViews>
  <sheetFormatPr defaultColWidth="8.72727272727273" defaultRowHeight="13" outlineLevelRow="1" outlineLevelCol="7"/>
  <sheetData>
    <row r="1" spans="1:8">
      <c r="A1" t="s">
        <v>0</v>
      </c>
      <c r="B1" t="s">
        <v>27</v>
      </c>
      <c r="C1" t="s">
        <v>18</v>
      </c>
      <c r="D1" t="s">
        <v>28</v>
      </c>
      <c r="E1" t="s">
        <v>29</v>
      </c>
      <c r="F1" t="s">
        <v>30</v>
      </c>
      <c r="G1" t="s">
        <v>31</v>
      </c>
      <c r="H1" t="s">
        <v>32</v>
      </c>
    </row>
    <row r="2" spans="1:8">
      <c r="A2">
        <v>1010</v>
      </c>
      <c r="B2">
        <v>1</v>
      </c>
      <c r="C2">
        <v>110</v>
      </c>
      <c r="D2">
        <v>9</v>
      </c>
      <c r="E2">
        <v>0</v>
      </c>
      <c r="F2">
        <v>0</v>
      </c>
      <c r="G2">
        <v>0</v>
      </c>
      <c r="H2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4"/>
  <sheetViews>
    <sheetView workbookViewId="0">
      <selection activeCell="B8" sqref="B8"/>
    </sheetView>
  </sheetViews>
  <sheetFormatPr defaultColWidth="8.72727272727273" defaultRowHeight="13" outlineLevelCol="3"/>
  <cols>
    <col min="2" max="2" width="34.1818181818182" customWidth="1"/>
    <col min="3" max="3" width="29.1818181818182" customWidth="1"/>
  </cols>
  <sheetData>
    <row r="1" spans="1:3">
      <c r="A1" t="s">
        <v>0</v>
      </c>
      <c r="B1" t="s">
        <v>33</v>
      </c>
      <c r="C1" t="s">
        <v>34</v>
      </c>
    </row>
    <row r="2" spans="1:3">
      <c r="A2">
        <v>1</v>
      </c>
      <c r="B2" t="s">
        <v>35</v>
      </c>
      <c r="C2" s="3" t="s">
        <v>36</v>
      </c>
    </row>
    <row r="3" spans="1:4">
      <c r="A3">
        <v>10</v>
      </c>
      <c r="B3" s="1" t="s">
        <v>37</v>
      </c>
      <c r="C3" s="2" t="s">
        <v>36</v>
      </c>
      <c r="D3" s="3"/>
    </row>
    <row r="4" spans="1:4">
      <c r="A4">
        <v>20</v>
      </c>
      <c r="B4" s="1" t="s">
        <v>38</v>
      </c>
      <c r="C4" s="2" t="s">
        <v>36</v>
      </c>
      <c r="D4" s="3"/>
    </row>
    <row r="5" spans="1:4">
      <c r="A5">
        <v>21</v>
      </c>
      <c r="B5" s="1" t="s">
        <v>39</v>
      </c>
      <c r="C5" s="2" t="s">
        <v>36</v>
      </c>
      <c r="D5" s="3"/>
    </row>
    <row r="6" spans="1:4">
      <c r="A6">
        <v>30</v>
      </c>
      <c r="B6" s="1" t="s">
        <v>40</v>
      </c>
      <c r="C6" s="2" t="s">
        <v>36</v>
      </c>
      <c r="D6" s="3"/>
    </row>
    <row r="7" spans="1:4">
      <c r="A7">
        <v>31</v>
      </c>
      <c r="B7" s="1" t="s">
        <v>41</v>
      </c>
      <c r="C7" s="2" t="s">
        <v>36</v>
      </c>
      <c r="D7" s="3"/>
    </row>
    <row r="8" spans="1:4">
      <c r="A8">
        <v>1010</v>
      </c>
      <c r="B8" s="1" t="s">
        <v>42</v>
      </c>
      <c r="C8" s="4" t="s">
        <v>36</v>
      </c>
      <c r="D8" s="3"/>
    </row>
    <row r="9" spans="1:4">
      <c r="A9">
        <v>1020</v>
      </c>
      <c r="B9" s="1" t="s">
        <v>43</v>
      </c>
      <c r="C9" s="4" t="s">
        <v>36</v>
      </c>
      <c r="D9" s="3"/>
    </row>
    <row r="10" spans="1:4">
      <c r="A10">
        <v>1030</v>
      </c>
      <c r="B10" s="1" t="s">
        <v>44</v>
      </c>
      <c r="C10" s="4" t="s">
        <v>36</v>
      </c>
      <c r="D10" s="3"/>
    </row>
    <row r="11" spans="1:4">
      <c r="A11">
        <v>10010</v>
      </c>
      <c r="B11" s="1" t="s">
        <v>45</v>
      </c>
      <c r="C11" s="4" t="s">
        <v>36</v>
      </c>
      <c r="D11" s="3"/>
    </row>
    <row r="12" spans="3:4">
      <c r="C12" s="3"/>
      <c r="D12" s="3"/>
    </row>
    <row r="13" spans="3:3">
      <c r="C13" s="3"/>
    </row>
    <row r="14" spans="3:3">
      <c r="C14" s="3"/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28"/>
  <sheetViews>
    <sheetView workbookViewId="0">
      <selection activeCell="E8" sqref="E8"/>
    </sheetView>
  </sheetViews>
  <sheetFormatPr defaultColWidth="8.72727272727273" defaultRowHeight="13"/>
  <cols>
    <col min="4" max="4" width="5.63636363636364" customWidth="1"/>
    <col min="5" max="5" width="24.6363636363636" customWidth="1"/>
    <col min="15" max="15" width="45.9090909090909" customWidth="1"/>
  </cols>
  <sheetData>
    <row r="1" spans="1:13">
      <c r="A1" t="s">
        <v>18</v>
      </c>
      <c r="D1" t="s">
        <v>20</v>
      </c>
      <c r="I1" t="s">
        <v>46</v>
      </c>
      <c r="K1" s="1" t="s">
        <v>47</v>
      </c>
      <c r="M1" s="1" t="s">
        <v>48</v>
      </c>
    </row>
    <row r="2" spans="1:14">
      <c r="A2">
        <v>0</v>
      </c>
      <c r="B2" t="s">
        <v>49</v>
      </c>
      <c r="D2">
        <v>0</v>
      </c>
      <c r="E2" t="s">
        <v>49</v>
      </c>
      <c r="I2">
        <v>-1</v>
      </c>
      <c r="J2" t="s">
        <v>50</v>
      </c>
      <c r="K2">
        <v>-1</v>
      </c>
      <c r="L2" t="s">
        <v>50</v>
      </c>
      <c r="M2">
        <v>0</v>
      </c>
      <c r="N2" s="1" t="s">
        <v>51</v>
      </c>
    </row>
    <row r="3" spans="1:15">
      <c r="A3">
        <v>110</v>
      </c>
      <c r="B3" t="s">
        <v>52</v>
      </c>
      <c r="D3">
        <v>1010</v>
      </c>
      <c r="E3" t="s">
        <v>53</v>
      </c>
      <c r="I3">
        <v>0</v>
      </c>
      <c r="J3" s="1" t="s">
        <v>54</v>
      </c>
      <c r="K3">
        <v>0</v>
      </c>
      <c r="L3" s="1" t="s">
        <v>54</v>
      </c>
      <c r="M3">
        <v>10</v>
      </c>
      <c r="N3" s="1" t="s">
        <v>55</v>
      </c>
      <c r="O3" s="1" t="s">
        <v>56</v>
      </c>
    </row>
    <row r="4" spans="1:15">
      <c r="A4">
        <v>210</v>
      </c>
      <c r="B4" t="s">
        <v>57</v>
      </c>
      <c r="D4">
        <v>2010</v>
      </c>
      <c r="E4" t="s">
        <v>58</v>
      </c>
      <c r="I4">
        <v>10</v>
      </c>
      <c r="J4" t="s">
        <v>59</v>
      </c>
      <c r="K4">
        <v>11</v>
      </c>
      <c r="L4" t="s">
        <v>60</v>
      </c>
      <c r="M4">
        <v>20</v>
      </c>
      <c r="N4" s="1" t="s">
        <v>61</v>
      </c>
      <c r="O4" s="1" t="s">
        <v>62</v>
      </c>
    </row>
    <row r="5" ht="39" spans="1:15">
      <c r="A5">
        <v>1010</v>
      </c>
      <c r="B5" s="1" t="s">
        <v>63</v>
      </c>
      <c r="D5">
        <v>2020</v>
      </c>
      <c r="E5" t="s">
        <v>64</v>
      </c>
      <c r="I5">
        <v>11</v>
      </c>
      <c r="J5" t="s">
        <v>60</v>
      </c>
      <c r="K5">
        <v>20</v>
      </c>
      <c r="L5" s="1" t="s">
        <v>65</v>
      </c>
      <c r="M5">
        <v>30</v>
      </c>
      <c r="N5" s="1" t="s">
        <v>66</v>
      </c>
      <c r="O5" s="2" t="s">
        <v>67</v>
      </c>
    </row>
    <row r="6" spans="1:15">
      <c r="A6">
        <v>3010</v>
      </c>
      <c r="B6" t="s">
        <v>68</v>
      </c>
      <c r="D6">
        <v>3010</v>
      </c>
      <c r="E6" t="s">
        <v>69</v>
      </c>
      <c r="I6">
        <v>20</v>
      </c>
      <c r="J6" t="s">
        <v>70</v>
      </c>
      <c r="K6">
        <v>30</v>
      </c>
      <c r="L6" s="1" t="s">
        <v>71</v>
      </c>
      <c r="M6">
        <v>40</v>
      </c>
      <c r="N6" s="1" t="s">
        <v>72</v>
      </c>
      <c r="O6" s="1" t="s">
        <v>73</v>
      </c>
    </row>
    <row r="7" spans="4:15">
      <c r="D7">
        <v>3020</v>
      </c>
      <c r="E7" t="s">
        <v>74</v>
      </c>
      <c r="I7">
        <v>30</v>
      </c>
      <c r="J7" t="s">
        <v>71</v>
      </c>
      <c r="K7">
        <v>40</v>
      </c>
      <c r="L7" s="1" t="s">
        <v>75</v>
      </c>
      <c r="M7">
        <v>50</v>
      </c>
      <c r="N7" s="1" t="s">
        <v>76</v>
      </c>
      <c r="O7" s="1" t="s">
        <v>77</v>
      </c>
    </row>
    <row r="8" ht="39" spans="4:15">
      <c r="D8">
        <v>4010</v>
      </c>
      <c r="E8" t="s">
        <v>78</v>
      </c>
      <c r="I8">
        <v>40</v>
      </c>
      <c r="J8" t="s">
        <v>79</v>
      </c>
      <c r="K8">
        <v>50</v>
      </c>
      <c r="L8" t="s">
        <v>80</v>
      </c>
      <c r="M8">
        <v>60</v>
      </c>
      <c r="N8" s="1" t="s">
        <v>51</v>
      </c>
      <c r="O8" s="2" t="s">
        <v>81</v>
      </c>
    </row>
    <row r="9" spans="4:15">
      <c r="D9">
        <v>4020</v>
      </c>
      <c r="E9" t="s">
        <v>82</v>
      </c>
      <c r="I9">
        <v>50</v>
      </c>
      <c r="J9" t="s">
        <v>80</v>
      </c>
      <c r="K9">
        <v>60</v>
      </c>
      <c r="L9" t="s">
        <v>83</v>
      </c>
      <c r="M9">
        <v>70</v>
      </c>
      <c r="N9" s="1" t="s">
        <v>84</v>
      </c>
      <c r="O9" s="1" t="s">
        <v>85</v>
      </c>
    </row>
    <row r="10" spans="4:15">
      <c r="D10">
        <v>5010</v>
      </c>
      <c r="E10" t="s">
        <v>86</v>
      </c>
      <c r="I10">
        <v>60</v>
      </c>
      <c r="J10" t="s">
        <v>83</v>
      </c>
      <c r="K10">
        <v>70</v>
      </c>
      <c r="L10" t="s">
        <v>87</v>
      </c>
      <c r="M10">
        <v>80</v>
      </c>
      <c r="N10" s="1" t="s">
        <v>88</v>
      </c>
      <c r="O10" s="1" t="s">
        <v>89</v>
      </c>
    </row>
    <row r="11" spans="4:12">
      <c r="D11">
        <v>5020</v>
      </c>
      <c r="E11" t="s">
        <v>90</v>
      </c>
      <c r="I11">
        <v>70</v>
      </c>
      <c r="J11" t="s">
        <v>87</v>
      </c>
      <c r="K11">
        <v>80</v>
      </c>
      <c r="L11" t="s">
        <v>91</v>
      </c>
    </row>
    <row r="12" spans="4:12">
      <c r="D12">
        <v>6010</v>
      </c>
      <c r="E12" t="s">
        <v>92</v>
      </c>
      <c r="I12">
        <v>80</v>
      </c>
      <c r="J12" t="s">
        <v>91</v>
      </c>
      <c r="K12">
        <v>90</v>
      </c>
      <c r="L12" s="1" t="s">
        <v>93</v>
      </c>
    </row>
    <row r="13" spans="9:12">
      <c r="I13">
        <v>99</v>
      </c>
      <c r="J13" t="s">
        <v>94</v>
      </c>
      <c r="K13">
        <v>99</v>
      </c>
      <c r="L13" t="s">
        <v>94</v>
      </c>
    </row>
    <row r="14" spans="11:12">
      <c r="K14">
        <v>1000</v>
      </c>
      <c r="L14" s="1" t="s">
        <v>95</v>
      </c>
    </row>
    <row r="27" spans="5:5">
      <c r="E27" s="1"/>
    </row>
    <row r="28" spans="5:5">
      <c r="E28" s="1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Stages</vt:lpstr>
      <vt:lpstr>StageEvents</vt:lpstr>
      <vt:lpstr>StageEnemyRates</vt:lpstr>
      <vt:lpstr>Tutorials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2024-01-16T09:09:00Z</dcterms:created>
  <dcterms:modified xsi:type="dcterms:W3CDTF">2025-06-08T01:23:52Z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C43817069AFD451BBCCDA0C7BB202E01</vt:lpwstr>
  </property>
  <property fmtid="{D5CDD505-2E9C-101B-9397-08002B2CF9AE}" pid="3" name="KSOProductBuildVer">
    <vt:lpwstr>1041-11.2.0.10707</vt:lpwstr>
  </property>
</Properties>
</file>