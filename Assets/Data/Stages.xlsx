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StageEvents!$F$1:$F$298</definedName>
  </definedNames>
  <calcPr calcId="144525" concurrentCalc="0"/>
</workbook>
</file>

<file path=xl/sharedStrings.xml><?xml version="1.0" encoding="utf-8"?>
<sst xmlns="http://schemas.openxmlformats.org/spreadsheetml/2006/main" count="292" uniqueCount="160">
  <si>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</si>
  <si>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</si>
  <si>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</si>
  <si>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</si>
  <si>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</si>
  <si>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</si>
  <si>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</si>
  <si>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</si>
  <si>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</si>
  <si>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</si>
  <si>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</si>
  <si>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</si>
  <si>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</si>
  <si>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</si>
  <si>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</si>
  <si>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</si>
  <si>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</si>
  <si>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</si>
  <si>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</si>
  <si>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</si>
  <si>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</si>
  <si>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</si>
  <si>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</si>
  <si>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</si>
  <si>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</si>
  <si>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</si>
  <si>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</si>
  <si>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</si>
  <si>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</si>
  <si>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</si>
  <si>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</si>
  <si>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</si>
  <si>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</si>
  <si>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</si>
  <si>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</si>
  <si>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</si>
  <si>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</si>
  <si>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</si>
  <si>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</si>
  <si>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</si>
  <si>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</si>
  <si>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</si>
  <si>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</si>
  <si>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</si>
  <si>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</si>
  <si>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</si>
  <si>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</si>
  <si>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</si>
  <si>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</si>
  <si>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</si>
  <si>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</si>
  <si>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</si>
  <si>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</si>
  <si>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</si>
  <si>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</si>
  <si>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</si>
  <si>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</si>
  <si>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</si>
  <si>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</si>
  <si>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</si>
  <si>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</si>
  <si>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</si>
  <si>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</si>
  <si>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</si>
  <si>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</si>
  <si>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</si>
  <si>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</si>
  <si>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</si>
  <si>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</si>
  <si>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</si>
  <si>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</si>
  <si>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</si>
  <si>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</si>
  <si>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</si>
  <si>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</si>
  <si>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</si>
  <si>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</si>
  <si>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</si>
  <si>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</si>
  <si>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</si>
  <si>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</si>
  <si>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</si>
  <si>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</si>
  <si>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</si>
  <si>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</si>
  <si>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</si>
  <si>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</si>
  <si>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</si>
  <si>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</si>
  <si>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</si>
  <si>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</si>
  <si>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</si>
  <si>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</si>
  <si>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</si>
  <si>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</si>
  <si>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</si>
  <si>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</si>
  <si>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</si>
  <si>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</si>
  <si>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</si>
  <si>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</si>
  <si>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</si>
  <si>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</si>
  <si>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</si>
  <si>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</si>
  <si>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</si>
  <si>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</si>
  <si>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</si>
  <si>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</si>
  <si>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</si>
  <si>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</si>
  <si>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</si>
  <si>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</si>
  <si>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</si>
  <si>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</si>
  <si>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</si>
  <si>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</si>
  <si>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</si>
  <si>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</si>
  <si>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</si>
  <si>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</si>
  <si>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</si>
  <si>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ダンジョンクリア</t>
  </si>
  <si>
    <t>Event</t>
  </si>
  <si>
    <t>Alcana</t>
  </si>
  <si>
    <t>徘徊</t>
  </si>
  <si>
    <t>ランダムに移動。</t>
  </si>
  <si>
    <t>アーティファクト取得</t>
  </si>
  <si>
    <t>GetItem</t>
  </si>
  <si>
    <t>巡回</t>
  </si>
  <si>
    <t>射程内に攻撃可能な敵がいれば攻撃、いなければ一定のルートを移動。</t>
  </si>
  <si>
    <t>アイテム取得</t>
  </si>
  <si>
    <t>Actor</t>
  </si>
  <si>
    <t>Resource</t>
  </si>
  <si>
    <t>その場を動かない。
その場から攻撃可能なら攻撃する。
隣接など攻撃可能でないと挑発は出来ない。</t>
  </si>
  <si>
    <t>魔法入手</t>
  </si>
  <si>
    <t>Rebirth</t>
  </si>
  <si>
    <t>移動</t>
  </si>
  <si>
    <t>特定の目標に向かって移動。攻撃してこない。</t>
  </si>
  <si>
    <t>仲間を増やす</t>
  </si>
  <si>
    <t>SelectActor</t>
  </si>
  <si>
    <t>離脱</t>
  </si>
  <si>
    <t>離脱ポイントへ向かう。攻撃してこない。</t>
  </si>
  <si>
    <t>仲間を外す</t>
  </si>
  <si>
    <t>Shop</t>
  </si>
  <si>
    <t>選択して仲間を増やす</t>
  </si>
  <si>
    <t>Gacha</t>
  </si>
  <si>
    <t>強制戦闘</t>
  </si>
  <si>
    <t>Group</t>
  </si>
  <si>
    <t>強制ボス戦闘</t>
  </si>
  <si>
    <t>Battler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</si>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</sst>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4" fillId="2" borderId="1" applyNumberFormat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2" fillId="2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9" fillId="9" borderId="3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opLeftCell="A13" workbookViewId="0">
      <selection activeCell="P36" sqref="P3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2010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2010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7"/>
  <sheetViews>
    <sheetView tabSelected="1" topLeftCell="A283" workbookViewId="0">
      <selection activeCell="A300" sqref="$A300:$XFD30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  <row r="286" spans="1:11">
      <c r="A286">
        <v>3010</v>
      </c>
      <c r="B286">
        <v>9</v>
      </c>
      <c r="C286">
        <v>10</v>
      </c>
      <c r="D286">
        <v>3010</v>
      </c>
      <c r="F286">
        <v>2020</v>
      </c>
      <c r="G286" t="str">
        <f>INDEX(Define!E:E,MATCH(F286,Define!D:D))</f>
        <v>ダンジョン移動</v>
      </c>
      <c r="H286">
        <v>3011</v>
      </c>
      <c r="I286">
        <v>8</v>
      </c>
      <c r="J286">
        <v>2</v>
      </c>
      <c r="K286" t="b">
        <v>0</v>
      </c>
    </row>
    <row r="287" spans="1:11">
      <c r="A287">
        <v>3010</v>
      </c>
      <c r="B287">
        <v>0</v>
      </c>
      <c r="C287">
        <v>0</v>
      </c>
      <c r="D287">
        <v>3020</v>
      </c>
      <c r="F287">
        <v>1010</v>
      </c>
      <c r="G287" t="str">
        <f>INDEX(Define!E:E,MATCH(F287,Define!D:D))</f>
        <v>Adv再生</v>
      </c>
      <c r="H287">
        <v>30010</v>
      </c>
      <c r="I287">
        <v>0</v>
      </c>
      <c r="J287">
        <v>0</v>
      </c>
      <c r="K287" t="b">
        <v>1</v>
      </c>
    </row>
    <row r="288" spans="1:11">
      <c r="A288">
        <v>3010</v>
      </c>
      <c r="B288">
        <v>0</v>
      </c>
      <c r="C288">
        <v>0</v>
      </c>
      <c r="D288">
        <v>3020</v>
      </c>
      <c r="F288">
        <v>9010</v>
      </c>
      <c r="G288" t="str">
        <f>INDEX(Define!E:E,MATCH(F288,Define!D:D))</f>
        <v>イベント終了明示</v>
      </c>
      <c r="H288">
        <v>0</v>
      </c>
      <c r="I288">
        <v>0</v>
      </c>
      <c r="J288">
        <v>0</v>
      </c>
      <c r="K288" t="b">
        <v>0</v>
      </c>
    </row>
    <row r="289" spans="1:11">
      <c r="A289">
        <v>3010</v>
      </c>
      <c r="B289">
        <v>9</v>
      </c>
      <c r="C289">
        <v>6</v>
      </c>
      <c r="D289">
        <v>3010</v>
      </c>
      <c r="F289">
        <v>4010</v>
      </c>
      <c r="G289" t="str">
        <f>INDEX(Define!E:E,MATCH(F289,Define!D:D))</f>
        <v>仲間を増やす</v>
      </c>
      <c r="H289">
        <v>102</v>
      </c>
      <c r="I289">
        <v>1</v>
      </c>
      <c r="J289">
        <v>0</v>
      </c>
      <c r="K289" t="b">
        <v>1</v>
      </c>
    </row>
    <row r="290" spans="1:11">
      <c r="A290">
        <v>3010</v>
      </c>
      <c r="B290">
        <v>9</v>
      </c>
      <c r="C290">
        <v>6</v>
      </c>
      <c r="D290">
        <v>3010</v>
      </c>
      <c r="F290">
        <v>4010</v>
      </c>
      <c r="G290" t="str">
        <f>INDEX(Define!E:E,MATCH(F290,Define!D:D))</f>
        <v>仲間を増やす</v>
      </c>
      <c r="H290">
        <v>103</v>
      </c>
      <c r="I290">
        <v>2</v>
      </c>
      <c r="J290">
        <v>0</v>
      </c>
      <c r="K290" t="b">
        <v>1</v>
      </c>
    </row>
    <row r="291" spans="1:11">
      <c r="A291">
        <v>3010</v>
      </c>
      <c r="B291">
        <v>9</v>
      </c>
      <c r="C291">
        <v>6</v>
      </c>
      <c r="D291">
        <v>3010</v>
      </c>
      <c r="F291">
        <v>9010</v>
      </c>
      <c r="G291" t="str">
        <f>INDEX(Define!E:E,MATCH(F291,Define!D:D))</f>
        <v>イベント終了明示</v>
      </c>
      <c r="H291">
        <v>0</v>
      </c>
      <c r="I291">
        <v>0</v>
      </c>
      <c r="J291">
        <v>0</v>
      </c>
      <c r="K291" t="b">
        <v>0</v>
      </c>
    </row>
    <row r="292" spans="1:11">
      <c r="A292">
        <v>3010</v>
      </c>
      <c r="B292">
        <v>9</v>
      </c>
      <c r="C292">
        <v>5</v>
      </c>
      <c r="D292">
        <v>3010</v>
      </c>
      <c r="F292">
        <v>5010</v>
      </c>
      <c r="G292" t="str">
        <f>INDEX(Define!E:E,MATCH(F292,Define!D:D))</f>
        <v>強制戦闘</v>
      </c>
      <c r="H292">
        <v>1010</v>
      </c>
      <c r="I292">
        <v>0</v>
      </c>
      <c r="J292">
        <v>0</v>
      </c>
      <c r="K292" t="b">
        <v>1</v>
      </c>
    </row>
    <row r="293" spans="1:11">
      <c r="A293">
        <v>3010</v>
      </c>
      <c r="B293">
        <v>0</v>
      </c>
      <c r="C293">
        <v>0</v>
      </c>
      <c r="D293">
        <v>3020</v>
      </c>
      <c r="F293">
        <v>1010</v>
      </c>
      <c r="G293" t="str">
        <f>INDEX(Define!E:E,MATCH(F293,Define!D:D))</f>
        <v>Adv再生</v>
      </c>
      <c r="H293">
        <v>30011</v>
      </c>
      <c r="I293">
        <v>0</v>
      </c>
      <c r="J293">
        <v>0</v>
      </c>
      <c r="K293" t="b">
        <v>1</v>
      </c>
    </row>
    <row r="294" spans="1:11">
      <c r="A294">
        <v>3010</v>
      </c>
      <c r="B294">
        <v>0</v>
      </c>
      <c r="C294">
        <v>0</v>
      </c>
      <c r="D294">
        <v>3020</v>
      </c>
      <c r="F294">
        <v>9010</v>
      </c>
      <c r="G294" t="str">
        <f>INDEX(Define!E:E,MATCH(F294,Define!D:D))</f>
        <v>イベント終了明示</v>
      </c>
      <c r="H294">
        <v>0</v>
      </c>
      <c r="I294">
        <v>0</v>
      </c>
      <c r="J294">
        <v>0</v>
      </c>
      <c r="K294" t="b">
        <v>0</v>
      </c>
    </row>
    <row r="295" spans="1:11">
      <c r="A295">
        <v>3010</v>
      </c>
      <c r="B295">
        <v>9</v>
      </c>
      <c r="C295">
        <v>3</v>
      </c>
      <c r="D295">
        <v>3010</v>
      </c>
      <c r="F295">
        <v>1010</v>
      </c>
      <c r="G295" t="str">
        <f>INDEX(Define!E:E,MATCH(F295,Define!D:D))</f>
        <v>Adv再生</v>
      </c>
      <c r="H295">
        <v>140</v>
      </c>
      <c r="I295">
        <v>0</v>
      </c>
      <c r="J295">
        <v>0</v>
      </c>
      <c r="K295" t="b">
        <v>1</v>
      </c>
    </row>
    <row r="296" spans="1:11">
      <c r="A296">
        <v>3010</v>
      </c>
      <c r="B296">
        <v>9</v>
      </c>
      <c r="C296">
        <v>3</v>
      </c>
      <c r="D296">
        <v>3010</v>
      </c>
      <c r="F296">
        <v>6010</v>
      </c>
      <c r="G296" t="str">
        <f>INDEX(Define!E:E,MATCH(F296,Define!D:D))</f>
        <v>指定のイベントマスを消す</v>
      </c>
      <c r="H296">
        <v>93</v>
      </c>
      <c r="I296">
        <v>0</v>
      </c>
      <c r="J296">
        <v>0</v>
      </c>
      <c r="K296" t="b">
        <v>1</v>
      </c>
    </row>
    <row r="297" spans="1:11">
      <c r="A297">
        <v>3010</v>
      </c>
      <c r="B297">
        <v>9</v>
      </c>
      <c r="C297">
        <v>8</v>
      </c>
      <c r="D297">
        <v>3010</v>
      </c>
      <c r="F297">
        <v>0</v>
      </c>
      <c r="H297">
        <v>93</v>
      </c>
      <c r="I297">
        <v>0</v>
      </c>
      <c r="J297">
        <v>0</v>
      </c>
      <c r="K297" t="b">
        <v>1</v>
      </c>
    </row>
    <row r="298" spans="1:11">
      <c r="A298">
        <v>3010</v>
      </c>
      <c r="B298">
        <v>9</v>
      </c>
      <c r="C298">
        <v>3</v>
      </c>
      <c r="D298">
        <v>3010</v>
      </c>
      <c r="F298">
        <v>9010</v>
      </c>
      <c r="G298" t="str">
        <f>INDEX(Define!E:E,MATCH(F298,Define!D:D))</f>
        <v>イベント終了明示</v>
      </c>
      <c r="H298">
        <v>0</v>
      </c>
      <c r="I298">
        <v>0</v>
      </c>
      <c r="J298">
        <v>0</v>
      </c>
      <c r="K298" t="b">
        <v>0</v>
      </c>
    </row>
    <row r="299" spans="1:11">
      <c r="A299">
        <v>3010</v>
      </c>
      <c r="B299">
        <v>9</v>
      </c>
      <c r="C299">
        <v>9</v>
      </c>
      <c r="D299">
        <v>3010</v>
      </c>
      <c r="F299">
        <v>1010</v>
      </c>
      <c r="G299" t="str">
        <f>INDEX(Define!E:E,MATCH(F299,Define!D:D))</f>
        <v>Adv再生</v>
      </c>
      <c r="H299">
        <v>30012</v>
      </c>
      <c r="I299">
        <v>0</v>
      </c>
      <c r="J299">
        <v>0</v>
      </c>
      <c r="K299" t="b">
        <v>1</v>
      </c>
    </row>
    <row r="300" spans="1:11">
      <c r="A300">
        <v>3010</v>
      </c>
      <c r="B300">
        <v>9</v>
      </c>
      <c r="C300">
        <v>9</v>
      </c>
      <c r="D300">
        <v>3010</v>
      </c>
      <c r="F300">
        <v>4011</v>
      </c>
      <c r="G300" t="str">
        <f>INDEX(Define!E:E,MATCH(F300,Define!D:D))</f>
        <v>仲間を外す</v>
      </c>
      <c r="H300">
        <v>103</v>
      </c>
      <c r="I300">
        <v>0</v>
      </c>
      <c r="J300">
        <v>0</v>
      </c>
      <c r="K300" t="b">
        <v>1</v>
      </c>
    </row>
    <row r="301" spans="1:11">
      <c r="A301">
        <v>3010</v>
      </c>
      <c r="B301">
        <v>9</v>
      </c>
      <c r="C301">
        <v>9</v>
      </c>
      <c r="D301">
        <v>3010</v>
      </c>
      <c r="F301">
        <v>9010</v>
      </c>
      <c r="G301" t="str">
        <f>INDEX(Define!E:E,MATCH(F301,Define!D:D))</f>
        <v>イベント終了明示</v>
      </c>
      <c r="H301">
        <v>0</v>
      </c>
      <c r="I301">
        <v>0</v>
      </c>
      <c r="J301">
        <v>0</v>
      </c>
      <c r="K301" t="b">
        <v>0</v>
      </c>
    </row>
    <row r="302" spans="1:11">
      <c r="A302">
        <v>3011</v>
      </c>
      <c r="B302">
        <v>8</v>
      </c>
      <c r="C302">
        <v>2</v>
      </c>
      <c r="D302">
        <v>3010</v>
      </c>
      <c r="F302">
        <v>2020</v>
      </c>
      <c r="G302" t="str">
        <f>INDEX(Define!E:E,MATCH(F302,Define!D:D))</f>
        <v>ダンジョン移動</v>
      </c>
      <c r="H302">
        <v>3010</v>
      </c>
      <c r="I302">
        <v>9</v>
      </c>
      <c r="J302">
        <v>10</v>
      </c>
      <c r="K302" t="b">
        <v>0</v>
      </c>
    </row>
    <row r="303" spans="1:11">
      <c r="A303">
        <v>3011</v>
      </c>
      <c r="B303">
        <v>8</v>
      </c>
      <c r="C303">
        <v>7</v>
      </c>
      <c r="D303">
        <v>3010</v>
      </c>
      <c r="F303">
        <v>1010</v>
      </c>
      <c r="G303" t="str">
        <f>INDEX(Define!E:E,MATCH(F303,Define!D:D))</f>
        <v>Adv再生</v>
      </c>
      <c r="H303">
        <v>30013</v>
      </c>
      <c r="I303">
        <v>0</v>
      </c>
      <c r="J303">
        <v>0</v>
      </c>
      <c r="K303" t="b">
        <v>1</v>
      </c>
    </row>
    <row r="304" spans="1:11">
      <c r="A304">
        <v>3011</v>
      </c>
      <c r="B304">
        <v>8</v>
      </c>
      <c r="C304">
        <v>7</v>
      </c>
      <c r="D304">
        <v>3010</v>
      </c>
      <c r="F304">
        <v>9010</v>
      </c>
      <c r="G304" t="str">
        <f>INDEX(Define!E:E,MATCH(F304,Define!D:D))</f>
        <v>イベント終了明示</v>
      </c>
      <c r="H304">
        <v>0</v>
      </c>
      <c r="I304">
        <v>0</v>
      </c>
      <c r="J304">
        <v>0</v>
      </c>
      <c r="K304" t="b">
        <v>0</v>
      </c>
    </row>
    <row r="305" spans="1:11">
      <c r="A305">
        <v>3011</v>
      </c>
      <c r="B305">
        <v>8</v>
      </c>
      <c r="C305">
        <v>9</v>
      </c>
      <c r="D305">
        <v>3010</v>
      </c>
      <c r="F305">
        <v>5020</v>
      </c>
      <c r="G305" t="str">
        <f>INDEX(Define!E:E,MATCH(F305,Define!D:D))</f>
        <v>強制ボス戦闘</v>
      </c>
      <c r="H305">
        <v>6010</v>
      </c>
      <c r="I305">
        <v>0</v>
      </c>
      <c r="J305">
        <v>0</v>
      </c>
      <c r="K305" t="b">
        <v>1</v>
      </c>
    </row>
    <row r="306" spans="1:11">
      <c r="A306">
        <v>3011</v>
      </c>
      <c r="B306">
        <v>8</v>
      </c>
      <c r="C306">
        <v>10</v>
      </c>
      <c r="D306">
        <v>3010</v>
      </c>
      <c r="F306">
        <v>1010</v>
      </c>
      <c r="G306" t="str">
        <f>INDEX(Define!E:E,MATCH(F306,Define!D:D))</f>
        <v>Adv再生</v>
      </c>
      <c r="H306">
        <v>30014</v>
      </c>
      <c r="I306">
        <v>0</v>
      </c>
      <c r="J306">
        <v>0</v>
      </c>
      <c r="K306" t="b">
        <v>1</v>
      </c>
    </row>
    <row r="307" spans="1:11">
      <c r="A307">
        <v>3011</v>
      </c>
      <c r="B307">
        <v>8</v>
      </c>
      <c r="C307">
        <v>10</v>
      </c>
      <c r="D307">
        <v>3010</v>
      </c>
      <c r="F307">
        <v>9010</v>
      </c>
      <c r="G307" t="str">
        <f>INDEX(Define!E:E,MATCH(F307,Define!D:D))</f>
        <v>イベント終了明示</v>
      </c>
      <c r="H307">
        <v>0</v>
      </c>
      <c r="I307">
        <v>0</v>
      </c>
      <c r="J307">
        <v>0</v>
      </c>
      <c r="K307" t="b">
        <v>0</v>
      </c>
    </row>
  </sheetData>
  <autoFilter ref="F1:F298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3010</v>
      </c>
      <c r="B6" t="s">
        <v>121</v>
      </c>
      <c r="D6">
        <v>2030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4:15">
      <c r="D7">
        <v>3010</v>
      </c>
      <c r="E7" t="s">
        <v>127</v>
      </c>
      <c r="I7">
        <v>30</v>
      </c>
      <c r="J7" t="s">
        <v>124</v>
      </c>
      <c r="K7">
        <v>40</v>
      </c>
      <c r="L7" s="1" t="s">
        <v>128</v>
      </c>
      <c r="M7">
        <v>50</v>
      </c>
      <c r="N7" s="1" t="s">
        <v>129</v>
      </c>
      <c r="O7" s="1" t="s">
        <v>130</v>
      </c>
    </row>
    <row r="8" ht="39" spans="4:15">
      <c r="D8">
        <v>3020</v>
      </c>
      <c r="E8" t="s">
        <v>131</v>
      </c>
      <c r="I8">
        <v>40</v>
      </c>
      <c r="J8" t="s">
        <v>132</v>
      </c>
      <c r="K8">
        <v>50</v>
      </c>
      <c r="L8" t="s">
        <v>133</v>
      </c>
      <c r="M8">
        <v>60</v>
      </c>
      <c r="N8" s="1" t="s">
        <v>104</v>
      </c>
      <c r="O8" s="2" t="s">
        <v>134</v>
      </c>
    </row>
    <row r="9" spans="4:15">
      <c r="D9">
        <v>3030</v>
      </c>
      <c r="E9" t="s">
        <v>135</v>
      </c>
      <c r="I9">
        <v>50</v>
      </c>
      <c r="J9" t="s">
        <v>133</v>
      </c>
      <c r="K9">
        <v>60</v>
      </c>
      <c r="L9" t="s">
        <v>136</v>
      </c>
      <c r="M9">
        <v>70</v>
      </c>
      <c r="N9" s="1" t="s">
        <v>137</v>
      </c>
      <c r="O9" s="1" t="s">
        <v>138</v>
      </c>
    </row>
    <row r="10" spans="4:15">
      <c r="D10">
        <v>4010</v>
      </c>
      <c r="E10" t="s">
        <v>139</v>
      </c>
      <c r="I10">
        <v>60</v>
      </c>
      <c r="J10" t="s">
        <v>136</v>
      </c>
      <c r="K10">
        <v>70</v>
      </c>
      <c r="L10" t="s">
        <v>140</v>
      </c>
      <c r="M10">
        <v>80</v>
      </c>
      <c r="N10" s="1" t="s">
        <v>141</v>
      </c>
      <c r="O10" s="1" t="s">
        <v>142</v>
      </c>
    </row>
    <row r="11" spans="4:12">
      <c r="D11">
        <v>4011</v>
      </c>
      <c r="E11" t="s">
        <v>143</v>
      </c>
      <c r="I11">
        <v>70</v>
      </c>
      <c r="J11" t="s">
        <v>140</v>
      </c>
      <c r="K11">
        <v>80</v>
      </c>
      <c r="L11" t="s">
        <v>144</v>
      </c>
    </row>
    <row r="12" spans="4:12">
      <c r="D12">
        <v>4020</v>
      </c>
      <c r="E12" t="s">
        <v>145</v>
      </c>
      <c r="I12">
        <v>80</v>
      </c>
      <c r="J12" t="s">
        <v>144</v>
      </c>
      <c r="K12">
        <v>90</v>
      </c>
      <c r="L12" s="1" t="s">
        <v>146</v>
      </c>
    </row>
    <row r="13" spans="4:12">
      <c r="D13">
        <v>5010</v>
      </c>
      <c r="E13" t="s">
        <v>147</v>
      </c>
      <c r="I13">
        <v>99</v>
      </c>
      <c r="J13" t="s">
        <v>148</v>
      </c>
      <c r="K13">
        <v>99</v>
      </c>
      <c r="L13" t="s">
        <v>148</v>
      </c>
    </row>
    <row r="14" spans="4:12">
      <c r="D14">
        <v>5020</v>
      </c>
      <c r="E14" t="s">
        <v>149</v>
      </c>
      <c r="K14">
        <v>1000</v>
      </c>
      <c r="L14" s="1" t="s">
        <v>150</v>
      </c>
    </row>
    <row r="15" spans="4:5">
      <c r="D15">
        <v>6010</v>
      </c>
      <c r="E15" t="s">
        <v>151</v>
      </c>
    </row>
    <row r="16" spans="4:5">
      <c r="D16">
        <v>6011</v>
      </c>
      <c r="E16" t="s">
        <v>152</v>
      </c>
    </row>
    <row r="17" spans="4:5">
      <c r="D17">
        <v>6020</v>
      </c>
      <c r="E17" t="s">
        <v>153</v>
      </c>
    </row>
    <row r="18" spans="4:5">
      <c r="D18">
        <v>6030</v>
      </c>
      <c r="E18" t="s">
        <v>154</v>
      </c>
    </row>
    <row r="19" spans="4:5">
      <c r="D19">
        <v>7010</v>
      </c>
      <c r="E19" t="s">
        <v>155</v>
      </c>
    </row>
    <row r="20" spans="4:5">
      <c r="D20">
        <v>7020</v>
      </c>
      <c r="E20" t="s">
        <v>156</v>
      </c>
    </row>
    <row r="21" spans="4:5">
      <c r="D21">
        <v>7021</v>
      </c>
      <c r="E21" t="s">
        <v>157</v>
      </c>
    </row>
    <row r="22" spans="4:5">
      <c r="D22">
        <v>8010</v>
      </c>
      <c r="E22" t="s">
        <v>158</v>
      </c>
    </row>
    <row r="23" spans="4:5">
      <c r="D23">
        <v>9010</v>
      </c>
      <c r="E23" t="s">
        <v>159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2025-11-18T15:05:20Z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