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<sst xmlns="http://schemas.openxmlformats.org/spreadsheetml/2006/main" count="214" uniqueCount="132">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</sst>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7" fillId="20" borderId="6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8" fillId="20" borderId="1" applyNumberFormat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1" fillId="27" borderId="8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"/>
  <sheetViews>
    <sheetView workbookViewId="0">
      <selection activeCell="A18" sqref="A1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1010</v>
      </c>
      <c r="B16">
        <v>1010</v>
      </c>
      <c r="C16">
        <v>101</v>
      </c>
      <c r="D16">
        <v>11</v>
      </c>
      <c r="E16">
        <v>1</v>
      </c>
      <c r="F16">
        <v>1</v>
      </c>
      <c r="G16">
        <v>5</v>
      </c>
      <c r="H16" t="b">
        <v>1</v>
      </c>
      <c r="I16">
        <v>3</v>
      </c>
      <c r="J16">
        <v>30</v>
      </c>
      <c r="K16">
        <v>6</v>
      </c>
      <c r="L16">
        <v>12</v>
      </c>
      <c r="M16">
        <v>1210</v>
      </c>
      <c r="N16">
        <v>3010</v>
      </c>
      <c r="O16">
        <v>2010</v>
      </c>
      <c r="P16" s="1" t="s">
        <v>22</v>
      </c>
      <c r="Q16" t="s">
        <v>23</v>
      </c>
      <c r="R16">
        <v>0</v>
      </c>
      <c r="S16" t="s">
        <v>20</v>
      </c>
    </row>
    <row r="17" spans="1:19">
      <c r="A17">
        <v>1020</v>
      </c>
      <c r="B17">
        <v>1020</v>
      </c>
      <c r="C17">
        <v>102</v>
      </c>
      <c r="D17">
        <v>11</v>
      </c>
      <c r="E17">
        <v>1</v>
      </c>
      <c r="F17">
        <v>2</v>
      </c>
      <c r="G17">
        <v>10</v>
      </c>
      <c r="H17" t="b">
        <v>1</v>
      </c>
      <c r="I17">
        <v>4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1030</v>
      </c>
      <c r="B18">
        <v>1030</v>
      </c>
      <c r="C18">
        <v>103</v>
      </c>
      <c r="D18">
        <v>11</v>
      </c>
      <c r="E18">
        <v>1</v>
      </c>
      <c r="F18">
        <v>3</v>
      </c>
      <c r="G18">
        <v>15</v>
      </c>
      <c r="H18" t="b">
        <v>1</v>
      </c>
      <c r="I18">
        <v>5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2010</v>
      </c>
      <c r="B19">
        <v>2010</v>
      </c>
      <c r="C19">
        <v>201</v>
      </c>
      <c r="D19">
        <v>2</v>
      </c>
      <c r="E19">
        <v>1</v>
      </c>
      <c r="F19">
        <v>3</v>
      </c>
      <c r="G19">
        <v>18</v>
      </c>
      <c r="H19" t="b">
        <v>1</v>
      </c>
      <c r="I19">
        <v>1</v>
      </c>
      <c r="J19">
        <v>30</v>
      </c>
      <c r="K19">
        <v>0</v>
      </c>
      <c r="L19">
        <v>0</v>
      </c>
      <c r="M19">
        <v>2020</v>
      </c>
      <c r="N19">
        <v>2020</v>
      </c>
      <c r="O19">
        <v>2020</v>
      </c>
      <c r="P19" s="1" t="s">
        <v>22</v>
      </c>
      <c r="Q19" t="s">
        <v>23</v>
      </c>
      <c r="R19">
        <v>20020</v>
      </c>
      <c r="S19" t="s">
        <v>31</v>
      </c>
    </row>
    <row r="20" spans="1:19">
      <c r="A20">
        <v>2011</v>
      </c>
      <c r="B20">
        <v>2010</v>
      </c>
      <c r="C20">
        <v>201</v>
      </c>
      <c r="D20">
        <v>2</v>
      </c>
      <c r="E20">
        <v>0</v>
      </c>
      <c r="F20">
        <v>3</v>
      </c>
      <c r="G20">
        <v>19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0</v>
      </c>
      <c r="S20" t="s">
        <v>31</v>
      </c>
    </row>
    <row r="21" spans="1:19">
      <c r="A21">
        <v>2012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20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2"/>
  <sheetViews>
    <sheetView tabSelected="1" topLeftCell="A115" workbookViewId="0">
      <selection activeCell="F134" sqref="F13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1200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1200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1200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5020</v>
      </c>
      <c r="G77" t="str">
        <f>INDEX(Define!E:E,MATCH(F77,Define!D:D))</f>
        <v>強制ボス戦闘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8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7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83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3</v>
      </c>
      <c r="D80">
        <v>3010</v>
      </c>
      <c r="F80">
        <v>0</v>
      </c>
      <c r="H80">
        <v>83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7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4</v>
      </c>
      <c r="C82">
        <v>8</v>
      </c>
      <c r="D82">
        <v>3010</v>
      </c>
      <c r="F82">
        <v>1010</v>
      </c>
      <c r="G82" t="str">
        <f>INDEX(Define!E:E,MATCH(F82,Define!D:D))</f>
        <v>Adv再生</v>
      </c>
      <c r="H82">
        <v>100</v>
      </c>
      <c r="I82">
        <v>0</v>
      </c>
      <c r="J82">
        <v>0</v>
      </c>
      <c r="K82" t="b">
        <v>1</v>
      </c>
    </row>
    <row r="83" spans="1:11">
      <c r="A83">
        <v>42</v>
      </c>
      <c r="B83">
        <v>4</v>
      </c>
      <c r="C83">
        <v>8</v>
      </c>
      <c r="D83">
        <v>3010</v>
      </c>
      <c r="F83">
        <v>5010</v>
      </c>
      <c r="G83" t="str">
        <f>INDEX(Define!E:E,MATCH(F83,Define!D:D))</f>
        <v>強制戦闘</v>
      </c>
      <c r="H83">
        <v>3030</v>
      </c>
      <c r="I83">
        <v>0</v>
      </c>
      <c r="J83">
        <v>0</v>
      </c>
      <c r="K83" t="b">
        <v>1</v>
      </c>
    </row>
    <row r="84" spans="1:11">
      <c r="A84">
        <v>42</v>
      </c>
      <c r="B84">
        <v>12</v>
      </c>
      <c r="C84">
        <v>8</v>
      </c>
      <c r="D84">
        <v>3010</v>
      </c>
      <c r="F84">
        <v>1010</v>
      </c>
      <c r="G84" t="str">
        <f>INDEX(Define!E:E,MATCH(F84,Define!D:D))</f>
        <v>Adv再生</v>
      </c>
      <c r="H84">
        <v>100</v>
      </c>
      <c r="I84">
        <v>0</v>
      </c>
      <c r="J84">
        <v>0</v>
      </c>
      <c r="K84" t="b">
        <v>1</v>
      </c>
    </row>
    <row r="85" spans="1:11">
      <c r="A85">
        <v>42</v>
      </c>
      <c r="B85">
        <v>12</v>
      </c>
      <c r="C85">
        <v>8</v>
      </c>
      <c r="D85">
        <v>3010</v>
      </c>
      <c r="F85">
        <v>5010</v>
      </c>
      <c r="G85" t="str">
        <f>INDEX(Define!E:E,MATCH(F85,Define!D:D))</f>
        <v>強制戦闘</v>
      </c>
      <c r="H85">
        <v>3040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10</v>
      </c>
      <c r="D86">
        <v>3010</v>
      </c>
      <c r="F86">
        <v>1010</v>
      </c>
      <c r="G86" t="str">
        <f>INDEX(Define!E:E,MATCH(F86,Define!D:D))</f>
        <v>Adv再生</v>
      </c>
      <c r="H86">
        <v>1050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10</v>
      </c>
      <c r="D87">
        <v>3010</v>
      </c>
      <c r="F87">
        <v>6020</v>
      </c>
      <c r="G87" t="str">
        <f>INDEX(Define!E:E,MATCH(F87,Define!D:D))</f>
        <v>同フロアの強制戦闘が終わってたらイベントマスを消す</v>
      </c>
      <c r="H87">
        <v>89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9</v>
      </c>
      <c r="D88">
        <v>3010</v>
      </c>
      <c r="F88">
        <v>0</v>
      </c>
      <c r="H88">
        <v>89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9010</v>
      </c>
      <c r="G89" t="str">
        <f>INDEX(Define!E:E,MATCH(F89,Define!D:D))</f>
        <v>イベント終了明示</v>
      </c>
      <c r="H89">
        <v>0</v>
      </c>
      <c r="I89">
        <v>0</v>
      </c>
      <c r="J89">
        <v>0</v>
      </c>
      <c r="K89" t="b">
        <v>0</v>
      </c>
    </row>
    <row r="90" spans="1:11">
      <c r="A90">
        <v>50</v>
      </c>
      <c r="B90">
        <v>9</v>
      </c>
      <c r="C90">
        <v>10</v>
      </c>
      <c r="D90">
        <v>3010</v>
      </c>
      <c r="F90">
        <v>2010</v>
      </c>
      <c r="G90" t="str">
        <f>INDEX(Define!E:E,MATCH(F90,Define!D:D))</f>
        <v>ダンジョンから出る</v>
      </c>
      <c r="H90">
        <v>0</v>
      </c>
      <c r="I90">
        <v>0</v>
      </c>
      <c r="J90">
        <v>0</v>
      </c>
      <c r="K90" t="b">
        <v>0</v>
      </c>
    </row>
    <row r="91" spans="1:11">
      <c r="A91">
        <v>50</v>
      </c>
      <c r="B91">
        <v>2</v>
      </c>
      <c r="C91">
        <v>1</v>
      </c>
      <c r="D91">
        <v>3010</v>
      </c>
      <c r="F91">
        <v>2020</v>
      </c>
      <c r="G91" t="str">
        <f>INDEX(Define!E:E,MATCH(F91,Define!D:D))</f>
        <v>ダンジョン移動</v>
      </c>
      <c r="H91">
        <v>51</v>
      </c>
      <c r="I91">
        <v>1</v>
      </c>
      <c r="J91">
        <v>12</v>
      </c>
      <c r="K91" t="b">
        <v>0</v>
      </c>
    </row>
    <row r="92" spans="1:11">
      <c r="A92">
        <v>50</v>
      </c>
      <c r="B92">
        <v>5</v>
      </c>
      <c r="C92">
        <v>2</v>
      </c>
      <c r="D92">
        <v>3010</v>
      </c>
      <c r="F92">
        <v>3020</v>
      </c>
      <c r="G92" t="str">
        <f>INDEX(Define!E:E,MATCH(F92,Define!D:D))</f>
        <v>アイテム取得</v>
      </c>
      <c r="H92">
        <v>1200</v>
      </c>
      <c r="I92">
        <v>0</v>
      </c>
      <c r="J92">
        <v>0</v>
      </c>
      <c r="K92" t="b">
        <v>1</v>
      </c>
    </row>
    <row r="93" spans="1:11">
      <c r="A93">
        <v>50</v>
      </c>
      <c r="B93">
        <v>9</v>
      </c>
      <c r="C93">
        <v>3</v>
      </c>
      <c r="D93">
        <v>3010</v>
      </c>
      <c r="F93">
        <v>3020</v>
      </c>
      <c r="G93" t="str">
        <f>INDEX(Define!E:E,MATCH(F93,Define!D:D))</f>
        <v>アイテム取得</v>
      </c>
      <c r="H93">
        <v>1000</v>
      </c>
      <c r="I93">
        <v>0</v>
      </c>
      <c r="J93">
        <v>0</v>
      </c>
      <c r="K93" t="b">
        <v>1</v>
      </c>
    </row>
    <row r="94" spans="1:11">
      <c r="A94">
        <v>51</v>
      </c>
      <c r="B94">
        <v>1</v>
      </c>
      <c r="C94">
        <v>12</v>
      </c>
      <c r="D94">
        <v>3010</v>
      </c>
      <c r="F94">
        <v>2020</v>
      </c>
      <c r="G94" t="str">
        <f>INDEX(Define!E:E,MATCH(F94,Define!D:D))</f>
        <v>ダンジョン移動</v>
      </c>
      <c r="H94">
        <v>50</v>
      </c>
      <c r="I94">
        <v>2</v>
      </c>
      <c r="J94">
        <v>1</v>
      </c>
      <c r="K94" t="b">
        <v>0</v>
      </c>
    </row>
    <row r="95" spans="1:11">
      <c r="A95">
        <v>51</v>
      </c>
      <c r="B95">
        <v>2</v>
      </c>
      <c r="C95">
        <v>1</v>
      </c>
      <c r="D95">
        <v>3010</v>
      </c>
      <c r="F95">
        <v>2020</v>
      </c>
      <c r="G95" t="str">
        <f>INDEX(Define!E:E,MATCH(F95,Define!D:D))</f>
        <v>ダンジョン移動</v>
      </c>
      <c r="H95">
        <v>52</v>
      </c>
      <c r="I95">
        <v>2</v>
      </c>
      <c r="J95">
        <v>1</v>
      </c>
      <c r="K95" t="b">
        <v>0</v>
      </c>
    </row>
    <row r="96" spans="1:11">
      <c r="A96">
        <v>51</v>
      </c>
      <c r="B96">
        <v>2</v>
      </c>
      <c r="C96">
        <v>6</v>
      </c>
      <c r="D96">
        <v>3010</v>
      </c>
      <c r="F96">
        <v>3020</v>
      </c>
      <c r="G96" t="str">
        <f>INDEX(Define!E:E,MATCH(F96,Define!D:D))</f>
        <v>アイテム取得</v>
      </c>
      <c r="H96">
        <v>1100</v>
      </c>
      <c r="I96">
        <v>0</v>
      </c>
      <c r="J96">
        <v>0</v>
      </c>
      <c r="K96" t="b">
        <v>1</v>
      </c>
    </row>
    <row r="97" spans="1:11">
      <c r="A97">
        <v>51</v>
      </c>
      <c r="B97">
        <v>13</v>
      </c>
      <c r="C97">
        <v>9</v>
      </c>
      <c r="D97">
        <v>3010</v>
      </c>
      <c r="F97">
        <v>3010</v>
      </c>
      <c r="G97" t="str">
        <f>INDEX(Define!E:E,MATCH(F97,Define!D:D))</f>
        <v>アーティファクト取得</v>
      </c>
      <c r="H97">
        <v>2050</v>
      </c>
      <c r="I97">
        <v>0</v>
      </c>
      <c r="J97">
        <v>0</v>
      </c>
      <c r="K97" t="b">
        <v>1</v>
      </c>
    </row>
    <row r="98" spans="1:11">
      <c r="A98">
        <v>51</v>
      </c>
      <c r="B98">
        <v>15</v>
      </c>
      <c r="C98">
        <v>5</v>
      </c>
      <c r="D98">
        <v>3010</v>
      </c>
      <c r="F98">
        <v>1010</v>
      </c>
      <c r="G98" t="str">
        <f>INDEX(Define!E:E,MATCH(F98,Define!D:D))</f>
        <v>Adv再生</v>
      </c>
      <c r="H98">
        <v>140</v>
      </c>
      <c r="I98">
        <v>0</v>
      </c>
      <c r="J98">
        <v>0</v>
      </c>
      <c r="K98" t="b">
        <v>1</v>
      </c>
    </row>
    <row r="99" spans="1:11">
      <c r="A99">
        <v>51</v>
      </c>
      <c r="B99">
        <v>15</v>
      </c>
      <c r="C99">
        <v>5</v>
      </c>
      <c r="D99">
        <v>3010</v>
      </c>
      <c r="F99">
        <v>6010</v>
      </c>
      <c r="G99" t="str">
        <f>INDEX(Define!E:E,MATCH(F99,Define!D:D))</f>
        <v>指定のイベントマスを消す</v>
      </c>
      <c r="H99">
        <v>106</v>
      </c>
      <c r="I99">
        <v>0</v>
      </c>
      <c r="J99">
        <v>0</v>
      </c>
      <c r="K99" t="b">
        <v>1</v>
      </c>
    </row>
    <row r="100" spans="1:11">
      <c r="A100">
        <v>51</v>
      </c>
      <c r="B100">
        <v>10</v>
      </c>
      <c r="C100">
        <v>6</v>
      </c>
      <c r="D100">
        <v>3010</v>
      </c>
      <c r="F100">
        <v>0</v>
      </c>
      <c r="H100">
        <v>106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15</v>
      </c>
      <c r="C101">
        <v>5</v>
      </c>
      <c r="D101">
        <v>3010</v>
      </c>
      <c r="F101">
        <v>9010</v>
      </c>
      <c r="G101" t="str">
        <f>INDEX(Define!E:E,MATCH(F101,Define!D:D))</f>
        <v>イベント終了明示</v>
      </c>
      <c r="H101">
        <v>0</v>
      </c>
      <c r="I101">
        <v>0</v>
      </c>
      <c r="J101">
        <v>0</v>
      </c>
      <c r="K101" t="b">
        <v>0</v>
      </c>
    </row>
    <row r="102" spans="1:11">
      <c r="A102">
        <v>51</v>
      </c>
      <c r="B102">
        <v>12</v>
      </c>
      <c r="C102">
        <v>9</v>
      </c>
      <c r="D102">
        <v>3010</v>
      </c>
      <c r="F102">
        <v>7010</v>
      </c>
      <c r="G102" t="str">
        <f>INDEX(Define!E:E,MATCH(F102,Define!D:D))</f>
        <v>ダメージ床</v>
      </c>
      <c r="H102">
        <v>20</v>
      </c>
      <c r="I102">
        <v>0</v>
      </c>
      <c r="J102">
        <v>0</v>
      </c>
      <c r="K102" t="b">
        <v>0</v>
      </c>
    </row>
    <row r="103" spans="1:11">
      <c r="A103">
        <v>51</v>
      </c>
      <c r="B103">
        <v>14</v>
      </c>
      <c r="C103">
        <v>5</v>
      </c>
      <c r="D103">
        <v>3010</v>
      </c>
      <c r="F103">
        <v>5010</v>
      </c>
      <c r="G103" t="str">
        <f>INDEX(Define!E:E,MATCH(F103,Define!D:D))</f>
        <v>強制戦闘</v>
      </c>
      <c r="H103">
        <v>-1</v>
      </c>
      <c r="I103">
        <v>40020</v>
      </c>
      <c r="J103">
        <v>0</v>
      </c>
      <c r="K103" t="b">
        <v>1</v>
      </c>
    </row>
    <row r="104" spans="1:11">
      <c r="A104">
        <v>52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2</v>
      </c>
      <c r="J104">
        <v>1</v>
      </c>
      <c r="K104" t="b">
        <v>0</v>
      </c>
    </row>
    <row r="105" spans="1:11">
      <c r="A105">
        <v>52</v>
      </c>
      <c r="B105">
        <v>15</v>
      </c>
      <c r="C105">
        <v>5</v>
      </c>
      <c r="D105">
        <v>3010</v>
      </c>
      <c r="F105">
        <v>2020</v>
      </c>
      <c r="G105" t="str">
        <f>INDEX(Define!E:E,MATCH(F105,Define!D:D))</f>
        <v>ダンジョン移動</v>
      </c>
      <c r="H105">
        <v>53</v>
      </c>
      <c r="I105">
        <v>15</v>
      </c>
      <c r="J105">
        <v>11</v>
      </c>
      <c r="K105" t="b">
        <v>0</v>
      </c>
    </row>
    <row r="106" spans="1:11">
      <c r="A106">
        <v>52</v>
      </c>
      <c r="B106">
        <v>5</v>
      </c>
      <c r="C106">
        <v>9</v>
      </c>
      <c r="D106">
        <v>3010</v>
      </c>
      <c r="F106">
        <v>7010</v>
      </c>
      <c r="G106" t="str">
        <f>INDEX(Define!E:E,MATCH(F106,Define!D:D))</f>
        <v>ダメージ床</v>
      </c>
      <c r="H106">
        <v>20</v>
      </c>
      <c r="I106">
        <v>0</v>
      </c>
      <c r="J106">
        <v>0</v>
      </c>
      <c r="K106" t="b">
        <v>0</v>
      </c>
    </row>
    <row r="107" spans="1:11">
      <c r="A107">
        <v>52</v>
      </c>
      <c r="B107">
        <v>8</v>
      </c>
      <c r="C107">
        <v>10</v>
      </c>
      <c r="D107">
        <v>3010</v>
      </c>
      <c r="F107">
        <v>7010</v>
      </c>
      <c r="G107" t="str">
        <f>INDEX(Define!E:E,MATCH(F107,Define!D:D))</f>
        <v>ダメージ床</v>
      </c>
      <c r="H107">
        <v>20</v>
      </c>
      <c r="I107">
        <v>0</v>
      </c>
      <c r="J107">
        <v>0</v>
      </c>
      <c r="K107" t="b">
        <v>0</v>
      </c>
    </row>
    <row r="108" spans="1:11">
      <c r="A108">
        <v>52</v>
      </c>
      <c r="B108">
        <v>7</v>
      </c>
      <c r="C108">
        <v>5</v>
      </c>
      <c r="D108">
        <v>3010</v>
      </c>
      <c r="F108">
        <v>5010</v>
      </c>
      <c r="G108" t="str">
        <f>INDEX(Define!E:E,MATCH(F108,Define!D:D))</f>
        <v>強制戦闘</v>
      </c>
      <c r="H108">
        <v>-1</v>
      </c>
      <c r="I108">
        <v>40020</v>
      </c>
      <c r="J108">
        <v>0</v>
      </c>
      <c r="K108" t="b">
        <v>1</v>
      </c>
    </row>
    <row r="109" spans="1:11">
      <c r="A109">
        <v>52</v>
      </c>
      <c r="B109">
        <v>9</v>
      </c>
      <c r="C109">
        <v>5</v>
      </c>
      <c r="D109">
        <v>3010</v>
      </c>
      <c r="F109">
        <v>5010</v>
      </c>
      <c r="G109" t="str">
        <f>INDEX(Define!E:E,MATCH(F109,Define!D:D))</f>
        <v>強制戦闘</v>
      </c>
      <c r="H109">
        <v>-1</v>
      </c>
      <c r="I109">
        <v>40020</v>
      </c>
      <c r="J109">
        <v>0</v>
      </c>
      <c r="K109" t="b">
        <v>1</v>
      </c>
    </row>
    <row r="110" spans="1:11">
      <c r="A110">
        <v>52</v>
      </c>
      <c r="B110">
        <v>5</v>
      </c>
      <c r="C110">
        <v>5</v>
      </c>
      <c r="D110">
        <v>3010</v>
      </c>
      <c r="F110">
        <v>1010</v>
      </c>
      <c r="G110" t="str">
        <f>INDEX(Define!E:E,MATCH(F110,Define!D:D))</f>
        <v>Adv再生</v>
      </c>
      <c r="H110">
        <v>1060</v>
      </c>
      <c r="I110">
        <v>0</v>
      </c>
      <c r="J110">
        <v>0</v>
      </c>
      <c r="K110" t="b">
        <v>1</v>
      </c>
    </row>
    <row r="111" spans="1:11">
      <c r="A111">
        <v>52</v>
      </c>
      <c r="B111">
        <v>5</v>
      </c>
      <c r="C111">
        <v>5</v>
      </c>
      <c r="D111">
        <v>3010</v>
      </c>
      <c r="F111">
        <v>9010</v>
      </c>
      <c r="G111" t="str">
        <f>INDEX(Define!E:E,MATCH(F111,Define!D:D))</f>
        <v>イベント終了明示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53</v>
      </c>
      <c r="B112">
        <v>15</v>
      </c>
      <c r="C112">
        <v>11</v>
      </c>
      <c r="D112">
        <v>3010</v>
      </c>
      <c r="F112">
        <v>2020</v>
      </c>
      <c r="G112" t="str">
        <f>INDEX(Define!E:E,MATCH(F112,Define!D:D))</f>
        <v>ダンジョン移動</v>
      </c>
      <c r="H112">
        <v>52</v>
      </c>
      <c r="I112">
        <v>15</v>
      </c>
      <c r="J112">
        <v>5</v>
      </c>
      <c r="K112" t="b">
        <v>0</v>
      </c>
    </row>
    <row r="113" spans="1:11">
      <c r="A113">
        <v>53</v>
      </c>
      <c r="B113">
        <v>8</v>
      </c>
      <c r="C113">
        <v>5</v>
      </c>
      <c r="D113">
        <v>3010</v>
      </c>
      <c r="F113">
        <v>2020</v>
      </c>
      <c r="G113" t="str">
        <f>INDEX(Define!E:E,MATCH(F113,Define!D:D))</f>
        <v>ダンジョン移動</v>
      </c>
      <c r="H113">
        <v>54</v>
      </c>
      <c r="I113">
        <v>8</v>
      </c>
      <c r="J113">
        <v>5</v>
      </c>
      <c r="K113" t="b">
        <v>0</v>
      </c>
    </row>
    <row r="114" spans="1:11">
      <c r="A114">
        <v>53</v>
      </c>
      <c r="B114">
        <v>15</v>
      </c>
      <c r="C114">
        <v>3</v>
      </c>
      <c r="D114">
        <v>3010</v>
      </c>
      <c r="F114">
        <v>3020</v>
      </c>
      <c r="G114" t="str">
        <f>INDEX(Define!E:E,MATCH(F114,Define!D:D))</f>
        <v>アイテム取得</v>
      </c>
      <c r="H114">
        <v>1100</v>
      </c>
      <c r="I114">
        <v>0</v>
      </c>
      <c r="J114">
        <v>0</v>
      </c>
      <c r="K114" t="b">
        <v>1</v>
      </c>
    </row>
    <row r="115" spans="1:11">
      <c r="A115">
        <v>53</v>
      </c>
      <c r="B115">
        <v>14</v>
      </c>
      <c r="C115">
        <v>4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53</v>
      </c>
      <c r="B116">
        <v>15</v>
      </c>
      <c r="C116">
        <v>5</v>
      </c>
      <c r="D116">
        <v>3010</v>
      </c>
      <c r="F116">
        <v>7010</v>
      </c>
      <c r="G116" t="str">
        <f>INDEX(Define!E:E,MATCH(F116,Define!D:D))</f>
        <v>ダメージ床</v>
      </c>
      <c r="H116">
        <v>20</v>
      </c>
      <c r="I116">
        <v>0</v>
      </c>
      <c r="J116">
        <v>0</v>
      </c>
      <c r="K116" t="b">
        <v>0</v>
      </c>
    </row>
    <row r="117" spans="1:11">
      <c r="A117">
        <v>53</v>
      </c>
      <c r="B117">
        <v>13</v>
      </c>
      <c r="C117">
        <v>6</v>
      </c>
      <c r="D117">
        <v>3010</v>
      </c>
      <c r="F117">
        <v>7010</v>
      </c>
      <c r="G117" t="str">
        <f>INDEX(Define!E:E,MATCH(F117,Define!D:D))</f>
        <v>ダメージ床</v>
      </c>
      <c r="H117">
        <v>20</v>
      </c>
      <c r="I117">
        <v>0</v>
      </c>
      <c r="J117">
        <v>0</v>
      </c>
      <c r="K117" t="b">
        <v>0</v>
      </c>
    </row>
    <row r="118" spans="1:11">
      <c r="A118">
        <v>53</v>
      </c>
      <c r="B118">
        <v>14</v>
      </c>
      <c r="C118">
        <v>7</v>
      </c>
      <c r="D118">
        <v>3010</v>
      </c>
      <c r="F118">
        <v>7010</v>
      </c>
      <c r="G118" t="str">
        <f>INDEX(Define!E:E,MATCH(F118,Define!D:D))</f>
        <v>ダメージ床</v>
      </c>
      <c r="H118">
        <v>20</v>
      </c>
      <c r="I118">
        <v>0</v>
      </c>
      <c r="J118">
        <v>0</v>
      </c>
      <c r="K118" t="b">
        <v>0</v>
      </c>
    </row>
    <row r="119" spans="1:11">
      <c r="A119">
        <v>53</v>
      </c>
      <c r="B119">
        <v>9</v>
      </c>
      <c r="C119">
        <v>3</v>
      </c>
      <c r="D119">
        <v>3010</v>
      </c>
      <c r="F119">
        <v>5020</v>
      </c>
      <c r="G119" t="str">
        <f>INDEX(Define!E:E,MATCH(F119,Define!D:D))</f>
        <v>強制ボス戦闘</v>
      </c>
      <c r="H119">
        <v>4010</v>
      </c>
      <c r="I119">
        <v>0</v>
      </c>
      <c r="J119">
        <v>0</v>
      </c>
      <c r="K119" t="b">
        <v>1</v>
      </c>
    </row>
    <row r="120" spans="1:11">
      <c r="A120">
        <v>54</v>
      </c>
      <c r="B120">
        <v>8</v>
      </c>
      <c r="C120">
        <v>5</v>
      </c>
      <c r="D120">
        <v>3010</v>
      </c>
      <c r="F120">
        <v>2020</v>
      </c>
      <c r="G120" t="str">
        <f>INDEX(Define!E:E,MATCH(F120,Define!D:D))</f>
        <v>ダンジョン移動</v>
      </c>
      <c r="H120">
        <v>53</v>
      </c>
      <c r="I120">
        <v>8</v>
      </c>
      <c r="J120">
        <v>5</v>
      </c>
      <c r="K120" t="b">
        <v>0</v>
      </c>
    </row>
    <row r="121" spans="1:11">
      <c r="A121">
        <v>54</v>
      </c>
      <c r="B121">
        <v>6</v>
      </c>
      <c r="C121">
        <v>7</v>
      </c>
      <c r="D121">
        <v>3010</v>
      </c>
      <c r="F121">
        <v>3010</v>
      </c>
      <c r="G121" t="str">
        <f>INDEX(Define!E:E,MATCH(F121,Define!D:D))</f>
        <v>アーティファクト取得</v>
      </c>
      <c r="H121">
        <v>2130</v>
      </c>
      <c r="I121">
        <v>0</v>
      </c>
      <c r="J121">
        <v>0</v>
      </c>
      <c r="K121" t="b">
        <v>1</v>
      </c>
    </row>
    <row r="122" spans="1:11">
      <c r="A122">
        <v>54</v>
      </c>
      <c r="B122">
        <v>8</v>
      </c>
      <c r="C122">
        <v>9</v>
      </c>
      <c r="D122">
        <v>3010</v>
      </c>
      <c r="F122">
        <v>3020</v>
      </c>
      <c r="G122" t="str">
        <f>INDEX(Define!E:E,MATCH(F122,Define!D:D))</f>
        <v>アイテム取得</v>
      </c>
      <c r="H122">
        <v>1200</v>
      </c>
      <c r="I122">
        <v>0</v>
      </c>
      <c r="J122">
        <v>0</v>
      </c>
      <c r="K122" t="b">
        <v>1</v>
      </c>
    </row>
    <row r="123" spans="1:11">
      <c r="A123">
        <v>54</v>
      </c>
      <c r="B123">
        <v>10</v>
      </c>
      <c r="C123">
        <v>7</v>
      </c>
      <c r="D123">
        <v>3010</v>
      </c>
      <c r="F123">
        <v>3010</v>
      </c>
      <c r="G123" t="str">
        <f>INDEX(Define!E:E,MATCH(F123,Define!D:D))</f>
        <v>アーティファクト取得</v>
      </c>
      <c r="H123">
        <v>2130</v>
      </c>
      <c r="I123">
        <v>0</v>
      </c>
      <c r="J123">
        <v>0</v>
      </c>
      <c r="K123" t="b">
        <v>1</v>
      </c>
    </row>
    <row r="124" spans="1:11">
      <c r="A124">
        <v>1010</v>
      </c>
      <c r="B124">
        <v>13</v>
      </c>
      <c r="C124">
        <v>13</v>
      </c>
      <c r="D124">
        <v>3010</v>
      </c>
      <c r="F124">
        <v>2010</v>
      </c>
      <c r="G124" t="str">
        <f>INDEX(Define!E:E,MATCH(F124,Define!D:D))</f>
        <v>ダンジョンから出る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1010</v>
      </c>
      <c r="B125">
        <v>10</v>
      </c>
      <c r="C125">
        <v>4</v>
      </c>
      <c r="D125">
        <v>3010</v>
      </c>
      <c r="F125">
        <v>3030</v>
      </c>
      <c r="G125" t="str">
        <f>INDEX(Define!E:E,MATCH(F125,Define!D:D))</f>
        <v>魔法入手</v>
      </c>
      <c r="H125">
        <v>30010</v>
      </c>
      <c r="I125">
        <v>0</v>
      </c>
      <c r="J125">
        <v>0</v>
      </c>
      <c r="K125" t="b">
        <v>1</v>
      </c>
    </row>
    <row r="126" spans="1:11">
      <c r="A126">
        <v>1020</v>
      </c>
      <c r="B126">
        <v>7</v>
      </c>
      <c r="C126">
        <v>8</v>
      </c>
      <c r="D126">
        <v>3010</v>
      </c>
      <c r="F126">
        <v>2010</v>
      </c>
      <c r="G126" t="str">
        <f>INDEX(Define!E:E,MATCH(F126,Define!D:D))</f>
        <v>ダンジョンから出る</v>
      </c>
      <c r="H126">
        <v>0</v>
      </c>
      <c r="I126">
        <v>0</v>
      </c>
      <c r="J126">
        <v>0</v>
      </c>
      <c r="K126" t="b">
        <v>0</v>
      </c>
    </row>
    <row r="127" spans="1:11">
      <c r="A127">
        <v>1020</v>
      </c>
      <c r="B127">
        <v>12</v>
      </c>
      <c r="C127">
        <v>12</v>
      </c>
      <c r="D127">
        <v>3010</v>
      </c>
      <c r="F127">
        <v>3030</v>
      </c>
      <c r="G127" t="str">
        <f>INDEX(Define!E:E,MATCH(F127,Define!D:D))</f>
        <v>魔法入手</v>
      </c>
      <c r="H127">
        <v>30020</v>
      </c>
      <c r="I127">
        <v>0</v>
      </c>
      <c r="J127">
        <v>0</v>
      </c>
      <c r="K127" t="b">
        <v>1</v>
      </c>
    </row>
    <row r="128" spans="1:11">
      <c r="A128">
        <v>1020</v>
      </c>
      <c r="B128">
        <v>2</v>
      </c>
      <c r="C128">
        <v>1</v>
      </c>
      <c r="D128">
        <v>3010</v>
      </c>
      <c r="F128">
        <v>3020</v>
      </c>
      <c r="G128" t="str">
        <f>INDEX(Define!E:E,MATCH(F128,Define!D:D))</f>
        <v>アイテム取得</v>
      </c>
      <c r="H128">
        <v>1110</v>
      </c>
      <c r="I128">
        <v>0</v>
      </c>
      <c r="J128">
        <v>0</v>
      </c>
      <c r="K128" t="b">
        <v>1</v>
      </c>
    </row>
    <row r="129" spans="1:11">
      <c r="A129">
        <v>1020</v>
      </c>
      <c r="B129">
        <v>9</v>
      </c>
      <c r="C129">
        <v>4</v>
      </c>
      <c r="D129">
        <v>3010</v>
      </c>
      <c r="F129">
        <v>3020</v>
      </c>
      <c r="G129" t="str">
        <f>INDEX(Define!E:E,MATCH(F129,Define!D:D))</f>
        <v>アイテム取得</v>
      </c>
      <c r="H129">
        <v>1120</v>
      </c>
      <c r="I129">
        <v>0</v>
      </c>
      <c r="J129">
        <v>0</v>
      </c>
      <c r="K129" t="b">
        <v>1</v>
      </c>
    </row>
    <row r="130" spans="1:11">
      <c r="A130">
        <v>1020</v>
      </c>
      <c r="B130">
        <v>10</v>
      </c>
      <c r="C130">
        <v>12</v>
      </c>
      <c r="D130">
        <v>3010</v>
      </c>
      <c r="F130">
        <v>3020</v>
      </c>
      <c r="G130" t="str">
        <f>INDEX(Define!E:E,MATCH(F130,Define!D:D))</f>
        <v>アイテム取得</v>
      </c>
      <c r="H130">
        <v>1130</v>
      </c>
      <c r="I130">
        <v>0</v>
      </c>
      <c r="J130">
        <v>0</v>
      </c>
      <c r="K130" t="b">
        <v>1</v>
      </c>
    </row>
    <row r="131" spans="1:11">
      <c r="A131">
        <v>1030</v>
      </c>
      <c r="B131">
        <v>1</v>
      </c>
      <c r="C131">
        <v>13</v>
      </c>
      <c r="D131">
        <v>3010</v>
      </c>
      <c r="F131">
        <v>2010</v>
      </c>
      <c r="G131" t="str">
        <f>INDEX(Define!E:E,MATCH(F131,Define!D:D))</f>
        <v>ダンジョンから出る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1030</v>
      </c>
      <c r="B132">
        <v>9</v>
      </c>
      <c r="C132">
        <v>11</v>
      </c>
      <c r="D132">
        <v>3010</v>
      </c>
      <c r="F132">
        <v>3020</v>
      </c>
      <c r="G132" t="str">
        <f>INDEX(Define!E:E,MATCH(F132,Define!D:D))</f>
        <v>アイテム取得</v>
      </c>
      <c r="H132">
        <v>1140</v>
      </c>
      <c r="I132">
        <v>0</v>
      </c>
      <c r="J132">
        <v>0</v>
      </c>
      <c r="K132" t="b">
        <v>1</v>
      </c>
    </row>
    <row r="133" spans="1:11">
      <c r="A133">
        <v>1030</v>
      </c>
      <c r="B133">
        <v>10</v>
      </c>
      <c r="C133">
        <v>11</v>
      </c>
      <c r="D133">
        <v>3010</v>
      </c>
      <c r="F133">
        <v>3020</v>
      </c>
      <c r="G133" t="str">
        <f>INDEX(Define!E:E,MATCH(F133,Define!D:D))</f>
        <v>アイテム取得</v>
      </c>
      <c r="H133">
        <v>1150</v>
      </c>
      <c r="I133">
        <v>0</v>
      </c>
      <c r="J133">
        <v>0</v>
      </c>
      <c r="K133" t="b">
        <v>1</v>
      </c>
    </row>
    <row r="134" spans="1:11">
      <c r="A134">
        <v>1030</v>
      </c>
      <c r="B134">
        <v>7</v>
      </c>
      <c r="C134">
        <v>8</v>
      </c>
      <c r="D134">
        <v>3010</v>
      </c>
      <c r="F134">
        <v>3030</v>
      </c>
      <c r="G134" t="str">
        <f>INDEX(Define!E:E,MATCH(F134,Define!D:D))</f>
        <v>魔法入手</v>
      </c>
      <c r="H134">
        <v>30030</v>
      </c>
      <c r="I134">
        <v>0</v>
      </c>
      <c r="J134">
        <v>0</v>
      </c>
      <c r="K134" t="b">
        <v>1</v>
      </c>
    </row>
    <row r="135" spans="1:11">
      <c r="A135">
        <v>2010</v>
      </c>
      <c r="B135">
        <v>7</v>
      </c>
      <c r="C135">
        <v>1</v>
      </c>
      <c r="D135">
        <v>3010</v>
      </c>
      <c r="F135">
        <v>2020</v>
      </c>
      <c r="G135" t="str">
        <f>INDEX(Define!E:E,MATCH(F135,Define!D:D))</f>
        <v>ダンジョン移動</v>
      </c>
      <c r="H135">
        <v>2011</v>
      </c>
      <c r="I135">
        <v>7</v>
      </c>
      <c r="J135">
        <v>13</v>
      </c>
      <c r="K135" t="b">
        <v>0</v>
      </c>
    </row>
    <row r="136" spans="1:11">
      <c r="A136">
        <v>2010</v>
      </c>
      <c r="B136">
        <v>7</v>
      </c>
      <c r="C136">
        <v>10</v>
      </c>
      <c r="D136">
        <v>3010</v>
      </c>
      <c r="F136">
        <v>5010</v>
      </c>
      <c r="G136" t="str">
        <f>INDEX(Define!E:E,MATCH(F136,Define!D:D))</f>
        <v>強制戦闘</v>
      </c>
      <c r="H136">
        <v>-1</v>
      </c>
      <c r="I136">
        <v>40020</v>
      </c>
      <c r="J136">
        <v>0</v>
      </c>
      <c r="K136" t="b">
        <v>1</v>
      </c>
    </row>
    <row r="137" spans="1:11">
      <c r="A137">
        <v>2010</v>
      </c>
      <c r="B137">
        <v>7</v>
      </c>
      <c r="C137">
        <v>6</v>
      </c>
      <c r="D137">
        <v>3010</v>
      </c>
      <c r="F137">
        <v>5010</v>
      </c>
      <c r="G137" t="str">
        <f>INDEX(Define!E:E,MATCH(F137,Define!D:D))</f>
        <v>強制戦闘</v>
      </c>
      <c r="H137">
        <v>-1</v>
      </c>
      <c r="I137">
        <v>40020</v>
      </c>
      <c r="J137">
        <v>0</v>
      </c>
      <c r="K137" t="b">
        <v>1</v>
      </c>
    </row>
    <row r="138" spans="1:11">
      <c r="A138">
        <v>2011</v>
      </c>
      <c r="B138">
        <v>7</v>
      </c>
      <c r="C138">
        <v>1</v>
      </c>
      <c r="D138">
        <v>3010</v>
      </c>
      <c r="F138">
        <v>2020</v>
      </c>
      <c r="G138" t="str">
        <f>INDEX(Define!E:E,MATCH(F138,Define!D:D))</f>
        <v>ダンジョン移動</v>
      </c>
      <c r="H138">
        <v>2012</v>
      </c>
      <c r="I138">
        <v>7</v>
      </c>
      <c r="J138">
        <v>13</v>
      </c>
      <c r="K138" t="b">
        <v>0</v>
      </c>
    </row>
    <row r="139" spans="1:11">
      <c r="A139">
        <v>2011</v>
      </c>
      <c r="B139">
        <v>7</v>
      </c>
      <c r="C139">
        <v>10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0</v>
      </c>
      <c r="K139" t="b">
        <v>1</v>
      </c>
    </row>
    <row r="140" spans="1:11">
      <c r="A140">
        <v>2011</v>
      </c>
      <c r="B140">
        <v>7</v>
      </c>
      <c r="C140">
        <v>6</v>
      </c>
      <c r="D140">
        <v>3010</v>
      </c>
      <c r="F140">
        <v>5010</v>
      </c>
      <c r="G140" t="str">
        <f>INDEX(Define!E:E,MATCH(F140,Define!D:D))</f>
        <v>強制戦闘</v>
      </c>
      <c r="H140">
        <v>20010</v>
      </c>
      <c r="I140">
        <v>40020</v>
      </c>
      <c r="J140">
        <v>0</v>
      </c>
      <c r="K140" t="b">
        <v>1</v>
      </c>
    </row>
    <row r="141" spans="1:11">
      <c r="A141">
        <v>2012</v>
      </c>
      <c r="B141">
        <v>7</v>
      </c>
      <c r="C141">
        <v>8</v>
      </c>
      <c r="D141">
        <v>3010</v>
      </c>
      <c r="F141">
        <v>5020</v>
      </c>
      <c r="G141" t="str">
        <f>INDEX(Define!E:E,MATCH(F141,Define!D:D))</f>
        <v>強制ボス戦闘</v>
      </c>
      <c r="H141">
        <v>20020</v>
      </c>
      <c r="I141">
        <v>40010</v>
      </c>
      <c r="J141">
        <v>0</v>
      </c>
      <c r="K141" t="b">
        <v>1</v>
      </c>
    </row>
    <row r="142" spans="1:11">
      <c r="A142">
        <v>2012</v>
      </c>
      <c r="B142">
        <v>7</v>
      </c>
      <c r="C142">
        <v>4</v>
      </c>
      <c r="D142">
        <v>3010</v>
      </c>
      <c r="F142">
        <v>2010</v>
      </c>
      <c r="G142" t="str">
        <f>INDEX(Define!E:E,MATCH(F142,Define!D:D))</f>
        <v>ダンジョンから出る</v>
      </c>
      <c r="H142">
        <v>0</v>
      </c>
      <c r="I142">
        <v>0</v>
      </c>
      <c r="J142">
        <v>0</v>
      </c>
      <c r="K142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31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topLeftCell="A4" workbookViewId="0">
      <selection activeCell="A20" sqref="$A20:$XFD20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5" spans="1:4">
      <c r="A17">
        <v>1010</v>
      </c>
      <c r="B17" s="1" t="s">
        <v>70</v>
      </c>
      <c r="C17" s="4" t="s">
        <v>71</v>
      </c>
      <c r="D17" s="3"/>
    </row>
    <row r="18" ht="25" spans="1:4">
      <c r="A18">
        <v>1020</v>
      </c>
      <c r="B18" s="1" t="s">
        <v>70</v>
      </c>
      <c r="C18" s="4" t="s">
        <v>71</v>
      </c>
      <c r="D18" s="3"/>
    </row>
    <row r="19" ht="25" spans="1:4">
      <c r="A19">
        <v>1030</v>
      </c>
      <c r="B19" s="1" t="s">
        <v>70</v>
      </c>
      <c r="C19" s="4" t="s">
        <v>71</v>
      </c>
      <c r="D19" s="3"/>
    </row>
    <row r="20" ht="25" spans="1:4">
      <c r="A20">
        <v>2010</v>
      </c>
      <c r="B20" s="1" t="s">
        <v>72</v>
      </c>
      <c r="C20" s="4" t="s">
        <v>73</v>
      </c>
      <c r="D20" s="3"/>
    </row>
    <row r="21" spans="1:4">
      <c r="A21">
        <v>10010</v>
      </c>
      <c r="B21" s="1" t="s">
        <v>74</v>
      </c>
      <c r="C21" s="4" t="s">
        <v>20</v>
      </c>
      <c r="D21" s="3"/>
    </row>
    <row r="22" spans="3:4">
      <c r="C22" s="3"/>
      <c r="D22" s="3"/>
    </row>
    <row r="23" spans="3:3">
      <c r="C23" s="3"/>
    </row>
    <row r="24" spans="3:3">
      <c r="C2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75</v>
      </c>
      <c r="K1" s="1" t="s">
        <v>76</v>
      </c>
      <c r="M1" s="1" t="s">
        <v>77</v>
      </c>
    </row>
    <row r="2" spans="1:14">
      <c r="A2">
        <v>0</v>
      </c>
      <c r="B2" t="s">
        <v>78</v>
      </c>
      <c r="D2">
        <v>0</v>
      </c>
      <c r="E2" t="s">
        <v>78</v>
      </c>
      <c r="I2">
        <v>-1</v>
      </c>
      <c r="J2" t="s">
        <v>79</v>
      </c>
      <c r="K2">
        <v>-1</v>
      </c>
      <c r="L2" t="s">
        <v>79</v>
      </c>
      <c r="M2">
        <v>0</v>
      </c>
      <c r="N2" s="1" t="s">
        <v>80</v>
      </c>
    </row>
    <row r="3" spans="1:15">
      <c r="A3">
        <v>110</v>
      </c>
      <c r="B3" t="s">
        <v>81</v>
      </c>
      <c r="D3">
        <v>1010</v>
      </c>
      <c r="E3" t="s">
        <v>82</v>
      </c>
      <c r="I3">
        <v>0</v>
      </c>
      <c r="J3" s="1" t="s">
        <v>83</v>
      </c>
      <c r="K3">
        <v>0</v>
      </c>
      <c r="L3" s="1" t="s">
        <v>83</v>
      </c>
      <c r="M3">
        <v>10</v>
      </c>
      <c r="N3" s="1" t="s">
        <v>84</v>
      </c>
      <c r="O3" s="1" t="s">
        <v>85</v>
      </c>
    </row>
    <row r="4" spans="1:15">
      <c r="A4">
        <v>210</v>
      </c>
      <c r="B4" t="s">
        <v>86</v>
      </c>
      <c r="D4">
        <v>2010</v>
      </c>
      <c r="E4" t="s">
        <v>87</v>
      </c>
      <c r="I4">
        <v>10</v>
      </c>
      <c r="J4" t="s">
        <v>88</v>
      </c>
      <c r="K4">
        <v>11</v>
      </c>
      <c r="L4" t="s">
        <v>89</v>
      </c>
      <c r="M4">
        <v>20</v>
      </c>
      <c r="N4" s="1" t="s">
        <v>90</v>
      </c>
      <c r="O4" s="1" t="s">
        <v>91</v>
      </c>
    </row>
    <row r="5" ht="39" spans="1:15">
      <c r="A5">
        <v>1010</v>
      </c>
      <c r="B5" s="1" t="s">
        <v>92</v>
      </c>
      <c r="D5">
        <v>2020</v>
      </c>
      <c r="E5" t="s">
        <v>93</v>
      </c>
      <c r="I5">
        <v>11</v>
      </c>
      <c r="J5" t="s">
        <v>89</v>
      </c>
      <c r="K5">
        <v>20</v>
      </c>
      <c r="L5" s="1" t="s">
        <v>94</v>
      </c>
      <c r="M5">
        <v>30</v>
      </c>
      <c r="N5" s="1" t="s">
        <v>95</v>
      </c>
      <c r="O5" s="2" t="s">
        <v>96</v>
      </c>
    </row>
    <row r="6" spans="1:15">
      <c r="A6">
        <v>3010</v>
      </c>
      <c r="B6" t="s">
        <v>97</v>
      </c>
      <c r="D6">
        <v>3010</v>
      </c>
      <c r="E6" t="s">
        <v>98</v>
      </c>
      <c r="I6">
        <v>20</v>
      </c>
      <c r="J6" t="s">
        <v>99</v>
      </c>
      <c r="K6">
        <v>30</v>
      </c>
      <c r="L6" s="1" t="s">
        <v>100</v>
      </c>
      <c r="M6">
        <v>40</v>
      </c>
      <c r="N6" s="1" t="s">
        <v>101</v>
      </c>
      <c r="O6" s="1" t="s">
        <v>102</v>
      </c>
    </row>
    <row r="7" spans="4:15">
      <c r="D7">
        <v>3020</v>
      </c>
      <c r="E7" t="s">
        <v>103</v>
      </c>
      <c r="I7">
        <v>30</v>
      </c>
      <c r="J7" t="s">
        <v>100</v>
      </c>
      <c r="K7">
        <v>40</v>
      </c>
      <c r="L7" s="1" t="s">
        <v>104</v>
      </c>
      <c r="M7">
        <v>50</v>
      </c>
      <c r="N7" s="1" t="s">
        <v>105</v>
      </c>
      <c r="O7" s="1" t="s">
        <v>106</v>
      </c>
    </row>
    <row r="8" ht="39" spans="4:15">
      <c r="D8">
        <v>3030</v>
      </c>
      <c r="E8" t="s">
        <v>107</v>
      </c>
      <c r="I8">
        <v>40</v>
      </c>
      <c r="J8" t="s">
        <v>108</v>
      </c>
      <c r="K8">
        <v>50</v>
      </c>
      <c r="L8" t="s">
        <v>109</v>
      </c>
      <c r="M8">
        <v>60</v>
      </c>
      <c r="N8" s="1" t="s">
        <v>80</v>
      </c>
      <c r="O8" s="2" t="s">
        <v>110</v>
      </c>
    </row>
    <row r="9" spans="4:15">
      <c r="D9">
        <v>4010</v>
      </c>
      <c r="E9" t="s">
        <v>111</v>
      </c>
      <c r="I9">
        <v>50</v>
      </c>
      <c r="J9" t="s">
        <v>109</v>
      </c>
      <c r="K9">
        <v>60</v>
      </c>
      <c r="L9" t="s">
        <v>112</v>
      </c>
      <c r="M9">
        <v>70</v>
      </c>
      <c r="N9" s="1" t="s">
        <v>113</v>
      </c>
      <c r="O9" s="1" t="s">
        <v>114</v>
      </c>
    </row>
    <row r="10" spans="4:15">
      <c r="D10">
        <v>4020</v>
      </c>
      <c r="E10" t="s">
        <v>115</v>
      </c>
      <c r="I10">
        <v>60</v>
      </c>
      <c r="J10" t="s">
        <v>112</v>
      </c>
      <c r="K10">
        <v>70</v>
      </c>
      <c r="L10" t="s">
        <v>116</v>
      </c>
      <c r="M10">
        <v>80</v>
      </c>
      <c r="N10" s="1" t="s">
        <v>117</v>
      </c>
      <c r="O10" s="1" t="s">
        <v>118</v>
      </c>
    </row>
    <row r="11" spans="4:12">
      <c r="D11">
        <v>5010</v>
      </c>
      <c r="E11" t="s">
        <v>119</v>
      </c>
      <c r="I11">
        <v>70</v>
      </c>
      <c r="J11" t="s">
        <v>116</v>
      </c>
      <c r="K11">
        <v>80</v>
      </c>
      <c r="L11" t="s">
        <v>120</v>
      </c>
    </row>
    <row r="12" spans="4:12">
      <c r="D12">
        <v>5020</v>
      </c>
      <c r="E12" t="s">
        <v>121</v>
      </c>
      <c r="I12">
        <v>80</v>
      </c>
      <c r="J12" t="s">
        <v>120</v>
      </c>
      <c r="K12">
        <v>90</v>
      </c>
      <c r="L12" s="1" t="s">
        <v>122</v>
      </c>
    </row>
    <row r="13" spans="4:12">
      <c r="D13">
        <v>6010</v>
      </c>
      <c r="E13" t="s">
        <v>123</v>
      </c>
      <c r="I13">
        <v>99</v>
      </c>
      <c r="J13" t="s">
        <v>124</v>
      </c>
      <c r="K13">
        <v>99</v>
      </c>
      <c r="L13" t="s">
        <v>124</v>
      </c>
    </row>
    <row r="14" spans="4:12">
      <c r="D14">
        <v>6011</v>
      </c>
      <c r="E14" t="s">
        <v>125</v>
      </c>
      <c r="K14">
        <v>1000</v>
      </c>
      <c r="L14" s="1" t="s">
        <v>126</v>
      </c>
    </row>
    <row r="15" spans="4:5">
      <c r="D15">
        <v>6020</v>
      </c>
      <c r="E15" t="s">
        <v>127</v>
      </c>
    </row>
    <row r="16" spans="4:5">
      <c r="D16">
        <v>7010</v>
      </c>
      <c r="E16" t="s">
        <v>128</v>
      </c>
    </row>
    <row r="17" spans="4:5">
      <c r="D17">
        <v>7020</v>
      </c>
      <c r="E17" t="s">
        <v>129</v>
      </c>
    </row>
    <row r="18" spans="4:5">
      <c r="D18">
        <v>7021</v>
      </c>
      <c r="E18" t="s">
        <v>130</v>
      </c>
    </row>
    <row r="19" spans="4:5">
      <c r="D19">
        <v>9010</v>
      </c>
      <c r="E19" t="s">
        <v>131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2025-07-07T13:38:38Z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