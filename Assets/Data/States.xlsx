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12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<sst xmlns="http://schemas.openxmlformats.org/spreadsheetml/2006/main" count="512" uniqueCount="364">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</sst>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3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11" fillId="23" borderId="5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7" borderId="3" applyNumberFormat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2"/>
  <sheetViews>
    <sheetView zoomScale="115" zoomScaleNormal="115" topLeftCell="A61" workbookViewId="0">
      <selection activeCell="B79" sqref="B79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2010</v>
      </c>
      <c r="B34">
        <v>2010</v>
      </c>
      <c r="C34" t="str">
        <f>INDEX(TextData!B:B,MATCH(B34,TextData!A:A))</f>
        <v>毒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TextData!B34</f>
        <v>毒</v>
      </c>
    </row>
    <row r="35" ht="12" customHeight="1" spans="1:21">
      <c r="A35">
        <v>2011</v>
      </c>
      <c r="B35">
        <v>2010</v>
      </c>
      <c r="C35" t="s">
        <v>34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毒</v>
      </c>
    </row>
    <row r="36" ht="12" customHeight="1" spans="1:21">
      <c r="A36">
        <v>2012</v>
      </c>
      <c r="B36">
        <v>2012</v>
      </c>
      <c r="C36" t="s">
        <v>35</v>
      </c>
      <c r="D36">
        <v>2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火傷</v>
      </c>
    </row>
    <row r="37" ht="12" customHeight="1" spans="1:21">
      <c r="A37">
        <v>2020</v>
      </c>
      <c r="B37">
        <v>2020</v>
      </c>
      <c r="C37" t="str">
        <f>INDEX(TextData!B:B,MATCH(B37,TextData!A:A))</f>
        <v>暗闇</v>
      </c>
      <c r="D37">
        <v>33</v>
      </c>
      <c r="E37">
        <v>2</v>
      </c>
      <c r="F37" t="s">
        <v>29</v>
      </c>
      <c r="G37">
        <v>4</v>
      </c>
      <c r="H37" t="str">
        <f>INDEX(Define!B:B,MATCH(G37,Define!A:A))</f>
        <v>効果発揮回数</v>
      </c>
      <c r="I37">
        <v>1</v>
      </c>
      <c r="J37" t="s">
        <v>36</v>
      </c>
      <c r="K37">
        <v>0</v>
      </c>
      <c r="L37">
        <v>0.1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暗闇</v>
      </c>
    </row>
    <row r="38" spans="1:21">
      <c r="A38">
        <v>2030</v>
      </c>
      <c r="B38">
        <v>2030</v>
      </c>
      <c r="C38" t="str">
        <f>INDEX(TextData!B:B,MATCH(B38,TextData!A:A))</f>
        <v>カウンタ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0</v>
      </c>
      <c r="J38" t="s">
        <v>38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カウンタ</v>
      </c>
    </row>
    <row r="39" spans="1:21">
      <c r="A39">
        <v>2031</v>
      </c>
      <c r="B39">
        <v>2031</v>
      </c>
      <c r="C39" t="str">
        <f>INDEX(TextData!B:B,MATCH(B39,TextData!A:A))</f>
        <v>CAダメージ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CAダメージ</v>
      </c>
    </row>
    <row r="40" spans="1:21">
      <c r="A40">
        <v>2032</v>
      </c>
      <c r="B40">
        <v>2032</v>
      </c>
      <c r="C40" t="str">
        <f>INDEX(TextData!B:B,MATCH(B40,TextData!A:A))</f>
        <v>CAシェル</v>
      </c>
      <c r="D40">
        <v>0</v>
      </c>
      <c r="E40">
        <v>66</v>
      </c>
      <c r="F40" t="s">
        <v>39</v>
      </c>
      <c r="G40">
        <v>0</v>
      </c>
      <c r="H40" t="str">
        <f>INDEX(Define!B:B,MATCH(G40,Define!A:A))</f>
        <v>なし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CAシェル</v>
      </c>
    </row>
    <row r="41" spans="1:21">
      <c r="A41">
        <v>2040</v>
      </c>
      <c r="B41">
        <v>2040</v>
      </c>
      <c r="C41" t="str">
        <f>INDEX(TextData!B:B,MATCH(B41,TextData!A:A))</f>
        <v>リジェネ</v>
      </c>
      <c r="D41">
        <v>0</v>
      </c>
      <c r="E41">
        <v>46</v>
      </c>
      <c r="F41" t="s">
        <v>39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リジェネ</v>
      </c>
    </row>
    <row r="42" spans="1:21">
      <c r="A42">
        <v>2050</v>
      </c>
      <c r="B42">
        <v>2050</v>
      </c>
      <c r="C42" t="str">
        <f>INDEX(TextData!B:B,MATCH(B42,TextData!A:A))</f>
        <v>攻撃無効</v>
      </c>
      <c r="D42">
        <v>0</v>
      </c>
      <c r="E42">
        <v>226</v>
      </c>
      <c r="F42" t="s">
        <v>40</v>
      </c>
      <c r="G42">
        <v>4</v>
      </c>
      <c r="H42" t="str">
        <f>INDEX(Define!B:B,MATCH(G42,Define!A:A))</f>
        <v>効果発揮回数</v>
      </c>
      <c r="I42">
        <v>0</v>
      </c>
      <c r="J42" t="s">
        <v>41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攻撃無効</v>
      </c>
    </row>
    <row r="43" spans="1:21">
      <c r="A43">
        <v>2060</v>
      </c>
      <c r="B43">
        <v>2060</v>
      </c>
      <c r="C43" t="str">
        <f>INDEX(TextData!B:B,MATCH(B43,TextData!A:A))</f>
        <v>ドレイン</v>
      </c>
      <c r="D43">
        <v>0</v>
      </c>
      <c r="E43">
        <v>167</v>
      </c>
      <c r="F43" t="s">
        <v>42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ドレイン</v>
      </c>
    </row>
    <row r="44" spans="1:21">
      <c r="A44">
        <v>2070</v>
      </c>
      <c r="B44">
        <v>2070</v>
      </c>
      <c r="C44" t="str">
        <f>INDEX(TextData!B:B,MATCH(B44,TextData!A:A))</f>
        <v>状態異常CA</v>
      </c>
      <c r="D44">
        <v>0</v>
      </c>
      <c r="E44">
        <v>226</v>
      </c>
      <c r="F44" t="s">
        <v>43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状態異常CA</v>
      </c>
    </row>
    <row r="45" spans="1:21">
      <c r="A45">
        <v>2080</v>
      </c>
      <c r="B45">
        <v>2080</v>
      </c>
      <c r="C45" t="str">
        <f>INDEX(TextData!B:B,MATCH(B45,TextData!A:A))</f>
        <v>反撃</v>
      </c>
      <c r="D45">
        <v>0</v>
      </c>
      <c r="E45">
        <v>4</v>
      </c>
      <c r="F45" t="s">
        <v>37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反撃</v>
      </c>
    </row>
    <row r="46" spans="1:21">
      <c r="A46">
        <v>2090</v>
      </c>
      <c r="B46">
        <v>2090</v>
      </c>
      <c r="C46" t="str">
        <f>INDEX(TextData!B:B,MATCH(B46,TextData!A:A))</f>
        <v>パッシブ封じ</v>
      </c>
      <c r="D46">
        <v>0</v>
      </c>
      <c r="E46">
        <v>10</v>
      </c>
      <c r="F46" t="s">
        <v>44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パッシブ封じ</v>
      </c>
    </row>
    <row r="47" spans="1:21">
      <c r="A47">
        <v>2120</v>
      </c>
      <c r="B47">
        <v>2120</v>
      </c>
      <c r="C47" t="str">
        <f>INDEX(TextData!B:B,MATCH(B47,TextData!A:A))</f>
        <v>デバフ強化</v>
      </c>
      <c r="D47">
        <v>0</v>
      </c>
      <c r="E47">
        <v>9</v>
      </c>
      <c r="F47" t="s">
        <v>45</v>
      </c>
      <c r="G47">
        <v>4</v>
      </c>
      <c r="H47" t="str">
        <f>INDEX(Define!B:B,MATCH(G47,Define!A:A))</f>
        <v>効果発揮回数</v>
      </c>
      <c r="I47">
        <v>1</v>
      </c>
      <c r="J47" t="s">
        <v>46</v>
      </c>
      <c r="K47">
        <v>0</v>
      </c>
      <c r="L47">
        <v>0.2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デバフ強化</v>
      </c>
    </row>
    <row r="48" spans="1:21">
      <c r="A48">
        <v>2130</v>
      </c>
      <c r="B48">
        <v>2130</v>
      </c>
      <c r="C48" t="str">
        <f>INDEX(TextData!B:B,MATCH(B48,TextData!A:A))</f>
        <v>挑発</v>
      </c>
      <c r="D48">
        <v>0</v>
      </c>
      <c r="E48">
        <v>4</v>
      </c>
      <c r="F48" t="s">
        <v>47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挑発</v>
      </c>
    </row>
    <row r="49" spans="1:21">
      <c r="A49">
        <v>2140</v>
      </c>
      <c r="B49">
        <v>2140</v>
      </c>
      <c r="C49" t="str">
        <f>INDEX(TextData!B:B,MATCH(B49,TextData!A:A))</f>
        <v>凍結</v>
      </c>
      <c r="D49">
        <v>18</v>
      </c>
      <c r="E49">
        <v>44</v>
      </c>
      <c r="F49" t="s">
        <v>48</v>
      </c>
      <c r="G49">
        <v>4</v>
      </c>
      <c r="H49" t="str">
        <f>INDEX(Define!B:B,MATCH(G49,Define!A:A))</f>
        <v>効果発揮回数</v>
      </c>
      <c r="I49">
        <v>1</v>
      </c>
      <c r="J49" t="s">
        <v>49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凍結</v>
      </c>
    </row>
    <row r="50" spans="1:21">
      <c r="A50">
        <v>2150</v>
      </c>
      <c r="B50">
        <v>2150</v>
      </c>
      <c r="C50" t="str">
        <f>INDEX(TextData!B:B,MATCH(B50,TextData!A:A))</f>
        <v>スタン</v>
      </c>
      <c r="D50">
        <v>0</v>
      </c>
      <c r="E50">
        <v>5</v>
      </c>
      <c r="F50" t="s">
        <v>50</v>
      </c>
      <c r="G50">
        <v>2</v>
      </c>
      <c r="H50" t="str">
        <f>INDEX(Define!B:B,MATCH(G50,Define!A:A))</f>
        <v>APカウント</v>
      </c>
      <c r="I50">
        <v>0</v>
      </c>
      <c r="J50" t="s">
        <v>51</v>
      </c>
      <c r="K50">
        <v>0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スタン</v>
      </c>
    </row>
    <row r="51" spans="1:21">
      <c r="A51">
        <v>2180</v>
      </c>
      <c r="B51">
        <v>2180</v>
      </c>
      <c r="C51" t="str">
        <f>INDEX(TextData!B:B,MATCH(B51,TextData!A:A))</f>
        <v>状態異常回避</v>
      </c>
      <c r="D51">
        <v>0</v>
      </c>
      <c r="E51">
        <v>99</v>
      </c>
      <c r="F51" t="s">
        <v>52</v>
      </c>
      <c r="G51">
        <v>4</v>
      </c>
      <c r="H51" t="str">
        <f>INDEX(Define!B:B,MATCH(G51,Define!A:A))</f>
        <v>効果発揮回数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状態異常回避</v>
      </c>
    </row>
    <row r="52" spans="1:21">
      <c r="A52">
        <v>2190</v>
      </c>
      <c r="B52">
        <v>2190</v>
      </c>
      <c r="C52" t="str">
        <f>INDEX(TextData!B:B,MATCH(B52,TextData!A:A))</f>
        <v>対象範囲延長</v>
      </c>
      <c r="D52">
        <v>0</v>
      </c>
      <c r="E52">
        <v>73</v>
      </c>
      <c r="F52" t="s">
        <v>53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t="str">
        <f>TextData!B51</f>
        <v>対象範囲延長</v>
      </c>
    </row>
    <row r="53" spans="1:21">
      <c r="A53">
        <v>2210</v>
      </c>
      <c r="B53">
        <v>2210</v>
      </c>
      <c r="C53" t="str">
        <f>INDEX(TextData!B:B,MATCH(B53,TextData!A:A))</f>
        <v>アフターヒール</v>
      </c>
      <c r="D53">
        <v>0</v>
      </c>
      <c r="E53">
        <v>63</v>
      </c>
      <c r="F53" t="s">
        <v>39</v>
      </c>
      <c r="G53">
        <v>1</v>
      </c>
      <c r="H53" t="str">
        <f>INDEX(Define!B:B,MATCH(G53,Define!A:A))</f>
        <v>ターン数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アフターヒール</v>
      </c>
    </row>
    <row r="54" spans="1:21">
      <c r="A54">
        <v>2220</v>
      </c>
      <c r="B54">
        <v>2220</v>
      </c>
      <c r="C54" t="str">
        <f>INDEX(TextData!B:B,MATCH(B54,TextData!A:A))</f>
        <v>即死付与</v>
      </c>
      <c r="D54">
        <v>0</v>
      </c>
      <c r="E54">
        <v>1</v>
      </c>
      <c r="F54" t="s">
        <v>19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即死付与</v>
      </c>
    </row>
    <row r="55" spans="1:21">
      <c r="A55">
        <v>2230</v>
      </c>
      <c r="B55">
        <v>2230</v>
      </c>
      <c r="C55" t="str">
        <f>INDEX(TextData!B:B,MATCH(B55,TextData!A:A))</f>
        <v>同時回復</v>
      </c>
      <c r="D55">
        <v>0</v>
      </c>
      <c r="E55">
        <v>46</v>
      </c>
      <c r="F55" t="s">
        <v>39</v>
      </c>
      <c r="G55">
        <v>0</v>
      </c>
      <c r="H55" t="str">
        <f>INDEX(Define!B:B,MATCH(G55,Define!A:A))</f>
        <v>なし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同時回復</v>
      </c>
    </row>
    <row r="56" spans="1:21">
      <c r="A56">
        <v>2240</v>
      </c>
      <c r="B56">
        <v>2240</v>
      </c>
      <c r="C56" t="str">
        <f>INDEX(TextData!B:B,MATCH(B56,TextData!A:A))</f>
        <v>必中</v>
      </c>
      <c r="D56">
        <v>0</v>
      </c>
      <c r="E56">
        <v>62</v>
      </c>
      <c r="F56" t="s">
        <v>29</v>
      </c>
      <c r="G56">
        <v>4</v>
      </c>
      <c r="H56" t="str">
        <f>INDEX(Define!B:B,MATCH(G56,Define!A:A))</f>
        <v>効果発揮回数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必中</v>
      </c>
    </row>
    <row r="57" spans="1:21">
      <c r="A57">
        <v>2250</v>
      </c>
      <c r="B57">
        <v>2250</v>
      </c>
      <c r="C57" t="str">
        <f>INDEX(TextData!B:B,MATCH(B57,TextData!A:A))</f>
        <v>アシストヒール</v>
      </c>
      <c r="D57">
        <v>0</v>
      </c>
      <c r="E57">
        <v>46</v>
      </c>
      <c r="F57" t="s">
        <v>54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アシストヒール</v>
      </c>
    </row>
    <row r="58" spans="1:21">
      <c r="A58">
        <v>2270</v>
      </c>
      <c r="B58">
        <v>2270</v>
      </c>
      <c r="C58" t="str">
        <f>INDEX(TextData!B:B,MATCH(B58,TextData!A:A))</f>
        <v>アンデッド</v>
      </c>
      <c r="D58">
        <v>0</v>
      </c>
      <c r="E58">
        <v>9</v>
      </c>
      <c r="F58" t="s">
        <v>55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アンデッド</v>
      </c>
    </row>
    <row r="59" spans="1:21">
      <c r="A59">
        <v>2280</v>
      </c>
      <c r="B59">
        <v>2280</v>
      </c>
      <c r="C59" t="str">
        <f>INDEX(TextData!B:B,MATCH(B59,TextData!A:A))</f>
        <v>アクセル</v>
      </c>
      <c r="D59">
        <v>0</v>
      </c>
      <c r="E59">
        <v>25</v>
      </c>
      <c r="F59" t="s">
        <v>21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アクセル</v>
      </c>
    </row>
    <row r="60" spans="1:21">
      <c r="A60">
        <v>2290</v>
      </c>
      <c r="B60">
        <v>2290</v>
      </c>
      <c r="C60" t="str">
        <f>INDEX(TextData!B:B,MATCH(B60,TextData!A:A))</f>
        <v>ダメージ威力アップ</v>
      </c>
      <c r="D60">
        <v>0</v>
      </c>
      <c r="E60">
        <v>21</v>
      </c>
      <c r="F60" t="s">
        <v>56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10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1</v>
      </c>
      <c r="U60" t="str">
        <f>TextData!B59</f>
        <v>ダメージ威力アップ</v>
      </c>
    </row>
    <row r="61" spans="1:21">
      <c r="A61">
        <v>2320</v>
      </c>
      <c r="B61">
        <v>2320</v>
      </c>
      <c r="C61" t="str">
        <f>INDEX(TextData!B:B,MATCH(B61,TextData!A:A))</f>
        <v>バフ解除</v>
      </c>
      <c r="D61">
        <v>0</v>
      </c>
      <c r="E61">
        <v>0</v>
      </c>
      <c r="F61">
        <v>1</v>
      </c>
      <c r="G61">
        <v>0</v>
      </c>
      <c r="H61" t="str">
        <f>INDEX(Define!B:B,MATCH(G61,Define!A:A))</f>
        <v>なし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バフ解除</v>
      </c>
    </row>
    <row r="62" spans="1:21">
      <c r="A62">
        <v>2330</v>
      </c>
      <c r="B62">
        <v>2330</v>
      </c>
      <c r="C62" t="str">
        <f>INDEX(TextData!B:B,MATCH(B62,TextData!A:A))</f>
        <v>貫通</v>
      </c>
      <c r="D62">
        <v>0</v>
      </c>
      <c r="E62">
        <v>56</v>
      </c>
      <c r="F62" t="s">
        <v>57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貫通</v>
      </c>
    </row>
    <row r="63" spans="1:21">
      <c r="A63">
        <v>2340</v>
      </c>
      <c r="B63">
        <v>2340</v>
      </c>
      <c r="C63" t="str">
        <f>INDEX(TextData!B:B,MATCH(B63,TextData!A:A))</f>
        <v>対象列化</v>
      </c>
      <c r="D63">
        <v>0</v>
      </c>
      <c r="E63">
        <v>66</v>
      </c>
      <c r="F63" t="s">
        <v>58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対象列化</v>
      </c>
    </row>
    <row r="64" spans="1:21">
      <c r="A64">
        <v>2341</v>
      </c>
      <c r="B64">
        <v>2341</v>
      </c>
      <c r="C64" t="str">
        <f>INDEX(TextData!B:B,MATCH(B64,TextData!A:A))</f>
        <v>対象全体化</v>
      </c>
      <c r="D64">
        <v>0</v>
      </c>
      <c r="E64">
        <v>66</v>
      </c>
      <c r="F64" t="s">
        <v>59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対象全体化</v>
      </c>
    </row>
    <row r="65" spans="1:21">
      <c r="A65">
        <v>2350</v>
      </c>
      <c r="B65">
        <v>2350</v>
      </c>
      <c r="C65" t="str">
        <f>INDEX(TextData!B:B,MATCH(B65,TextData!A:A))</f>
        <v>聖棺</v>
      </c>
      <c r="D65">
        <v>0</v>
      </c>
      <c r="E65">
        <v>0</v>
      </c>
      <c r="F65" t="s">
        <v>60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聖棺</v>
      </c>
    </row>
    <row r="66" spans="1:21">
      <c r="A66">
        <v>2360</v>
      </c>
      <c r="B66">
        <v>2360</v>
      </c>
      <c r="C66" t="str">
        <f>INDEX(TextData!B:B,MATCH(B66,TextData!A:A))</f>
        <v>追加ダメージ</v>
      </c>
      <c r="D66">
        <v>0</v>
      </c>
      <c r="E66">
        <v>13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追加ダメージ</v>
      </c>
    </row>
    <row r="67" spans="1:21">
      <c r="A67">
        <v>2370</v>
      </c>
      <c r="B67">
        <v>2370</v>
      </c>
      <c r="C67" t="str">
        <f>INDEX(TextData!B:B,MATCH(B67,TextData!A:A))</f>
        <v>追加効果</v>
      </c>
      <c r="D67">
        <v>0</v>
      </c>
      <c r="E67">
        <v>56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追加効果</v>
      </c>
    </row>
    <row r="68" spans="1:21">
      <c r="A68">
        <v>2380</v>
      </c>
      <c r="B68">
        <v>2380</v>
      </c>
      <c r="C68" t="str">
        <f>INDEX(TextData!B:B,MATCH(B68,TextData!A:A))</f>
        <v>透明</v>
      </c>
      <c r="D68">
        <v>0</v>
      </c>
      <c r="E68">
        <v>0</v>
      </c>
      <c r="F68" t="s">
        <v>62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透明</v>
      </c>
    </row>
    <row r="69" spans="1:21">
      <c r="A69">
        <v>2390</v>
      </c>
      <c r="B69">
        <v>2390</v>
      </c>
      <c r="C69" t="str">
        <f>INDEX(TextData!B:B,MATCH(B69,TextData!A:A))</f>
        <v>沈黙</v>
      </c>
      <c r="D69">
        <v>36</v>
      </c>
      <c r="E69">
        <v>3</v>
      </c>
      <c r="F69" t="s">
        <v>63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沈黙</v>
      </c>
    </row>
    <row r="70" spans="1:21">
      <c r="A70">
        <v>2400</v>
      </c>
      <c r="B70">
        <v>2400</v>
      </c>
      <c r="C70" t="str">
        <f>INDEX(TextData!B:B,MATCH(B70,TextData!A:A))</f>
        <v>不治</v>
      </c>
      <c r="D70">
        <v>0</v>
      </c>
      <c r="E70">
        <v>0</v>
      </c>
      <c r="F70" t="s">
        <v>64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不治</v>
      </c>
    </row>
    <row r="71" spans="1:21">
      <c r="A71">
        <v>2410</v>
      </c>
      <c r="B71">
        <v>2410</v>
      </c>
      <c r="C71" t="str">
        <f>INDEX(TextData!B:B,MATCH(B71,TextData!A:A))</f>
        <v>シールド</v>
      </c>
      <c r="D71">
        <v>0</v>
      </c>
      <c r="E71">
        <v>0</v>
      </c>
      <c r="F71" t="s">
        <v>65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シールド</v>
      </c>
    </row>
    <row r="72" spans="1:21">
      <c r="A72">
        <v>2420</v>
      </c>
      <c r="B72">
        <v>2420</v>
      </c>
      <c r="C72" t="str">
        <f>INDEX(TextData!B:B,MATCH(B72,TextData!A:A))</f>
        <v>フォロー</v>
      </c>
      <c r="D72">
        <v>0</v>
      </c>
      <c r="E72">
        <v>0</v>
      </c>
      <c r="F72" t="s">
        <v>66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フォロー</v>
      </c>
    </row>
    <row r="73" spans="1:21">
      <c r="A73">
        <v>2430</v>
      </c>
      <c r="B73">
        <v>2430</v>
      </c>
      <c r="C73" t="str">
        <f>INDEX(TextData!B:B,MATCH(B73,TextData!A:A))</f>
        <v>かばう</v>
      </c>
      <c r="D73">
        <v>0</v>
      </c>
      <c r="E73">
        <v>0</v>
      </c>
      <c r="F73" t="s">
        <v>67</v>
      </c>
      <c r="G73">
        <v>6</v>
      </c>
      <c r="H73" t="str">
        <f>INDEX(Define!B:B,MATCH(G73,Define!A:A))</f>
        <v>ターンの終了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1</v>
      </c>
      <c r="T73">
        <v>1</v>
      </c>
      <c r="U73" t="str">
        <f>TextData!B72</f>
        <v>かばう</v>
      </c>
    </row>
    <row r="74" spans="1:21">
      <c r="A74">
        <v>2440</v>
      </c>
      <c r="B74">
        <v>2440</v>
      </c>
      <c r="C74" t="str">
        <f>INDEX(TextData!B:B,MATCH(B74,TextData!A:A))</f>
        <v>Ap消費半減</v>
      </c>
      <c r="D74">
        <v>0</v>
      </c>
      <c r="E74">
        <v>0</v>
      </c>
      <c r="F74" t="s">
        <v>21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Ap消費半減</v>
      </c>
    </row>
    <row r="75" spans="1:21">
      <c r="A75">
        <v>2450</v>
      </c>
      <c r="B75">
        <v>2450</v>
      </c>
      <c r="C75" t="str">
        <f>INDEX(TextData!B:B,MATCH(B75,TextData!A:A))</f>
        <v>不死</v>
      </c>
      <c r="D75">
        <v>0</v>
      </c>
      <c r="E75">
        <v>0</v>
      </c>
      <c r="F75" t="s">
        <v>55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不死</v>
      </c>
    </row>
    <row r="76" spans="1:21">
      <c r="A76">
        <v>2460</v>
      </c>
      <c r="B76">
        <v>2460</v>
      </c>
      <c r="C76" t="str">
        <f>INDEX(TextData!B:B,MATCH(B76,TextData!A:A))</f>
        <v>Hp回復効果アップ</v>
      </c>
      <c r="D76">
        <v>0</v>
      </c>
      <c r="E76">
        <v>0</v>
      </c>
      <c r="F76" t="s">
        <v>68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0</v>
      </c>
      <c r="S76">
        <v>0</v>
      </c>
      <c r="T76">
        <v>1</v>
      </c>
      <c r="U76" t="str">
        <f>TextData!B75</f>
        <v>Hp回復効果アップ</v>
      </c>
    </row>
    <row r="77" spans="1:21">
      <c r="A77">
        <v>2470</v>
      </c>
      <c r="B77">
        <v>2470</v>
      </c>
      <c r="C77" t="str">
        <f>INDEX(TextData!B:B,MATCH(B77,TextData!A:A))</f>
        <v>呪詛</v>
      </c>
      <c r="D77">
        <v>0</v>
      </c>
      <c r="E77">
        <v>0</v>
      </c>
      <c r="F77" t="s">
        <v>69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呪詛</v>
      </c>
    </row>
    <row r="78" spans="1:21">
      <c r="A78">
        <v>2480</v>
      </c>
      <c r="B78">
        <v>2480</v>
      </c>
      <c r="C78" t="str">
        <f>INDEX(TextData!B:B,MATCH(B78,TextData!A:A))</f>
        <v>付与無効化</v>
      </c>
      <c r="D78">
        <v>0</v>
      </c>
      <c r="E78">
        <v>99</v>
      </c>
      <c r="F78" t="s">
        <v>69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付与無効化</v>
      </c>
    </row>
    <row r="79" spans="1:21">
      <c r="A79">
        <v>2490</v>
      </c>
      <c r="B79">
        <v>2490</v>
      </c>
      <c r="C79" t="str">
        <f>INDEX(TextData!B:B,MATCH(B79,TextData!A:A))</f>
        <v>かばう無視</v>
      </c>
      <c r="D79">
        <v>0</v>
      </c>
      <c r="E79">
        <v>99</v>
      </c>
      <c r="F79" t="s">
        <v>69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">
        <v>70</v>
      </c>
    </row>
    <row r="80" spans="1:21">
      <c r="A80">
        <v>3010</v>
      </c>
      <c r="B80">
        <v>3010</v>
      </c>
      <c r="C80" t="str">
        <f>INDEX(TextData!B:B,MATCH(B80,TextData!A:A))</f>
        <v>チャージ</v>
      </c>
      <c r="D80">
        <v>0</v>
      </c>
      <c r="E80">
        <v>0</v>
      </c>
      <c r="F80" t="s">
        <v>61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 t="str">
        <f>TextData!B79</f>
        <v>チャージ</v>
      </c>
    </row>
    <row r="81" spans="1:21">
      <c r="A81">
        <v>3020</v>
      </c>
      <c r="B81">
        <v>3020</v>
      </c>
      <c r="C81" t="str">
        <f>INDEX(TextData!B:B,MATCH(B81,TextData!A:A))</f>
        <v>リンケージ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リンケージ</v>
      </c>
    </row>
    <row r="82" spans="1:21">
      <c r="A82">
        <v>9999</v>
      </c>
      <c r="B82">
        <v>9999</v>
      </c>
      <c r="C82" t="str">
        <f>INDEX(TextData!B:B,MATCH(B82,TextData!A:A))</f>
        <v>テスト用</v>
      </c>
      <c r="D82">
        <v>0</v>
      </c>
      <c r="E82">
        <v>0</v>
      </c>
      <c r="F82" t="s">
        <v>61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 t="str">
        <f>TextData!B81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="110" zoomScaleNormal="110" topLeftCell="A49" workbookViewId="0">
      <selection activeCell="A74" sqref="A74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1043</v>
      </c>
      <c r="B15" t="s">
        <v>123</v>
      </c>
      <c r="C15" t="s">
        <v>124</v>
      </c>
      <c r="F15" t="s">
        <v>125</v>
      </c>
      <c r="G15" t="s">
        <v>126</v>
      </c>
    </row>
    <row r="16" spans="1:7">
      <c r="A16">
        <v>1044</v>
      </c>
      <c r="B16" t="s">
        <v>115</v>
      </c>
      <c r="C16" t="s">
        <v>116</v>
      </c>
      <c r="F16" t="s">
        <v>117</v>
      </c>
      <c r="G16" t="s">
        <v>118</v>
      </c>
    </row>
    <row r="17" spans="1:7">
      <c r="A17">
        <v>1050</v>
      </c>
      <c r="B17" t="s">
        <v>127</v>
      </c>
      <c r="C17" t="s">
        <v>128</v>
      </c>
      <c r="F17" t="s">
        <v>129</v>
      </c>
      <c r="G17" t="s">
        <v>130</v>
      </c>
    </row>
    <row r="18" spans="1:7">
      <c r="A18">
        <v>1051</v>
      </c>
      <c r="B18" t="s">
        <v>131</v>
      </c>
      <c r="C18" t="s">
        <v>132</v>
      </c>
      <c r="F18" t="s">
        <v>133</v>
      </c>
      <c r="G18" t="s">
        <v>134</v>
      </c>
    </row>
    <row r="19" spans="1:7">
      <c r="A19">
        <v>1052</v>
      </c>
      <c r="B19" t="s">
        <v>127</v>
      </c>
      <c r="C19" t="s">
        <v>135</v>
      </c>
      <c r="F19" t="s">
        <v>129</v>
      </c>
      <c r="G19" t="s">
        <v>136</v>
      </c>
    </row>
    <row r="20" spans="1:7">
      <c r="A20">
        <v>1053</v>
      </c>
      <c r="B20" t="s">
        <v>131</v>
      </c>
      <c r="C20" t="s">
        <v>137</v>
      </c>
      <c r="F20" t="s">
        <v>133</v>
      </c>
      <c r="G20" t="s">
        <v>138</v>
      </c>
    </row>
    <row r="21" spans="1:7">
      <c r="A21">
        <v>1060</v>
      </c>
      <c r="B21" t="s">
        <v>139</v>
      </c>
      <c r="C21" t="s">
        <v>140</v>
      </c>
      <c r="F21" t="s">
        <v>133</v>
      </c>
      <c r="G21" t="s">
        <v>141</v>
      </c>
    </row>
    <row r="22" spans="1:7">
      <c r="A22">
        <v>1070</v>
      </c>
      <c r="B22" t="s">
        <v>142</v>
      </c>
      <c r="C22" t="s">
        <v>143</v>
      </c>
      <c r="F22" t="s">
        <v>144</v>
      </c>
      <c r="G22" t="s">
        <v>145</v>
      </c>
    </row>
    <row r="23" spans="1:7">
      <c r="A23">
        <v>1071</v>
      </c>
      <c r="B23" t="s">
        <v>146</v>
      </c>
      <c r="C23" t="s">
        <v>147</v>
      </c>
      <c r="F23" t="s">
        <v>148</v>
      </c>
      <c r="G23" t="s">
        <v>149</v>
      </c>
    </row>
    <row r="24" spans="1:7">
      <c r="A24">
        <v>1074</v>
      </c>
      <c r="B24" t="s">
        <v>150</v>
      </c>
      <c r="C24" t="s">
        <v>151</v>
      </c>
      <c r="F24" t="s">
        <v>152</v>
      </c>
      <c r="G24" t="s">
        <v>153</v>
      </c>
    </row>
    <row r="25" spans="1:7">
      <c r="A25">
        <v>1080</v>
      </c>
      <c r="B25" t="s">
        <v>154</v>
      </c>
      <c r="C25" t="s">
        <v>155</v>
      </c>
      <c r="F25" t="s">
        <v>156</v>
      </c>
      <c r="G25" t="s">
        <v>157</v>
      </c>
    </row>
    <row r="26" spans="1:7">
      <c r="A26">
        <v>1081</v>
      </c>
      <c r="B26" t="s">
        <v>154</v>
      </c>
      <c r="C26" t="s">
        <v>155</v>
      </c>
      <c r="F26" t="s">
        <v>156</v>
      </c>
      <c r="G26" t="s">
        <v>157</v>
      </c>
    </row>
    <row r="27" spans="1:7">
      <c r="A27">
        <v>1082</v>
      </c>
      <c r="B27" t="s">
        <v>158</v>
      </c>
      <c r="C27" t="s">
        <v>159</v>
      </c>
      <c r="F27" t="s">
        <v>160</v>
      </c>
      <c r="G27" t="s">
        <v>161</v>
      </c>
    </row>
    <row r="28" spans="1:7">
      <c r="A28">
        <v>1090</v>
      </c>
      <c r="B28" t="s">
        <v>162</v>
      </c>
      <c r="C28" t="s">
        <v>163</v>
      </c>
      <c r="F28" t="s">
        <v>164</v>
      </c>
      <c r="G28" t="s">
        <v>165</v>
      </c>
    </row>
    <row r="29" spans="1:7">
      <c r="A29">
        <v>1091</v>
      </c>
      <c r="B29" t="s">
        <v>166</v>
      </c>
      <c r="C29" t="s">
        <v>167</v>
      </c>
      <c r="F29" t="s">
        <v>168</v>
      </c>
      <c r="G29" t="s">
        <v>169</v>
      </c>
    </row>
    <row r="30" spans="1:7">
      <c r="A30">
        <v>1092</v>
      </c>
      <c r="B30" t="s">
        <v>162</v>
      </c>
      <c r="C30" t="s">
        <v>163</v>
      </c>
      <c r="F30" t="s">
        <v>164</v>
      </c>
      <c r="G30" t="s">
        <v>165</v>
      </c>
    </row>
    <row r="31" spans="1:7">
      <c r="A31">
        <v>1100</v>
      </c>
      <c r="B31" t="s">
        <v>170</v>
      </c>
      <c r="C31" t="s">
        <v>171</v>
      </c>
      <c r="F31" t="s">
        <v>172</v>
      </c>
      <c r="G31" t="s">
        <v>173</v>
      </c>
    </row>
    <row r="32" spans="1:7">
      <c r="A32">
        <v>1101</v>
      </c>
      <c r="B32" t="s">
        <v>170</v>
      </c>
      <c r="C32" t="s">
        <v>174</v>
      </c>
      <c r="F32" t="s">
        <v>172</v>
      </c>
      <c r="G32" t="s">
        <v>175</v>
      </c>
    </row>
    <row r="33" spans="1:7">
      <c r="A33">
        <v>1210</v>
      </c>
      <c r="B33" t="s">
        <v>176</v>
      </c>
      <c r="C33" t="s">
        <v>177</v>
      </c>
      <c r="F33" t="s">
        <v>178</v>
      </c>
      <c r="G33" t="s">
        <v>179</v>
      </c>
    </row>
    <row r="34" spans="1:7">
      <c r="A34">
        <v>2010</v>
      </c>
      <c r="B34" t="s">
        <v>34</v>
      </c>
      <c r="C34" t="s">
        <v>180</v>
      </c>
      <c r="F34" t="s">
        <v>181</v>
      </c>
      <c r="G34" t="s">
        <v>182</v>
      </c>
    </row>
    <row r="35" spans="1:7">
      <c r="A35">
        <v>2012</v>
      </c>
      <c r="B35" t="s">
        <v>35</v>
      </c>
      <c r="C35" t="s">
        <v>180</v>
      </c>
      <c r="F35" t="s">
        <v>183</v>
      </c>
      <c r="G35" t="s">
        <v>182</v>
      </c>
    </row>
    <row r="36" spans="1:7">
      <c r="A36">
        <v>2020</v>
      </c>
      <c r="B36" t="s">
        <v>184</v>
      </c>
      <c r="C36" t="s">
        <v>185</v>
      </c>
      <c r="F36" t="s">
        <v>186</v>
      </c>
      <c r="G36" t="s">
        <v>187</v>
      </c>
    </row>
    <row r="37" spans="1:7">
      <c r="A37">
        <v>2030</v>
      </c>
      <c r="B37" t="s">
        <v>188</v>
      </c>
      <c r="C37" t="s">
        <v>189</v>
      </c>
      <c r="F37" t="s">
        <v>190</v>
      </c>
      <c r="G37" t="s">
        <v>191</v>
      </c>
    </row>
    <row r="38" spans="1:7">
      <c r="A38">
        <v>2031</v>
      </c>
      <c r="B38" t="s">
        <v>192</v>
      </c>
      <c r="C38" t="s">
        <v>193</v>
      </c>
      <c r="F38" t="s">
        <v>194</v>
      </c>
      <c r="G38" t="s">
        <v>195</v>
      </c>
    </row>
    <row r="39" spans="1:7">
      <c r="A39">
        <v>2032</v>
      </c>
      <c r="B39" t="s">
        <v>196</v>
      </c>
      <c r="C39" t="s">
        <v>197</v>
      </c>
      <c r="F39" t="s">
        <v>198</v>
      </c>
      <c r="G39" t="s">
        <v>199</v>
      </c>
    </row>
    <row r="40" spans="1:7">
      <c r="A40">
        <v>2040</v>
      </c>
      <c r="B40" t="s">
        <v>200</v>
      </c>
      <c r="C40" t="s">
        <v>201</v>
      </c>
      <c r="F40" t="s">
        <v>202</v>
      </c>
      <c r="G40" t="s">
        <v>203</v>
      </c>
    </row>
    <row r="41" spans="1:7">
      <c r="A41">
        <v>2050</v>
      </c>
      <c r="B41" t="s">
        <v>204</v>
      </c>
      <c r="C41" t="s">
        <v>205</v>
      </c>
      <c r="F41" t="s">
        <v>206</v>
      </c>
      <c r="G41" t="s">
        <v>207</v>
      </c>
    </row>
    <row r="42" spans="1:7">
      <c r="A42">
        <v>2060</v>
      </c>
      <c r="B42" t="s">
        <v>208</v>
      </c>
      <c r="C42" t="s">
        <v>209</v>
      </c>
      <c r="F42" t="s">
        <v>210</v>
      </c>
      <c r="G42" t="s">
        <v>211</v>
      </c>
    </row>
    <row r="43" spans="1:7">
      <c r="A43">
        <v>2070</v>
      </c>
      <c r="B43" t="s">
        <v>212</v>
      </c>
      <c r="C43" t="s">
        <v>213</v>
      </c>
      <c r="F43" t="s">
        <v>214</v>
      </c>
      <c r="G43" t="s">
        <v>215</v>
      </c>
    </row>
    <row r="44" spans="1:7">
      <c r="A44">
        <v>2080</v>
      </c>
      <c r="B44" t="s">
        <v>216</v>
      </c>
      <c r="C44" t="s">
        <v>217</v>
      </c>
      <c r="F44" t="s">
        <v>218</v>
      </c>
      <c r="G44" t="s">
        <v>219</v>
      </c>
    </row>
    <row r="45" spans="1:7">
      <c r="A45">
        <v>2090</v>
      </c>
      <c r="B45" t="s">
        <v>220</v>
      </c>
      <c r="C45" t="s">
        <v>221</v>
      </c>
      <c r="F45" t="s">
        <v>222</v>
      </c>
      <c r="G45" t="s">
        <v>223</v>
      </c>
    </row>
    <row r="46" spans="1:7">
      <c r="A46">
        <v>2120</v>
      </c>
      <c r="B46" t="s">
        <v>224</v>
      </c>
      <c r="C46" t="s">
        <v>225</v>
      </c>
      <c r="F46" t="s">
        <v>226</v>
      </c>
      <c r="G46" t="s">
        <v>227</v>
      </c>
    </row>
    <row r="47" spans="1:7">
      <c r="A47">
        <v>2130</v>
      </c>
      <c r="B47" t="s">
        <v>228</v>
      </c>
      <c r="C47" t="s">
        <v>229</v>
      </c>
      <c r="F47" t="s">
        <v>230</v>
      </c>
      <c r="G47" t="s">
        <v>231</v>
      </c>
    </row>
    <row r="48" spans="1:7">
      <c r="A48">
        <v>2140</v>
      </c>
      <c r="B48" t="s">
        <v>232</v>
      </c>
      <c r="C48" t="s">
        <v>233</v>
      </c>
      <c r="F48" t="s">
        <v>48</v>
      </c>
      <c r="G48" t="s">
        <v>234</v>
      </c>
    </row>
    <row r="49" spans="1:7">
      <c r="A49">
        <v>2150</v>
      </c>
      <c r="B49" t="s">
        <v>235</v>
      </c>
      <c r="C49" t="s">
        <v>236</v>
      </c>
      <c r="F49" t="s">
        <v>50</v>
      </c>
      <c r="G49" t="s">
        <v>237</v>
      </c>
    </row>
    <row r="50" spans="1:7">
      <c r="A50">
        <v>2180</v>
      </c>
      <c r="B50" t="s">
        <v>238</v>
      </c>
      <c r="C50" t="s">
        <v>239</v>
      </c>
      <c r="F50" t="s">
        <v>240</v>
      </c>
      <c r="G50" t="s">
        <v>241</v>
      </c>
    </row>
    <row r="51" spans="1:7">
      <c r="A51">
        <v>2190</v>
      </c>
      <c r="B51" t="s">
        <v>242</v>
      </c>
      <c r="C51" t="s">
        <v>243</v>
      </c>
      <c r="F51" t="s">
        <v>244</v>
      </c>
      <c r="G51" t="s">
        <v>245</v>
      </c>
    </row>
    <row r="52" spans="1:7">
      <c r="A52">
        <v>2210</v>
      </c>
      <c r="B52" t="s">
        <v>246</v>
      </c>
      <c r="C52" t="s">
        <v>247</v>
      </c>
      <c r="F52" t="s">
        <v>248</v>
      </c>
      <c r="G52" t="s">
        <v>249</v>
      </c>
    </row>
    <row r="53" spans="1:7">
      <c r="A53">
        <v>2220</v>
      </c>
      <c r="B53" t="s">
        <v>250</v>
      </c>
      <c r="C53" t="s">
        <v>251</v>
      </c>
      <c r="F53" t="s">
        <v>252</v>
      </c>
      <c r="G53" t="s">
        <v>253</v>
      </c>
    </row>
    <row r="54" spans="1:7">
      <c r="A54">
        <v>2230</v>
      </c>
      <c r="B54" t="s">
        <v>254</v>
      </c>
      <c r="C54" t="s">
        <v>255</v>
      </c>
      <c r="F54" t="s">
        <v>256</v>
      </c>
      <c r="G54" t="s">
        <v>257</v>
      </c>
    </row>
    <row r="55" spans="1:7">
      <c r="A55">
        <v>2240</v>
      </c>
      <c r="B55" t="s">
        <v>258</v>
      </c>
      <c r="C55" t="s">
        <v>259</v>
      </c>
      <c r="F55" t="s">
        <v>260</v>
      </c>
      <c r="G55" t="s">
        <v>261</v>
      </c>
    </row>
    <row r="56" spans="1:7">
      <c r="A56">
        <v>2250</v>
      </c>
      <c r="B56" t="s">
        <v>262</v>
      </c>
      <c r="C56" t="s">
        <v>263</v>
      </c>
      <c r="F56" t="s">
        <v>264</v>
      </c>
      <c r="G56" t="s">
        <v>265</v>
      </c>
    </row>
    <row r="57" spans="1:7">
      <c r="A57">
        <v>2270</v>
      </c>
      <c r="B57" t="s">
        <v>266</v>
      </c>
      <c r="C57" t="s">
        <v>267</v>
      </c>
      <c r="F57" t="s">
        <v>268</v>
      </c>
      <c r="G57" t="s">
        <v>269</v>
      </c>
    </row>
    <row r="58" spans="1:7">
      <c r="A58">
        <v>2280</v>
      </c>
      <c r="B58" t="s">
        <v>270</v>
      </c>
      <c r="C58" t="s">
        <v>271</v>
      </c>
      <c r="F58" t="s">
        <v>272</v>
      </c>
      <c r="G58" t="s">
        <v>273</v>
      </c>
    </row>
    <row r="59" spans="1:7">
      <c r="A59">
        <v>2290</v>
      </c>
      <c r="B59" t="s">
        <v>274</v>
      </c>
      <c r="C59" t="s">
        <v>275</v>
      </c>
      <c r="F59" t="s">
        <v>276</v>
      </c>
      <c r="G59" t="s">
        <v>277</v>
      </c>
    </row>
    <row r="60" spans="1:7">
      <c r="A60">
        <v>2320</v>
      </c>
      <c r="B60" t="s">
        <v>278</v>
      </c>
      <c r="C60" t="s">
        <v>279</v>
      </c>
      <c r="F60" t="s">
        <v>280</v>
      </c>
      <c r="G60" t="s">
        <v>281</v>
      </c>
    </row>
    <row r="61" spans="1:7">
      <c r="A61">
        <v>2330</v>
      </c>
      <c r="B61" t="s">
        <v>282</v>
      </c>
      <c r="C61" t="s">
        <v>283</v>
      </c>
      <c r="F61" t="s">
        <v>284</v>
      </c>
      <c r="G61" t="s">
        <v>285</v>
      </c>
    </row>
    <row r="62" spans="1:7">
      <c r="A62">
        <v>2340</v>
      </c>
      <c r="B62" t="s">
        <v>286</v>
      </c>
      <c r="C62" t="s">
        <v>287</v>
      </c>
      <c r="F62" t="s">
        <v>288</v>
      </c>
      <c r="G62" t="s">
        <v>289</v>
      </c>
    </row>
    <row r="63" spans="1:7">
      <c r="A63">
        <v>2341</v>
      </c>
      <c r="B63" t="s">
        <v>290</v>
      </c>
      <c r="C63" t="s">
        <v>291</v>
      </c>
      <c r="F63" t="s">
        <v>292</v>
      </c>
      <c r="G63" t="s">
        <v>293</v>
      </c>
    </row>
    <row r="64" spans="1:7">
      <c r="A64">
        <v>2350</v>
      </c>
      <c r="B64" t="s">
        <v>294</v>
      </c>
      <c r="C64" t="s">
        <v>295</v>
      </c>
      <c r="F64" t="s">
        <v>296</v>
      </c>
      <c r="G64" t="s">
        <v>297</v>
      </c>
    </row>
    <row r="65" spans="1:7">
      <c r="A65">
        <v>2360</v>
      </c>
      <c r="B65" t="s">
        <v>298</v>
      </c>
      <c r="C65" t="s">
        <v>299</v>
      </c>
      <c r="F65" t="s">
        <v>300</v>
      </c>
      <c r="G65" t="s">
        <v>301</v>
      </c>
    </row>
    <row r="66" spans="1:7">
      <c r="A66">
        <v>2370</v>
      </c>
      <c r="B66" t="s">
        <v>302</v>
      </c>
      <c r="C66" t="s">
        <v>303</v>
      </c>
      <c r="F66" t="s">
        <v>304</v>
      </c>
      <c r="G66" t="s">
        <v>305</v>
      </c>
    </row>
    <row r="67" spans="1:7">
      <c r="A67">
        <v>2380</v>
      </c>
      <c r="B67" t="s">
        <v>306</v>
      </c>
      <c r="C67" t="s">
        <v>307</v>
      </c>
      <c r="F67" t="s">
        <v>62</v>
      </c>
      <c r="G67" t="s">
        <v>308</v>
      </c>
    </row>
    <row r="68" spans="1:7">
      <c r="A68">
        <v>2390</v>
      </c>
      <c r="B68" t="s">
        <v>309</v>
      </c>
      <c r="C68" t="s">
        <v>310</v>
      </c>
      <c r="F68" t="s">
        <v>311</v>
      </c>
      <c r="G68" t="s">
        <v>312</v>
      </c>
    </row>
    <row r="69" spans="1:7">
      <c r="A69">
        <v>2400</v>
      </c>
      <c r="B69" t="s">
        <v>313</v>
      </c>
      <c r="C69" t="s">
        <v>314</v>
      </c>
      <c r="F69" t="s">
        <v>315</v>
      </c>
      <c r="G69" t="s">
        <v>316</v>
      </c>
    </row>
    <row r="70" spans="1:7">
      <c r="A70">
        <v>2410</v>
      </c>
      <c r="B70" t="s">
        <v>317</v>
      </c>
      <c r="C70" t="s">
        <v>318</v>
      </c>
      <c r="F70" t="s">
        <v>27</v>
      </c>
      <c r="G70" t="s">
        <v>319</v>
      </c>
    </row>
    <row r="71" spans="1:7">
      <c r="A71">
        <v>2420</v>
      </c>
      <c r="B71" t="s">
        <v>320</v>
      </c>
      <c r="C71" t="s">
        <v>321</v>
      </c>
      <c r="F71" t="s">
        <v>322</v>
      </c>
      <c r="G71" t="s">
        <v>323</v>
      </c>
    </row>
    <row r="72" spans="1:7">
      <c r="A72">
        <v>2430</v>
      </c>
      <c r="B72" t="s">
        <v>324</v>
      </c>
      <c r="C72" t="s">
        <v>325</v>
      </c>
      <c r="F72" t="s">
        <v>326</v>
      </c>
      <c r="G72" t="s">
        <v>327</v>
      </c>
    </row>
    <row r="73" spans="1:7">
      <c r="A73">
        <v>2440</v>
      </c>
      <c r="B73" t="s">
        <v>328</v>
      </c>
      <c r="C73" t="s">
        <v>329</v>
      </c>
      <c r="F73" t="s">
        <v>330</v>
      </c>
      <c r="G73" t="s">
        <v>331</v>
      </c>
    </row>
    <row r="74" spans="1:7">
      <c r="A74">
        <v>2450</v>
      </c>
      <c r="B74" t="s">
        <v>332</v>
      </c>
      <c r="C74" t="s">
        <v>333</v>
      </c>
      <c r="F74" t="s">
        <v>334</v>
      </c>
      <c r="G74" t="s">
        <v>335</v>
      </c>
    </row>
    <row r="75" spans="1:7">
      <c r="A75">
        <v>2460</v>
      </c>
      <c r="B75" t="s">
        <v>336</v>
      </c>
      <c r="C75" t="s">
        <v>337</v>
      </c>
      <c r="F75" t="s">
        <v>338</v>
      </c>
      <c r="G75" t="s">
        <v>339</v>
      </c>
    </row>
    <row r="76" spans="1:7">
      <c r="A76">
        <v>2470</v>
      </c>
      <c r="B76" t="s">
        <v>340</v>
      </c>
      <c r="C76" t="s">
        <v>341</v>
      </c>
      <c r="F76" t="s">
        <v>315</v>
      </c>
      <c r="G76" t="s">
        <v>342</v>
      </c>
    </row>
    <row r="77" spans="1:7">
      <c r="A77">
        <v>2480</v>
      </c>
      <c r="B77" t="s">
        <v>343</v>
      </c>
      <c r="C77" t="s">
        <v>344</v>
      </c>
      <c r="F77" t="s">
        <v>345</v>
      </c>
      <c r="G77" t="s">
        <v>346</v>
      </c>
    </row>
    <row r="78" spans="1:7">
      <c r="A78">
        <v>2490</v>
      </c>
      <c r="B78" t="s">
        <v>70</v>
      </c>
      <c r="C78" t="s">
        <v>347</v>
      </c>
      <c r="F78" t="s">
        <v>345</v>
      </c>
      <c r="G78" t="s">
        <v>20</v>
      </c>
    </row>
    <row r="79" spans="1:7">
      <c r="A79">
        <v>3010</v>
      </c>
      <c r="B79" t="s">
        <v>348</v>
      </c>
      <c r="C79" t="s">
        <v>349</v>
      </c>
      <c r="F79" t="s">
        <v>350</v>
      </c>
      <c r="G79" t="s">
        <v>351</v>
      </c>
    </row>
    <row r="80" spans="1:7">
      <c r="A80">
        <v>3020</v>
      </c>
      <c r="B80" t="s">
        <v>352</v>
      </c>
      <c r="C80" t="s">
        <v>353</v>
      </c>
      <c r="F80" t="s">
        <v>354</v>
      </c>
      <c r="G80" t="s">
        <v>355</v>
      </c>
    </row>
    <row r="81" spans="1:7">
      <c r="A81">
        <v>9999</v>
      </c>
      <c r="B81" t="s">
        <v>356</v>
      </c>
      <c r="C81" t="s">
        <v>20</v>
      </c>
      <c r="F81" t="s">
        <v>356</v>
      </c>
      <c r="G81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357</v>
      </c>
    </row>
    <row r="3" spans="1:2">
      <c r="A3">
        <v>1</v>
      </c>
      <c r="B3" t="s">
        <v>358</v>
      </c>
    </row>
    <row r="4" spans="1:2">
      <c r="A4">
        <v>2</v>
      </c>
      <c r="B4" t="s">
        <v>359</v>
      </c>
    </row>
    <row r="5" spans="1:2">
      <c r="A5">
        <v>3</v>
      </c>
      <c r="B5" t="s">
        <v>360</v>
      </c>
    </row>
    <row r="6" spans="1:2">
      <c r="A6">
        <v>4</v>
      </c>
      <c r="B6" t="s">
        <v>361</v>
      </c>
    </row>
    <row r="7" spans="1:2">
      <c r="A7">
        <v>5</v>
      </c>
      <c r="B7" t="s">
        <v>362</v>
      </c>
    </row>
    <row r="8" spans="1:2">
      <c r="A8">
        <v>6</v>
      </c>
      <c r="B8" t="s">
        <v>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2026-08-26T14:29:54Z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