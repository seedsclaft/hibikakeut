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<sst xmlns="http://schemas.openxmlformats.org/spreadsheetml/2006/main" count="337" uniqueCount="218">
  <si>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</si>
  <si>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</si>
  <si>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</si>
  <si>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</si>
  <si>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</si>
  <si>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</si>
  <si>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</si>
  <si>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</si>
  <si>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</si>
  <si>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</si>
  <si>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</si>
  <si>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</si>
  <si>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</si>
  <si>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</si>
  <si>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</si>
  <si>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</si>
  <si>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</si>
  <si>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</si>
  <si>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</si>
  <si>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</si>
  <si>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</si>
  <si>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</si>
  <si>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</si>
  <si>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</si>
  <si>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</si>
  <si>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</si>
  <si>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</si>
  <si>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</si>
  <si>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</si>
  <si>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</si>
  <si>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</si>
  <si>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</si>
  <si>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</si>
  <si>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</si>
  <si>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</si>
  <si>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</si>
  <si>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</si>
  <si>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</si>
  <si>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</si>
  <si>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</si>
  <si>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</si>
  <si>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</si>
  <si>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</si>
  <si>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</si>
  <si>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</si>
  <si>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</si>
  <si>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</si>
  <si>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</si>
  <si>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</si>
  <si>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</si>
  <si>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</si>
  <si>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</si>
  <si>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</si>
  <si>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</si>
  <si>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</si>
  <si>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</si>
  <si>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</si>
  <si>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</si>
  <si>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</si>
  <si>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</si>
  <si>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</si>
  <si>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</si>
  <si>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</si>
  <si>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</si>
  <si>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</si>
  <si>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</si>
  <si>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</si>
  <si>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</si>
  <si>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</si>
  <si>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</si>
  <si>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</si>
  <si>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</si>
  <si>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</si>
  <si>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</si>
  <si>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</si>
  <si>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</si>
  <si>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</si>
  <si>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</si>
  <si>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</si>
  <si>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</si>
  <si>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</si>
  <si>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</si>
  <si>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</si>
  <si>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</si>
  <si>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</si>
  <si>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</si>
  <si>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</si>
  <si>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</si>
  <si>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</si>
  <si>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</si>
  <si>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</si>
  <si>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</si>
  <si>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</si>
  <si>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</si>
  <si>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</si>
  <si>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</si>
  <si>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</si>
  <si>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</si>
  <si>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</si>
  <si>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</si>
  <si>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</si>
  <si>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</si>
  <si>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DEF\d%アップ</t>
  </si>
  <si>
    <t>DEF\d%ダウン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</si>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</sst>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6" fillId="3" borderId="8" applyNumberFormat="0" applyAlignment="0" applyProtection="0">
      <alignment vertical="center"/>
    </xf>
    <xf numFmtId="0" fontId="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" fillId="3" borderId="3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9"/>
  <sheetViews>
    <sheetView tabSelected="1" zoomScale="115" zoomScaleNormal="115" topLeftCell="A10" workbookViewId="0">
      <selection activeCell="A20" sqref="A20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2010</v>
      </c>
      <c r="B33">
        <v>2010</v>
      </c>
      <c r="C33" t="str">
        <f>INDEX(TextData!B:B,MATCH(B33,TextData!A:A))</f>
        <v>毒</v>
      </c>
      <c r="D33">
        <v>26</v>
      </c>
      <c r="E33">
        <v>1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33</v>
      </c>
      <c r="K33">
        <v>1</v>
      </c>
      <c r="L33">
        <v>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TextData!B33</f>
        <v>毒</v>
      </c>
    </row>
    <row r="34" ht="12" customHeight="1" spans="1:21">
      <c r="A34">
        <v>2011</v>
      </c>
      <c r="B34">
        <v>2010</v>
      </c>
      <c r="C34" t="s">
        <v>34</v>
      </c>
      <c r="D34">
        <v>26</v>
      </c>
      <c r="E34">
        <v>1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33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TextData!B33</f>
        <v>毒</v>
      </c>
    </row>
    <row r="35" ht="12" customHeight="1" spans="1:21">
      <c r="A35">
        <v>2012</v>
      </c>
      <c r="B35">
        <v>2012</v>
      </c>
      <c r="C35" t="s">
        <v>35</v>
      </c>
      <c r="D35">
        <v>2</v>
      </c>
      <c r="E35">
        <v>43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火傷</v>
      </c>
    </row>
    <row r="36" ht="12" customHeight="1" spans="1:21">
      <c r="A36">
        <v>2020</v>
      </c>
      <c r="B36">
        <v>2020</v>
      </c>
      <c r="C36" t="str">
        <f>INDEX(TextData!B:B,MATCH(B36,TextData!A:A))</f>
        <v>暗闇</v>
      </c>
      <c r="D36">
        <v>33</v>
      </c>
      <c r="E36">
        <v>2</v>
      </c>
      <c r="F36" t="s">
        <v>29</v>
      </c>
      <c r="G36">
        <v>4</v>
      </c>
      <c r="H36" t="str">
        <f>INDEX(Define!B:B,MATCH(G36,Define!A:A))</f>
        <v>効果発揮回数</v>
      </c>
      <c r="I36">
        <v>1</v>
      </c>
      <c r="J36" t="s">
        <v>36</v>
      </c>
      <c r="K36">
        <v>0</v>
      </c>
      <c r="L36">
        <v>0.1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暗闇</v>
      </c>
    </row>
    <row r="37" spans="1:21">
      <c r="A37">
        <v>2030</v>
      </c>
      <c r="B37">
        <v>2030</v>
      </c>
      <c r="C37" t="str">
        <f>INDEX(TextData!B:B,MATCH(B37,TextData!A:A))</f>
        <v>カウンタ</v>
      </c>
      <c r="D37">
        <v>0</v>
      </c>
      <c r="E37">
        <v>66</v>
      </c>
      <c r="F37" t="s">
        <v>37</v>
      </c>
      <c r="G37">
        <v>1</v>
      </c>
      <c r="H37" t="str">
        <f>INDEX(Define!B:B,MATCH(G37,Define!A:A))</f>
        <v>ターン数</v>
      </c>
      <c r="I37">
        <v>0</v>
      </c>
      <c r="J37" t="s">
        <v>38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カウンタ</v>
      </c>
    </row>
    <row r="38" spans="1:21">
      <c r="A38">
        <v>2031</v>
      </c>
      <c r="B38">
        <v>2031</v>
      </c>
      <c r="C38" t="str">
        <f>INDEX(TextData!B:B,MATCH(B38,TextData!A:A))</f>
        <v>CAダメージ</v>
      </c>
      <c r="D38">
        <v>0</v>
      </c>
      <c r="E38">
        <v>66</v>
      </c>
      <c r="F38" t="s">
        <v>37</v>
      </c>
      <c r="G38">
        <v>1</v>
      </c>
      <c r="H38" t="str">
        <f>INDEX(Define!B:B,MATCH(G38,Define!A:A))</f>
        <v>ターン数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CAダメージ</v>
      </c>
    </row>
    <row r="39" spans="1:21">
      <c r="A39">
        <v>2032</v>
      </c>
      <c r="B39">
        <v>2032</v>
      </c>
      <c r="C39" t="str">
        <f>INDEX(TextData!B:B,MATCH(B39,TextData!A:A))</f>
        <v>CAシェル</v>
      </c>
      <c r="D39">
        <v>0</v>
      </c>
      <c r="E39">
        <v>66</v>
      </c>
      <c r="F39" t="s">
        <v>39</v>
      </c>
      <c r="G39">
        <v>0</v>
      </c>
      <c r="H39" t="str">
        <f>INDEX(Define!B:B,MATCH(G39,Define!A:A))</f>
        <v>なし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CAシェル</v>
      </c>
    </row>
    <row r="40" spans="1:21">
      <c r="A40">
        <v>2040</v>
      </c>
      <c r="B40">
        <v>2040</v>
      </c>
      <c r="C40" t="str">
        <f>INDEX(TextData!B:B,MATCH(B40,TextData!A:A))</f>
        <v>リジェネ</v>
      </c>
      <c r="D40">
        <v>0</v>
      </c>
      <c r="E40">
        <v>46</v>
      </c>
      <c r="F40" t="s">
        <v>39</v>
      </c>
      <c r="G40">
        <v>1</v>
      </c>
      <c r="H40" t="str">
        <f>INDEX(Define!B:B,MATCH(G40,Define!A:A))</f>
        <v>ターン数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リジェネ</v>
      </c>
    </row>
    <row r="41" spans="1:21">
      <c r="A41">
        <v>2050</v>
      </c>
      <c r="B41">
        <v>2050</v>
      </c>
      <c r="C41" t="str">
        <f>INDEX(TextData!B:B,MATCH(B41,TextData!A:A))</f>
        <v>攻撃無効</v>
      </c>
      <c r="D41">
        <v>0</v>
      </c>
      <c r="E41">
        <v>226</v>
      </c>
      <c r="F41" t="s">
        <v>40</v>
      </c>
      <c r="G41">
        <v>4</v>
      </c>
      <c r="H41" t="str">
        <f>INDEX(Define!B:B,MATCH(G41,Define!A:A))</f>
        <v>効果発揮回数</v>
      </c>
      <c r="I41">
        <v>0</v>
      </c>
      <c r="J41" t="s">
        <v>41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攻撃無効</v>
      </c>
    </row>
    <row r="42" spans="1:21">
      <c r="A42">
        <v>2060</v>
      </c>
      <c r="B42">
        <v>2060</v>
      </c>
      <c r="C42" t="str">
        <f>INDEX(TextData!B:B,MATCH(B42,TextData!A:A))</f>
        <v>ドレイン</v>
      </c>
      <c r="D42">
        <v>0</v>
      </c>
      <c r="E42">
        <v>167</v>
      </c>
      <c r="F42" t="s">
        <v>42</v>
      </c>
      <c r="G42">
        <v>1</v>
      </c>
      <c r="H42" t="str">
        <f>INDEX(Define!B:B,MATCH(G42,Define!A:A))</f>
        <v>ターン数</v>
      </c>
      <c r="I42">
        <v>1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ドレイン</v>
      </c>
    </row>
    <row r="43" spans="1:21">
      <c r="A43">
        <v>2070</v>
      </c>
      <c r="B43">
        <v>2070</v>
      </c>
      <c r="C43" t="str">
        <f>INDEX(TextData!B:B,MATCH(B43,TextData!A:A))</f>
        <v>状態異常CA</v>
      </c>
      <c r="D43">
        <v>0</v>
      </c>
      <c r="E43">
        <v>226</v>
      </c>
      <c r="F43" t="s">
        <v>43</v>
      </c>
      <c r="G43">
        <v>1</v>
      </c>
      <c r="H43" t="str">
        <f>INDEX(Define!B:B,MATCH(G43,Define!A:A))</f>
        <v>ターン数</v>
      </c>
      <c r="I43">
        <v>0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状態異常CA</v>
      </c>
    </row>
    <row r="44" spans="1:21">
      <c r="A44">
        <v>2080</v>
      </c>
      <c r="B44">
        <v>2080</v>
      </c>
      <c r="C44" t="str">
        <f>INDEX(TextData!B:B,MATCH(B44,TextData!A:A))</f>
        <v>反撃</v>
      </c>
      <c r="D44">
        <v>0</v>
      </c>
      <c r="E44">
        <v>4</v>
      </c>
      <c r="F44" t="s">
        <v>37</v>
      </c>
      <c r="G44">
        <v>4</v>
      </c>
      <c r="H44" t="str">
        <f>INDEX(Define!B:B,MATCH(G44,Define!A:A))</f>
        <v>効果発揮回数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反撃</v>
      </c>
    </row>
    <row r="45" spans="1:21">
      <c r="A45">
        <v>2090</v>
      </c>
      <c r="B45">
        <v>2090</v>
      </c>
      <c r="C45" t="str">
        <f>INDEX(TextData!B:B,MATCH(B45,TextData!A:A))</f>
        <v>パッシブ封じ</v>
      </c>
      <c r="D45">
        <v>0</v>
      </c>
      <c r="E45">
        <v>10</v>
      </c>
      <c r="F45" t="s">
        <v>44</v>
      </c>
      <c r="G45">
        <v>4</v>
      </c>
      <c r="H45" t="str">
        <f>INDEX(Define!B:B,MATCH(G45,Define!A:A))</f>
        <v>効果発揮回数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1</v>
      </c>
      <c r="P45">
        <v>0</v>
      </c>
      <c r="Q45">
        <v>1</v>
      </c>
      <c r="R45">
        <v>1</v>
      </c>
      <c r="S45">
        <v>0</v>
      </c>
      <c r="T45">
        <v>1</v>
      </c>
      <c r="U45" t="str">
        <f>TextData!B44</f>
        <v>パッシブ封じ</v>
      </c>
    </row>
    <row r="46" spans="1:21">
      <c r="A46">
        <v>2120</v>
      </c>
      <c r="B46">
        <v>2120</v>
      </c>
      <c r="C46" t="str">
        <f>INDEX(TextData!B:B,MATCH(B46,TextData!A:A))</f>
        <v>デバフ強化</v>
      </c>
      <c r="D46">
        <v>0</v>
      </c>
      <c r="E46">
        <v>9</v>
      </c>
      <c r="F46" t="s">
        <v>45</v>
      </c>
      <c r="G46">
        <v>4</v>
      </c>
      <c r="H46" t="str">
        <f>INDEX(Define!B:B,MATCH(G46,Define!A:A))</f>
        <v>効果発揮回数</v>
      </c>
      <c r="I46">
        <v>1</v>
      </c>
      <c r="J46" t="s">
        <v>46</v>
      </c>
      <c r="K46">
        <v>0</v>
      </c>
      <c r="L46">
        <v>0.2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0</v>
      </c>
      <c r="T46">
        <v>1</v>
      </c>
      <c r="U46" t="str">
        <f>TextData!B45</f>
        <v>デバフ強化</v>
      </c>
    </row>
    <row r="47" spans="1:21">
      <c r="A47">
        <v>2130</v>
      </c>
      <c r="B47">
        <v>2130</v>
      </c>
      <c r="C47" t="str">
        <f>INDEX(TextData!B:B,MATCH(B47,TextData!A:A))</f>
        <v>挑発</v>
      </c>
      <c r="D47">
        <v>0</v>
      </c>
      <c r="E47">
        <v>4</v>
      </c>
      <c r="F47" t="s">
        <v>47</v>
      </c>
      <c r="G47">
        <v>1</v>
      </c>
      <c r="H47" t="str">
        <f>INDEX(Define!B:B,MATCH(G47,Define!A:A))</f>
        <v>ターン数</v>
      </c>
      <c r="I47">
        <v>0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>
        <v>0</v>
      </c>
      <c r="T47">
        <v>1</v>
      </c>
      <c r="U47" t="str">
        <f>TextData!B46</f>
        <v>挑発</v>
      </c>
    </row>
    <row r="48" spans="1:21">
      <c r="A48">
        <v>2140</v>
      </c>
      <c r="B48">
        <v>2140</v>
      </c>
      <c r="C48" t="str">
        <f>INDEX(TextData!B:B,MATCH(B48,TextData!A:A))</f>
        <v>凍結</v>
      </c>
      <c r="D48">
        <v>18</v>
      </c>
      <c r="E48">
        <v>44</v>
      </c>
      <c r="F48" t="s">
        <v>48</v>
      </c>
      <c r="G48">
        <v>4</v>
      </c>
      <c r="H48" t="str">
        <f>INDEX(Define!B:B,MATCH(G48,Define!A:A))</f>
        <v>効果発揮回数</v>
      </c>
      <c r="I48">
        <v>1</v>
      </c>
      <c r="J48" t="s">
        <v>49</v>
      </c>
      <c r="K48">
        <v>0</v>
      </c>
      <c r="L48">
        <v>1</v>
      </c>
      <c r="M48">
        <v>0</v>
      </c>
      <c r="N48">
        <v>0</v>
      </c>
      <c r="O48">
        <v>1</v>
      </c>
      <c r="P48">
        <v>0</v>
      </c>
      <c r="Q48">
        <v>1</v>
      </c>
      <c r="R48">
        <v>1</v>
      </c>
      <c r="S48">
        <v>0</v>
      </c>
      <c r="T48">
        <v>1</v>
      </c>
      <c r="U48" t="str">
        <f>TextData!B47</f>
        <v>凍結</v>
      </c>
    </row>
    <row r="49" spans="1:21">
      <c r="A49">
        <v>2150</v>
      </c>
      <c r="B49">
        <v>2150</v>
      </c>
      <c r="C49" t="str">
        <f>INDEX(TextData!B:B,MATCH(B49,TextData!A:A))</f>
        <v>スタン</v>
      </c>
      <c r="D49">
        <v>0</v>
      </c>
      <c r="E49">
        <v>5</v>
      </c>
      <c r="F49" t="s">
        <v>50</v>
      </c>
      <c r="G49">
        <v>2</v>
      </c>
      <c r="H49" t="str">
        <f>INDEX(Define!B:B,MATCH(G49,Define!A:A))</f>
        <v>APカウント</v>
      </c>
      <c r="I49">
        <v>0</v>
      </c>
      <c r="J49" t="s">
        <v>51</v>
      </c>
      <c r="K49">
        <v>0</v>
      </c>
      <c r="L49">
        <v>1</v>
      </c>
      <c r="M49">
        <v>0</v>
      </c>
      <c r="N49">
        <v>0</v>
      </c>
      <c r="O49">
        <v>1</v>
      </c>
      <c r="P49">
        <v>0</v>
      </c>
      <c r="Q49">
        <v>1</v>
      </c>
      <c r="R49">
        <v>1</v>
      </c>
      <c r="S49">
        <v>0</v>
      </c>
      <c r="T49">
        <v>1</v>
      </c>
      <c r="U49" t="str">
        <f>TextData!B48</f>
        <v>スタン</v>
      </c>
    </row>
    <row r="50" spans="1:21">
      <c r="A50">
        <v>2180</v>
      </c>
      <c r="B50">
        <v>2180</v>
      </c>
      <c r="C50" t="str">
        <f>INDEX(TextData!B:B,MATCH(B50,TextData!A:A))</f>
        <v>状態異常回避</v>
      </c>
      <c r="D50">
        <v>0</v>
      </c>
      <c r="E50">
        <v>99</v>
      </c>
      <c r="F50" t="s">
        <v>52</v>
      </c>
      <c r="G50">
        <v>4</v>
      </c>
      <c r="H50" t="str">
        <f>INDEX(Define!B:B,MATCH(G50,Define!A:A))</f>
        <v>効果発揮回数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 t="str">
        <f>TextData!B49</f>
        <v>状態異常回避</v>
      </c>
    </row>
    <row r="51" spans="1:21">
      <c r="A51">
        <v>2190</v>
      </c>
      <c r="B51">
        <v>2190</v>
      </c>
      <c r="C51" t="str">
        <f>INDEX(TextData!B:B,MATCH(B51,TextData!A:A))</f>
        <v>対象範囲延長</v>
      </c>
      <c r="D51">
        <v>0</v>
      </c>
      <c r="E51">
        <v>73</v>
      </c>
      <c r="F51" t="s">
        <v>53</v>
      </c>
      <c r="G51">
        <v>1</v>
      </c>
      <c r="H51" t="str">
        <f>INDEX(Define!B:B,MATCH(G51,Define!A:A))</f>
        <v>ターン数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 t="str">
        <f>TextData!B50</f>
        <v>対象範囲延長</v>
      </c>
    </row>
    <row r="52" spans="1:21">
      <c r="A52">
        <v>2210</v>
      </c>
      <c r="B52">
        <v>2210</v>
      </c>
      <c r="C52" t="str">
        <f>INDEX(TextData!B:B,MATCH(B52,TextData!A:A))</f>
        <v>アフターヒール</v>
      </c>
      <c r="D52">
        <v>0</v>
      </c>
      <c r="E52">
        <v>63</v>
      </c>
      <c r="F52" t="s">
        <v>39</v>
      </c>
      <c r="G52">
        <v>1</v>
      </c>
      <c r="H52" t="str">
        <f>INDEX(Define!B:B,MATCH(G52,Define!A:A))</f>
        <v>ターン数</v>
      </c>
      <c r="I52">
        <v>1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アフターヒール</v>
      </c>
    </row>
    <row r="53" spans="1:21">
      <c r="A53">
        <v>2220</v>
      </c>
      <c r="B53">
        <v>2220</v>
      </c>
      <c r="C53" t="str">
        <f>INDEX(TextData!B:B,MATCH(B53,TextData!A:A))</f>
        <v>即死付与</v>
      </c>
      <c r="D53">
        <v>0</v>
      </c>
      <c r="E53">
        <v>1</v>
      </c>
      <c r="F53" t="s">
        <v>19</v>
      </c>
      <c r="G53">
        <v>1</v>
      </c>
      <c r="H53" t="str">
        <f>INDEX(Define!B:B,MATCH(G53,Define!A:A))</f>
        <v>ターン数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1</v>
      </c>
      <c r="U53" t="str">
        <f>TextData!B52</f>
        <v>即死付与</v>
      </c>
    </row>
    <row r="54" spans="1:21">
      <c r="A54">
        <v>2230</v>
      </c>
      <c r="B54">
        <v>2230</v>
      </c>
      <c r="C54" t="str">
        <f>INDEX(TextData!B:B,MATCH(B54,TextData!A:A))</f>
        <v>同時回復</v>
      </c>
      <c r="D54">
        <v>0</v>
      </c>
      <c r="E54">
        <v>46</v>
      </c>
      <c r="F54" t="s">
        <v>39</v>
      </c>
      <c r="G54">
        <v>0</v>
      </c>
      <c r="H54" t="str">
        <f>INDEX(Define!B:B,MATCH(G54,Define!A:A))</f>
        <v>なし</v>
      </c>
      <c r="I54">
        <v>1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同時回復</v>
      </c>
    </row>
    <row r="55" spans="1:21">
      <c r="A55">
        <v>2240</v>
      </c>
      <c r="B55">
        <v>2240</v>
      </c>
      <c r="C55" t="str">
        <f>INDEX(TextData!B:B,MATCH(B55,TextData!A:A))</f>
        <v>必中</v>
      </c>
      <c r="D55">
        <v>0</v>
      </c>
      <c r="E55">
        <v>62</v>
      </c>
      <c r="F55" t="s">
        <v>29</v>
      </c>
      <c r="G55">
        <v>4</v>
      </c>
      <c r="H55" t="str">
        <f>INDEX(Define!B:B,MATCH(G55,Define!A:A))</f>
        <v>効果発揮回数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必中</v>
      </c>
    </row>
    <row r="56" spans="1:21">
      <c r="A56">
        <v>2250</v>
      </c>
      <c r="B56">
        <v>2250</v>
      </c>
      <c r="C56" t="str">
        <f>INDEX(TextData!B:B,MATCH(B56,TextData!A:A))</f>
        <v>アシストヒール</v>
      </c>
      <c r="D56">
        <v>0</v>
      </c>
      <c r="E56">
        <v>46</v>
      </c>
      <c r="F56" t="s">
        <v>54</v>
      </c>
      <c r="G56">
        <v>0</v>
      </c>
      <c r="H56" t="str">
        <f>INDEX(Define!B:B,MATCH(G56,Define!A:A))</f>
        <v>なし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アシストヒール</v>
      </c>
    </row>
    <row r="57" spans="1:21">
      <c r="A57">
        <v>2270</v>
      </c>
      <c r="B57">
        <v>2270</v>
      </c>
      <c r="C57" t="str">
        <f>INDEX(TextData!B:B,MATCH(B57,TextData!A:A))</f>
        <v>アンデッド</v>
      </c>
      <c r="D57">
        <v>0</v>
      </c>
      <c r="E57">
        <v>9</v>
      </c>
      <c r="F57" t="s">
        <v>55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アンデッド</v>
      </c>
    </row>
    <row r="58" spans="1:21">
      <c r="A58">
        <v>2280</v>
      </c>
      <c r="B58">
        <v>2280</v>
      </c>
      <c r="C58" t="str">
        <f>INDEX(TextData!B:B,MATCH(B58,TextData!A:A))</f>
        <v>アクセル</v>
      </c>
      <c r="D58">
        <v>0</v>
      </c>
      <c r="E58">
        <v>25</v>
      </c>
      <c r="F58" t="s">
        <v>21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アクセル</v>
      </c>
    </row>
    <row r="59" spans="1:21">
      <c r="A59">
        <v>2290</v>
      </c>
      <c r="B59">
        <v>2290</v>
      </c>
      <c r="C59" t="str">
        <f>INDEX(TextData!B:B,MATCH(B59,TextData!A:A))</f>
        <v>ダメージ威力アップ</v>
      </c>
      <c r="D59">
        <v>0</v>
      </c>
      <c r="E59">
        <v>21</v>
      </c>
      <c r="F59" t="s">
        <v>56</v>
      </c>
      <c r="G59">
        <v>1</v>
      </c>
      <c r="H59" t="str">
        <f>INDEX(Define!B:B,MATCH(G59,Define!A:A))</f>
        <v>ターン数</v>
      </c>
      <c r="I59">
        <v>1</v>
      </c>
      <c r="J59" t="s">
        <v>20</v>
      </c>
      <c r="K59">
        <v>0</v>
      </c>
      <c r="L59">
        <v>1</v>
      </c>
      <c r="M59">
        <v>10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1</v>
      </c>
      <c r="U59" t="str">
        <f>TextData!B58</f>
        <v>ダメージ威力アップ</v>
      </c>
    </row>
    <row r="60" spans="1:21">
      <c r="A60">
        <v>2320</v>
      </c>
      <c r="B60">
        <v>2320</v>
      </c>
      <c r="C60" t="str">
        <f>INDEX(TextData!B:B,MATCH(B60,TextData!A:A))</f>
        <v>バフ解除</v>
      </c>
      <c r="D60">
        <v>0</v>
      </c>
      <c r="E60">
        <v>0</v>
      </c>
      <c r="F60">
        <v>1</v>
      </c>
      <c r="G60">
        <v>0</v>
      </c>
      <c r="H60" t="str">
        <f>INDEX(Define!B:B,MATCH(G60,Define!A:A))</f>
        <v>なし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バフ解除</v>
      </c>
    </row>
    <row r="61" spans="1:21">
      <c r="A61">
        <v>2330</v>
      </c>
      <c r="B61">
        <v>2330</v>
      </c>
      <c r="C61" t="str">
        <f>INDEX(TextData!B:B,MATCH(B61,TextData!A:A))</f>
        <v>貫通</v>
      </c>
      <c r="D61">
        <v>0</v>
      </c>
      <c r="E61">
        <v>56</v>
      </c>
      <c r="F61" t="s">
        <v>57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貫通</v>
      </c>
    </row>
    <row r="62" spans="1:21">
      <c r="A62">
        <v>2340</v>
      </c>
      <c r="B62">
        <v>2340</v>
      </c>
      <c r="C62" t="str">
        <f>INDEX(TextData!B:B,MATCH(B62,TextData!A:A))</f>
        <v>対象列化</v>
      </c>
      <c r="D62">
        <v>0</v>
      </c>
      <c r="E62">
        <v>66</v>
      </c>
      <c r="F62" t="s">
        <v>58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対象列化</v>
      </c>
    </row>
    <row r="63" spans="1:21">
      <c r="A63">
        <v>2341</v>
      </c>
      <c r="B63">
        <v>2341</v>
      </c>
      <c r="C63" t="str">
        <f>INDEX(TextData!B:B,MATCH(B63,TextData!A:A))</f>
        <v>対象全体化</v>
      </c>
      <c r="D63">
        <v>0</v>
      </c>
      <c r="E63">
        <v>66</v>
      </c>
      <c r="F63" t="s">
        <v>59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対象全体化</v>
      </c>
    </row>
    <row r="64" spans="1:21">
      <c r="A64">
        <v>2350</v>
      </c>
      <c r="B64">
        <v>2350</v>
      </c>
      <c r="C64" t="str">
        <f>INDEX(TextData!B:B,MATCH(B64,TextData!A:A))</f>
        <v>聖棺</v>
      </c>
      <c r="D64">
        <v>0</v>
      </c>
      <c r="E64">
        <v>0</v>
      </c>
      <c r="F64" t="s">
        <v>60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聖棺</v>
      </c>
    </row>
    <row r="65" spans="1:21">
      <c r="A65">
        <v>2360</v>
      </c>
      <c r="B65">
        <v>2360</v>
      </c>
      <c r="C65" t="str">
        <f>INDEX(TextData!B:B,MATCH(B65,TextData!A:A))</f>
        <v>追加ダメージ</v>
      </c>
      <c r="D65">
        <v>0</v>
      </c>
      <c r="E65">
        <v>13</v>
      </c>
      <c r="F65" t="s">
        <v>61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追加ダメージ</v>
      </c>
    </row>
    <row r="66" spans="1:21">
      <c r="A66">
        <v>2370</v>
      </c>
      <c r="B66">
        <v>2370</v>
      </c>
      <c r="C66" t="str">
        <f>INDEX(TextData!B:B,MATCH(B66,TextData!A:A))</f>
        <v>追加効果</v>
      </c>
      <c r="D66">
        <v>0</v>
      </c>
      <c r="E66">
        <v>56</v>
      </c>
      <c r="F66" t="s">
        <v>61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追加効果</v>
      </c>
    </row>
    <row r="67" spans="1:21">
      <c r="A67">
        <v>2380</v>
      </c>
      <c r="B67">
        <v>2380</v>
      </c>
      <c r="C67" t="str">
        <f>INDEX(TextData!B:B,MATCH(B67,TextData!A:A))</f>
        <v>透明</v>
      </c>
      <c r="D67">
        <v>0</v>
      </c>
      <c r="E67">
        <v>0</v>
      </c>
      <c r="F67" t="s">
        <v>62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透明</v>
      </c>
    </row>
    <row r="68" spans="1:21">
      <c r="A68">
        <v>2390</v>
      </c>
      <c r="B68">
        <v>2390</v>
      </c>
      <c r="C68" t="str">
        <f>INDEX(TextData!B:B,MATCH(B68,TextData!A:A))</f>
        <v>沈黙</v>
      </c>
      <c r="D68">
        <v>36</v>
      </c>
      <c r="E68">
        <v>3</v>
      </c>
      <c r="F68" t="s">
        <v>63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1</v>
      </c>
      <c r="P68">
        <v>0</v>
      </c>
      <c r="Q68">
        <v>1</v>
      </c>
      <c r="R68">
        <v>1</v>
      </c>
      <c r="S68">
        <v>0</v>
      </c>
      <c r="T68">
        <v>1</v>
      </c>
      <c r="U68" t="str">
        <f>TextData!B67</f>
        <v>沈黙</v>
      </c>
    </row>
    <row r="69" spans="1:21">
      <c r="A69">
        <v>2400</v>
      </c>
      <c r="B69">
        <v>2400</v>
      </c>
      <c r="C69" t="str">
        <f>INDEX(TextData!B:B,MATCH(B69,TextData!A:A))</f>
        <v>不治</v>
      </c>
      <c r="D69">
        <v>0</v>
      </c>
      <c r="E69">
        <v>0</v>
      </c>
      <c r="F69" t="s">
        <v>64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1</v>
      </c>
      <c r="P69">
        <v>0</v>
      </c>
      <c r="Q69">
        <v>1</v>
      </c>
      <c r="R69">
        <v>1</v>
      </c>
      <c r="S69">
        <v>0</v>
      </c>
      <c r="T69">
        <v>1</v>
      </c>
      <c r="U69" t="str">
        <f>TextData!B68</f>
        <v>不治</v>
      </c>
    </row>
    <row r="70" spans="1:21">
      <c r="A70">
        <v>2410</v>
      </c>
      <c r="B70">
        <v>2410</v>
      </c>
      <c r="C70" t="str">
        <f>INDEX(TextData!B:B,MATCH(B70,TextData!A:A))</f>
        <v>シールド</v>
      </c>
      <c r="D70">
        <v>0</v>
      </c>
      <c r="E70">
        <v>0</v>
      </c>
      <c r="F70" t="s">
        <v>65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0</v>
      </c>
      <c r="S70">
        <v>0</v>
      </c>
      <c r="T70">
        <v>1</v>
      </c>
      <c r="U70" t="str">
        <f>TextData!B69</f>
        <v>シールド</v>
      </c>
    </row>
    <row r="71" spans="1:21">
      <c r="A71">
        <v>2420</v>
      </c>
      <c r="B71">
        <v>2420</v>
      </c>
      <c r="C71" t="str">
        <f>INDEX(TextData!B:B,MATCH(B71,TextData!A:A))</f>
        <v>フォロー</v>
      </c>
      <c r="D71">
        <v>0</v>
      </c>
      <c r="E71">
        <v>0</v>
      </c>
      <c r="F71" t="s">
        <v>66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0</v>
      </c>
      <c r="T71">
        <v>1</v>
      </c>
      <c r="U71" t="str">
        <f>TextData!B70</f>
        <v>フォロー</v>
      </c>
    </row>
    <row r="72" spans="1:21">
      <c r="A72">
        <v>2430</v>
      </c>
      <c r="B72">
        <v>2430</v>
      </c>
      <c r="C72" t="str">
        <f>INDEX(TextData!B:B,MATCH(B72,TextData!A:A))</f>
        <v>かばう</v>
      </c>
      <c r="D72">
        <v>0</v>
      </c>
      <c r="E72">
        <v>0</v>
      </c>
      <c r="F72" t="s">
        <v>67</v>
      </c>
      <c r="G72">
        <v>6</v>
      </c>
      <c r="H72" t="str">
        <f>INDEX(Define!B:B,MATCH(G72,Define!A:A))</f>
        <v>ターンの終了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1</v>
      </c>
      <c r="T72">
        <v>1</v>
      </c>
      <c r="U72" t="str">
        <f>TextData!B71</f>
        <v>かばう</v>
      </c>
    </row>
    <row r="73" spans="1:21">
      <c r="A73">
        <v>2440</v>
      </c>
      <c r="B73">
        <v>2440</v>
      </c>
      <c r="C73" t="str">
        <f>INDEX(TextData!B:B,MATCH(B73,TextData!A:A))</f>
        <v>Ap消費半減</v>
      </c>
      <c r="D73">
        <v>0</v>
      </c>
      <c r="E73">
        <v>0</v>
      </c>
      <c r="F73" t="s">
        <v>21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Ap消費半減</v>
      </c>
    </row>
    <row r="74" spans="1:21">
      <c r="A74">
        <v>2450</v>
      </c>
      <c r="B74">
        <v>2450</v>
      </c>
      <c r="C74" t="str">
        <f>INDEX(TextData!B:B,MATCH(B74,TextData!A:A))</f>
        <v>不死</v>
      </c>
      <c r="D74">
        <v>0</v>
      </c>
      <c r="E74">
        <v>0</v>
      </c>
      <c r="F74" t="s">
        <v>55</v>
      </c>
      <c r="G74">
        <v>4</v>
      </c>
      <c r="H74" t="str">
        <f>INDEX(Define!B:B,MATCH(G74,Define!A:A))</f>
        <v>効果発揮回数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1</v>
      </c>
      <c r="S74">
        <v>0</v>
      </c>
      <c r="T74">
        <v>1</v>
      </c>
      <c r="U74" t="str">
        <f>TextData!B73</f>
        <v>不死</v>
      </c>
    </row>
    <row r="75" spans="1:21">
      <c r="A75">
        <v>2460</v>
      </c>
      <c r="B75">
        <v>2460</v>
      </c>
      <c r="C75" t="str">
        <f>INDEX(TextData!B:B,MATCH(B75,TextData!A:A))</f>
        <v>Hp回復効果アップ</v>
      </c>
      <c r="D75">
        <v>0</v>
      </c>
      <c r="E75">
        <v>0</v>
      </c>
      <c r="F75" t="s">
        <v>68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0</v>
      </c>
      <c r="S75">
        <v>0</v>
      </c>
      <c r="T75">
        <v>1</v>
      </c>
      <c r="U75" t="str">
        <f>TextData!B74</f>
        <v>Hp回復効果アップ</v>
      </c>
    </row>
    <row r="76" spans="1:21">
      <c r="A76">
        <v>2470</v>
      </c>
      <c r="B76">
        <v>2470</v>
      </c>
      <c r="C76" t="str">
        <f>INDEX(TextData!B:B,MATCH(B76,TextData!A:A))</f>
        <v>呪詛</v>
      </c>
      <c r="D76">
        <v>0</v>
      </c>
      <c r="E76">
        <v>0</v>
      </c>
      <c r="F76" t="s">
        <v>69</v>
      </c>
      <c r="G76">
        <v>4</v>
      </c>
      <c r="H76" t="str">
        <f>INDEX(Define!B:B,MATCH(G76,Define!A:A))</f>
        <v>効果発揮回数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1</v>
      </c>
      <c r="S76">
        <v>0</v>
      </c>
      <c r="T76">
        <v>1</v>
      </c>
      <c r="U76" t="str">
        <f>TextData!B75</f>
        <v>呪詛</v>
      </c>
    </row>
    <row r="77" spans="1:21">
      <c r="A77">
        <v>3010</v>
      </c>
      <c r="B77">
        <v>3010</v>
      </c>
      <c r="C77" t="str">
        <f>INDEX(TextData!B:B,MATCH(B77,TextData!A:A))</f>
        <v>チャージ</v>
      </c>
      <c r="D77">
        <v>0</v>
      </c>
      <c r="E77">
        <v>0</v>
      </c>
      <c r="F77" t="s">
        <v>61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 t="str">
        <f>TextData!B76</f>
        <v>チャージ</v>
      </c>
    </row>
    <row r="78" spans="1:21">
      <c r="A78">
        <v>3020</v>
      </c>
      <c r="B78">
        <v>3020</v>
      </c>
      <c r="C78" t="str">
        <f>INDEX(TextData!B:B,MATCH(B78,TextData!A:A))</f>
        <v>リンケージ</v>
      </c>
      <c r="D78">
        <v>0</v>
      </c>
      <c r="E78">
        <v>0</v>
      </c>
      <c r="F78" t="s">
        <v>61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 t="str">
        <f>TextData!B77</f>
        <v>リンケージ</v>
      </c>
    </row>
    <row r="79" spans="1:21">
      <c r="A79">
        <v>9999</v>
      </c>
      <c r="B79">
        <v>9999</v>
      </c>
      <c r="C79" t="str">
        <f>INDEX(TextData!B:B,MATCH(B79,TextData!A:A))</f>
        <v>テスト用</v>
      </c>
      <c r="D79">
        <v>0</v>
      </c>
      <c r="E79">
        <v>0</v>
      </c>
      <c r="F79" t="s">
        <v>61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 t="str">
        <f>TextData!B78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8"/>
  <sheetViews>
    <sheetView zoomScale="110" zoomScaleNormal="110" topLeftCell="A13" workbookViewId="0">
      <selection activeCell="A21" sqref="A21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70</v>
      </c>
      <c r="C1" t="s">
        <v>71</v>
      </c>
    </row>
    <row r="2" spans="1:3">
      <c r="A2">
        <v>1</v>
      </c>
      <c r="B2" t="s">
        <v>72</v>
      </c>
      <c r="C2" t="s">
        <v>20</v>
      </c>
    </row>
    <row r="3" spans="1:3">
      <c r="A3">
        <v>10</v>
      </c>
      <c r="B3" t="s">
        <v>73</v>
      </c>
      <c r="C3" t="s">
        <v>20</v>
      </c>
    </row>
    <row r="4" spans="1:3">
      <c r="A4">
        <v>201</v>
      </c>
      <c r="B4" t="s">
        <v>74</v>
      </c>
      <c r="C4" t="s">
        <v>75</v>
      </c>
    </row>
    <row r="5" spans="1:3">
      <c r="A5">
        <v>202</v>
      </c>
      <c r="B5" t="s">
        <v>76</v>
      </c>
      <c r="C5" t="s">
        <v>77</v>
      </c>
    </row>
    <row r="6" spans="1:3">
      <c r="A6">
        <v>203</v>
      </c>
      <c r="B6" t="s">
        <v>78</v>
      </c>
      <c r="C6" t="s">
        <v>79</v>
      </c>
    </row>
    <row r="7" spans="1:3">
      <c r="A7">
        <v>204</v>
      </c>
      <c r="B7" t="s">
        <v>80</v>
      </c>
      <c r="C7" t="s">
        <v>81</v>
      </c>
    </row>
    <row r="8" spans="1:3">
      <c r="A8">
        <v>205</v>
      </c>
      <c r="B8" t="s">
        <v>82</v>
      </c>
      <c r="C8" t="s">
        <v>83</v>
      </c>
    </row>
    <row r="9" spans="1:3">
      <c r="A9">
        <v>1010</v>
      </c>
      <c r="B9" t="s">
        <v>84</v>
      </c>
      <c r="C9" t="s">
        <v>85</v>
      </c>
    </row>
    <row r="10" spans="1:3">
      <c r="A10">
        <v>1011</v>
      </c>
      <c r="B10" t="s">
        <v>86</v>
      </c>
      <c r="C10" t="s">
        <v>87</v>
      </c>
    </row>
    <row r="11" spans="1:3">
      <c r="A11">
        <v>1020</v>
      </c>
      <c r="B11" t="s">
        <v>88</v>
      </c>
      <c r="C11" t="s">
        <v>89</v>
      </c>
    </row>
    <row r="12" spans="1:3">
      <c r="A12">
        <v>1030</v>
      </c>
      <c r="B12" t="s">
        <v>90</v>
      </c>
      <c r="C12" t="s">
        <v>91</v>
      </c>
    </row>
    <row r="13" spans="1:3">
      <c r="A13">
        <v>1040</v>
      </c>
      <c r="B13" t="s">
        <v>92</v>
      </c>
      <c r="C13" t="s">
        <v>93</v>
      </c>
    </row>
    <row r="14" spans="1:3">
      <c r="A14">
        <v>1041</v>
      </c>
      <c r="B14" t="s">
        <v>94</v>
      </c>
      <c r="C14" t="s">
        <v>95</v>
      </c>
    </row>
    <row r="15" spans="1:3">
      <c r="A15">
        <v>1043</v>
      </c>
      <c r="B15" t="s">
        <v>96</v>
      </c>
      <c r="C15" t="s">
        <v>97</v>
      </c>
    </row>
    <row r="16" spans="1:3">
      <c r="A16">
        <v>1044</v>
      </c>
      <c r="B16" t="s">
        <v>92</v>
      </c>
      <c r="C16" t="s">
        <v>93</v>
      </c>
    </row>
    <row r="17" spans="1:3">
      <c r="A17">
        <v>1050</v>
      </c>
      <c r="B17" t="s">
        <v>98</v>
      </c>
      <c r="C17" t="s">
        <v>99</v>
      </c>
    </row>
    <row r="18" spans="1:3">
      <c r="A18">
        <v>1051</v>
      </c>
      <c r="B18" t="s">
        <v>100</v>
      </c>
      <c r="C18" t="s">
        <v>101</v>
      </c>
    </row>
    <row r="19" spans="1:3">
      <c r="A19">
        <v>1052</v>
      </c>
      <c r="B19" t="s">
        <v>98</v>
      </c>
      <c r="C19" t="s">
        <v>102</v>
      </c>
    </row>
    <row r="20" spans="1:3">
      <c r="A20">
        <v>1053</v>
      </c>
      <c r="B20" t="s">
        <v>100</v>
      </c>
      <c r="C20" t="s">
        <v>103</v>
      </c>
    </row>
    <row r="21" spans="1:3">
      <c r="A21">
        <v>1060</v>
      </c>
      <c r="B21" t="s">
        <v>104</v>
      </c>
      <c r="C21" t="s">
        <v>105</v>
      </c>
    </row>
    <row r="22" spans="1:3">
      <c r="A22">
        <v>1070</v>
      </c>
      <c r="B22" t="s">
        <v>106</v>
      </c>
      <c r="C22" t="s">
        <v>107</v>
      </c>
    </row>
    <row r="23" spans="1:3">
      <c r="A23">
        <v>1071</v>
      </c>
      <c r="B23" t="s">
        <v>108</v>
      </c>
      <c r="C23" t="s">
        <v>109</v>
      </c>
    </row>
    <row r="24" spans="1:3">
      <c r="A24">
        <v>1074</v>
      </c>
      <c r="B24" t="s">
        <v>110</v>
      </c>
      <c r="C24" t="s">
        <v>111</v>
      </c>
    </row>
    <row r="25" spans="1:3">
      <c r="A25">
        <v>1080</v>
      </c>
      <c r="B25" t="s">
        <v>112</v>
      </c>
      <c r="C25" t="s">
        <v>113</v>
      </c>
    </row>
    <row r="26" spans="1:3">
      <c r="A26">
        <v>1081</v>
      </c>
      <c r="B26" t="s">
        <v>112</v>
      </c>
      <c r="C26" t="s">
        <v>113</v>
      </c>
    </row>
    <row r="27" spans="1:3">
      <c r="A27">
        <v>1082</v>
      </c>
      <c r="B27" t="s">
        <v>114</v>
      </c>
      <c r="C27" t="s">
        <v>115</v>
      </c>
    </row>
    <row r="28" spans="1:3">
      <c r="A28">
        <v>1090</v>
      </c>
      <c r="B28" t="s">
        <v>116</v>
      </c>
      <c r="C28" t="s">
        <v>117</v>
      </c>
    </row>
    <row r="29" spans="1:3">
      <c r="A29">
        <v>1091</v>
      </c>
      <c r="B29" t="s">
        <v>118</v>
      </c>
      <c r="C29" t="s">
        <v>119</v>
      </c>
    </row>
    <row r="30" spans="1:3">
      <c r="A30">
        <v>1092</v>
      </c>
      <c r="B30" t="s">
        <v>116</v>
      </c>
      <c r="C30" t="s">
        <v>117</v>
      </c>
    </row>
    <row r="31" spans="1:3">
      <c r="A31">
        <v>1100</v>
      </c>
      <c r="B31" t="s">
        <v>120</v>
      </c>
      <c r="C31" t="s">
        <v>121</v>
      </c>
    </row>
    <row r="32" spans="1:3">
      <c r="A32">
        <v>1101</v>
      </c>
      <c r="B32" t="s">
        <v>120</v>
      </c>
      <c r="C32" t="s">
        <v>122</v>
      </c>
    </row>
    <row r="33" spans="1:3">
      <c r="A33">
        <v>2010</v>
      </c>
      <c r="B33" t="s">
        <v>34</v>
      </c>
      <c r="C33" t="s">
        <v>123</v>
      </c>
    </row>
    <row r="34" spans="1:3">
      <c r="A34">
        <v>2012</v>
      </c>
      <c r="B34" t="s">
        <v>35</v>
      </c>
      <c r="C34" t="s">
        <v>123</v>
      </c>
    </row>
    <row r="35" spans="1:3">
      <c r="A35">
        <v>2020</v>
      </c>
      <c r="B35" t="s">
        <v>124</v>
      </c>
      <c r="C35" t="s">
        <v>125</v>
      </c>
    </row>
    <row r="36" spans="1:3">
      <c r="A36">
        <v>2030</v>
      </c>
      <c r="B36" t="s">
        <v>126</v>
      </c>
      <c r="C36" t="s">
        <v>127</v>
      </c>
    </row>
    <row r="37" spans="1:3">
      <c r="A37">
        <v>2031</v>
      </c>
      <c r="B37" t="s">
        <v>128</v>
      </c>
      <c r="C37" t="s">
        <v>129</v>
      </c>
    </row>
    <row r="38" spans="1:3">
      <c r="A38">
        <v>2032</v>
      </c>
      <c r="B38" t="s">
        <v>130</v>
      </c>
      <c r="C38" t="s">
        <v>131</v>
      </c>
    </row>
    <row r="39" spans="1:3">
      <c r="A39">
        <v>2040</v>
      </c>
      <c r="B39" t="s">
        <v>132</v>
      </c>
      <c r="C39" t="s">
        <v>133</v>
      </c>
    </row>
    <row r="40" spans="1:3">
      <c r="A40">
        <v>2050</v>
      </c>
      <c r="B40" t="s">
        <v>134</v>
      </c>
      <c r="C40" t="s">
        <v>135</v>
      </c>
    </row>
    <row r="41" spans="1:3">
      <c r="A41">
        <v>2060</v>
      </c>
      <c r="B41" t="s">
        <v>136</v>
      </c>
      <c r="C41" t="s">
        <v>137</v>
      </c>
    </row>
    <row r="42" spans="1:3">
      <c r="A42">
        <v>2070</v>
      </c>
      <c r="B42" t="s">
        <v>138</v>
      </c>
      <c r="C42" t="s">
        <v>139</v>
      </c>
    </row>
    <row r="43" spans="1:3">
      <c r="A43">
        <v>2080</v>
      </c>
      <c r="B43" t="s">
        <v>140</v>
      </c>
      <c r="C43" t="s">
        <v>141</v>
      </c>
    </row>
    <row r="44" spans="1:3">
      <c r="A44">
        <v>2090</v>
      </c>
      <c r="B44" t="s">
        <v>142</v>
      </c>
      <c r="C44" t="s">
        <v>143</v>
      </c>
    </row>
    <row r="45" spans="1:3">
      <c r="A45">
        <v>2120</v>
      </c>
      <c r="B45" t="s">
        <v>144</v>
      </c>
      <c r="C45" t="s">
        <v>145</v>
      </c>
    </row>
    <row r="46" spans="1:3">
      <c r="A46">
        <v>2130</v>
      </c>
      <c r="B46" t="s">
        <v>146</v>
      </c>
      <c r="C46" t="s">
        <v>147</v>
      </c>
    </row>
    <row r="47" spans="1:3">
      <c r="A47">
        <v>2140</v>
      </c>
      <c r="B47" t="s">
        <v>148</v>
      </c>
      <c r="C47" t="s">
        <v>149</v>
      </c>
    </row>
    <row r="48" spans="1:3">
      <c r="A48">
        <v>2150</v>
      </c>
      <c r="B48" t="s">
        <v>150</v>
      </c>
      <c r="C48" t="s">
        <v>151</v>
      </c>
    </row>
    <row r="49" spans="1:3">
      <c r="A49">
        <v>2180</v>
      </c>
      <c r="B49" t="s">
        <v>152</v>
      </c>
      <c r="C49" t="s">
        <v>153</v>
      </c>
    </row>
    <row r="50" spans="1:3">
      <c r="A50">
        <v>2190</v>
      </c>
      <c r="B50" t="s">
        <v>154</v>
      </c>
      <c r="C50" t="s">
        <v>155</v>
      </c>
    </row>
    <row r="51" spans="1:3">
      <c r="A51">
        <v>2210</v>
      </c>
      <c r="B51" t="s">
        <v>156</v>
      </c>
      <c r="C51" t="s">
        <v>157</v>
      </c>
    </row>
    <row r="52" spans="1:3">
      <c r="A52">
        <v>2220</v>
      </c>
      <c r="B52" t="s">
        <v>158</v>
      </c>
      <c r="C52" t="s">
        <v>159</v>
      </c>
    </row>
    <row r="53" spans="1:3">
      <c r="A53">
        <v>2230</v>
      </c>
      <c r="B53" t="s">
        <v>160</v>
      </c>
      <c r="C53" t="s">
        <v>161</v>
      </c>
    </row>
    <row r="54" spans="1:3">
      <c r="A54">
        <v>2240</v>
      </c>
      <c r="B54" t="s">
        <v>162</v>
      </c>
      <c r="C54" t="s">
        <v>163</v>
      </c>
    </row>
    <row r="55" spans="1:3">
      <c r="A55">
        <v>2250</v>
      </c>
      <c r="B55" t="s">
        <v>164</v>
      </c>
      <c r="C55" t="s">
        <v>165</v>
      </c>
    </row>
    <row r="56" spans="1:3">
      <c r="A56">
        <v>2270</v>
      </c>
      <c r="B56" t="s">
        <v>166</v>
      </c>
      <c r="C56" t="s">
        <v>167</v>
      </c>
    </row>
    <row r="57" spans="1:3">
      <c r="A57">
        <v>2280</v>
      </c>
      <c r="B57" t="s">
        <v>168</v>
      </c>
      <c r="C57" t="s">
        <v>169</v>
      </c>
    </row>
    <row r="58" spans="1:3">
      <c r="A58">
        <v>2290</v>
      </c>
      <c r="B58" t="s">
        <v>170</v>
      </c>
      <c r="C58" t="s">
        <v>171</v>
      </c>
    </row>
    <row r="59" spans="1:3">
      <c r="A59">
        <v>2320</v>
      </c>
      <c r="B59" t="s">
        <v>172</v>
      </c>
      <c r="C59" t="s">
        <v>173</v>
      </c>
    </row>
    <row r="60" spans="1:3">
      <c r="A60">
        <v>2330</v>
      </c>
      <c r="B60" t="s">
        <v>174</v>
      </c>
      <c r="C60" t="s">
        <v>175</v>
      </c>
    </row>
    <row r="61" spans="1:3">
      <c r="A61">
        <v>2340</v>
      </c>
      <c r="B61" t="s">
        <v>176</v>
      </c>
      <c r="C61" t="s">
        <v>177</v>
      </c>
    </row>
    <row r="62" spans="1:3">
      <c r="A62">
        <v>2341</v>
      </c>
      <c r="B62" t="s">
        <v>178</v>
      </c>
      <c r="C62" t="s">
        <v>179</v>
      </c>
    </row>
    <row r="63" spans="1:3">
      <c r="A63">
        <v>2350</v>
      </c>
      <c r="B63" t="s">
        <v>180</v>
      </c>
      <c r="C63" t="s">
        <v>181</v>
      </c>
    </row>
    <row r="64" spans="1:3">
      <c r="A64">
        <v>2360</v>
      </c>
      <c r="B64" t="s">
        <v>182</v>
      </c>
      <c r="C64" t="s">
        <v>183</v>
      </c>
    </row>
    <row r="65" spans="1:3">
      <c r="A65">
        <v>2370</v>
      </c>
      <c r="B65" t="s">
        <v>184</v>
      </c>
      <c r="C65" t="s">
        <v>185</v>
      </c>
    </row>
    <row r="66" spans="1:3">
      <c r="A66">
        <v>2380</v>
      </c>
      <c r="B66" t="s">
        <v>186</v>
      </c>
      <c r="C66" t="s">
        <v>187</v>
      </c>
    </row>
    <row r="67" spans="1:3">
      <c r="A67">
        <v>2390</v>
      </c>
      <c r="B67" t="s">
        <v>188</v>
      </c>
      <c r="C67" t="s">
        <v>189</v>
      </c>
    </row>
    <row r="68" spans="1:3">
      <c r="A68">
        <v>2400</v>
      </c>
      <c r="B68" t="s">
        <v>190</v>
      </c>
      <c r="C68" t="s">
        <v>191</v>
      </c>
    </row>
    <row r="69" spans="1:3">
      <c r="A69">
        <v>2410</v>
      </c>
      <c r="B69" t="s">
        <v>192</v>
      </c>
      <c r="C69" t="s">
        <v>193</v>
      </c>
    </row>
    <row r="70" spans="1:3">
      <c r="A70">
        <v>2420</v>
      </c>
      <c r="B70" t="s">
        <v>194</v>
      </c>
      <c r="C70" t="s">
        <v>195</v>
      </c>
    </row>
    <row r="71" spans="1:3">
      <c r="A71">
        <v>2430</v>
      </c>
      <c r="B71" t="s">
        <v>196</v>
      </c>
      <c r="C71" t="s">
        <v>197</v>
      </c>
    </row>
    <row r="72" spans="1:3">
      <c r="A72">
        <v>2440</v>
      </c>
      <c r="B72" t="s">
        <v>198</v>
      </c>
      <c r="C72" t="s">
        <v>199</v>
      </c>
    </row>
    <row r="73" spans="1:3">
      <c r="A73">
        <v>2450</v>
      </c>
      <c r="B73" t="s">
        <v>200</v>
      </c>
      <c r="C73" t="s">
        <v>201</v>
      </c>
    </row>
    <row r="74" spans="1:3">
      <c r="A74">
        <v>2460</v>
      </c>
      <c r="B74" t="s">
        <v>202</v>
      </c>
      <c r="C74" t="s">
        <v>203</v>
      </c>
    </row>
    <row r="75" spans="1:3">
      <c r="A75">
        <v>2470</v>
      </c>
      <c r="B75" t="s">
        <v>204</v>
      </c>
      <c r="C75" t="s">
        <v>205</v>
      </c>
    </row>
    <row r="76" spans="1:3">
      <c r="A76">
        <v>3010</v>
      </c>
      <c r="B76" t="s">
        <v>206</v>
      </c>
      <c r="C76" t="s">
        <v>207</v>
      </c>
    </row>
    <row r="77" spans="1:3">
      <c r="A77">
        <v>3020</v>
      </c>
      <c r="B77" t="s">
        <v>208</v>
      </c>
      <c r="C77" t="s">
        <v>209</v>
      </c>
    </row>
    <row r="78" spans="1:3">
      <c r="A78">
        <v>9999</v>
      </c>
      <c r="B78" t="s">
        <v>210</v>
      </c>
      <c r="C78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211</v>
      </c>
    </row>
    <row r="3" spans="1:2">
      <c r="A3">
        <v>1</v>
      </c>
      <c r="B3" t="s">
        <v>212</v>
      </c>
    </row>
    <row r="4" spans="1:2">
      <c r="A4">
        <v>2</v>
      </c>
      <c r="B4" t="s">
        <v>213</v>
      </c>
    </row>
    <row r="5" spans="1:2">
      <c r="A5">
        <v>3</v>
      </c>
      <c r="B5" t="s">
        <v>214</v>
      </c>
    </row>
    <row r="6" spans="1:2">
      <c r="A6">
        <v>4</v>
      </c>
      <c r="B6" t="s">
        <v>215</v>
      </c>
    </row>
    <row r="7" spans="1:2">
      <c r="A7">
        <v>5</v>
      </c>
      <c r="B7" t="s">
        <v>216</v>
      </c>
    </row>
    <row r="8" spans="1:2">
      <c r="A8">
        <v>6</v>
      </c>
      <c r="B8" t="s">
        <v>217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2026-05-17T01:58:05Z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