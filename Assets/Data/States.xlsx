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8650" windowHeight="8390"/>
  </bookViews>
  <sheets>
    <sheet name="States" sheetId="1" r:id="rId1"/>
    <sheet name="TextData" sheetId="2" r:id="rId2"/>
    <sheet name="Define" sheetId="3" r:id="rId3"/>
  </sheets>
  <calcPr calcId="144525" concurrentCalc="0"/>
</workbook>
</file>

<file path=xl/sharedStrings.xml><?xml version="1.0" encoding="utf-8"?>
<sst xmlns="http://schemas.openxmlformats.org/spreadsheetml/2006/main" count="345" uniqueCount="222">
  <si>
    <t>Id</t>
  </si>
  <si>
    <t>NameId</t>
  </si>
  <si>
    <t>_</t>
  </si>
  <si>
    <t>IconBack</t>
  </si>
  <si>
    <t>IconIndex</t>
  </si>
  <si>
    <t>IconPath</t>
  </si>
  <si>
    <t>RemovalTiming</t>
  </si>
  <si>
    <t>OverWrite</t>
  </si>
  <si>
    <t>EffectPath</t>
  </si>
  <si>
    <t>EffectPosition</t>
  </si>
  <si>
    <t>EffectScale</t>
  </si>
  <si>
    <t>OverLap</t>
  </si>
  <si>
    <t>Removal</t>
  </si>
  <si>
    <t>Abnormal</t>
  </si>
  <si>
    <t>Buff</t>
  </si>
  <si>
    <t>DeBuff</t>
  </si>
  <si>
    <t>HitCheck</t>
  </si>
  <si>
    <t>RemoveByAttack</t>
  </si>
  <si>
    <t>RemoveByDeath</t>
  </si>
  <si>
    <t>Death</t>
  </si>
  <si>
    <t>""</t>
  </si>
  <si>
    <t>Wingfoot</t>
  </si>
  <si>
    <t>Butterfly</t>
  </si>
  <si>
    <t>Aura</t>
  </si>
  <si>
    <t>HeartPlus</t>
  </si>
  <si>
    <t>MoebiusTrefoil</t>
  </si>
  <si>
    <t>PointySword</t>
  </si>
  <si>
    <t>Shield</t>
  </si>
  <si>
    <t>Bullseye</t>
  </si>
  <si>
    <t>ArrowScope</t>
  </si>
  <si>
    <t>Dodging</t>
  </si>
  <si>
    <t>BellShield</t>
  </si>
  <si>
    <t>Foam</t>
  </si>
  <si>
    <t>MAGICALxSPIRAL/Salamander7</t>
  </si>
  <si>
    <t>毒</t>
  </si>
  <si>
    <t>火傷</t>
  </si>
  <si>
    <t>Blind</t>
  </si>
  <si>
    <t>ShieldReflect</t>
  </si>
  <si>
    <t>MAGICALxSPIRAL/AquaPoint</t>
  </si>
  <si>
    <t>Healing</t>
  </si>
  <si>
    <t>MagicShield</t>
  </si>
  <si>
    <t>MAGICALxSPIRAL/WHead1</t>
  </si>
  <si>
    <t>HalfHeart</t>
  </si>
  <si>
    <t>HospitalCross</t>
  </si>
  <si>
    <t>Shatter</t>
  </si>
  <si>
    <t>DrippingStar</t>
  </si>
  <si>
    <t>EffekseerVol_3/NA_v3_3d_electrification_dark</t>
  </si>
  <si>
    <t>VitruvianMan</t>
  </si>
  <si>
    <t>Freeze</t>
  </si>
  <si>
    <t>MAGICALxSPIRAL/IcicleLocus</t>
  </si>
  <si>
    <t>Stun</t>
  </si>
  <si>
    <t>MAGICALxSPIRAL/Thunder3</t>
  </si>
  <si>
    <t>Heart</t>
  </si>
  <si>
    <t>Spyglass</t>
  </si>
  <si>
    <t>Dew</t>
  </si>
  <si>
    <t>Slime</t>
  </si>
  <si>
    <t>SabersChoc</t>
  </si>
  <si>
    <t>Mining</t>
  </si>
  <si>
    <t>RoundStar</t>
  </si>
  <si>
    <t>SevenPointedStar</t>
  </si>
  <si>
    <t>Coffin</t>
  </si>
  <si>
    <t>Arrow</t>
  </si>
  <si>
    <t>Invisible</t>
  </si>
  <si>
    <t>NothingToSay</t>
  </si>
  <si>
    <t>PoisonBottle</t>
  </si>
  <si>
    <t>VibratingShield</t>
  </si>
  <si>
    <t>FlyingFlag</t>
  </si>
  <si>
    <t>ShieldBash</t>
  </si>
  <si>
    <t>HealthPotion</t>
  </si>
  <si>
    <t>CursedStar</t>
  </si>
  <si>
    <t>Text</t>
  </si>
  <si>
    <t>Help</t>
  </si>
  <si>
    <t>戦闘不能</t>
  </si>
  <si>
    <t>待機</t>
  </si>
  <si>
    <t>炎適正</t>
  </si>
  <si>
    <t>炎魔法の習得に必要な(Nu)コストをダウン</t>
  </si>
  <si>
    <t>雷適性</t>
  </si>
  <si>
    <t>雷魔法の習得に必要な(Nu)コストをダウン</t>
  </si>
  <si>
    <t>氷適性</t>
  </si>
  <si>
    <t>氷魔法の習得に必要な(Nu)コストをダウン</t>
  </si>
  <si>
    <t>光適性</t>
  </si>
  <si>
    <t>光魔法の習得に必要な(Nu)コストをダウン</t>
  </si>
  <si>
    <t>闇適性</t>
  </si>
  <si>
    <t>闇魔法の習得に必要な(Nu)コストをダウン</t>
  </si>
  <si>
    <t>覚醒</t>
  </si>
  <si>
    <t>ATK,DEF,SPDが\dアップ</t>
  </si>
  <si>
    <t>全ステータスアップ</t>
  </si>
  <si>
    <t>全てのステータスが\dアップ</t>
  </si>
  <si>
    <t>最大Hpアップ</t>
  </si>
  <si>
    <t>MaxHp\dアップ</t>
  </si>
  <si>
    <t>最大Mpアップ</t>
  </si>
  <si>
    <t>MaxMp\dアップ</t>
  </si>
  <si>
    <t>攻撃アップ</t>
  </si>
  <si>
    <t>ATK\dアップ</t>
  </si>
  <si>
    <t>攻撃ダウン</t>
  </si>
  <si>
    <t>ATK\dダウン</t>
  </si>
  <si>
    <t>攻撃%ダウン</t>
  </si>
  <si>
    <t>ATK\d%ダウン</t>
  </si>
  <si>
    <t>防御アップ</t>
  </si>
  <si>
    <t>DEF\dアップ</t>
  </si>
  <si>
    <t>防御ダウン</t>
  </si>
  <si>
    <t>DEF\dダウン</t>
  </si>
  <si>
    <t>DEF\d%アップ</t>
  </si>
  <si>
    <t>DEF\d%ダウン</t>
  </si>
  <si>
    <t>速度アップ</t>
  </si>
  <si>
    <t>SPD\dアップ</t>
  </si>
  <si>
    <t>会心率アップ</t>
  </si>
  <si>
    <t>会心率\d%アップ</t>
  </si>
  <si>
    <t>会心率ダウン</t>
  </si>
  <si>
    <t>会心率\d%ダウン</t>
  </si>
  <si>
    <t>会心ダメージアップ</t>
  </si>
  <si>
    <t>会心ダメージ\d%アップ</t>
  </si>
  <si>
    <t>命中アップ</t>
  </si>
  <si>
    <t>命中率\d%アップ</t>
  </si>
  <si>
    <t>命中ダウン</t>
  </si>
  <si>
    <t>命中率\d%ダウン</t>
  </si>
  <si>
    <t>回避アップ</t>
  </si>
  <si>
    <t>回避率\d%アップ</t>
  </si>
  <si>
    <t>回避ダウン</t>
  </si>
  <si>
    <t>回避率\d%ダウン</t>
  </si>
  <si>
    <t>ダメージカット</t>
  </si>
  <si>
    <t>被ダメージを\d%カットする</t>
  </si>
  <si>
    <t>被ダメージを\dカットする</t>
  </si>
  <si>
    <t>火傷耐性</t>
  </si>
  <si>
    <t>火傷ダメージを\d%カットする</t>
  </si>
  <si>
    <t>行動後ダメージ</t>
  </si>
  <si>
    <t>暗闇</t>
  </si>
  <si>
    <t>一度だけ魔法が相手に命中しなくなる</t>
  </si>
  <si>
    <t>カウンタ</t>
  </si>
  <si>
    <t>攻撃を受けると反撃ダメージ</t>
  </si>
  <si>
    <t>CAダメージ</t>
  </si>
  <si>
    <t>CAの反撃ダメージ\dアップ</t>
  </si>
  <si>
    <t>CAシェル</t>
  </si>
  <si>
    <t>CA成功時のダメージをダウン</t>
  </si>
  <si>
    <t>リジェネ</t>
  </si>
  <si>
    <t>行動後Hp\d回復</t>
  </si>
  <si>
    <t>攻撃無効</t>
  </si>
  <si>
    <t>攻撃が効かなくなる</t>
  </si>
  <si>
    <t>ドレイン</t>
  </si>
  <si>
    <t>攻撃ダメージの\d%分Hp回復</t>
  </si>
  <si>
    <t>状態異常CA</t>
  </si>
  <si>
    <t>状態異常を反射しダメージを与える</t>
  </si>
  <si>
    <t>反撃</t>
  </si>
  <si>
    <t>攻撃された際に行動できる</t>
  </si>
  <si>
    <t>パッシブ封じ</t>
  </si>
  <si>
    <t>パッシブ魔法が発動しなくなる</t>
  </si>
  <si>
    <t>デバフ強化</t>
  </si>
  <si>
    <t>デバフ効果を増加する</t>
  </si>
  <si>
    <t>挑発</t>
  </si>
  <si>
    <t>攻撃の対象を自身に固定する</t>
  </si>
  <si>
    <t>凍結</t>
  </si>
  <si>
    <t>攻撃すると自身にダメージ</t>
  </si>
  <si>
    <t>スタン</t>
  </si>
  <si>
    <t>一定時間行動できなくなる</t>
  </si>
  <si>
    <t>状態異常回避</t>
  </si>
  <si>
    <t>状態異常を回避する</t>
  </si>
  <si>
    <t>対象範囲延長</t>
  </si>
  <si>
    <t>範囲外の対象を選択できる</t>
  </si>
  <si>
    <t>アフターヒール</t>
  </si>
  <si>
    <t>行動後自身のHpを回復</t>
  </si>
  <si>
    <t>即死付与</t>
  </si>
  <si>
    <t>一定確率でダメージが対象のHpになる</t>
  </si>
  <si>
    <t>同時回復</t>
  </si>
  <si>
    <t>Hpを回復すると自身のHpも回復する</t>
  </si>
  <si>
    <t>必中</t>
  </si>
  <si>
    <t>攻撃が必ずあたるようになる</t>
  </si>
  <si>
    <t>アシストヒール</t>
  </si>
  <si>
    <t>攻撃成功時味方全員のHp\d回復</t>
  </si>
  <si>
    <t>アンデッド</t>
  </si>
  <si>
    <t>1度だけ戦闘不能から復活し行動後Hpを\d回復</t>
  </si>
  <si>
    <t>アクセル</t>
  </si>
  <si>
    <t>行動後速度がアップしつづける</t>
  </si>
  <si>
    <t>ダメージ威力アップ</t>
  </si>
  <si>
    <t>攻撃魔法の威力が\d%アップ</t>
  </si>
  <si>
    <t>バフ解除</t>
  </si>
  <si>
    <t>バフを解除する</t>
  </si>
  <si>
    <t>貫通</t>
  </si>
  <si>
    <t>攻撃時相手のDEFを無視する</t>
  </si>
  <si>
    <t>対象列化</t>
  </si>
  <si>
    <t>単体の効果対象が列になる</t>
  </si>
  <si>
    <t>対象全体化</t>
  </si>
  <si>
    <t>効果対象が全体になる</t>
  </si>
  <si>
    <t>聖棺</t>
  </si>
  <si>
    <t>被ダメージアップ</t>
  </si>
  <si>
    <t>追加ダメージ</t>
  </si>
  <si>
    <t>消費Mpが0のMagicに追加ダメージ</t>
  </si>
  <si>
    <t>追加効果</t>
  </si>
  <si>
    <t>消費Mpが0のMagicに追加効果</t>
  </si>
  <si>
    <t>透明</t>
  </si>
  <si>
    <t>狙われなくなる</t>
  </si>
  <si>
    <t>沈黙</t>
  </si>
  <si>
    <t>消費Mp0以外のMagic使用不可</t>
  </si>
  <si>
    <t>不治</t>
  </si>
  <si>
    <t>Hp回復しなくなる</t>
  </si>
  <si>
    <t>シールド</t>
  </si>
  <si>
    <t>一定量までのダメージを無効にする</t>
  </si>
  <si>
    <t>フォロー</t>
  </si>
  <si>
    <t>行動後自身以外の行動待機時間を短縮</t>
  </si>
  <si>
    <t>かばう</t>
  </si>
  <si>
    <t>攻撃を代わりに受ける</t>
  </si>
  <si>
    <t>Ap消費半減</t>
  </si>
  <si>
    <t>Apの消費数が半分になる。端数は切り上げ</t>
  </si>
  <si>
    <t>不死</t>
  </si>
  <si>
    <t>一度だけ戦闘不能を回避する</t>
  </si>
  <si>
    <t>Hp回復効果アップ</t>
  </si>
  <si>
    <t>Hp回復効果量アップ</t>
  </si>
  <si>
    <t>呪詛</t>
  </si>
  <si>
    <t>戦闘不能を回避し反撃ダメージ</t>
  </si>
  <si>
    <t>付与無効化</t>
  </si>
  <si>
    <t>対象の状態にならない</t>
  </si>
  <si>
    <t>チャージ</t>
  </si>
  <si>
    <t>次の行動でのフラグが立つ</t>
  </si>
  <si>
    <t>リンケージ</t>
  </si>
  <si>
    <t>行動後に後衛と交代する</t>
  </si>
  <si>
    <t>テスト用</t>
  </si>
  <si>
    <t>なし</t>
  </si>
  <si>
    <t>ターン数</t>
  </si>
  <si>
    <t>APカウント</t>
  </si>
  <si>
    <t>Chain用</t>
  </si>
  <si>
    <t>効果発揮回数</t>
  </si>
  <si>
    <t>次に行動するまでの間</t>
  </si>
  <si>
    <t>ターンの終了</t>
  </si>
</sst>
</file>

<file path=xl/styles.xml><?xml version="1.0" encoding="utf-8"?>
<styleSheet xmlns="http://schemas.openxmlformats.org/spreadsheetml/2006/main">
  <numFmts count="4">
    <numFmt numFmtId="176" formatCode="_-&quot;\&quot;* #,##0.00_-\ ;\-&quot;\&quot;* #,##0.00_-\ ;_-&quot;\&quot;* &quot;-&quot;??_-\ ;_-@_-"/>
    <numFmt numFmtId="177" formatCode="_-&quot;\&quot;* #,##0_-\ ;\-&quot;\&quot;* #,##0_-\ ;_-&quot;\&quot;* &quot;-&quot;??_-\ ;_-@_-"/>
    <numFmt numFmtId="178" formatCode="_ * #,##0_ ;_ * \-#,##0_ ;_ * &quot;-&quot;??_ ;_ @_ "/>
    <numFmt numFmtId="43" formatCode="_ * #,##0.00_ ;_ * \-#,##0.00_ ;_ * &quot;-&quot;??_ ;_ @_ "/>
  </numFmts>
  <fonts count="20">
    <font>
      <sz val="11"/>
      <color theme="1"/>
      <name val="ＭＳ Ｐゴシック"/>
      <charset val="134"/>
      <scheme val="minor"/>
    </font>
    <font>
      <b/>
      <sz val="11"/>
      <color theme="3"/>
      <name val="ＭＳ Ｐゴシック"/>
      <charset val="134"/>
      <scheme val="minor"/>
    </font>
    <font>
      <sz val="11"/>
      <color rgb="FFFA7D00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sz val="11"/>
      <color theme="1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sz val="11"/>
      <color rgb="FF006100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double">
        <color rgb="FFFF8001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/>
      <bottom style="medium">
        <color theme="4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0" fontId="7" fillId="5" borderId="4" applyNumberFormat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0" fontId="9" fillId="11" borderId="0" applyNumberFormat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9" fillId="8" borderId="0" applyNumberFormat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0" fillId="14" borderId="0" applyNumberFormat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16" fillId="16" borderId="0" applyNumberFormat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2" fillId="0" borderId="2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0" fillId="19" borderId="0" applyNumberFormat="0" applyBorder="0" applyAlignment="0" applyProtection="0">
      <alignment vertical="center"/>
    </xf>
    <xf numFmtId="0" fontId="6" fillId="4" borderId="3" applyNumberFormat="0" applyAlignment="0" applyProtection="0">
      <alignment vertical="center"/>
    </xf>
    <xf numFmtId="0" fontId="8" fillId="0" borderId="6" applyNumberFormat="0" applyFill="0" applyAlignment="0" applyProtection="0">
      <alignment vertical="center"/>
    </xf>
    <xf numFmtId="0" fontId="19" fillId="0" borderId="6" applyNumberFormat="0" applyFill="0" applyAlignment="0" applyProtection="0">
      <alignment vertical="center"/>
    </xf>
    <xf numFmtId="0" fontId="18" fillId="4" borderId="4" applyNumberFormat="0" applyAlignment="0" applyProtection="0">
      <alignment vertical="center"/>
    </xf>
    <xf numFmtId="0" fontId="1" fillId="0" borderId="5" applyNumberFormat="0" applyFill="0" applyAlignment="0" applyProtection="0">
      <alignment vertical="center"/>
    </xf>
    <xf numFmtId="0" fontId="1" fillId="0" borderId="0" applyNumberFormat="0" applyFill="0" applyBorder="0" applyAlignment="0" applyProtection="0">
      <alignment vertical="center"/>
    </xf>
    <xf numFmtId="0" fontId="10" fillId="23" borderId="0" applyNumberFormat="0" applyBorder="0" applyAlignment="0" applyProtection="0">
      <alignment vertical="center"/>
    </xf>
    <xf numFmtId="0" fontId="14" fillId="15" borderId="8" applyNumberFormat="0" applyAlignment="0" applyProtection="0">
      <alignment vertical="center"/>
    </xf>
    <xf numFmtId="0" fontId="9" fillId="7" borderId="0" applyNumberFormat="0" applyBorder="0" applyAlignment="0" applyProtection="0">
      <alignment vertical="center"/>
    </xf>
    <xf numFmtId="0" fontId="11" fillId="0" borderId="7" applyNumberFormat="0" applyFill="0" applyAlignment="0" applyProtection="0">
      <alignment vertical="center"/>
    </xf>
    <xf numFmtId="0" fontId="17" fillId="20" borderId="0" applyNumberFormat="0" applyBorder="0" applyAlignment="0" applyProtection="0">
      <alignment vertical="center"/>
    </xf>
    <xf numFmtId="0" fontId="5" fillId="3" borderId="0" applyNumberFormat="0" applyBorder="0" applyAlignment="0" applyProtection="0">
      <alignment vertical="center"/>
    </xf>
    <xf numFmtId="0" fontId="10" fillId="26" borderId="0" applyNumberFormat="0" applyBorder="0" applyAlignment="0" applyProtection="0">
      <alignment vertical="center"/>
    </xf>
    <xf numFmtId="0" fontId="9" fillId="13" borderId="0" applyNumberFormat="0" applyBorder="0" applyAlignment="0" applyProtection="0">
      <alignment vertical="center"/>
    </xf>
    <xf numFmtId="0" fontId="9" fillId="25" borderId="0" applyNumberFormat="0" applyBorder="0" applyAlignment="0" applyProtection="0">
      <alignment vertical="center"/>
    </xf>
    <xf numFmtId="0" fontId="10" fillId="12" borderId="0" applyNumberFormat="0" applyBorder="0" applyAlignment="0" applyProtection="0">
      <alignment vertical="center"/>
    </xf>
    <xf numFmtId="0" fontId="9" fillId="22" borderId="0" applyNumberFormat="0" applyBorder="0" applyAlignment="0" applyProtection="0">
      <alignment vertical="center"/>
    </xf>
    <xf numFmtId="0" fontId="9" fillId="18" borderId="0" applyNumberFormat="0" applyBorder="0" applyAlignment="0" applyProtection="0">
      <alignment vertical="center"/>
    </xf>
    <xf numFmtId="0" fontId="9" fillId="29" borderId="0" applyNumberFormat="0" applyBorder="0" applyAlignment="0" applyProtection="0">
      <alignment vertical="center"/>
    </xf>
    <xf numFmtId="0" fontId="10" fillId="10" borderId="0" applyNumberFormat="0" applyBorder="0" applyAlignment="0" applyProtection="0">
      <alignment vertical="center"/>
    </xf>
    <xf numFmtId="0" fontId="10" fillId="24" borderId="0" applyNumberFormat="0" applyBorder="0" applyAlignment="0" applyProtection="0">
      <alignment vertical="center"/>
    </xf>
    <xf numFmtId="0" fontId="9" fillId="9" borderId="0" applyNumberFormat="0" applyBorder="0" applyAlignment="0" applyProtection="0">
      <alignment vertical="center"/>
    </xf>
    <xf numFmtId="0" fontId="9" fillId="28" borderId="0" applyNumberFormat="0" applyBorder="0" applyAlignment="0" applyProtection="0">
      <alignment vertical="center"/>
    </xf>
    <xf numFmtId="0" fontId="10" fillId="27" borderId="0" applyNumberFormat="0" applyBorder="0" applyAlignment="0" applyProtection="0">
      <alignment vertical="center"/>
    </xf>
    <xf numFmtId="0" fontId="10" fillId="17" borderId="0" applyNumberFormat="0" applyBorder="0" applyAlignment="0" applyProtection="0">
      <alignment vertical="center"/>
    </xf>
    <xf numFmtId="0" fontId="9" fillId="21" borderId="0" applyNumberFormat="0" applyBorder="0" applyAlignment="0" applyProtection="0">
      <alignment vertical="center"/>
    </xf>
    <xf numFmtId="0" fontId="10" fillId="32" borderId="0" applyNumberFormat="0" applyBorder="0" applyAlignment="0" applyProtection="0">
      <alignment vertical="center"/>
    </xf>
    <xf numFmtId="0" fontId="10" fillId="31" borderId="0" applyNumberFormat="0" applyBorder="0" applyAlignment="0" applyProtection="0">
      <alignment vertical="center"/>
    </xf>
    <xf numFmtId="0" fontId="9" fillId="6" borderId="0" applyNumberFormat="0" applyBorder="0" applyAlignment="0" applyProtection="0">
      <alignment vertical="center"/>
    </xf>
    <xf numFmtId="0" fontId="10" fillId="30" borderId="0" applyNumberFormat="0" applyBorder="0" applyAlignment="0" applyProtection="0">
      <alignment vertical="center"/>
    </xf>
  </cellStyleXfs>
  <cellXfs count="1">
    <xf numFmtId="0" fontId="0" fillId="0" borderId="0" xfId="0">
      <alignment vertical="center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20% - アクセント 4" xfId="7" builtinId="42"/>
    <cellStyle name="メモ" xfId="8" builtinId="10"/>
    <cellStyle name="パーセント" xfId="9" builtinId="5"/>
    <cellStyle name="ハイパーリンク" xfId="10" builtinId="8"/>
    <cellStyle name="アクセント 2" xfId="11" builtinId="33"/>
    <cellStyle name="訪問済ハイパーリンク" xfId="12" builtinId="9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2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U81"/>
  <sheetViews>
    <sheetView tabSelected="1" zoomScale="115" zoomScaleNormal="115" topLeftCell="A67" workbookViewId="0">
      <selection activeCell="B78" sqref="B78"/>
    </sheetView>
  </sheetViews>
  <sheetFormatPr defaultColWidth="8.72727272727273" defaultRowHeight="13"/>
  <cols>
    <col min="3" max="3" width="21.8181818181818" customWidth="1"/>
    <col min="4" max="4" width="9.09090909090909" customWidth="1"/>
    <col min="5" max="5" width="13.7272727272727" customWidth="1"/>
    <col min="6" max="6" width="15.5454545454545" customWidth="1"/>
    <col min="7" max="7" width="7" customWidth="1"/>
    <col min="8" max="8" width="14" customWidth="1"/>
    <col min="9" max="9" width="5.54545454545455" customWidth="1"/>
    <col min="10" max="10" width="12.8181818181818" customWidth="1"/>
    <col min="11" max="11" width="8" customWidth="1"/>
    <col min="12" max="12" width="10" customWidth="1"/>
    <col min="13" max="13" width="8.63636363636364" customWidth="1"/>
    <col min="14" max="14" width="8.54545454545454" customWidth="1"/>
    <col min="15" max="18" width="11.2727272727273" customWidth="1"/>
    <col min="19" max="19" width="16.7272727272727" customWidth="1"/>
    <col min="20" max="20" width="5.72727272727273" customWidth="1"/>
  </cols>
  <sheetData>
    <row r="1" spans="1:20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2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12</v>
      </c>
      <c r="O1" t="s">
        <v>13</v>
      </c>
      <c r="P1" t="s">
        <v>14</v>
      </c>
      <c r="Q1" t="s">
        <v>15</v>
      </c>
      <c r="R1" t="s">
        <v>16</v>
      </c>
      <c r="S1" t="s">
        <v>17</v>
      </c>
      <c r="T1" t="s">
        <v>18</v>
      </c>
    </row>
    <row r="2" spans="1:21">
      <c r="A2">
        <v>1</v>
      </c>
      <c r="B2">
        <v>1</v>
      </c>
      <c r="C2" t="str">
        <f>INDEX(TextData!B:B,MATCH(B2,TextData!A:A))</f>
        <v>戦闘不能</v>
      </c>
      <c r="D2">
        <v>0</v>
      </c>
      <c r="E2">
        <v>0</v>
      </c>
      <c r="F2" t="s">
        <v>19</v>
      </c>
      <c r="G2">
        <v>0</v>
      </c>
      <c r="H2" t="str">
        <f>INDEX(Define!B:B,MATCH(G2,Define!A:A))</f>
        <v>なし</v>
      </c>
      <c r="I2">
        <v>0</v>
      </c>
      <c r="J2" t="s">
        <v>20</v>
      </c>
      <c r="K2">
        <v>0</v>
      </c>
      <c r="L2">
        <v>1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 t="str">
        <f>TextData!C2</f>
        <v>""</v>
      </c>
    </row>
    <row r="3" spans="1:21">
      <c r="A3">
        <v>10</v>
      </c>
      <c r="B3">
        <v>10</v>
      </c>
      <c r="C3" t="str">
        <f>INDEX(TextData!B:B,MATCH(B3,TextData!A:A))</f>
        <v>待機</v>
      </c>
      <c r="D3">
        <v>0</v>
      </c>
      <c r="E3">
        <v>0</v>
      </c>
      <c r="F3" t="s">
        <v>21</v>
      </c>
      <c r="G3">
        <v>0</v>
      </c>
      <c r="H3" t="str">
        <f>INDEX(Define!B:B,MATCH(G3,Define!A:A))</f>
        <v>なし</v>
      </c>
      <c r="I3">
        <v>0</v>
      </c>
      <c r="J3" t="s">
        <v>20</v>
      </c>
      <c r="K3">
        <v>0</v>
      </c>
      <c r="L3">
        <v>1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1</v>
      </c>
      <c r="U3" t="str">
        <f>TextData!B3</f>
        <v>待機</v>
      </c>
    </row>
    <row r="4" spans="1:21">
      <c r="A4">
        <v>201</v>
      </c>
      <c r="B4">
        <v>201</v>
      </c>
      <c r="C4" t="str">
        <f>INDEX(TextData!B:B,MATCH(B4,TextData!A:A))</f>
        <v>炎適正</v>
      </c>
      <c r="D4">
        <v>0</v>
      </c>
      <c r="E4">
        <v>0</v>
      </c>
      <c r="F4">
        <v>1</v>
      </c>
      <c r="G4">
        <v>0</v>
      </c>
      <c r="H4" t="str">
        <f>INDEX(Define!B:B,MATCH(G4,Define!A:A))</f>
        <v>なし</v>
      </c>
      <c r="I4">
        <v>1</v>
      </c>
      <c r="J4" t="s">
        <v>20</v>
      </c>
      <c r="K4">
        <v>0</v>
      </c>
      <c r="L4">
        <v>1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 t="str">
        <f>TextData!B4</f>
        <v>炎適正</v>
      </c>
    </row>
    <row r="5" spans="1:21">
      <c r="A5">
        <v>202</v>
      </c>
      <c r="B5">
        <v>202</v>
      </c>
      <c r="C5" t="str">
        <f>INDEX(TextData!B:B,MATCH(B5,TextData!A:A))</f>
        <v>雷適性</v>
      </c>
      <c r="D5">
        <v>0</v>
      </c>
      <c r="E5">
        <v>0</v>
      </c>
      <c r="F5">
        <v>1</v>
      </c>
      <c r="G5">
        <v>0</v>
      </c>
      <c r="H5" t="str">
        <f>INDEX(Define!B:B,MATCH(G5,Define!A:A))</f>
        <v>なし</v>
      </c>
      <c r="I5">
        <v>1</v>
      </c>
      <c r="J5" t="s">
        <v>20</v>
      </c>
      <c r="K5">
        <v>0</v>
      </c>
      <c r="L5">
        <v>1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 t="str">
        <f>TextData!B5</f>
        <v>雷適性</v>
      </c>
    </row>
    <row r="6" spans="1:21">
      <c r="A6">
        <v>203</v>
      </c>
      <c r="B6">
        <v>203</v>
      </c>
      <c r="C6" t="str">
        <f>INDEX(TextData!B:B,MATCH(B6,TextData!A:A))</f>
        <v>氷適性</v>
      </c>
      <c r="D6">
        <v>0</v>
      </c>
      <c r="E6">
        <v>0</v>
      </c>
      <c r="F6">
        <v>1</v>
      </c>
      <c r="G6">
        <v>0</v>
      </c>
      <c r="H6" t="str">
        <f>INDEX(Define!B:B,MATCH(G6,Define!A:A))</f>
        <v>なし</v>
      </c>
      <c r="I6">
        <v>1</v>
      </c>
      <c r="J6" t="s">
        <v>20</v>
      </c>
      <c r="K6">
        <v>0</v>
      </c>
      <c r="L6">
        <v>1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 t="str">
        <f>TextData!B6</f>
        <v>氷適性</v>
      </c>
    </row>
    <row r="7" spans="1:21">
      <c r="A7">
        <v>204</v>
      </c>
      <c r="B7">
        <v>204</v>
      </c>
      <c r="C7" t="str">
        <f>INDEX(TextData!B:B,MATCH(B7,TextData!A:A))</f>
        <v>光適性</v>
      </c>
      <c r="D7">
        <v>0</v>
      </c>
      <c r="E7">
        <v>0</v>
      </c>
      <c r="F7">
        <v>1</v>
      </c>
      <c r="G7">
        <v>0</v>
      </c>
      <c r="H7" t="str">
        <f>INDEX(Define!B:B,MATCH(G7,Define!A:A))</f>
        <v>なし</v>
      </c>
      <c r="I7">
        <v>1</v>
      </c>
      <c r="J7" t="s">
        <v>20</v>
      </c>
      <c r="K7">
        <v>0</v>
      </c>
      <c r="L7">
        <v>1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 t="str">
        <f>TextData!B7</f>
        <v>光適性</v>
      </c>
    </row>
    <row r="8" spans="1:21">
      <c r="A8">
        <v>205</v>
      </c>
      <c r="B8">
        <v>205</v>
      </c>
      <c r="C8" t="str">
        <f>INDEX(TextData!B:B,MATCH(B8,TextData!A:A))</f>
        <v>闇適性</v>
      </c>
      <c r="D8">
        <v>0</v>
      </c>
      <c r="E8">
        <v>0</v>
      </c>
      <c r="F8">
        <v>1</v>
      </c>
      <c r="G8">
        <v>0</v>
      </c>
      <c r="H8" t="str">
        <f>INDEX(Define!B:B,MATCH(G8,Define!A:A))</f>
        <v>なし</v>
      </c>
      <c r="I8">
        <v>1</v>
      </c>
      <c r="J8" t="s">
        <v>20</v>
      </c>
      <c r="K8">
        <v>0</v>
      </c>
      <c r="L8">
        <v>1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 t="str">
        <f>TextData!B8</f>
        <v>闇適性</v>
      </c>
    </row>
    <row r="9" spans="1:21">
      <c r="A9">
        <v>1010</v>
      </c>
      <c r="B9">
        <v>1010</v>
      </c>
      <c r="C9" t="str">
        <f>INDEX(TextData!B:B,MATCH(B9,TextData!A:A))</f>
        <v>覚醒</v>
      </c>
      <c r="D9">
        <v>0</v>
      </c>
      <c r="E9">
        <v>0</v>
      </c>
      <c r="F9" t="s">
        <v>22</v>
      </c>
      <c r="G9">
        <v>0</v>
      </c>
      <c r="H9" t="str">
        <f>INDEX(Define!B:B,MATCH(G9,Define!A:A))</f>
        <v>なし</v>
      </c>
      <c r="I9">
        <v>0</v>
      </c>
      <c r="J9" t="s">
        <v>20</v>
      </c>
      <c r="K9">
        <v>0</v>
      </c>
      <c r="L9">
        <v>1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1</v>
      </c>
      <c r="U9" t="str">
        <f>TextData!B9</f>
        <v>覚醒</v>
      </c>
    </row>
    <row r="10" spans="1:21">
      <c r="A10">
        <v>1011</v>
      </c>
      <c r="B10">
        <v>1011</v>
      </c>
      <c r="C10" t="str">
        <f>INDEX(TextData!B:B,MATCH(B10,TextData!A:A))</f>
        <v>全ステータスアップ</v>
      </c>
      <c r="D10">
        <v>0</v>
      </c>
      <c r="E10">
        <v>0</v>
      </c>
      <c r="F10" t="s">
        <v>23</v>
      </c>
      <c r="G10">
        <v>0</v>
      </c>
      <c r="H10" t="str">
        <f>INDEX(Define!B:B,MATCH(G10,Define!A:A))</f>
        <v>なし</v>
      </c>
      <c r="I10">
        <v>0</v>
      </c>
      <c r="J10" t="s">
        <v>20</v>
      </c>
      <c r="K10">
        <v>0</v>
      </c>
      <c r="L10">
        <v>1</v>
      </c>
      <c r="M10">
        <v>0</v>
      </c>
      <c r="N10">
        <v>0</v>
      </c>
      <c r="O10">
        <v>0</v>
      </c>
      <c r="P10">
        <v>1</v>
      </c>
      <c r="Q10">
        <v>0</v>
      </c>
      <c r="R10">
        <v>0</v>
      </c>
      <c r="S10">
        <v>0</v>
      </c>
      <c r="T10">
        <v>1</v>
      </c>
      <c r="U10" t="str">
        <f>TextData!B10</f>
        <v>全ステータスアップ</v>
      </c>
    </row>
    <row r="11" spans="1:21">
      <c r="A11">
        <v>1020</v>
      </c>
      <c r="B11">
        <v>1020</v>
      </c>
      <c r="C11" t="str">
        <f>INDEX(TextData!B:B,MATCH(B11,TextData!A:A))</f>
        <v>最大Hpアップ</v>
      </c>
      <c r="D11">
        <v>0</v>
      </c>
      <c r="E11">
        <v>11</v>
      </c>
      <c r="F11" t="s">
        <v>24</v>
      </c>
      <c r="G11">
        <v>1</v>
      </c>
      <c r="H11" t="str">
        <f>INDEX(Define!B:B,MATCH(G11,Define!A:A))</f>
        <v>ターン数</v>
      </c>
      <c r="I11">
        <v>1</v>
      </c>
      <c r="J11" t="s">
        <v>20</v>
      </c>
      <c r="K11">
        <v>0</v>
      </c>
      <c r="L11">
        <v>1</v>
      </c>
      <c r="M11">
        <v>0</v>
      </c>
      <c r="N11">
        <v>1</v>
      </c>
      <c r="O11">
        <v>0</v>
      </c>
      <c r="P11">
        <v>1</v>
      </c>
      <c r="Q11">
        <v>0</v>
      </c>
      <c r="R11">
        <v>0</v>
      </c>
      <c r="S11">
        <v>0</v>
      </c>
      <c r="T11">
        <v>1</v>
      </c>
      <c r="U11" t="str">
        <f>TextData!B11</f>
        <v>最大Hpアップ</v>
      </c>
    </row>
    <row r="12" spans="1:21">
      <c r="A12">
        <v>1030</v>
      </c>
      <c r="B12">
        <v>1030</v>
      </c>
      <c r="C12" t="str">
        <f>INDEX(TextData!B:B,MATCH(B12,TextData!A:A))</f>
        <v>最大Mpアップ</v>
      </c>
      <c r="D12">
        <v>0</v>
      </c>
      <c r="E12">
        <v>12</v>
      </c>
      <c r="F12" t="s">
        <v>25</v>
      </c>
      <c r="G12">
        <v>1</v>
      </c>
      <c r="H12" t="str">
        <f>INDEX(Define!B:B,MATCH(G12,Define!A:A))</f>
        <v>ターン数</v>
      </c>
      <c r="I12">
        <v>1</v>
      </c>
      <c r="J12" t="s">
        <v>20</v>
      </c>
      <c r="K12">
        <v>0</v>
      </c>
      <c r="L12">
        <v>1</v>
      </c>
      <c r="M12">
        <v>0</v>
      </c>
      <c r="N12">
        <v>1</v>
      </c>
      <c r="O12">
        <v>0</v>
      </c>
      <c r="P12">
        <v>1</v>
      </c>
      <c r="Q12">
        <v>0</v>
      </c>
      <c r="R12">
        <v>0</v>
      </c>
      <c r="S12">
        <v>0</v>
      </c>
      <c r="T12">
        <v>1</v>
      </c>
      <c r="U12" t="str">
        <f>TextData!B12</f>
        <v>最大Mpアップ</v>
      </c>
    </row>
    <row r="13" spans="1:21">
      <c r="A13">
        <v>1040</v>
      </c>
      <c r="B13">
        <v>1040</v>
      </c>
      <c r="C13" t="str">
        <f>INDEX(TextData!B:B,MATCH(B13,TextData!A:A))</f>
        <v>攻撃アップ</v>
      </c>
      <c r="D13">
        <v>0</v>
      </c>
      <c r="E13">
        <v>13</v>
      </c>
      <c r="F13" t="s">
        <v>26</v>
      </c>
      <c r="G13">
        <v>1</v>
      </c>
      <c r="H13" t="str">
        <f>INDEX(Define!B:B,MATCH(G13,Define!A:A))</f>
        <v>ターン数</v>
      </c>
      <c r="I13">
        <v>1</v>
      </c>
      <c r="J13" t="s">
        <v>20</v>
      </c>
      <c r="K13">
        <v>0</v>
      </c>
      <c r="L13">
        <v>1</v>
      </c>
      <c r="M13">
        <v>0</v>
      </c>
      <c r="N13">
        <v>1</v>
      </c>
      <c r="O13">
        <v>0</v>
      </c>
      <c r="P13">
        <v>1</v>
      </c>
      <c r="Q13">
        <v>0</v>
      </c>
      <c r="R13">
        <v>0</v>
      </c>
      <c r="S13">
        <v>0</v>
      </c>
      <c r="T13">
        <v>1</v>
      </c>
      <c r="U13" t="str">
        <f>TextData!B13</f>
        <v>攻撃アップ</v>
      </c>
    </row>
    <row r="14" spans="1:21">
      <c r="A14">
        <v>1041</v>
      </c>
      <c r="B14">
        <v>1041</v>
      </c>
      <c r="C14" t="str">
        <f>INDEX(TextData!B:B,MATCH(B14,TextData!A:A))</f>
        <v>攻撃ダウン</v>
      </c>
      <c r="D14">
        <v>0</v>
      </c>
      <c r="E14">
        <v>27</v>
      </c>
      <c r="F14" t="s">
        <v>26</v>
      </c>
      <c r="G14">
        <v>1</v>
      </c>
      <c r="H14" t="str">
        <f>INDEX(Define!B:B,MATCH(G14,Define!A:A))</f>
        <v>ターン数</v>
      </c>
      <c r="I14">
        <v>1</v>
      </c>
      <c r="J14" t="s">
        <v>20</v>
      </c>
      <c r="K14">
        <v>0</v>
      </c>
      <c r="L14">
        <v>1</v>
      </c>
      <c r="M14">
        <v>0</v>
      </c>
      <c r="N14">
        <v>0</v>
      </c>
      <c r="O14">
        <v>0</v>
      </c>
      <c r="P14">
        <v>0</v>
      </c>
      <c r="Q14">
        <v>1</v>
      </c>
      <c r="R14">
        <v>0</v>
      </c>
      <c r="S14">
        <v>0</v>
      </c>
      <c r="T14">
        <v>1</v>
      </c>
      <c r="U14" t="str">
        <f>TextData!B14</f>
        <v>攻撃ダウン</v>
      </c>
    </row>
    <row r="15" spans="1:21">
      <c r="A15">
        <v>1043</v>
      </c>
      <c r="B15">
        <v>1041</v>
      </c>
      <c r="C15" t="str">
        <f>INDEX(TextData!B:B,MATCH(B15,TextData!A:A))</f>
        <v>攻撃ダウン</v>
      </c>
      <c r="D15">
        <v>0</v>
      </c>
      <c r="E15">
        <v>29</v>
      </c>
      <c r="F15" t="s">
        <v>26</v>
      </c>
      <c r="G15">
        <v>1</v>
      </c>
      <c r="H15" t="str">
        <f>INDEX(Define!B:B,MATCH(G15,Define!A:A))</f>
        <v>ターン数</v>
      </c>
      <c r="I15">
        <v>1</v>
      </c>
      <c r="J15" t="s">
        <v>20</v>
      </c>
      <c r="K15">
        <v>0</v>
      </c>
      <c r="L15">
        <v>1</v>
      </c>
      <c r="M15">
        <v>0</v>
      </c>
      <c r="N15">
        <v>0</v>
      </c>
      <c r="O15">
        <v>0</v>
      </c>
      <c r="P15">
        <v>0</v>
      </c>
      <c r="Q15">
        <v>1</v>
      </c>
      <c r="R15">
        <v>0</v>
      </c>
      <c r="S15">
        <v>0</v>
      </c>
      <c r="T15">
        <v>1</v>
      </c>
      <c r="U15" t="str">
        <f>TextData!B15</f>
        <v>攻撃%ダウン</v>
      </c>
    </row>
    <row r="16" spans="1:21">
      <c r="A16">
        <v>1044</v>
      </c>
      <c r="B16">
        <v>1044</v>
      </c>
      <c r="C16" t="str">
        <f>INDEX(TextData!B:B,MATCH(B16,TextData!A:A))</f>
        <v>攻撃アップ</v>
      </c>
      <c r="D16">
        <v>0</v>
      </c>
      <c r="E16">
        <v>29</v>
      </c>
      <c r="F16" t="s">
        <v>26</v>
      </c>
      <c r="G16">
        <v>1</v>
      </c>
      <c r="H16" t="str">
        <f>INDEX(Define!B:B,MATCH(G16,Define!A:A))</f>
        <v>ターン数</v>
      </c>
      <c r="I16">
        <v>1</v>
      </c>
      <c r="J16" t="s">
        <v>20</v>
      </c>
      <c r="K16">
        <v>0</v>
      </c>
      <c r="L16">
        <v>1</v>
      </c>
      <c r="M16">
        <v>5</v>
      </c>
      <c r="N16">
        <v>1</v>
      </c>
      <c r="O16">
        <v>0</v>
      </c>
      <c r="P16">
        <v>1</v>
      </c>
      <c r="Q16">
        <v>0</v>
      </c>
      <c r="R16">
        <v>0</v>
      </c>
      <c r="S16">
        <v>0</v>
      </c>
      <c r="T16">
        <v>1</v>
      </c>
      <c r="U16" t="str">
        <f>TextData!B16</f>
        <v>攻撃アップ</v>
      </c>
    </row>
    <row r="17" spans="1:21">
      <c r="A17">
        <v>1050</v>
      </c>
      <c r="B17">
        <v>1050</v>
      </c>
      <c r="C17" t="str">
        <f>INDEX(TextData!B:B,MATCH(B17,TextData!A:A))</f>
        <v>防御アップ</v>
      </c>
      <c r="D17">
        <v>0</v>
      </c>
      <c r="E17">
        <v>14</v>
      </c>
      <c r="F17" t="s">
        <v>27</v>
      </c>
      <c r="G17">
        <v>1</v>
      </c>
      <c r="H17" t="str">
        <f>INDEX(Define!B:B,MATCH(G17,Define!A:A))</f>
        <v>ターン数</v>
      </c>
      <c r="I17">
        <v>1</v>
      </c>
      <c r="J17" t="s">
        <v>20</v>
      </c>
      <c r="K17">
        <v>0</v>
      </c>
      <c r="L17">
        <v>1</v>
      </c>
      <c r="M17">
        <v>0</v>
      </c>
      <c r="N17">
        <v>1</v>
      </c>
      <c r="O17">
        <v>0</v>
      </c>
      <c r="P17">
        <v>1</v>
      </c>
      <c r="Q17">
        <v>0</v>
      </c>
      <c r="R17">
        <v>0</v>
      </c>
      <c r="S17">
        <v>0</v>
      </c>
      <c r="T17">
        <v>1</v>
      </c>
      <c r="U17" t="str">
        <f>TextData!B17</f>
        <v>防御アップ</v>
      </c>
    </row>
    <row r="18" spans="1:21">
      <c r="A18">
        <v>1051</v>
      </c>
      <c r="B18">
        <v>1051</v>
      </c>
      <c r="C18" t="str">
        <f>INDEX(TextData!B:B,MATCH(B18,TextData!A:A))</f>
        <v>防御ダウン</v>
      </c>
      <c r="D18">
        <v>0</v>
      </c>
      <c r="E18">
        <v>30</v>
      </c>
      <c r="F18" t="s">
        <v>27</v>
      </c>
      <c r="G18">
        <v>1</v>
      </c>
      <c r="H18" t="str">
        <f>INDEX(Define!B:B,MATCH(G18,Define!A:A))</f>
        <v>ターン数</v>
      </c>
      <c r="I18">
        <v>1</v>
      </c>
      <c r="J18" t="s">
        <v>20</v>
      </c>
      <c r="K18">
        <v>0</v>
      </c>
      <c r="L18">
        <v>1</v>
      </c>
      <c r="M18">
        <v>0</v>
      </c>
      <c r="N18">
        <v>0</v>
      </c>
      <c r="O18">
        <v>0</v>
      </c>
      <c r="P18">
        <v>0</v>
      </c>
      <c r="Q18">
        <v>1</v>
      </c>
      <c r="R18">
        <v>0</v>
      </c>
      <c r="S18">
        <v>0</v>
      </c>
      <c r="T18">
        <v>1</v>
      </c>
      <c r="U18" t="str">
        <f>TextData!B18</f>
        <v>防御ダウン</v>
      </c>
    </row>
    <row r="19" spans="1:21">
      <c r="A19">
        <v>1052</v>
      </c>
      <c r="B19">
        <v>1052</v>
      </c>
      <c r="C19" t="str">
        <f>INDEX(TextData!B:B,MATCH(B19,TextData!A:A))</f>
        <v>防御アップ</v>
      </c>
      <c r="D19">
        <v>0</v>
      </c>
      <c r="E19">
        <v>14</v>
      </c>
      <c r="F19" t="s">
        <v>27</v>
      </c>
      <c r="G19">
        <v>1</v>
      </c>
      <c r="H19" t="str">
        <f>INDEX(Define!B:B,MATCH(G19,Define!A:A))</f>
        <v>ターン数</v>
      </c>
      <c r="I19">
        <v>1</v>
      </c>
      <c r="J19" t="s">
        <v>20</v>
      </c>
      <c r="K19">
        <v>0</v>
      </c>
      <c r="L19">
        <v>1</v>
      </c>
      <c r="M19">
        <v>0</v>
      </c>
      <c r="N19">
        <v>1</v>
      </c>
      <c r="O19">
        <v>0</v>
      </c>
      <c r="P19">
        <v>1</v>
      </c>
      <c r="Q19">
        <v>0</v>
      </c>
      <c r="R19">
        <v>0</v>
      </c>
      <c r="S19">
        <v>0</v>
      </c>
      <c r="T19">
        <v>1</v>
      </c>
      <c r="U19" t="str">
        <f>TextData!B19</f>
        <v>防御アップ</v>
      </c>
    </row>
    <row r="20" spans="1:21">
      <c r="A20">
        <v>1053</v>
      </c>
      <c r="B20">
        <v>1053</v>
      </c>
      <c r="C20" t="str">
        <f>INDEX(TextData!B:B,MATCH(B20,TextData!A:A))</f>
        <v>防御ダウン</v>
      </c>
      <c r="D20">
        <v>0</v>
      </c>
      <c r="E20">
        <v>30</v>
      </c>
      <c r="F20" t="s">
        <v>27</v>
      </c>
      <c r="G20">
        <v>1</v>
      </c>
      <c r="H20" t="str">
        <f>INDEX(Define!B:B,MATCH(G20,Define!A:A))</f>
        <v>ターン数</v>
      </c>
      <c r="I20">
        <v>1</v>
      </c>
      <c r="J20" t="s">
        <v>20</v>
      </c>
      <c r="K20">
        <v>0</v>
      </c>
      <c r="L20">
        <v>1</v>
      </c>
      <c r="M20">
        <v>0</v>
      </c>
      <c r="N20">
        <v>0</v>
      </c>
      <c r="O20">
        <v>0</v>
      </c>
      <c r="P20">
        <v>0</v>
      </c>
      <c r="Q20">
        <v>1</v>
      </c>
      <c r="R20">
        <v>0</v>
      </c>
      <c r="S20">
        <v>0</v>
      </c>
      <c r="T20">
        <v>1</v>
      </c>
      <c r="U20" t="str">
        <f>TextData!B20</f>
        <v>防御ダウン</v>
      </c>
    </row>
    <row r="21" spans="1:21">
      <c r="A21">
        <v>1060</v>
      </c>
      <c r="B21">
        <v>1060</v>
      </c>
      <c r="C21" t="str">
        <f>INDEX(TextData!B:B,MATCH(B21,TextData!A:A))</f>
        <v>速度アップ</v>
      </c>
      <c r="D21">
        <v>0</v>
      </c>
      <c r="E21">
        <v>17</v>
      </c>
      <c r="F21" t="s">
        <v>21</v>
      </c>
      <c r="G21">
        <v>1</v>
      </c>
      <c r="H21" t="str">
        <f>INDEX(Define!B:B,MATCH(G21,Define!A:A))</f>
        <v>ターン数</v>
      </c>
      <c r="I21">
        <v>1</v>
      </c>
      <c r="J21" t="s">
        <v>20</v>
      </c>
      <c r="K21">
        <v>0</v>
      </c>
      <c r="L21">
        <v>1</v>
      </c>
      <c r="M21">
        <v>0</v>
      </c>
      <c r="N21">
        <v>1</v>
      </c>
      <c r="O21">
        <v>0</v>
      </c>
      <c r="P21">
        <v>1</v>
      </c>
      <c r="Q21">
        <v>0</v>
      </c>
      <c r="R21">
        <v>0</v>
      </c>
      <c r="S21">
        <v>0</v>
      </c>
      <c r="T21">
        <v>1</v>
      </c>
      <c r="U21" t="str">
        <f>TextData!B21</f>
        <v>速度アップ</v>
      </c>
    </row>
    <row r="22" spans="1:21">
      <c r="A22">
        <v>1070</v>
      </c>
      <c r="B22">
        <v>1070</v>
      </c>
      <c r="C22" t="str">
        <f>INDEX(TextData!B:B,MATCH(B22,TextData!A:A))</f>
        <v>会心率アップ</v>
      </c>
      <c r="D22">
        <v>0</v>
      </c>
      <c r="E22">
        <v>0</v>
      </c>
      <c r="F22" t="s">
        <v>28</v>
      </c>
      <c r="G22">
        <v>1</v>
      </c>
      <c r="H22" t="str">
        <f>INDEX(Define!B:B,MATCH(G22,Define!A:A))</f>
        <v>ターン数</v>
      </c>
      <c r="I22">
        <v>1</v>
      </c>
      <c r="J22" t="s">
        <v>20</v>
      </c>
      <c r="K22">
        <v>0</v>
      </c>
      <c r="L22">
        <v>1</v>
      </c>
      <c r="M22">
        <v>0</v>
      </c>
      <c r="N22">
        <v>1</v>
      </c>
      <c r="O22">
        <v>0</v>
      </c>
      <c r="P22">
        <v>1</v>
      </c>
      <c r="Q22">
        <v>0</v>
      </c>
      <c r="R22">
        <v>0</v>
      </c>
      <c r="S22">
        <v>0</v>
      </c>
      <c r="T22">
        <v>1</v>
      </c>
      <c r="U22" t="str">
        <f>TextData!B22</f>
        <v>会心率アップ</v>
      </c>
    </row>
    <row r="23" spans="1:21">
      <c r="A23">
        <v>1071</v>
      </c>
      <c r="B23">
        <v>1071</v>
      </c>
      <c r="C23" t="str">
        <f>INDEX(TextData!B:B,MATCH(B23,TextData!A:A))</f>
        <v>会心率ダウン</v>
      </c>
      <c r="D23">
        <v>0</v>
      </c>
      <c r="E23">
        <v>0</v>
      </c>
      <c r="F23" t="s">
        <v>28</v>
      </c>
      <c r="G23">
        <v>1</v>
      </c>
      <c r="H23" t="str">
        <f>INDEX(Define!B:B,MATCH(G23,Define!A:A))</f>
        <v>ターン数</v>
      </c>
      <c r="I23">
        <v>1</v>
      </c>
      <c r="J23" t="s">
        <v>20</v>
      </c>
      <c r="K23">
        <v>0</v>
      </c>
      <c r="L23">
        <v>1</v>
      </c>
      <c r="M23">
        <v>0</v>
      </c>
      <c r="N23">
        <v>0</v>
      </c>
      <c r="O23">
        <v>0</v>
      </c>
      <c r="P23">
        <v>0</v>
      </c>
      <c r="Q23">
        <v>1</v>
      </c>
      <c r="R23">
        <v>0</v>
      </c>
      <c r="S23">
        <v>0</v>
      </c>
      <c r="T23">
        <v>1</v>
      </c>
      <c r="U23" t="str">
        <f>TextData!B23</f>
        <v>会心率ダウン</v>
      </c>
    </row>
    <row r="24" spans="1:21">
      <c r="A24">
        <v>1074</v>
      </c>
      <c r="B24">
        <v>1074</v>
      </c>
      <c r="C24" t="str">
        <f>INDEX(TextData!B:B,MATCH(B24,TextData!A:A))</f>
        <v>会心ダメージアップ</v>
      </c>
      <c r="D24">
        <v>0</v>
      </c>
      <c r="E24">
        <v>0</v>
      </c>
      <c r="F24" t="s">
        <v>28</v>
      </c>
      <c r="G24">
        <v>1</v>
      </c>
      <c r="H24" t="str">
        <f>INDEX(Define!B:B,MATCH(G24,Define!A:A))</f>
        <v>ターン数</v>
      </c>
      <c r="I24">
        <v>1</v>
      </c>
      <c r="J24" t="s">
        <v>20</v>
      </c>
      <c r="K24">
        <v>0</v>
      </c>
      <c r="L24">
        <v>1</v>
      </c>
      <c r="M24">
        <v>0</v>
      </c>
      <c r="N24">
        <v>1</v>
      </c>
      <c r="O24">
        <v>0</v>
      </c>
      <c r="P24">
        <v>1</v>
      </c>
      <c r="Q24">
        <v>0</v>
      </c>
      <c r="R24">
        <v>0</v>
      </c>
      <c r="S24">
        <v>0</v>
      </c>
      <c r="T24">
        <v>1</v>
      </c>
      <c r="U24" t="str">
        <f>TextData!B24</f>
        <v>会心ダメージアップ</v>
      </c>
    </row>
    <row r="25" spans="1:21">
      <c r="A25">
        <v>1080</v>
      </c>
      <c r="B25">
        <v>1080</v>
      </c>
      <c r="C25" t="str">
        <f>INDEX(TextData!B:B,MATCH(B25,TextData!A:A))</f>
        <v>命中アップ</v>
      </c>
      <c r="D25">
        <v>0</v>
      </c>
      <c r="E25">
        <v>0</v>
      </c>
      <c r="F25" t="s">
        <v>29</v>
      </c>
      <c r="G25">
        <v>1</v>
      </c>
      <c r="H25" t="str">
        <f>INDEX(Define!B:B,MATCH(G25,Define!A:A))</f>
        <v>ターン数</v>
      </c>
      <c r="I25">
        <v>1</v>
      </c>
      <c r="J25" t="s">
        <v>20</v>
      </c>
      <c r="K25">
        <v>0</v>
      </c>
      <c r="L25">
        <v>1</v>
      </c>
      <c r="M25">
        <v>0</v>
      </c>
      <c r="N25">
        <v>1</v>
      </c>
      <c r="O25">
        <v>0</v>
      </c>
      <c r="P25">
        <v>1</v>
      </c>
      <c r="Q25">
        <v>0</v>
      </c>
      <c r="R25">
        <v>0</v>
      </c>
      <c r="S25">
        <v>0</v>
      </c>
      <c r="T25">
        <v>1</v>
      </c>
      <c r="U25" t="str">
        <f>TextData!B25</f>
        <v>命中アップ</v>
      </c>
    </row>
    <row r="26" spans="1:21">
      <c r="A26">
        <v>1081</v>
      </c>
      <c r="B26">
        <v>1081</v>
      </c>
      <c r="C26" t="str">
        <f>INDEX(TextData!B:B,MATCH(B26,TextData!A:A))</f>
        <v>命中アップ</v>
      </c>
      <c r="D26">
        <v>0</v>
      </c>
      <c r="E26">
        <v>0</v>
      </c>
      <c r="F26" t="s">
        <v>29</v>
      </c>
      <c r="G26">
        <v>1</v>
      </c>
      <c r="H26" t="str">
        <f>INDEX(Define!B:B,MATCH(G26,Define!A:A))</f>
        <v>ターン数</v>
      </c>
      <c r="I26">
        <v>1</v>
      </c>
      <c r="J26" t="s">
        <v>20</v>
      </c>
      <c r="K26">
        <v>0</v>
      </c>
      <c r="L26">
        <v>1</v>
      </c>
      <c r="M26">
        <v>5</v>
      </c>
      <c r="N26">
        <v>1</v>
      </c>
      <c r="O26">
        <v>0</v>
      </c>
      <c r="P26">
        <v>1</v>
      </c>
      <c r="Q26">
        <v>0</v>
      </c>
      <c r="R26">
        <v>0</v>
      </c>
      <c r="S26">
        <v>0</v>
      </c>
      <c r="T26">
        <v>1</v>
      </c>
      <c r="U26" t="str">
        <f>TextData!B28</f>
        <v>回避アップ</v>
      </c>
    </row>
    <row r="27" spans="1:21">
      <c r="A27">
        <v>1082</v>
      </c>
      <c r="B27">
        <v>1082</v>
      </c>
      <c r="C27" t="str">
        <f>INDEX(TextData!B:B,MATCH(B27,TextData!A:A))</f>
        <v>命中ダウン</v>
      </c>
      <c r="D27">
        <v>0</v>
      </c>
      <c r="E27">
        <v>0</v>
      </c>
      <c r="F27" t="s">
        <v>29</v>
      </c>
      <c r="G27">
        <v>1</v>
      </c>
      <c r="H27" t="str">
        <f>INDEX(Define!B:B,MATCH(G27,Define!A:A))</f>
        <v>ターン数</v>
      </c>
      <c r="I27">
        <v>1</v>
      </c>
      <c r="J27" t="s">
        <v>20</v>
      </c>
      <c r="K27">
        <v>0</v>
      </c>
      <c r="L27">
        <v>1</v>
      </c>
      <c r="M27">
        <v>0</v>
      </c>
      <c r="N27">
        <v>0</v>
      </c>
      <c r="O27">
        <v>0</v>
      </c>
      <c r="P27">
        <v>0</v>
      </c>
      <c r="Q27">
        <v>1</v>
      </c>
      <c r="R27">
        <v>0</v>
      </c>
      <c r="S27">
        <v>0</v>
      </c>
      <c r="T27">
        <v>1</v>
      </c>
      <c r="U27" t="str">
        <f>TextData!B29</f>
        <v>回避ダウン</v>
      </c>
    </row>
    <row r="28" spans="1:21">
      <c r="A28">
        <v>1090</v>
      </c>
      <c r="B28">
        <v>1090</v>
      </c>
      <c r="C28" t="str">
        <f>INDEX(TextData!B:B,MATCH(B28,TextData!A:A))</f>
        <v>回避アップ</v>
      </c>
      <c r="D28">
        <v>0</v>
      </c>
      <c r="E28">
        <v>0</v>
      </c>
      <c r="F28" t="s">
        <v>30</v>
      </c>
      <c r="G28">
        <v>1</v>
      </c>
      <c r="H28" t="str">
        <f>INDEX(Define!B:B,MATCH(G28,Define!A:A))</f>
        <v>ターン数</v>
      </c>
      <c r="I28">
        <v>1</v>
      </c>
      <c r="J28" t="s">
        <v>20</v>
      </c>
      <c r="K28">
        <v>0</v>
      </c>
      <c r="L28">
        <v>1</v>
      </c>
      <c r="M28">
        <v>0</v>
      </c>
      <c r="N28">
        <v>1</v>
      </c>
      <c r="O28">
        <v>0</v>
      </c>
      <c r="P28">
        <v>1</v>
      </c>
      <c r="Q28">
        <v>0</v>
      </c>
      <c r="R28">
        <v>0</v>
      </c>
      <c r="S28">
        <v>0</v>
      </c>
      <c r="T28">
        <v>1</v>
      </c>
      <c r="U28" t="str">
        <f>TextData!B28</f>
        <v>回避アップ</v>
      </c>
    </row>
    <row r="29" spans="1:21">
      <c r="A29">
        <v>1091</v>
      </c>
      <c r="B29">
        <v>1091</v>
      </c>
      <c r="C29" t="str">
        <f>INDEX(TextData!B:B,MATCH(B29,TextData!A:A))</f>
        <v>回避ダウン</v>
      </c>
      <c r="D29">
        <v>0</v>
      </c>
      <c r="E29">
        <v>0</v>
      </c>
      <c r="F29" t="s">
        <v>30</v>
      </c>
      <c r="G29">
        <v>1</v>
      </c>
      <c r="H29" t="str">
        <f>INDEX(Define!B:B,MATCH(G29,Define!A:A))</f>
        <v>ターン数</v>
      </c>
      <c r="I29">
        <v>1</v>
      </c>
      <c r="J29" t="s">
        <v>20</v>
      </c>
      <c r="K29">
        <v>0</v>
      </c>
      <c r="L29">
        <v>1</v>
      </c>
      <c r="M29">
        <v>0</v>
      </c>
      <c r="N29">
        <v>1</v>
      </c>
      <c r="O29">
        <v>0</v>
      </c>
      <c r="P29">
        <v>0</v>
      </c>
      <c r="Q29">
        <v>1</v>
      </c>
      <c r="R29">
        <v>0</v>
      </c>
      <c r="S29">
        <v>0</v>
      </c>
      <c r="T29">
        <v>1</v>
      </c>
      <c r="U29" t="str">
        <f>TextData!B29</f>
        <v>回避ダウン</v>
      </c>
    </row>
    <row r="30" spans="1:21">
      <c r="A30">
        <v>1092</v>
      </c>
      <c r="B30">
        <v>1092</v>
      </c>
      <c r="C30" t="str">
        <f>INDEX(TextData!B:B,MATCH(B30,TextData!A:A))</f>
        <v>回避アップ</v>
      </c>
      <c r="D30">
        <v>0</v>
      </c>
      <c r="E30">
        <v>0</v>
      </c>
      <c r="F30" t="s">
        <v>30</v>
      </c>
      <c r="G30">
        <v>1</v>
      </c>
      <c r="H30" t="str">
        <f>INDEX(Define!B:B,MATCH(G30,Define!A:A))</f>
        <v>ターン数</v>
      </c>
      <c r="I30">
        <v>1</v>
      </c>
      <c r="J30" t="s">
        <v>20</v>
      </c>
      <c r="K30">
        <v>0</v>
      </c>
      <c r="L30">
        <v>1</v>
      </c>
      <c r="M30">
        <v>5</v>
      </c>
      <c r="N30">
        <v>1</v>
      </c>
      <c r="O30">
        <v>0</v>
      </c>
      <c r="P30">
        <v>1</v>
      </c>
      <c r="Q30">
        <v>0</v>
      </c>
      <c r="R30">
        <v>0</v>
      </c>
      <c r="S30">
        <v>0</v>
      </c>
      <c r="T30">
        <v>1</v>
      </c>
      <c r="U30" t="str">
        <f>TextData!B30</f>
        <v>回避アップ</v>
      </c>
    </row>
    <row r="31" spans="1:21">
      <c r="A31">
        <v>1100</v>
      </c>
      <c r="B31">
        <v>1100</v>
      </c>
      <c r="C31" t="str">
        <f>INDEX(TextData!B:B,MATCH(B31,TextData!A:A))</f>
        <v>ダメージカット</v>
      </c>
      <c r="D31">
        <v>0</v>
      </c>
      <c r="E31">
        <v>96</v>
      </c>
      <c r="F31" t="s">
        <v>31</v>
      </c>
      <c r="G31">
        <v>4</v>
      </c>
      <c r="H31" t="str">
        <f>INDEX(Define!B:B,MATCH(G31,Define!A:A))</f>
        <v>効果発揮回数</v>
      </c>
      <c r="I31">
        <v>1</v>
      </c>
      <c r="J31" t="s">
        <v>20</v>
      </c>
      <c r="K31">
        <v>0</v>
      </c>
      <c r="L31">
        <v>1</v>
      </c>
      <c r="M31">
        <v>0</v>
      </c>
      <c r="N31">
        <v>1</v>
      </c>
      <c r="O31">
        <v>0</v>
      </c>
      <c r="P31">
        <v>1</v>
      </c>
      <c r="Q31">
        <v>0</v>
      </c>
      <c r="R31">
        <v>0</v>
      </c>
      <c r="S31">
        <v>0</v>
      </c>
      <c r="T31">
        <v>1</v>
      </c>
      <c r="U31" t="str">
        <f>TextData!B31</f>
        <v>ダメージカット</v>
      </c>
    </row>
    <row r="32" spans="1:21">
      <c r="A32">
        <v>1101</v>
      </c>
      <c r="B32">
        <v>1101</v>
      </c>
      <c r="C32" t="str">
        <f>INDEX(TextData!B:B,MATCH(B32,TextData!A:A))</f>
        <v>ダメージカット</v>
      </c>
      <c r="D32">
        <v>0</v>
      </c>
      <c r="E32">
        <v>96</v>
      </c>
      <c r="F32" t="s">
        <v>31</v>
      </c>
      <c r="G32">
        <v>4</v>
      </c>
      <c r="H32" t="str">
        <f>INDEX(Define!B:B,MATCH(G32,Define!A:A))</f>
        <v>効果発揮回数</v>
      </c>
      <c r="I32">
        <v>1</v>
      </c>
      <c r="J32" t="s">
        <v>20</v>
      </c>
      <c r="K32">
        <v>0</v>
      </c>
      <c r="L32">
        <v>1</v>
      </c>
      <c r="M32">
        <v>0</v>
      </c>
      <c r="N32">
        <v>1</v>
      </c>
      <c r="O32">
        <v>0</v>
      </c>
      <c r="P32">
        <v>1</v>
      </c>
      <c r="Q32">
        <v>0</v>
      </c>
      <c r="R32">
        <v>0</v>
      </c>
      <c r="S32">
        <v>0</v>
      </c>
      <c r="T32">
        <v>1</v>
      </c>
      <c r="U32" t="str">
        <f>TextData!B32</f>
        <v>ダメージカット</v>
      </c>
    </row>
    <row r="33" ht="12" customHeight="1" spans="1:21">
      <c r="A33">
        <v>1210</v>
      </c>
      <c r="B33">
        <v>1210</v>
      </c>
      <c r="C33" t="str">
        <f>INDEX(TextData!B:B,MATCH(B33,TextData!A:A))</f>
        <v>火傷耐性</v>
      </c>
      <c r="D33">
        <v>2</v>
      </c>
      <c r="E33">
        <v>43</v>
      </c>
      <c r="F33" t="s">
        <v>32</v>
      </c>
      <c r="G33">
        <v>1</v>
      </c>
      <c r="H33" t="str">
        <f>INDEX(Define!B:B,MATCH(G33,Define!A:A))</f>
        <v>ターン数</v>
      </c>
      <c r="I33">
        <v>1</v>
      </c>
      <c r="J33" t="s">
        <v>20</v>
      </c>
      <c r="K33">
        <v>0</v>
      </c>
      <c r="L33">
        <v>1</v>
      </c>
      <c r="M33">
        <v>0</v>
      </c>
      <c r="N33">
        <v>1</v>
      </c>
      <c r="O33">
        <v>0</v>
      </c>
      <c r="P33">
        <v>1</v>
      </c>
      <c r="Q33">
        <v>0</v>
      </c>
      <c r="R33">
        <v>0</v>
      </c>
      <c r="S33">
        <v>0</v>
      </c>
      <c r="T33">
        <v>1</v>
      </c>
      <c r="U33" t="str">
        <f>TextData!B33</f>
        <v>火傷耐性</v>
      </c>
    </row>
    <row r="34" ht="12" customHeight="1" spans="1:21">
      <c r="A34">
        <v>2010</v>
      </c>
      <c r="B34">
        <v>2010</v>
      </c>
      <c r="C34" t="str">
        <f>INDEX(TextData!B:B,MATCH(B34,TextData!A:A))</f>
        <v>毒</v>
      </c>
      <c r="D34">
        <v>26</v>
      </c>
      <c r="E34">
        <v>1</v>
      </c>
      <c r="F34" t="s">
        <v>32</v>
      </c>
      <c r="G34">
        <v>1</v>
      </c>
      <c r="H34" t="str">
        <f>INDEX(Define!B:B,MATCH(G34,Define!A:A))</f>
        <v>ターン数</v>
      </c>
      <c r="I34">
        <v>1</v>
      </c>
      <c r="J34" t="s">
        <v>33</v>
      </c>
      <c r="K34">
        <v>1</v>
      </c>
      <c r="L34">
        <v>1</v>
      </c>
      <c r="M34">
        <v>0</v>
      </c>
      <c r="N34">
        <v>0</v>
      </c>
      <c r="O34">
        <v>1</v>
      </c>
      <c r="P34">
        <v>0</v>
      </c>
      <c r="Q34">
        <v>1</v>
      </c>
      <c r="R34">
        <v>1</v>
      </c>
      <c r="S34">
        <v>0</v>
      </c>
      <c r="T34">
        <v>1</v>
      </c>
      <c r="U34" t="str">
        <f>TextData!B34</f>
        <v>毒</v>
      </c>
    </row>
    <row r="35" ht="12" customHeight="1" spans="1:21">
      <c r="A35">
        <v>2011</v>
      </c>
      <c r="B35">
        <v>2010</v>
      </c>
      <c r="C35" t="s">
        <v>34</v>
      </c>
      <c r="D35">
        <v>26</v>
      </c>
      <c r="E35">
        <v>1</v>
      </c>
      <c r="F35" t="s">
        <v>32</v>
      </c>
      <c r="G35">
        <v>1</v>
      </c>
      <c r="H35" t="str">
        <f>INDEX(Define!B:B,MATCH(G35,Define!A:A))</f>
        <v>ターン数</v>
      </c>
      <c r="I35">
        <v>1</v>
      </c>
      <c r="J35" t="s">
        <v>33</v>
      </c>
      <c r="K35">
        <v>1</v>
      </c>
      <c r="L35">
        <v>1</v>
      </c>
      <c r="M35">
        <v>0</v>
      </c>
      <c r="N35">
        <v>0</v>
      </c>
      <c r="O35">
        <v>1</v>
      </c>
      <c r="P35">
        <v>0</v>
      </c>
      <c r="Q35">
        <v>1</v>
      </c>
      <c r="R35">
        <v>1</v>
      </c>
      <c r="S35">
        <v>0</v>
      </c>
      <c r="T35">
        <v>1</v>
      </c>
      <c r="U35" t="str">
        <f>TextData!B34</f>
        <v>毒</v>
      </c>
    </row>
    <row r="36" ht="12" customHeight="1" spans="1:21">
      <c r="A36">
        <v>2012</v>
      </c>
      <c r="B36">
        <v>2012</v>
      </c>
      <c r="C36" t="s">
        <v>35</v>
      </c>
      <c r="D36">
        <v>2</v>
      </c>
      <c r="E36">
        <v>43</v>
      </c>
      <c r="F36" t="s">
        <v>32</v>
      </c>
      <c r="G36">
        <v>1</v>
      </c>
      <c r="H36" t="str">
        <f>INDEX(Define!B:B,MATCH(G36,Define!A:A))</f>
        <v>ターン数</v>
      </c>
      <c r="I36">
        <v>1</v>
      </c>
      <c r="J36" t="s">
        <v>33</v>
      </c>
      <c r="K36">
        <v>1</v>
      </c>
      <c r="L36">
        <v>1</v>
      </c>
      <c r="M36">
        <v>0</v>
      </c>
      <c r="N36">
        <v>0</v>
      </c>
      <c r="O36">
        <v>1</v>
      </c>
      <c r="P36">
        <v>0</v>
      </c>
      <c r="Q36">
        <v>1</v>
      </c>
      <c r="R36">
        <v>1</v>
      </c>
      <c r="S36">
        <v>0</v>
      </c>
      <c r="T36">
        <v>1</v>
      </c>
      <c r="U36" t="str">
        <f>TextData!B35</f>
        <v>火傷</v>
      </c>
    </row>
    <row r="37" ht="12" customHeight="1" spans="1:21">
      <c r="A37">
        <v>2020</v>
      </c>
      <c r="B37">
        <v>2020</v>
      </c>
      <c r="C37" t="str">
        <f>INDEX(TextData!B:B,MATCH(B37,TextData!A:A))</f>
        <v>暗闇</v>
      </c>
      <c r="D37">
        <v>33</v>
      </c>
      <c r="E37">
        <v>2</v>
      </c>
      <c r="F37" t="s">
        <v>29</v>
      </c>
      <c r="G37">
        <v>4</v>
      </c>
      <c r="H37" t="str">
        <f>INDEX(Define!B:B,MATCH(G37,Define!A:A))</f>
        <v>効果発揮回数</v>
      </c>
      <c r="I37">
        <v>1</v>
      </c>
      <c r="J37" t="s">
        <v>36</v>
      </c>
      <c r="K37">
        <v>0</v>
      </c>
      <c r="L37">
        <v>0.1</v>
      </c>
      <c r="M37">
        <v>0</v>
      </c>
      <c r="N37">
        <v>0</v>
      </c>
      <c r="O37">
        <v>1</v>
      </c>
      <c r="P37">
        <v>0</v>
      </c>
      <c r="Q37">
        <v>1</v>
      </c>
      <c r="R37">
        <v>1</v>
      </c>
      <c r="S37">
        <v>0</v>
      </c>
      <c r="T37">
        <v>1</v>
      </c>
      <c r="U37" t="str">
        <f>TextData!B36</f>
        <v>暗闇</v>
      </c>
    </row>
    <row r="38" spans="1:21">
      <c r="A38">
        <v>2030</v>
      </c>
      <c r="B38">
        <v>2030</v>
      </c>
      <c r="C38" t="str">
        <f>INDEX(TextData!B:B,MATCH(B38,TextData!A:A))</f>
        <v>カウンタ</v>
      </c>
      <c r="D38">
        <v>0</v>
      </c>
      <c r="E38">
        <v>66</v>
      </c>
      <c r="F38" t="s">
        <v>37</v>
      </c>
      <c r="G38">
        <v>1</v>
      </c>
      <c r="H38" t="str">
        <f>INDEX(Define!B:B,MATCH(G38,Define!A:A))</f>
        <v>ターン数</v>
      </c>
      <c r="I38">
        <v>0</v>
      </c>
      <c r="J38" t="s">
        <v>38</v>
      </c>
      <c r="K38">
        <v>0</v>
      </c>
      <c r="L38">
        <v>1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1</v>
      </c>
      <c r="U38" t="str">
        <f>TextData!B37</f>
        <v>カウンタ</v>
      </c>
    </row>
    <row r="39" spans="1:21">
      <c r="A39">
        <v>2031</v>
      </c>
      <c r="B39">
        <v>2031</v>
      </c>
      <c r="C39" t="str">
        <f>INDEX(TextData!B:B,MATCH(B39,TextData!A:A))</f>
        <v>CAダメージ</v>
      </c>
      <c r="D39">
        <v>0</v>
      </c>
      <c r="E39">
        <v>66</v>
      </c>
      <c r="F39" t="s">
        <v>37</v>
      </c>
      <c r="G39">
        <v>1</v>
      </c>
      <c r="H39" t="str">
        <f>INDEX(Define!B:B,MATCH(G39,Define!A:A))</f>
        <v>ターン数</v>
      </c>
      <c r="I39">
        <v>1</v>
      </c>
      <c r="J39" t="s">
        <v>20</v>
      </c>
      <c r="K39">
        <v>0</v>
      </c>
      <c r="L39">
        <v>1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1</v>
      </c>
      <c r="U39" t="str">
        <f>TextData!B38</f>
        <v>CAダメージ</v>
      </c>
    </row>
    <row r="40" spans="1:21">
      <c r="A40">
        <v>2032</v>
      </c>
      <c r="B40">
        <v>2032</v>
      </c>
      <c r="C40" t="str">
        <f>INDEX(TextData!B:B,MATCH(B40,TextData!A:A))</f>
        <v>CAシェル</v>
      </c>
      <c r="D40">
        <v>0</v>
      </c>
      <c r="E40">
        <v>66</v>
      </c>
      <c r="F40" t="s">
        <v>39</v>
      </c>
      <c r="G40">
        <v>0</v>
      </c>
      <c r="H40" t="str">
        <f>INDEX(Define!B:B,MATCH(G40,Define!A:A))</f>
        <v>なし</v>
      </c>
      <c r="I40">
        <v>1</v>
      </c>
      <c r="J40" t="s">
        <v>20</v>
      </c>
      <c r="K40">
        <v>0</v>
      </c>
      <c r="L40">
        <v>1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1</v>
      </c>
      <c r="U40" t="str">
        <f>TextData!B39</f>
        <v>CAシェル</v>
      </c>
    </row>
    <row r="41" spans="1:21">
      <c r="A41">
        <v>2040</v>
      </c>
      <c r="B41">
        <v>2040</v>
      </c>
      <c r="C41" t="str">
        <f>INDEX(TextData!B:B,MATCH(B41,TextData!A:A))</f>
        <v>リジェネ</v>
      </c>
      <c r="D41">
        <v>0</v>
      </c>
      <c r="E41">
        <v>46</v>
      </c>
      <c r="F41" t="s">
        <v>39</v>
      </c>
      <c r="G41">
        <v>1</v>
      </c>
      <c r="H41" t="str">
        <f>INDEX(Define!B:B,MATCH(G41,Define!A:A))</f>
        <v>ターン数</v>
      </c>
      <c r="I41">
        <v>1</v>
      </c>
      <c r="J41" t="s">
        <v>20</v>
      </c>
      <c r="K41">
        <v>0</v>
      </c>
      <c r="L41">
        <v>1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1</v>
      </c>
      <c r="U41" t="str">
        <f>TextData!B40</f>
        <v>リジェネ</v>
      </c>
    </row>
    <row r="42" spans="1:21">
      <c r="A42">
        <v>2050</v>
      </c>
      <c r="B42">
        <v>2050</v>
      </c>
      <c r="C42" t="str">
        <f>INDEX(TextData!B:B,MATCH(B42,TextData!A:A))</f>
        <v>攻撃無効</v>
      </c>
      <c r="D42">
        <v>0</v>
      </c>
      <c r="E42">
        <v>226</v>
      </c>
      <c r="F42" t="s">
        <v>40</v>
      </c>
      <c r="G42">
        <v>4</v>
      </c>
      <c r="H42" t="str">
        <f>INDEX(Define!B:B,MATCH(G42,Define!A:A))</f>
        <v>効果発揮回数</v>
      </c>
      <c r="I42">
        <v>0</v>
      </c>
      <c r="J42" t="s">
        <v>41</v>
      </c>
      <c r="K42">
        <v>0</v>
      </c>
      <c r="L42">
        <v>1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1</v>
      </c>
      <c r="U42" t="str">
        <f>TextData!B41</f>
        <v>攻撃無効</v>
      </c>
    </row>
    <row r="43" spans="1:21">
      <c r="A43">
        <v>2060</v>
      </c>
      <c r="B43">
        <v>2060</v>
      </c>
      <c r="C43" t="str">
        <f>INDEX(TextData!B:B,MATCH(B43,TextData!A:A))</f>
        <v>ドレイン</v>
      </c>
      <c r="D43">
        <v>0</v>
      </c>
      <c r="E43">
        <v>167</v>
      </c>
      <c r="F43" t="s">
        <v>42</v>
      </c>
      <c r="G43">
        <v>1</v>
      </c>
      <c r="H43" t="str">
        <f>INDEX(Define!B:B,MATCH(G43,Define!A:A))</f>
        <v>ターン数</v>
      </c>
      <c r="I43">
        <v>1</v>
      </c>
      <c r="J43" t="s">
        <v>20</v>
      </c>
      <c r="K43">
        <v>0</v>
      </c>
      <c r="L43">
        <v>1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1</v>
      </c>
      <c r="U43" t="str">
        <f>TextData!B42</f>
        <v>ドレイン</v>
      </c>
    </row>
    <row r="44" spans="1:21">
      <c r="A44">
        <v>2070</v>
      </c>
      <c r="B44">
        <v>2070</v>
      </c>
      <c r="C44" t="str">
        <f>INDEX(TextData!B:B,MATCH(B44,TextData!A:A))</f>
        <v>状態異常CA</v>
      </c>
      <c r="D44">
        <v>0</v>
      </c>
      <c r="E44">
        <v>226</v>
      </c>
      <c r="F44" t="s">
        <v>43</v>
      </c>
      <c r="G44">
        <v>1</v>
      </c>
      <c r="H44" t="str">
        <f>INDEX(Define!B:B,MATCH(G44,Define!A:A))</f>
        <v>ターン数</v>
      </c>
      <c r="I44">
        <v>0</v>
      </c>
      <c r="J44" t="s">
        <v>20</v>
      </c>
      <c r="K44">
        <v>0</v>
      </c>
      <c r="L44">
        <v>1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1</v>
      </c>
      <c r="U44" t="str">
        <f>TextData!B43</f>
        <v>状態異常CA</v>
      </c>
    </row>
    <row r="45" spans="1:21">
      <c r="A45">
        <v>2080</v>
      </c>
      <c r="B45">
        <v>2080</v>
      </c>
      <c r="C45" t="str">
        <f>INDEX(TextData!B:B,MATCH(B45,TextData!A:A))</f>
        <v>反撃</v>
      </c>
      <c r="D45">
        <v>0</v>
      </c>
      <c r="E45">
        <v>4</v>
      </c>
      <c r="F45" t="s">
        <v>37</v>
      </c>
      <c r="G45">
        <v>4</v>
      </c>
      <c r="H45" t="str">
        <f>INDEX(Define!B:B,MATCH(G45,Define!A:A))</f>
        <v>効果発揮回数</v>
      </c>
      <c r="I45">
        <v>0</v>
      </c>
      <c r="J45" t="s">
        <v>20</v>
      </c>
      <c r="K45">
        <v>0</v>
      </c>
      <c r="L45">
        <v>1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1</v>
      </c>
      <c r="U45" t="str">
        <f>TextData!B44</f>
        <v>反撃</v>
      </c>
    </row>
    <row r="46" spans="1:21">
      <c r="A46">
        <v>2090</v>
      </c>
      <c r="B46">
        <v>2090</v>
      </c>
      <c r="C46" t="str">
        <f>INDEX(TextData!B:B,MATCH(B46,TextData!A:A))</f>
        <v>パッシブ封じ</v>
      </c>
      <c r="D46">
        <v>0</v>
      </c>
      <c r="E46">
        <v>10</v>
      </c>
      <c r="F46" t="s">
        <v>44</v>
      </c>
      <c r="G46">
        <v>4</v>
      </c>
      <c r="H46" t="str">
        <f>INDEX(Define!B:B,MATCH(G46,Define!A:A))</f>
        <v>効果発揮回数</v>
      </c>
      <c r="I46">
        <v>0</v>
      </c>
      <c r="J46" t="s">
        <v>20</v>
      </c>
      <c r="K46">
        <v>0</v>
      </c>
      <c r="L46">
        <v>1</v>
      </c>
      <c r="M46">
        <v>0</v>
      </c>
      <c r="N46">
        <v>0</v>
      </c>
      <c r="O46">
        <v>1</v>
      </c>
      <c r="P46">
        <v>0</v>
      </c>
      <c r="Q46">
        <v>1</v>
      </c>
      <c r="R46">
        <v>1</v>
      </c>
      <c r="S46">
        <v>0</v>
      </c>
      <c r="T46">
        <v>1</v>
      </c>
      <c r="U46" t="str">
        <f>TextData!B45</f>
        <v>パッシブ封じ</v>
      </c>
    </row>
    <row r="47" spans="1:21">
      <c r="A47">
        <v>2120</v>
      </c>
      <c r="B47">
        <v>2120</v>
      </c>
      <c r="C47" t="str">
        <f>INDEX(TextData!B:B,MATCH(B47,TextData!A:A))</f>
        <v>デバフ強化</v>
      </c>
      <c r="D47">
        <v>0</v>
      </c>
      <c r="E47">
        <v>9</v>
      </c>
      <c r="F47" t="s">
        <v>45</v>
      </c>
      <c r="G47">
        <v>4</v>
      </c>
      <c r="H47" t="str">
        <f>INDEX(Define!B:B,MATCH(G47,Define!A:A))</f>
        <v>効果発揮回数</v>
      </c>
      <c r="I47">
        <v>1</v>
      </c>
      <c r="J47" t="s">
        <v>46</v>
      </c>
      <c r="K47">
        <v>0</v>
      </c>
      <c r="L47">
        <v>0.2</v>
      </c>
      <c r="M47">
        <v>0</v>
      </c>
      <c r="N47">
        <v>0</v>
      </c>
      <c r="O47">
        <v>0</v>
      </c>
      <c r="P47">
        <v>0</v>
      </c>
      <c r="Q47">
        <v>0</v>
      </c>
      <c r="R47">
        <v>1</v>
      </c>
      <c r="S47">
        <v>0</v>
      </c>
      <c r="T47">
        <v>1</v>
      </c>
      <c r="U47" t="str">
        <f>TextData!B46</f>
        <v>デバフ強化</v>
      </c>
    </row>
    <row r="48" spans="1:21">
      <c r="A48">
        <v>2130</v>
      </c>
      <c r="B48">
        <v>2130</v>
      </c>
      <c r="C48" t="str">
        <f>INDEX(TextData!B:B,MATCH(B48,TextData!A:A))</f>
        <v>挑発</v>
      </c>
      <c r="D48">
        <v>0</v>
      </c>
      <c r="E48">
        <v>4</v>
      </c>
      <c r="F48" t="s">
        <v>47</v>
      </c>
      <c r="G48">
        <v>1</v>
      </c>
      <c r="H48" t="str">
        <f>INDEX(Define!B:B,MATCH(G48,Define!A:A))</f>
        <v>ターン数</v>
      </c>
      <c r="I48">
        <v>0</v>
      </c>
      <c r="J48" t="s">
        <v>20</v>
      </c>
      <c r="K48">
        <v>0</v>
      </c>
      <c r="L48">
        <v>1</v>
      </c>
      <c r="M48">
        <v>0</v>
      </c>
      <c r="N48">
        <v>0</v>
      </c>
      <c r="O48">
        <v>0</v>
      </c>
      <c r="P48">
        <v>0</v>
      </c>
      <c r="Q48">
        <v>0</v>
      </c>
      <c r="R48">
        <v>1</v>
      </c>
      <c r="S48">
        <v>0</v>
      </c>
      <c r="T48">
        <v>1</v>
      </c>
      <c r="U48" t="str">
        <f>TextData!B47</f>
        <v>挑発</v>
      </c>
    </row>
    <row r="49" spans="1:21">
      <c r="A49">
        <v>2140</v>
      </c>
      <c r="B49">
        <v>2140</v>
      </c>
      <c r="C49" t="str">
        <f>INDEX(TextData!B:B,MATCH(B49,TextData!A:A))</f>
        <v>凍結</v>
      </c>
      <c r="D49">
        <v>18</v>
      </c>
      <c r="E49">
        <v>44</v>
      </c>
      <c r="F49" t="s">
        <v>48</v>
      </c>
      <c r="G49">
        <v>4</v>
      </c>
      <c r="H49" t="str">
        <f>INDEX(Define!B:B,MATCH(G49,Define!A:A))</f>
        <v>効果発揮回数</v>
      </c>
      <c r="I49">
        <v>1</v>
      </c>
      <c r="J49" t="s">
        <v>49</v>
      </c>
      <c r="K49">
        <v>0</v>
      </c>
      <c r="L49">
        <v>1</v>
      </c>
      <c r="M49">
        <v>0</v>
      </c>
      <c r="N49">
        <v>0</v>
      </c>
      <c r="O49">
        <v>1</v>
      </c>
      <c r="P49">
        <v>0</v>
      </c>
      <c r="Q49">
        <v>1</v>
      </c>
      <c r="R49">
        <v>1</v>
      </c>
      <c r="S49">
        <v>0</v>
      </c>
      <c r="T49">
        <v>1</v>
      </c>
      <c r="U49" t="str">
        <f>TextData!B48</f>
        <v>凍結</v>
      </c>
    </row>
    <row r="50" spans="1:21">
      <c r="A50">
        <v>2150</v>
      </c>
      <c r="B50">
        <v>2150</v>
      </c>
      <c r="C50" t="str">
        <f>INDEX(TextData!B:B,MATCH(B50,TextData!A:A))</f>
        <v>スタン</v>
      </c>
      <c r="D50">
        <v>0</v>
      </c>
      <c r="E50">
        <v>5</v>
      </c>
      <c r="F50" t="s">
        <v>50</v>
      </c>
      <c r="G50">
        <v>2</v>
      </c>
      <c r="H50" t="str">
        <f>INDEX(Define!B:B,MATCH(G50,Define!A:A))</f>
        <v>APカウント</v>
      </c>
      <c r="I50">
        <v>0</v>
      </c>
      <c r="J50" t="s">
        <v>51</v>
      </c>
      <c r="K50">
        <v>0</v>
      </c>
      <c r="L50">
        <v>1</v>
      </c>
      <c r="M50">
        <v>0</v>
      </c>
      <c r="N50">
        <v>0</v>
      </c>
      <c r="O50">
        <v>1</v>
      </c>
      <c r="P50">
        <v>0</v>
      </c>
      <c r="Q50">
        <v>1</v>
      </c>
      <c r="R50">
        <v>1</v>
      </c>
      <c r="S50">
        <v>0</v>
      </c>
      <c r="T50">
        <v>1</v>
      </c>
      <c r="U50" t="str">
        <f>TextData!B49</f>
        <v>スタン</v>
      </c>
    </row>
    <row r="51" spans="1:21">
      <c r="A51">
        <v>2180</v>
      </c>
      <c r="B51">
        <v>2180</v>
      </c>
      <c r="C51" t="str">
        <f>INDEX(TextData!B:B,MATCH(B51,TextData!A:A))</f>
        <v>状態異常回避</v>
      </c>
      <c r="D51">
        <v>0</v>
      </c>
      <c r="E51">
        <v>99</v>
      </c>
      <c r="F51" t="s">
        <v>52</v>
      </c>
      <c r="G51">
        <v>4</v>
      </c>
      <c r="H51" t="str">
        <f>INDEX(Define!B:B,MATCH(G51,Define!A:A))</f>
        <v>効果発揮回数</v>
      </c>
      <c r="I51">
        <v>0</v>
      </c>
      <c r="J51" t="s">
        <v>20</v>
      </c>
      <c r="K51">
        <v>0</v>
      </c>
      <c r="L51">
        <v>1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1</v>
      </c>
      <c r="U51" t="str">
        <f>TextData!B50</f>
        <v>状態異常回避</v>
      </c>
    </row>
    <row r="52" spans="1:21">
      <c r="A52">
        <v>2190</v>
      </c>
      <c r="B52">
        <v>2190</v>
      </c>
      <c r="C52" t="str">
        <f>INDEX(TextData!B:B,MATCH(B52,TextData!A:A))</f>
        <v>対象範囲延長</v>
      </c>
      <c r="D52">
        <v>0</v>
      </c>
      <c r="E52">
        <v>73</v>
      </c>
      <c r="F52" t="s">
        <v>53</v>
      </c>
      <c r="G52">
        <v>1</v>
      </c>
      <c r="H52" t="str">
        <f>INDEX(Define!B:B,MATCH(G52,Define!A:A))</f>
        <v>ターン数</v>
      </c>
      <c r="I52">
        <v>0</v>
      </c>
      <c r="J52" t="s">
        <v>20</v>
      </c>
      <c r="K52">
        <v>0</v>
      </c>
      <c r="L52">
        <v>1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 t="str">
        <f>TextData!B51</f>
        <v>対象範囲延長</v>
      </c>
    </row>
    <row r="53" spans="1:21">
      <c r="A53">
        <v>2210</v>
      </c>
      <c r="B53">
        <v>2210</v>
      </c>
      <c r="C53" t="str">
        <f>INDEX(TextData!B:B,MATCH(B53,TextData!A:A))</f>
        <v>アフターヒール</v>
      </c>
      <c r="D53">
        <v>0</v>
      </c>
      <c r="E53">
        <v>63</v>
      </c>
      <c r="F53" t="s">
        <v>39</v>
      </c>
      <c r="G53">
        <v>1</v>
      </c>
      <c r="H53" t="str">
        <f>INDEX(Define!B:B,MATCH(G53,Define!A:A))</f>
        <v>ターン数</v>
      </c>
      <c r="I53">
        <v>1</v>
      </c>
      <c r="J53" t="s">
        <v>20</v>
      </c>
      <c r="K53">
        <v>0</v>
      </c>
      <c r="L53">
        <v>1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1</v>
      </c>
      <c r="U53" t="str">
        <f>TextData!B52</f>
        <v>アフターヒール</v>
      </c>
    </row>
    <row r="54" spans="1:21">
      <c r="A54">
        <v>2220</v>
      </c>
      <c r="B54">
        <v>2220</v>
      </c>
      <c r="C54" t="str">
        <f>INDEX(TextData!B:B,MATCH(B54,TextData!A:A))</f>
        <v>即死付与</v>
      </c>
      <c r="D54">
        <v>0</v>
      </c>
      <c r="E54">
        <v>1</v>
      </c>
      <c r="F54" t="s">
        <v>19</v>
      </c>
      <c r="G54">
        <v>1</v>
      </c>
      <c r="H54" t="str">
        <f>INDEX(Define!B:B,MATCH(G54,Define!A:A))</f>
        <v>ターン数</v>
      </c>
      <c r="I54">
        <v>0</v>
      </c>
      <c r="J54" t="s">
        <v>20</v>
      </c>
      <c r="K54">
        <v>0</v>
      </c>
      <c r="L54">
        <v>1</v>
      </c>
      <c r="M54">
        <v>0</v>
      </c>
      <c r="N54">
        <v>0</v>
      </c>
      <c r="O54">
        <v>0</v>
      </c>
      <c r="P54">
        <v>0</v>
      </c>
      <c r="Q54">
        <v>0</v>
      </c>
      <c r="R54">
        <v>1</v>
      </c>
      <c r="S54">
        <v>0</v>
      </c>
      <c r="T54">
        <v>1</v>
      </c>
      <c r="U54" t="str">
        <f>TextData!B53</f>
        <v>即死付与</v>
      </c>
    </row>
    <row r="55" spans="1:21">
      <c r="A55">
        <v>2230</v>
      </c>
      <c r="B55">
        <v>2230</v>
      </c>
      <c r="C55" t="str">
        <f>INDEX(TextData!B:B,MATCH(B55,TextData!A:A))</f>
        <v>同時回復</v>
      </c>
      <c r="D55">
        <v>0</v>
      </c>
      <c r="E55">
        <v>46</v>
      </c>
      <c r="F55" t="s">
        <v>39</v>
      </c>
      <c r="G55">
        <v>0</v>
      </c>
      <c r="H55" t="str">
        <f>INDEX(Define!B:B,MATCH(G55,Define!A:A))</f>
        <v>なし</v>
      </c>
      <c r="I55">
        <v>1</v>
      </c>
      <c r="J55" t="s">
        <v>20</v>
      </c>
      <c r="K55">
        <v>0</v>
      </c>
      <c r="L55">
        <v>1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1</v>
      </c>
      <c r="U55" t="str">
        <f>TextData!B54</f>
        <v>同時回復</v>
      </c>
    </row>
    <row r="56" spans="1:21">
      <c r="A56">
        <v>2240</v>
      </c>
      <c r="B56">
        <v>2240</v>
      </c>
      <c r="C56" t="str">
        <f>INDEX(TextData!B:B,MATCH(B56,TextData!A:A))</f>
        <v>必中</v>
      </c>
      <c r="D56">
        <v>0</v>
      </c>
      <c r="E56">
        <v>62</v>
      </c>
      <c r="F56" t="s">
        <v>29</v>
      </c>
      <c r="G56">
        <v>4</v>
      </c>
      <c r="H56" t="str">
        <f>INDEX(Define!B:B,MATCH(G56,Define!A:A))</f>
        <v>効果発揮回数</v>
      </c>
      <c r="I56">
        <v>0</v>
      </c>
      <c r="J56" t="s">
        <v>20</v>
      </c>
      <c r="K56">
        <v>0</v>
      </c>
      <c r="L56">
        <v>1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1</v>
      </c>
      <c r="U56" t="str">
        <f>TextData!B55</f>
        <v>必中</v>
      </c>
    </row>
    <row r="57" spans="1:21">
      <c r="A57">
        <v>2250</v>
      </c>
      <c r="B57">
        <v>2250</v>
      </c>
      <c r="C57" t="str">
        <f>INDEX(TextData!B:B,MATCH(B57,TextData!A:A))</f>
        <v>アシストヒール</v>
      </c>
      <c r="D57">
        <v>0</v>
      </c>
      <c r="E57">
        <v>46</v>
      </c>
      <c r="F57" t="s">
        <v>54</v>
      </c>
      <c r="G57">
        <v>0</v>
      </c>
      <c r="H57" t="str">
        <f>INDEX(Define!B:B,MATCH(G57,Define!A:A))</f>
        <v>なし</v>
      </c>
      <c r="I57">
        <v>0</v>
      </c>
      <c r="J57" t="s">
        <v>20</v>
      </c>
      <c r="K57">
        <v>0</v>
      </c>
      <c r="L57">
        <v>1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1</v>
      </c>
      <c r="U57" t="str">
        <f>TextData!B56</f>
        <v>アシストヒール</v>
      </c>
    </row>
    <row r="58" spans="1:21">
      <c r="A58">
        <v>2270</v>
      </c>
      <c r="B58">
        <v>2270</v>
      </c>
      <c r="C58" t="str">
        <f>INDEX(TextData!B:B,MATCH(B58,TextData!A:A))</f>
        <v>アンデッド</v>
      </c>
      <c r="D58">
        <v>0</v>
      </c>
      <c r="E58">
        <v>9</v>
      </c>
      <c r="F58" t="s">
        <v>55</v>
      </c>
      <c r="G58">
        <v>0</v>
      </c>
      <c r="H58" t="str">
        <f>INDEX(Define!B:B,MATCH(G58,Define!A:A))</f>
        <v>なし</v>
      </c>
      <c r="I58">
        <v>0</v>
      </c>
      <c r="J58" t="s">
        <v>20</v>
      </c>
      <c r="K58">
        <v>0</v>
      </c>
      <c r="L58">
        <v>1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1</v>
      </c>
      <c r="U58" t="str">
        <f>TextData!B57</f>
        <v>アンデッド</v>
      </c>
    </row>
    <row r="59" spans="1:21">
      <c r="A59">
        <v>2280</v>
      </c>
      <c r="B59">
        <v>2280</v>
      </c>
      <c r="C59" t="str">
        <f>INDEX(TextData!B:B,MATCH(B59,TextData!A:A))</f>
        <v>アクセル</v>
      </c>
      <c r="D59">
        <v>0</v>
      </c>
      <c r="E59">
        <v>25</v>
      </c>
      <c r="F59" t="s">
        <v>21</v>
      </c>
      <c r="G59">
        <v>0</v>
      </c>
      <c r="H59" t="str">
        <f>INDEX(Define!B:B,MATCH(G59,Define!A:A))</f>
        <v>なし</v>
      </c>
      <c r="I59">
        <v>0</v>
      </c>
      <c r="J59" t="s">
        <v>20</v>
      </c>
      <c r="K59">
        <v>0</v>
      </c>
      <c r="L59">
        <v>1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1</v>
      </c>
      <c r="U59" t="str">
        <f>TextData!B58</f>
        <v>アクセル</v>
      </c>
    </row>
    <row r="60" spans="1:21">
      <c r="A60">
        <v>2290</v>
      </c>
      <c r="B60">
        <v>2290</v>
      </c>
      <c r="C60" t="str">
        <f>INDEX(TextData!B:B,MATCH(B60,TextData!A:A))</f>
        <v>ダメージ威力アップ</v>
      </c>
      <c r="D60">
        <v>0</v>
      </c>
      <c r="E60">
        <v>21</v>
      </c>
      <c r="F60" t="s">
        <v>56</v>
      </c>
      <c r="G60">
        <v>1</v>
      </c>
      <c r="H60" t="str">
        <f>INDEX(Define!B:B,MATCH(G60,Define!A:A))</f>
        <v>ターン数</v>
      </c>
      <c r="I60">
        <v>1</v>
      </c>
      <c r="J60" t="s">
        <v>20</v>
      </c>
      <c r="K60">
        <v>0</v>
      </c>
      <c r="L60">
        <v>1</v>
      </c>
      <c r="M60">
        <v>10</v>
      </c>
      <c r="N60">
        <v>0</v>
      </c>
      <c r="O60">
        <v>0</v>
      </c>
      <c r="P60">
        <v>1</v>
      </c>
      <c r="Q60">
        <v>0</v>
      </c>
      <c r="R60">
        <v>0</v>
      </c>
      <c r="S60">
        <v>0</v>
      </c>
      <c r="T60">
        <v>1</v>
      </c>
      <c r="U60" t="str">
        <f>TextData!B59</f>
        <v>ダメージ威力アップ</v>
      </c>
    </row>
    <row r="61" spans="1:21">
      <c r="A61">
        <v>2320</v>
      </c>
      <c r="B61">
        <v>2320</v>
      </c>
      <c r="C61" t="str">
        <f>INDEX(TextData!B:B,MATCH(B61,TextData!A:A))</f>
        <v>バフ解除</v>
      </c>
      <c r="D61">
        <v>0</v>
      </c>
      <c r="E61">
        <v>0</v>
      </c>
      <c r="F61">
        <v>1</v>
      </c>
      <c r="G61">
        <v>0</v>
      </c>
      <c r="H61" t="str">
        <f>INDEX(Define!B:B,MATCH(G61,Define!A:A))</f>
        <v>なし</v>
      </c>
      <c r="I61">
        <v>1</v>
      </c>
      <c r="J61" t="s">
        <v>20</v>
      </c>
      <c r="K61">
        <v>0</v>
      </c>
      <c r="L61">
        <v>1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1</v>
      </c>
      <c r="U61" t="str">
        <f>TextData!B60</f>
        <v>バフ解除</v>
      </c>
    </row>
    <row r="62" spans="1:21">
      <c r="A62">
        <v>2330</v>
      </c>
      <c r="B62">
        <v>2330</v>
      </c>
      <c r="C62" t="str">
        <f>INDEX(TextData!B:B,MATCH(B62,TextData!A:A))</f>
        <v>貫通</v>
      </c>
      <c r="D62">
        <v>0</v>
      </c>
      <c r="E62">
        <v>56</v>
      </c>
      <c r="F62" t="s">
        <v>57</v>
      </c>
      <c r="G62">
        <v>1</v>
      </c>
      <c r="H62" t="str">
        <f>INDEX(Define!B:B,MATCH(G62,Define!A:A))</f>
        <v>ターン数</v>
      </c>
      <c r="I62">
        <v>1</v>
      </c>
      <c r="J62" t="s">
        <v>20</v>
      </c>
      <c r="K62">
        <v>0</v>
      </c>
      <c r="L62">
        <v>1</v>
      </c>
      <c r="M62">
        <v>0</v>
      </c>
      <c r="N62">
        <v>1</v>
      </c>
      <c r="O62">
        <v>0</v>
      </c>
      <c r="P62">
        <v>0</v>
      </c>
      <c r="Q62">
        <v>0</v>
      </c>
      <c r="R62">
        <v>0</v>
      </c>
      <c r="S62">
        <v>0</v>
      </c>
      <c r="T62">
        <v>1</v>
      </c>
      <c r="U62" t="str">
        <f>TextData!B61</f>
        <v>貫通</v>
      </c>
    </row>
    <row r="63" spans="1:21">
      <c r="A63">
        <v>2340</v>
      </c>
      <c r="B63">
        <v>2340</v>
      </c>
      <c r="C63" t="str">
        <f>INDEX(TextData!B:B,MATCH(B63,TextData!A:A))</f>
        <v>対象列化</v>
      </c>
      <c r="D63">
        <v>0</v>
      </c>
      <c r="E63">
        <v>66</v>
      </c>
      <c r="F63" t="s">
        <v>58</v>
      </c>
      <c r="G63">
        <v>1</v>
      </c>
      <c r="H63" t="str">
        <f>INDEX(Define!B:B,MATCH(G63,Define!A:A))</f>
        <v>ターン数</v>
      </c>
      <c r="I63">
        <v>1</v>
      </c>
      <c r="J63" t="s">
        <v>20</v>
      </c>
      <c r="K63">
        <v>0</v>
      </c>
      <c r="L63">
        <v>1</v>
      </c>
      <c r="M63">
        <v>0</v>
      </c>
      <c r="N63">
        <v>1</v>
      </c>
      <c r="O63">
        <v>0</v>
      </c>
      <c r="P63">
        <v>0</v>
      </c>
      <c r="Q63">
        <v>0</v>
      </c>
      <c r="R63">
        <v>0</v>
      </c>
      <c r="S63">
        <v>0</v>
      </c>
      <c r="T63">
        <v>1</v>
      </c>
      <c r="U63" t="str">
        <f>TextData!B62</f>
        <v>対象列化</v>
      </c>
    </row>
    <row r="64" spans="1:21">
      <c r="A64">
        <v>2341</v>
      </c>
      <c r="B64">
        <v>2341</v>
      </c>
      <c r="C64" t="str">
        <f>INDEX(TextData!B:B,MATCH(B64,TextData!A:A))</f>
        <v>対象全体化</v>
      </c>
      <c r="D64">
        <v>0</v>
      </c>
      <c r="E64">
        <v>66</v>
      </c>
      <c r="F64" t="s">
        <v>59</v>
      </c>
      <c r="G64">
        <v>1</v>
      </c>
      <c r="H64" t="str">
        <f>INDEX(Define!B:B,MATCH(G64,Define!A:A))</f>
        <v>ターン数</v>
      </c>
      <c r="I64">
        <v>1</v>
      </c>
      <c r="J64" t="s">
        <v>20</v>
      </c>
      <c r="K64">
        <v>0</v>
      </c>
      <c r="L64">
        <v>1</v>
      </c>
      <c r="M64">
        <v>0</v>
      </c>
      <c r="N64">
        <v>1</v>
      </c>
      <c r="O64">
        <v>0</v>
      </c>
      <c r="P64">
        <v>0</v>
      </c>
      <c r="Q64">
        <v>0</v>
      </c>
      <c r="R64">
        <v>0</v>
      </c>
      <c r="S64">
        <v>0</v>
      </c>
      <c r="T64">
        <v>1</v>
      </c>
      <c r="U64" t="str">
        <f>TextData!B63</f>
        <v>対象全体化</v>
      </c>
    </row>
    <row r="65" spans="1:21">
      <c r="A65">
        <v>2350</v>
      </c>
      <c r="B65">
        <v>2350</v>
      </c>
      <c r="C65" t="str">
        <f>INDEX(TextData!B:B,MATCH(B65,TextData!A:A))</f>
        <v>聖棺</v>
      </c>
      <c r="D65">
        <v>0</v>
      </c>
      <c r="E65">
        <v>0</v>
      </c>
      <c r="F65" t="s">
        <v>60</v>
      </c>
      <c r="G65">
        <v>1</v>
      </c>
      <c r="H65" t="str">
        <f>INDEX(Define!B:B,MATCH(G65,Define!A:A))</f>
        <v>ターン数</v>
      </c>
      <c r="I65">
        <v>1</v>
      </c>
      <c r="J65" t="s">
        <v>20</v>
      </c>
      <c r="K65">
        <v>0</v>
      </c>
      <c r="L65">
        <v>1</v>
      </c>
      <c r="M65">
        <v>0</v>
      </c>
      <c r="N65">
        <v>1</v>
      </c>
      <c r="O65">
        <v>0</v>
      </c>
      <c r="P65">
        <v>0</v>
      </c>
      <c r="Q65">
        <v>0</v>
      </c>
      <c r="R65">
        <v>0</v>
      </c>
      <c r="S65">
        <v>0</v>
      </c>
      <c r="T65">
        <v>1</v>
      </c>
      <c r="U65" t="str">
        <f>TextData!B64</f>
        <v>聖棺</v>
      </c>
    </row>
    <row r="66" spans="1:21">
      <c r="A66">
        <v>2360</v>
      </c>
      <c r="B66">
        <v>2360</v>
      </c>
      <c r="C66" t="str">
        <f>INDEX(TextData!B:B,MATCH(B66,TextData!A:A))</f>
        <v>追加ダメージ</v>
      </c>
      <c r="D66">
        <v>0</v>
      </c>
      <c r="E66">
        <v>13</v>
      </c>
      <c r="F66" t="s">
        <v>61</v>
      </c>
      <c r="G66">
        <v>1</v>
      </c>
      <c r="H66" t="str">
        <f>INDEX(Define!B:B,MATCH(G66,Define!A:A))</f>
        <v>ターン数</v>
      </c>
      <c r="I66">
        <v>1</v>
      </c>
      <c r="J66" t="s">
        <v>20</v>
      </c>
      <c r="K66">
        <v>0</v>
      </c>
      <c r="L66">
        <v>1</v>
      </c>
      <c r="M66">
        <v>0</v>
      </c>
      <c r="N66">
        <v>1</v>
      </c>
      <c r="O66">
        <v>0</v>
      </c>
      <c r="P66">
        <v>0</v>
      </c>
      <c r="Q66">
        <v>0</v>
      </c>
      <c r="R66">
        <v>0</v>
      </c>
      <c r="S66">
        <v>0</v>
      </c>
      <c r="T66">
        <v>1</v>
      </c>
      <c r="U66" t="str">
        <f>TextData!B65</f>
        <v>追加ダメージ</v>
      </c>
    </row>
    <row r="67" spans="1:21">
      <c r="A67">
        <v>2370</v>
      </c>
      <c r="B67">
        <v>2370</v>
      </c>
      <c r="C67" t="str">
        <f>INDEX(TextData!B:B,MATCH(B67,TextData!A:A))</f>
        <v>追加効果</v>
      </c>
      <c r="D67">
        <v>0</v>
      </c>
      <c r="E67">
        <v>56</v>
      </c>
      <c r="F67" t="s">
        <v>61</v>
      </c>
      <c r="G67">
        <v>1</v>
      </c>
      <c r="H67" t="str">
        <f>INDEX(Define!B:B,MATCH(G67,Define!A:A))</f>
        <v>ターン数</v>
      </c>
      <c r="I67">
        <v>1</v>
      </c>
      <c r="J67" t="s">
        <v>20</v>
      </c>
      <c r="K67">
        <v>0</v>
      </c>
      <c r="L67">
        <v>1</v>
      </c>
      <c r="M67">
        <v>0</v>
      </c>
      <c r="N67">
        <v>1</v>
      </c>
      <c r="O67">
        <v>0</v>
      </c>
      <c r="P67">
        <v>0</v>
      </c>
      <c r="Q67">
        <v>0</v>
      </c>
      <c r="R67">
        <v>0</v>
      </c>
      <c r="S67">
        <v>0</v>
      </c>
      <c r="T67">
        <v>1</v>
      </c>
      <c r="U67" t="str">
        <f>TextData!B66</f>
        <v>追加効果</v>
      </c>
    </row>
    <row r="68" spans="1:21">
      <c r="A68">
        <v>2380</v>
      </c>
      <c r="B68">
        <v>2380</v>
      </c>
      <c r="C68" t="str">
        <f>INDEX(TextData!B:B,MATCH(B68,TextData!A:A))</f>
        <v>透明</v>
      </c>
      <c r="D68">
        <v>0</v>
      </c>
      <c r="E68">
        <v>0</v>
      </c>
      <c r="F68" t="s">
        <v>62</v>
      </c>
      <c r="G68">
        <v>1</v>
      </c>
      <c r="H68" t="str">
        <f>INDEX(Define!B:B,MATCH(G68,Define!A:A))</f>
        <v>ターン数</v>
      </c>
      <c r="I68">
        <v>1</v>
      </c>
      <c r="J68" t="s">
        <v>20</v>
      </c>
      <c r="K68">
        <v>0</v>
      </c>
      <c r="L68">
        <v>1</v>
      </c>
      <c r="M68">
        <v>0</v>
      </c>
      <c r="N68">
        <v>1</v>
      </c>
      <c r="O68">
        <v>0</v>
      </c>
      <c r="P68">
        <v>0</v>
      </c>
      <c r="Q68">
        <v>0</v>
      </c>
      <c r="R68">
        <v>0</v>
      </c>
      <c r="S68">
        <v>0</v>
      </c>
      <c r="T68">
        <v>1</v>
      </c>
      <c r="U68" t="str">
        <f>TextData!B67</f>
        <v>透明</v>
      </c>
    </row>
    <row r="69" spans="1:21">
      <c r="A69">
        <v>2390</v>
      </c>
      <c r="B69">
        <v>2390</v>
      </c>
      <c r="C69" t="str">
        <f>INDEX(TextData!B:B,MATCH(B69,TextData!A:A))</f>
        <v>沈黙</v>
      </c>
      <c r="D69">
        <v>36</v>
      </c>
      <c r="E69">
        <v>3</v>
      </c>
      <c r="F69" t="s">
        <v>63</v>
      </c>
      <c r="G69">
        <v>1</v>
      </c>
      <c r="H69" t="str">
        <f>INDEX(Define!B:B,MATCH(G69,Define!A:A))</f>
        <v>ターン数</v>
      </c>
      <c r="I69">
        <v>1</v>
      </c>
      <c r="J69" t="s">
        <v>20</v>
      </c>
      <c r="K69">
        <v>0</v>
      </c>
      <c r="L69">
        <v>1</v>
      </c>
      <c r="M69">
        <v>0</v>
      </c>
      <c r="N69">
        <v>0</v>
      </c>
      <c r="O69">
        <v>1</v>
      </c>
      <c r="P69">
        <v>0</v>
      </c>
      <c r="Q69">
        <v>1</v>
      </c>
      <c r="R69">
        <v>1</v>
      </c>
      <c r="S69">
        <v>0</v>
      </c>
      <c r="T69">
        <v>1</v>
      </c>
      <c r="U69" t="str">
        <f>TextData!B68</f>
        <v>沈黙</v>
      </c>
    </row>
    <row r="70" spans="1:21">
      <c r="A70">
        <v>2400</v>
      </c>
      <c r="B70">
        <v>2400</v>
      </c>
      <c r="C70" t="str">
        <f>INDEX(TextData!B:B,MATCH(B70,TextData!A:A))</f>
        <v>不治</v>
      </c>
      <c r="D70">
        <v>0</v>
      </c>
      <c r="E70">
        <v>0</v>
      </c>
      <c r="F70" t="s">
        <v>64</v>
      </c>
      <c r="G70">
        <v>1</v>
      </c>
      <c r="H70" t="str">
        <f>INDEX(Define!B:B,MATCH(G70,Define!A:A))</f>
        <v>ターン数</v>
      </c>
      <c r="I70">
        <v>1</v>
      </c>
      <c r="J70" t="s">
        <v>20</v>
      </c>
      <c r="K70">
        <v>0</v>
      </c>
      <c r="L70">
        <v>1</v>
      </c>
      <c r="M70">
        <v>0</v>
      </c>
      <c r="N70">
        <v>0</v>
      </c>
      <c r="O70">
        <v>1</v>
      </c>
      <c r="P70">
        <v>0</v>
      </c>
      <c r="Q70">
        <v>1</v>
      </c>
      <c r="R70">
        <v>1</v>
      </c>
      <c r="S70">
        <v>0</v>
      </c>
      <c r="T70">
        <v>1</v>
      </c>
      <c r="U70" t="str">
        <f>TextData!B69</f>
        <v>不治</v>
      </c>
    </row>
    <row r="71" spans="1:21">
      <c r="A71">
        <v>2410</v>
      </c>
      <c r="B71">
        <v>2410</v>
      </c>
      <c r="C71" t="str">
        <f>INDEX(TextData!B:B,MATCH(B71,TextData!A:A))</f>
        <v>シールド</v>
      </c>
      <c r="D71">
        <v>0</v>
      </c>
      <c r="E71">
        <v>0</v>
      </c>
      <c r="F71" t="s">
        <v>65</v>
      </c>
      <c r="G71">
        <v>1</v>
      </c>
      <c r="H71" t="str">
        <f>INDEX(Define!B:B,MATCH(G71,Define!A:A))</f>
        <v>ターン数</v>
      </c>
      <c r="I71">
        <v>1</v>
      </c>
      <c r="J71" t="s">
        <v>20</v>
      </c>
      <c r="K71">
        <v>0</v>
      </c>
      <c r="L71">
        <v>1</v>
      </c>
      <c r="M71">
        <v>0</v>
      </c>
      <c r="N71">
        <v>1</v>
      </c>
      <c r="O71">
        <v>0</v>
      </c>
      <c r="P71">
        <v>1</v>
      </c>
      <c r="Q71">
        <v>0</v>
      </c>
      <c r="R71">
        <v>0</v>
      </c>
      <c r="S71">
        <v>0</v>
      </c>
      <c r="T71">
        <v>1</v>
      </c>
      <c r="U71" t="str">
        <f>TextData!B70</f>
        <v>シールド</v>
      </c>
    </row>
    <row r="72" spans="1:21">
      <c r="A72">
        <v>2420</v>
      </c>
      <c r="B72">
        <v>2420</v>
      </c>
      <c r="C72" t="str">
        <f>INDEX(TextData!B:B,MATCH(B72,TextData!A:A))</f>
        <v>フォロー</v>
      </c>
      <c r="D72">
        <v>0</v>
      </c>
      <c r="E72">
        <v>0</v>
      </c>
      <c r="F72" t="s">
        <v>66</v>
      </c>
      <c r="G72">
        <v>1</v>
      </c>
      <c r="H72" t="str">
        <f>INDEX(Define!B:B,MATCH(G72,Define!A:A))</f>
        <v>ターン数</v>
      </c>
      <c r="I72">
        <v>1</v>
      </c>
      <c r="J72" t="s">
        <v>20</v>
      </c>
      <c r="K72">
        <v>0</v>
      </c>
      <c r="L72">
        <v>1</v>
      </c>
      <c r="M72">
        <v>0</v>
      </c>
      <c r="N72">
        <v>1</v>
      </c>
      <c r="O72">
        <v>0</v>
      </c>
      <c r="P72">
        <v>1</v>
      </c>
      <c r="Q72">
        <v>0</v>
      </c>
      <c r="R72">
        <v>0</v>
      </c>
      <c r="S72">
        <v>0</v>
      </c>
      <c r="T72">
        <v>1</v>
      </c>
      <c r="U72" t="str">
        <f>TextData!B71</f>
        <v>フォロー</v>
      </c>
    </row>
    <row r="73" spans="1:21">
      <c r="A73">
        <v>2430</v>
      </c>
      <c r="B73">
        <v>2430</v>
      </c>
      <c r="C73" t="str">
        <f>INDEX(TextData!B:B,MATCH(B73,TextData!A:A))</f>
        <v>かばう</v>
      </c>
      <c r="D73">
        <v>0</v>
      </c>
      <c r="E73">
        <v>0</v>
      </c>
      <c r="F73" t="s">
        <v>67</v>
      </c>
      <c r="G73">
        <v>6</v>
      </c>
      <c r="H73" t="str">
        <f>INDEX(Define!B:B,MATCH(G73,Define!A:A))</f>
        <v>ターンの終了</v>
      </c>
      <c r="I73">
        <v>1</v>
      </c>
      <c r="J73" t="s">
        <v>20</v>
      </c>
      <c r="K73">
        <v>0</v>
      </c>
      <c r="L73">
        <v>1</v>
      </c>
      <c r="M73">
        <v>0</v>
      </c>
      <c r="N73">
        <v>1</v>
      </c>
      <c r="O73">
        <v>0</v>
      </c>
      <c r="P73">
        <v>1</v>
      </c>
      <c r="Q73">
        <v>0</v>
      </c>
      <c r="R73">
        <v>0</v>
      </c>
      <c r="S73">
        <v>1</v>
      </c>
      <c r="T73">
        <v>1</v>
      </c>
      <c r="U73" t="str">
        <f>TextData!B72</f>
        <v>かばう</v>
      </c>
    </row>
    <row r="74" spans="1:21">
      <c r="A74">
        <v>2440</v>
      </c>
      <c r="B74">
        <v>2440</v>
      </c>
      <c r="C74" t="str">
        <f>INDEX(TextData!B:B,MATCH(B74,TextData!A:A))</f>
        <v>Ap消費半減</v>
      </c>
      <c r="D74">
        <v>0</v>
      </c>
      <c r="E74">
        <v>0</v>
      </c>
      <c r="F74" t="s">
        <v>21</v>
      </c>
      <c r="G74">
        <v>1</v>
      </c>
      <c r="H74" t="str">
        <f>INDEX(Define!B:B,MATCH(G74,Define!A:A))</f>
        <v>ターン数</v>
      </c>
      <c r="I74">
        <v>1</v>
      </c>
      <c r="J74" t="s">
        <v>20</v>
      </c>
      <c r="K74">
        <v>0</v>
      </c>
      <c r="L74">
        <v>1</v>
      </c>
      <c r="M74">
        <v>0</v>
      </c>
      <c r="N74">
        <v>1</v>
      </c>
      <c r="O74">
        <v>0</v>
      </c>
      <c r="P74">
        <v>1</v>
      </c>
      <c r="Q74">
        <v>0</v>
      </c>
      <c r="R74">
        <v>1</v>
      </c>
      <c r="S74">
        <v>0</v>
      </c>
      <c r="T74">
        <v>1</v>
      </c>
      <c r="U74" t="str">
        <f>TextData!B73</f>
        <v>Ap消費半減</v>
      </c>
    </row>
    <row r="75" spans="1:21">
      <c r="A75">
        <v>2450</v>
      </c>
      <c r="B75">
        <v>2450</v>
      </c>
      <c r="C75" t="str">
        <f>INDEX(TextData!B:B,MATCH(B75,TextData!A:A))</f>
        <v>不死</v>
      </c>
      <c r="D75">
        <v>0</v>
      </c>
      <c r="E75">
        <v>0</v>
      </c>
      <c r="F75" t="s">
        <v>55</v>
      </c>
      <c r="G75">
        <v>4</v>
      </c>
      <c r="H75" t="str">
        <f>INDEX(Define!B:B,MATCH(G75,Define!A:A))</f>
        <v>効果発揮回数</v>
      </c>
      <c r="I75">
        <v>1</v>
      </c>
      <c r="J75" t="s">
        <v>20</v>
      </c>
      <c r="K75">
        <v>0</v>
      </c>
      <c r="L75">
        <v>1</v>
      </c>
      <c r="M75">
        <v>0</v>
      </c>
      <c r="N75">
        <v>1</v>
      </c>
      <c r="O75">
        <v>0</v>
      </c>
      <c r="P75">
        <v>1</v>
      </c>
      <c r="Q75">
        <v>0</v>
      </c>
      <c r="R75">
        <v>1</v>
      </c>
      <c r="S75">
        <v>0</v>
      </c>
      <c r="T75">
        <v>1</v>
      </c>
      <c r="U75" t="str">
        <f>TextData!B74</f>
        <v>不死</v>
      </c>
    </row>
    <row r="76" spans="1:21">
      <c r="A76">
        <v>2460</v>
      </c>
      <c r="B76">
        <v>2460</v>
      </c>
      <c r="C76" t="str">
        <f>INDEX(TextData!B:B,MATCH(B76,TextData!A:A))</f>
        <v>Hp回復効果アップ</v>
      </c>
      <c r="D76">
        <v>0</v>
      </c>
      <c r="E76">
        <v>0</v>
      </c>
      <c r="F76" t="s">
        <v>68</v>
      </c>
      <c r="G76">
        <v>1</v>
      </c>
      <c r="H76" t="str">
        <f>INDEX(Define!B:B,MATCH(G76,Define!A:A))</f>
        <v>ターン数</v>
      </c>
      <c r="I76">
        <v>1</v>
      </c>
      <c r="J76" t="s">
        <v>20</v>
      </c>
      <c r="K76">
        <v>0</v>
      </c>
      <c r="L76">
        <v>1</v>
      </c>
      <c r="M76">
        <v>0</v>
      </c>
      <c r="N76">
        <v>1</v>
      </c>
      <c r="O76">
        <v>0</v>
      </c>
      <c r="P76">
        <v>1</v>
      </c>
      <c r="Q76">
        <v>0</v>
      </c>
      <c r="R76">
        <v>0</v>
      </c>
      <c r="S76">
        <v>0</v>
      </c>
      <c r="T76">
        <v>1</v>
      </c>
      <c r="U76" t="str">
        <f>TextData!B75</f>
        <v>Hp回復効果アップ</v>
      </c>
    </row>
    <row r="77" spans="1:21">
      <c r="A77">
        <v>2470</v>
      </c>
      <c r="B77">
        <v>2470</v>
      </c>
      <c r="C77" t="str">
        <f>INDEX(TextData!B:B,MATCH(B77,TextData!A:A))</f>
        <v>呪詛</v>
      </c>
      <c r="D77">
        <v>0</v>
      </c>
      <c r="E77">
        <v>0</v>
      </c>
      <c r="F77" t="s">
        <v>69</v>
      </c>
      <c r="G77">
        <v>4</v>
      </c>
      <c r="H77" t="str">
        <f>INDEX(Define!B:B,MATCH(G77,Define!A:A))</f>
        <v>効果発揮回数</v>
      </c>
      <c r="I77">
        <v>1</v>
      </c>
      <c r="J77" t="s">
        <v>20</v>
      </c>
      <c r="K77">
        <v>0</v>
      </c>
      <c r="L77">
        <v>1</v>
      </c>
      <c r="M77">
        <v>0</v>
      </c>
      <c r="N77">
        <v>1</v>
      </c>
      <c r="O77">
        <v>0</v>
      </c>
      <c r="P77">
        <v>1</v>
      </c>
      <c r="Q77">
        <v>0</v>
      </c>
      <c r="R77">
        <v>1</v>
      </c>
      <c r="S77">
        <v>0</v>
      </c>
      <c r="T77">
        <v>1</v>
      </c>
      <c r="U77" t="str">
        <f>TextData!B76</f>
        <v>呪詛</v>
      </c>
    </row>
    <row r="78" spans="1:21">
      <c r="A78">
        <v>2480</v>
      </c>
      <c r="B78">
        <v>2480</v>
      </c>
      <c r="C78" t="str">
        <f>INDEX(TextData!B:B,MATCH(B78,TextData!A:A))</f>
        <v>付与無効化</v>
      </c>
      <c r="D78">
        <v>0</v>
      </c>
      <c r="E78">
        <v>99</v>
      </c>
      <c r="F78" t="s">
        <v>69</v>
      </c>
      <c r="G78">
        <v>1</v>
      </c>
      <c r="H78" t="str">
        <f>INDEX(Define!B:B,MATCH(G78,Define!A:A))</f>
        <v>ターン数</v>
      </c>
      <c r="I78">
        <v>1</v>
      </c>
      <c r="J78" t="s">
        <v>20</v>
      </c>
      <c r="K78">
        <v>0</v>
      </c>
      <c r="L78">
        <v>1</v>
      </c>
      <c r="M78">
        <v>0</v>
      </c>
      <c r="N78">
        <v>1</v>
      </c>
      <c r="O78">
        <v>0</v>
      </c>
      <c r="P78">
        <v>1</v>
      </c>
      <c r="Q78">
        <v>0</v>
      </c>
      <c r="R78">
        <v>1</v>
      </c>
      <c r="S78">
        <v>0</v>
      </c>
      <c r="T78">
        <v>1</v>
      </c>
      <c r="U78" t="str">
        <f>TextData!B77</f>
        <v>付与無効化</v>
      </c>
    </row>
    <row r="79" spans="1:21">
      <c r="A79">
        <v>3010</v>
      </c>
      <c r="B79">
        <v>3010</v>
      </c>
      <c r="C79" t="str">
        <f>INDEX(TextData!B:B,MATCH(B79,TextData!A:A))</f>
        <v>チャージ</v>
      </c>
      <c r="D79">
        <v>0</v>
      </c>
      <c r="E79">
        <v>0</v>
      </c>
      <c r="F79" t="s">
        <v>61</v>
      </c>
      <c r="G79">
        <v>1</v>
      </c>
      <c r="H79" t="str">
        <f>INDEX(Define!B:B,MATCH(G79,Define!A:A))</f>
        <v>ターン数</v>
      </c>
      <c r="I79">
        <v>1</v>
      </c>
      <c r="J79" t="s">
        <v>20</v>
      </c>
      <c r="K79">
        <v>0</v>
      </c>
      <c r="L79">
        <v>1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1</v>
      </c>
      <c r="U79" t="str">
        <f>TextData!B78</f>
        <v>チャージ</v>
      </c>
    </row>
    <row r="80" spans="1:21">
      <c r="A80">
        <v>3020</v>
      </c>
      <c r="B80">
        <v>3020</v>
      </c>
      <c r="C80" t="str">
        <f>INDEX(TextData!B:B,MATCH(B80,TextData!A:A))</f>
        <v>リンケージ</v>
      </c>
      <c r="D80">
        <v>0</v>
      </c>
      <c r="E80">
        <v>0</v>
      </c>
      <c r="F80" t="s">
        <v>61</v>
      </c>
      <c r="G80">
        <v>1</v>
      </c>
      <c r="H80" t="str">
        <f>INDEX(Define!B:B,MATCH(G80,Define!A:A))</f>
        <v>ターン数</v>
      </c>
      <c r="I80">
        <v>1</v>
      </c>
      <c r="J80" t="s">
        <v>20</v>
      </c>
      <c r="K80">
        <v>0</v>
      </c>
      <c r="L80">
        <v>1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1</v>
      </c>
      <c r="U80" t="str">
        <f>TextData!B79</f>
        <v>リンケージ</v>
      </c>
    </row>
    <row r="81" spans="1:21">
      <c r="A81">
        <v>9999</v>
      </c>
      <c r="B81">
        <v>9999</v>
      </c>
      <c r="C81" t="str">
        <f>INDEX(TextData!B:B,MATCH(B81,TextData!A:A))</f>
        <v>テスト用</v>
      </c>
      <c r="D81">
        <v>0</v>
      </c>
      <c r="E81">
        <v>0</v>
      </c>
      <c r="F81" t="s">
        <v>61</v>
      </c>
      <c r="G81">
        <v>1</v>
      </c>
      <c r="H81" t="str">
        <f>INDEX(Define!B:B,MATCH(G81,Define!A:A))</f>
        <v>ターン数</v>
      </c>
      <c r="I81">
        <v>1</v>
      </c>
      <c r="J81" t="s">
        <v>20</v>
      </c>
      <c r="K81">
        <v>0</v>
      </c>
      <c r="L81">
        <v>1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1</v>
      </c>
      <c r="U81" t="str">
        <f>TextData!B80</f>
        <v>テスト用</v>
      </c>
    </row>
  </sheetData>
  <pageMargins left="0.75" right="0.75" top="1" bottom="1" header="0.5" footer="0.5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80"/>
  <sheetViews>
    <sheetView zoomScale="110" zoomScaleNormal="110" topLeftCell="A61" workbookViewId="0">
      <selection activeCell="C78" sqref="C78"/>
    </sheetView>
  </sheetViews>
  <sheetFormatPr defaultColWidth="8.72727272727273" defaultRowHeight="13" outlineLevelCol="2"/>
  <cols>
    <col min="2" max="2" width="14.6363636363636" customWidth="1"/>
  </cols>
  <sheetData>
    <row r="1" spans="1:3">
      <c r="A1" t="s">
        <v>0</v>
      </c>
      <c r="B1" t="s">
        <v>70</v>
      </c>
      <c r="C1" t="s">
        <v>71</v>
      </c>
    </row>
    <row r="2" spans="1:3">
      <c r="A2">
        <v>1</v>
      </c>
      <c r="B2" t="s">
        <v>72</v>
      </c>
      <c r="C2" t="s">
        <v>20</v>
      </c>
    </row>
    <row r="3" spans="1:3">
      <c r="A3">
        <v>10</v>
      </c>
      <c r="B3" t="s">
        <v>73</v>
      </c>
      <c r="C3" t="s">
        <v>20</v>
      </c>
    </row>
    <row r="4" spans="1:3">
      <c r="A4">
        <v>201</v>
      </c>
      <c r="B4" t="s">
        <v>74</v>
      </c>
      <c r="C4" t="s">
        <v>75</v>
      </c>
    </row>
    <row r="5" spans="1:3">
      <c r="A5">
        <v>202</v>
      </c>
      <c r="B5" t="s">
        <v>76</v>
      </c>
      <c r="C5" t="s">
        <v>77</v>
      </c>
    </row>
    <row r="6" spans="1:3">
      <c r="A6">
        <v>203</v>
      </c>
      <c r="B6" t="s">
        <v>78</v>
      </c>
      <c r="C6" t="s">
        <v>79</v>
      </c>
    </row>
    <row r="7" spans="1:3">
      <c r="A7">
        <v>204</v>
      </c>
      <c r="B7" t="s">
        <v>80</v>
      </c>
      <c r="C7" t="s">
        <v>81</v>
      </c>
    </row>
    <row r="8" spans="1:3">
      <c r="A8">
        <v>205</v>
      </c>
      <c r="B8" t="s">
        <v>82</v>
      </c>
      <c r="C8" t="s">
        <v>83</v>
      </c>
    </row>
    <row r="9" spans="1:3">
      <c r="A9">
        <v>1010</v>
      </c>
      <c r="B9" t="s">
        <v>84</v>
      </c>
      <c r="C9" t="s">
        <v>85</v>
      </c>
    </row>
    <row r="10" spans="1:3">
      <c r="A10">
        <v>1011</v>
      </c>
      <c r="B10" t="s">
        <v>86</v>
      </c>
      <c r="C10" t="s">
        <v>87</v>
      </c>
    </row>
    <row r="11" spans="1:3">
      <c r="A11">
        <v>1020</v>
      </c>
      <c r="B11" t="s">
        <v>88</v>
      </c>
      <c r="C11" t="s">
        <v>89</v>
      </c>
    </row>
    <row r="12" spans="1:3">
      <c r="A12">
        <v>1030</v>
      </c>
      <c r="B12" t="s">
        <v>90</v>
      </c>
      <c r="C12" t="s">
        <v>91</v>
      </c>
    </row>
    <row r="13" spans="1:3">
      <c r="A13">
        <v>1040</v>
      </c>
      <c r="B13" t="s">
        <v>92</v>
      </c>
      <c r="C13" t="s">
        <v>93</v>
      </c>
    </row>
    <row r="14" spans="1:3">
      <c r="A14">
        <v>1041</v>
      </c>
      <c r="B14" t="s">
        <v>94</v>
      </c>
      <c r="C14" t="s">
        <v>95</v>
      </c>
    </row>
    <row r="15" spans="1:3">
      <c r="A15">
        <v>1043</v>
      </c>
      <c r="B15" t="s">
        <v>96</v>
      </c>
      <c r="C15" t="s">
        <v>97</v>
      </c>
    </row>
    <row r="16" spans="1:3">
      <c r="A16">
        <v>1044</v>
      </c>
      <c r="B16" t="s">
        <v>92</v>
      </c>
      <c r="C16" t="s">
        <v>93</v>
      </c>
    </row>
    <row r="17" spans="1:3">
      <c r="A17">
        <v>1050</v>
      </c>
      <c r="B17" t="s">
        <v>98</v>
      </c>
      <c r="C17" t="s">
        <v>99</v>
      </c>
    </row>
    <row r="18" spans="1:3">
      <c r="A18">
        <v>1051</v>
      </c>
      <c r="B18" t="s">
        <v>100</v>
      </c>
      <c r="C18" t="s">
        <v>101</v>
      </c>
    </row>
    <row r="19" spans="1:3">
      <c r="A19">
        <v>1052</v>
      </c>
      <c r="B19" t="s">
        <v>98</v>
      </c>
      <c r="C19" t="s">
        <v>102</v>
      </c>
    </row>
    <row r="20" spans="1:3">
      <c r="A20">
        <v>1053</v>
      </c>
      <c r="B20" t="s">
        <v>100</v>
      </c>
      <c r="C20" t="s">
        <v>103</v>
      </c>
    </row>
    <row r="21" spans="1:3">
      <c r="A21">
        <v>1060</v>
      </c>
      <c r="B21" t="s">
        <v>104</v>
      </c>
      <c r="C21" t="s">
        <v>105</v>
      </c>
    </row>
    <row r="22" spans="1:3">
      <c r="A22">
        <v>1070</v>
      </c>
      <c r="B22" t="s">
        <v>106</v>
      </c>
      <c r="C22" t="s">
        <v>107</v>
      </c>
    </row>
    <row r="23" spans="1:3">
      <c r="A23">
        <v>1071</v>
      </c>
      <c r="B23" t="s">
        <v>108</v>
      </c>
      <c r="C23" t="s">
        <v>109</v>
      </c>
    </row>
    <row r="24" spans="1:3">
      <c r="A24">
        <v>1074</v>
      </c>
      <c r="B24" t="s">
        <v>110</v>
      </c>
      <c r="C24" t="s">
        <v>111</v>
      </c>
    </row>
    <row r="25" spans="1:3">
      <c r="A25">
        <v>1080</v>
      </c>
      <c r="B25" t="s">
        <v>112</v>
      </c>
      <c r="C25" t="s">
        <v>113</v>
      </c>
    </row>
    <row r="26" spans="1:3">
      <c r="A26">
        <v>1081</v>
      </c>
      <c r="B26" t="s">
        <v>112</v>
      </c>
      <c r="C26" t="s">
        <v>113</v>
      </c>
    </row>
    <row r="27" spans="1:3">
      <c r="A27">
        <v>1082</v>
      </c>
      <c r="B27" t="s">
        <v>114</v>
      </c>
      <c r="C27" t="s">
        <v>115</v>
      </c>
    </row>
    <row r="28" spans="1:3">
      <c r="A28">
        <v>1090</v>
      </c>
      <c r="B28" t="s">
        <v>116</v>
      </c>
      <c r="C28" t="s">
        <v>117</v>
      </c>
    </row>
    <row r="29" spans="1:3">
      <c r="A29">
        <v>1091</v>
      </c>
      <c r="B29" t="s">
        <v>118</v>
      </c>
      <c r="C29" t="s">
        <v>119</v>
      </c>
    </row>
    <row r="30" spans="1:3">
      <c r="A30">
        <v>1092</v>
      </c>
      <c r="B30" t="s">
        <v>116</v>
      </c>
      <c r="C30" t="s">
        <v>117</v>
      </c>
    </row>
    <row r="31" spans="1:3">
      <c r="A31">
        <v>1100</v>
      </c>
      <c r="B31" t="s">
        <v>120</v>
      </c>
      <c r="C31" t="s">
        <v>121</v>
      </c>
    </row>
    <row r="32" spans="1:3">
      <c r="A32">
        <v>1101</v>
      </c>
      <c r="B32" t="s">
        <v>120</v>
      </c>
      <c r="C32" t="s">
        <v>122</v>
      </c>
    </row>
    <row r="33" spans="1:3">
      <c r="A33">
        <v>1210</v>
      </c>
      <c r="B33" t="s">
        <v>123</v>
      </c>
      <c r="C33" t="s">
        <v>124</v>
      </c>
    </row>
    <row r="34" spans="1:3">
      <c r="A34">
        <v>2010</v>
      </c>
      <c r="B34" t="s">
        <v>34</v>
      </c>
      <c r="C34" t="s">
        <v>125</v>
      </c>
    </row>
    <row r="35" spans="1:3">
      <c r="A35">
        <v>2012</v>
      </c>
      <c r="B35" t="s">
        <v>35</v>
      </c>
      <c r="C35" t="s">
        <v>125</v>
      </c>
    </row>
    <row r="36" spans="1:3">
      <c r="A36">
        <v>2020</v>
      </c>
      <c r="B36" t="s">
        <v>126</v>
      </c>
      <c r="C36" t="s">
        <v>127</v>
      </c>
    </row>
    <row r="37" spans="1:3">
      <c r="A37">
        <v>2030</v>
      </c>
      <c r="B37" t="s">
        <v>128</v>
      </c>
      <c r="C37" t="s">
        <v>129</v>
      </c>
    </row>
    <row r="38" spans="1:3">
      <c r="A38">
        <v>2031</v>
      </c>
      <c r="B38" t="s">
        <v>130</v>
      </c>
      <c r="C38" t="s">
        <v>131</v>
      </c>
    </row>
    <row r="39" spans="1:3">
      <c r="A39">
        <v>2032</v>
      </c>
      <c r="B39" t="s">
        <v>132</v>
      </c>
      <c r="C39" t="s">
        <v>133</v>
      </c>
    </row>
    <row r="40" spans="1:3">
      <c r="A40">
        <v>2040</v>
      </c>
      <c r="B40" t="s">
        <v>134</v>
      </c>
      <c r="C40" t="s">
        <v>135</v>
      </c>
    </row>
    <row r="41" spans="1:3">
      <c r="A41">
        <v>2050</v>
      </c>
      <c r="B41" t="s">
        <v>136</v>
      </c>
      <c r="C41" t="s">
        <v>137</v>
      </c>
    </row>
    <row r="42" spans="1:3">
      <c r="A42">
        <v>2060</v>
      </c>
      <c r="B42" t="s">
        <v>138</v>
      </c>
      <c r="C42" t="s">
        <v>139</v>
      </c>
    </row>
    <row r="43" spans="1:3">
      <c r="A43">
        <v>2070</v>
      </c>
      <c r="B43" t="s">
        <v>140</v>
      </c>
      <c r="C43" t="s">
        <v>141</v>
      </c>
    </row>
    <row r="44" spans="1:3">
      <c r="A44">
        <v>2080</v>
      </c>
      <c r="B44" t="s">
        <v>142</v>
      </c>
      <c r="C44" t="s">
        <v>143</v>
      </c>
    </row>
    <row r="45" spans="1:3">
      <c r="A45">
        <v>2090</v>
      </c>
      <c r="B45" t="s">
        <v>144</v>
      </c>
      <c r="C45" t="s">
        <v>145</v>
      </c>
    </row>
    <row r="46" spans="1:3">
      <c r="A46">
        <v>2120</v>
      </c>
      <c r="B46" t="s">
        <v>146</v>
      </c>
      <c r="C46" t="s">
        <v>147</v>
      </c>
    </row>
    <row r="47" spans="1:3">
      <c r="A47">
        <v>2130</v>
      </c>
      <c r="B47" t="s">
        <v>148</v>
      </c>
      <c r="C47" t="s">
        <v>149</v>
      </c>
    </row>
    <row r="48" spans="1:3">
      <c r="A48">
        <v>2140</v>
      </c>
      <c r="B48" t="s">
        <v>150</v>
      </c>
      <c r="C48" t="s">
        <v>151</v>
      </c>
    </row>
    <row r="49" spans="1:3">
      <c r="A49">
        <v>2150</v>
      </c>
      <c r="B49" t="s">
        <v>152</v>
      </c>
      <c r="C49" t="s">
        <v>153</v>
      </c>
    </row>
    <row r="50" spans="1:3">
      <c r="A50">
        <v>2180</v>
      </c>
      <c r="B50" t="s">
        <v>154</v>
      </c>
      <c r="C50" t="s">
        <v>155</v>
      </c>
    </row>
    <row r="51" spans="1:3">
      <c r="A51">
        <v>2190</v>
      </c>
      <c r="B51" t="s">
        <v>156</v>
      </c>
      <c r="C51" t="s">
        <v>157</v>
      </c>
    </row>
    <row r="52" spans="1:3">
      <c r="A52">
        <v>2210</v>
      </c>
      <c r="B52" t="s">
        <v>158</v>
      </c>
      <c r="C52" t="s">
        <v>159</v>
      </c>
    </row>
    <row r="53" spans="1:3">
      <c r="A53">
        <v>2220</v>
      </c>
      <c r="B53" t="s">
        <v>160</v>
      </c>
      <c r="C53" t="s">
        <v>161</v>
      </c>
    </row>
    <row r="54" spans="1:3">
      <c r="A54">
        <v>2230</v>
      </c>
      <c r="B54" t="s">
        <v>162</v>
      </c>
      <c r="C54" t="s">
        <v>163</v>
      </c>
    </row>
    <row r="55" spans="1:3">
      <c r="A55">
        <v>2240</v>
      </c>
      <c r="B55" t="s">
        <v>164</v>
      </c>
      <c r="C55" t="s">
        <v>165</v>
      </c>
    </row>
    <row r="56" spans="1:3">
      <c r="A56">
        <v>2250</v>
      </c>
      <c r="B56" t="s">
        <v>166</v>
      </c>
      <c r="C56" t="s">
        <v>167</v>
      </c>
    </row>
    <row r="57" spans="1:3">
      <c r="A57">
        <v>2270</v>
      </c>
      <c r="B57" t="s">
        <v>168</v>
      </c>
      <c r="C57" t="s">
        <v>169</v>
      </c>
    </row>
    <row r="58" spans="1:3">
      <c r="A58">
        <v>2280</v>
      </c>
      <c r="B58" t="s">
        <v>170</v>
      </c>
      <c r="C58" t="s">
        <v>171</v>
      </c>
    </row>
    <row r="59" spans="1:3">
      <c r="A59">
        <v>2290</v>
      </c>
      <c r="B59" t="s">
        <v>172</v>
      </c>
      <c r="C59" t="s">
        <v>173</v>
      </c>
    </row>
    <row r="60" spans="1:3">
      <c r="A60">
        <v>2320</v>
      </c>
      <c r="B60" t="s">
        <v>174</v>
      </c>
      <c r="C60" t="s">
        <v>175</v>
      </c>
    </row>
    <row r="61" spans="1:3">
      <c r="A61">
        <v>2330</v>
      </c>
      <c r="B61" t="s">
        <v>176</v>
      </c>
      <c r="C61" t="s">
        <v>177</v>
      </c>
    </row>
    <row r="62" spans="1:3">
      <c r="A62">
        <v>2340</v>
      </c>
      <c r="B62" t="s">
        <v>178</v>
      </c>
      <c r="C62" t="s">
        <v>179</v>
      </c>
    </row>
    <row r="63" spans="1:3">
      <c r="A63">
        <v>2341</v>
      </c>
      <c r="B63" t="s">
        <v>180</v>
      </c>
      <c r="C63" t="s">
        <v>181</v>
      </c>
    </row>
    <row r="64" spans="1:3">
      <c r="A64">
        <v>2350</v>
      </c>
      <c r="B64" t="s">
        <v>182</v>
      </c>
      <c r="C64" t="s">
        <v>183</v>
      </c>
    </row>
    <row r="65" spans="1:3">
      <c r="A65">
        <v>2360</v>
      </c>
      <c r="B65" t="s">
        <v>184</v>
      </c>
      <c r="C65" t="s">
        <v>185</v>
      </c>
    </row>
    <row r="66" spans="1:3">
      <c r="A66">
        <v>2370</v>
      </c>
      <c r="B66" t="s">
        <v>186</v>
      </c>
      <c r="C66" t="s">
        <v>187</v>
      </c>
    </row>
    <row r="67" spans="1:3">
      <c r="A67">
        <v>2380</v>
      </c>
      <c r="B67" t="s">
        <v>188</v>
      </c>
      <c r="C67" t="s">
        <v>189</v>
      </c>
    </row>
    <row r="68" spans="1:3">
      <c r="A68">
        <v>2390</v>
      </c>
      <c r="B68" t="s">
        <v>190</v>
      </c>
      <c r="C68" t="s">
        <v>191</v>
      </c>
    </row>
    <row r="69" spans="1:3">
      <c r="A69">
        <v>2400</v>
      </c>
      <c r="B69" t="s">
        <v>192</v>
      </c>
      <c r="C69" t="s">
        <v>193</v>
      </c>
    </row>
    <row r="70" spans="1:3">
      <c r="A70">
        <v>2410</v>
      </c>
      <c r="B70" t="s">
        <v>194</v>
      </c>
      <c r="C70" t="s">
        <v>195</v>
      </c>
    </row>
    <row r="71" spans="1:3">
      <c r="A71">
        <v>2420</v>
      </c>
      <c r="B71" t="s">
        <v>196</v>
      </c>
      <c r="C71" t="s">
        <v>197</v>
      </c>
    </row>
    <row r="72" spans="1:3">
      <c r="A72">
        <v>2430</v>
      </c>
      <c r="B72" t="s">
        <v>198</v>
      </c>
      <c r="C72" t="s">
        <v>199</v>
      </c>
    </row>
    <row r="73" spans="1:3">
      <c r="A73">
        <v>2440</v>
      </c>
      <c r="B73" t="s">
        <v>200</v>
      </c>
      <c r="C73" t="s">
        <v>201</v>
      </c>
    </row>
    <row r="74" spans="1:3">
      <c r="A74">
        <v>2450</v>
      </c>
      <c r="B74" t="s">
        <v>202</v>
      </c>
      <c r="C74" t="s">
        <v>203</v>
      </c>
    </row>
    <row r="75" spans="1:3">
      <c r="A75">
        <v>2460</v>
      </c>
      <c r="B75" t="s">
        <v>204</v>
      </c>
      <c r="C75" t="s">
        <v>205</v>
      </c>
    </row>
    <row r="76" spans="1:3">
      <c r="A76">
        <v>2470</v>
      </c>
      <c r="B76" t="s">
        <v>206</v>
      </c>
      <c r="C76" t="s">
        <v>207</v>
      </c>
    </row>
    <row r="77" spans="1:3">
      <c r="A77">
        <v>2480</v>
      </c>
      <c r="B77" t="s">
        <v>208</v>
      </c>
      <c r="C77" t="s">
        <v>209</v>
      </c>
    </row>
    <row r="78" spans="1:3">
      <c r="A78">
        <v>3010</v>
      </c>
      <c r="B78" t="s">
        <v>210</v>
      </c>
      <c r="C78" t="s">
        <v>211</v>
      </c>
    </row>
    <row r="79" spans="1:3">
      <c r="A79">
        <v>3020</v>
      </c>
      <c r="B79" t="s">
        <v>212</v>
      </c>
      <c r="C79" t="s">
        <v>213</v>
      </c>
    </row>
    <row r="80" spans="1:3">
      <c r="A80">
        <v>9999</v>
      </c>
      <c r="B80" t="s">
        <v>214</v>
      </c>
      <c r="C80" t="s">
        <v>20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8"/>
  <sheetViews>
    <sheetView zoomScale="110" zoomScaleNormal="110" workbookViewId="0">
      <selection activeCell="Q26" sqref="Q26"/>
    </sheetView>
  </sheetViews>
  <sheetFormatPr defaultColWidth="8.72727272727273" defaultRowHeight="13" outlineLevelRow="7" outlineLevelCol="1"/>
  <sheetData>
    <row r="1" spans="1:1">
      <c r="A1" t="s">
        <v>6</v>
      </c>
    </row>
    <row r="2" spans="1:2">
      <c r="A2">
        <v>0</v>
      </c>
      <c r="B2" t="s">
        <v>215</v>
      </c>
    </row>
    <row r="3" spans="1:2">
      <c r="A3">
        <v>1</v>
      </c>
      <c r="B3" t="s">
        <v>216</v>
      </c>
    </row>
    <row r="4" spans="1:2">
      <c r="A4">
        <v>2</v>
      </c>
      <c r="B4" t="s">
        <v>217</v>
      </c>
    </row>
    <row r="5" spans="1:2">
      <c r="A5">
        <v>3</v>
      </c>
      <c r="B5" t="s">
        <v>218</v>
      </c>
    </row>
    <row r="6" spans="1:2">
      <c r="A6">
        <v>4</v>
      </c>
      <c r="B6" t="s">
        <v>219</v>
      </c>
    </row>
    <row r="7" spans="1:2">
      <c r="A7">
        <v>5</v>
      </c>
      <c r="B7" t="s">
        <v>220</v>
      </c>
    </row>
    <row r="8" spans="1:2">
      <c r="A8">
        <v>6</v>
      </c>
      <c r="B8" t="s">
        <v>221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States</vt:lpstr>
      <vt:lpstr>TextData</vt:lpstr>
      <vt:lpstr>Define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2023-02-18T03:59:00Z</dcterms:created>
  <dcterms:modified xsi:type="dcterms:W3CDTF">2026-05-20T14:12:08Z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1041-11.8.2.8531</vt:lpwstr>
  </property>
  <property fmtid="{D5CDD505-2E9C-101B-9397-08002B2CF9AE}" pid="3" name="ICV">
    <vt:lpwstr>788FCBAE2EFE43FBB465E063C3C08056</vt:lpwstr>
  </property>
</Properties>
</file>