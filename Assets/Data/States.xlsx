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 activeTab="1"/>
  </bookViews>
  <sheets>
    <sheet name="States" sheetId="1" r:id="rId1"/>
    <sheet name="TextData" sheetId="2" r:id="rId2"/>
    <sheet name="Define" sheetId="3" r:id="rId3"/>
  </sheets>
  <calcPr calcId="144525" concurrentCalc="0"/>
</workbook>
</file>

<file path=xl/sharedStrings.xml><?xml version="1.0" encoding="utf-8"?>
<sst xmlns="http://schemas.openxmlformats.org/spreadsheetml/2006/main" count="566" uniqueCount="395">
  <si>
    <t>Id</t>
  </si>
  <si>
    <t>NameId</t>
  </si>
  <si>
    <t>_</t>
  </si>
  <si>
    <t>IconBack</t>
  </si>
  <si>
    <t>IconIndex</t>
  </si>
  <si>
    <t>IconPath</t>
  </si>
  <si>
    <t>RemovalTiming</t>
  </si>
  <si>
    <t>OverWrite</t>
  </si>
  <si>
    <t>EffectPath</t>
  </si>
  <si>
    <t>EffectPosition</t>
  </si>
  <si>
    <t>EffectScale</t>
  </si>
  <si>
    <t>OverLap</t>
  </si>
  <si>
    <t>Removal</t>
  </si>
  <si>
    <t>Abnormal</t>
  </si>
  <si>
    <t>Buff</t>
  </si>
  <si>
    <t>DeBuff</t>
  </si>
  <si>
    <t>HitCheck</t>
  </si>
  <si>
    <t>RemoveByAttack</t>
  </si>
  <si>
    <t>RemoveByDeath</t>
  </si>
  <si>
    <t>Death</t>
  </si>
  <si>
    <t>""</t>
  </si>
  <si>
    <t>Wingfoot</t>
  </si>
  <si>
    <t>Butterfly</t>
  </si>
  <si>
    <t>Aura</t>
  </si>
  <si>
    <t>HeartPlus</t>
  </si>
  <si>
    <t>MoebiusTrefoil</t>
  </si>
  <si>
    <t>PointySword</t>
  </si>
  <si>
    <t>Shield</t>
  </si>
  <si>
    <t>Bullseye</t>
  </si>
  <si>
    <t>ArrowScope</t>
  </si>
  <si>
    <t>Dodging</t>
  </si>
  <si>
    <t>BellShield</t>
  </si>
  <si>
    <t>Foam</t>
  </si>
  <si>
    <t>MAGICALxSPIRAL/Salamander7</t>
  </si>
  <si>
    <t>毒</t>
  </si>
  <si>
    <t>火傷</t>
  </si>
  <si>
    <t>Blind</t>
  </si>
  <si>
    <t>ShieldReflect</t>
  </si>
  <si>
    <t>MAGICALxSPIRAL/AquaPoint</t>
  </si>
  <si>
    <t>Healing</t>
  </si>
  <si>
    <t>MagicShield</t>
  </si>
  <si>
    <t>MAGICALxSPIRAL/WHead1</t>
  </si>
  <si>
    <t>HalfHeart</t>
  </si>
  <si>
    <t>HospitalCross</t>
  </si>
  <si>
    <t>Shatter</t>
  </si>
  <si>
    <t>DrippingStar</t>
  </si>
  <si>
    <t>EffekseerVol_3/NA_v3_3d_electrification_dark</t>
  </si>
  <si>
    <t>VitruvianMan</t>
  </si>
  <si>
    <t>Freeze</t>
  </si>
  <si>
    <t>MAGICALxSPIRAL/IcicleLocus</t>
  </si>
  <si>
    <t>Stun</t>
  </si>
  <si>
    <t>MAGICALxSPIRAL/Thunder3</t>
  </si>
  <si>
    <t>Heart</t>
  </si>
  <si>
    <t>Spyglass</t>
  </si>
  <si>
    <t>Dew</t>
  </si>
  <si>
    <t>Slime</t>
  </si>
  <si>
    <t>SabersChoc</t>
  </si>
  <si>
    <t>Mining</t>
  </si>
  <si>
    <t>RoundStar</t>
  </si>
  <si>
    <t>SevenPointedStar</t>
  </si>
  <si>
    <t>Coffin</t>
  </si>
  <si>
    <t>Arrow</t>
  </si>
  <si>
    <t>Invisible</t>
  </si>
  <si>
    <t>NothingToSay</t>
  </si>
  <si>
    <t>PoisonBottle</t>
  </si>
  <si>
    <t>VibratingShield</t>
  </si>
  <si>
    <t>FlyingFlag</t>
  </si>
  <si>
    <t>ShieldBash</t>
  </si>
  <si>
    <t>HealthPotion</t>
  </si>
  <si>
    <t>CursedStar</t>
  </si>
  <si>
    <t>かばう無視</t>
  </si>
  <si>
    <t>Text</t>
  </si>
  <si>
    <t>Help</t>
  </si>
  <si>
    <t>EnglishText</t>
  </si>
  <si>
    <t>EnglishHelp</t>
  </si>
  <si>
    <t>戦闘不能</t>
  </si>
  <si>
    <t>Defeated</t>
  </si>
  <si>
    <t>待機</t>
  </si>
  <si>
    <t>Idle</t>
  </si>
  <si>
    <t>炎適正</t>
  </si>
  <si>
    <t>炎魔法の習得に必要な(Nu)コストをダウン</t>
  </si>
  <si>
    <t>Fire Affinity</t>
  </si>
  <si>
    <t>Reduce cost to learn Fire Magic by (Nu)</t>
  </si>
  <si>
    <t>雷適性</t>
  </si>
  <si>
    <t>雷魔法の習得に必要な(Nu)コストをダウン</t>
  </si>
  <si>
    <t>Thunder Affinity</t>
  </si>
  <si>
    <t>Reduce cost to learn Thunder Magic by (Nu)</t>
  </si>
  <si>
    <t>氷適性</t>
  </si>
  <si>
    <t>氷魔法の習得に必要な(Nu)コストをダウン</t>
  </si>
  <si>
    <t>Ice Affinity</t>
  </si>
  <si>
    <t>Reduce cost to learn Ice Magic by (Nu)</t>
  </si>
  <si>
    <t>光適性</t>
  </si>
  <si>
    <t>光魔法の習得に必要な(Nu)コストをダウン</t>
  </si>
  <si>
    <t>Light Affinity</t>
  </si>
  <si>
    <t>Reduce cost to learn Light Magic by (Nu)</t>
  </si>
  <si>
    <t>闇適性</t>
  </si>
  <si>
    <t>闇魔法の習得に必要な(Nu)コストをダウン</t>
  </si>
  <si>
    <t>Dark Affinity</t>
  </si>
  <si>
    <t>Reduce cost to learn Dark Magic by (Nu)</t>
  </si>
  <si>
    <t>覚醒</t>
  </si>
  <si>
    <t>ATK,DEF,SPDが{0}アップ</t>
  </si>
  <si>
    <t>Awaken</t>
  </si>
  <si>
    <t>ATK, DEF, SPD +{0}</t>
  </si>
  <si>
    <t>全ステータスアップ</t>
  </si>
  <si>
    <t>全てのステータスが{0}アップ</t>
  </si>
  <si>
    <t>All Stats Up</t>
  </si>
  <si>
    <t>全てのステータスが{0}Up</t>
  </si>
  <si>
    <t>最大Hpアップ</t>
  </si>
  <si>
    <t>MaxHp{0}アップ</t>
  </si>
  <si>
    <t>Max HP Up</t>
  </si>
  <si>
    <t>MaxHp{0}Up</t>
  </si>
  <si>
    <t>最大Mpアップ</t>
  </si>
  <si>
    <t>MaxMp{0}アップ</t>
  </si>
  <si>
    <t>Max MP Up</t>
  </si>
  <si>
    <t>MaxMp{0}Up</t>
  </si>
  <si>
    <t>攻撃アップ</t>
  </si>
  <si>
    <t>ATK{0}アップ</t>
  </si>
  <si>
    <t>Attack Up</t>
  </si>
  <si>
    <t>ATK{0}Up</t>
  </si>
  <si>
    <t>攻撃ダウン</t>
  </si>
  <si>
    <t>ATK{0}ダウン</t>
  </si>
  <si>
    <t>Attack Down</t>
  </si>
  <si>
    <t>ATK{0}Down</t>
  </si>
  <si>
    <t>攻撃%アップ</t>
  </si>
  <si>
    <t>ATK{0}%アップ</t>
  </si>
  <si>
    <t>ATK{0}%Up</t>
  </si>
  <si>
    <t>攻撃%ダウン</t>
  </si>
  <si>
    <t>ATK{0}%ダウン</t>
  </si>
  <si>
    <t>Attack % Down</t>
  </si>
  <si>
    <t>ATK{0}%Down</t>
  </si>
  <si>
    <t>防御アップ</t>
  </si>
  <si>
    <t>DEF{0}アップ</t>
  </si>
  <si>
    <t>Defense Up</t>
  </si>
  <si>
    <t>DEF{0}Up</t>
  </si>
  <si>
    <t>防御ダウン</t>
  </si>
  <si>
    <t>DEF{0}ダウン</t>
  </si>
  <si>
    <t>Defense Down</t>
  </si>
  <si>
    <t>DEF{0}Down</t>
  </si>
  <si>
    <t>DEF{0}%アップ</t>
  </si>
  <si>
    <t>DEF{0}%Up</t>
  </si>
  <si>
    <t>DEF{0}%ダウン</t>
  </si>
  <si>
    <t>DEF{0}%Down</t>
  </si>
  <si>
    <t>速度アップ</t>
  </si>
  <si>
    <t>SPD{0}アップ</t>
  </si>
  <si>
    <t>Speed Up</t>
  </si>
  <si>
    <t>SPD{0}Up</t>
  </si>
  <si>
    <t>速度ダウン</t>
  </si>
  <si>
    <t>SPD{0}ダウン</t>
  </si>
  <si>
    <t>Speed Down</t>
  </si>
  <si>
    <t>会心率アップ</t>
  </si>
  <si>
    <t>会心率{0}%アップ</t>
  </si>
  <si>
    <t>Critical Rate Up</t>
  </si>
  <si>
    <t>Critical Rate{0}%Up</t>
  </si>
  <si>
    <t>会心率ダウン</t>
  </si>
  <si>
    <t>会心率{0}%ダウン</t>
  </si>
  <si>
    <t>Critical Rate Down</t>
  </si>
  <si>
    <t>Critical Rate{0}%Down</t>
  </si>
  <si>
    <t>会心ダメージアップ</t>
  </si>
  <si>
    <t>会心ダメージ{0}%アップ</t>
  </si>
  <si>
    <t>Critical Damage Up</t>
  </si>
  <si>
    <t>Critical Damage{0}%Up</t>
  </si>
  <si>
    <t>命中アップ</t>
  </si>
  <si>
    <t>命中率{0}%アップ</t>
  </si>
  <si>
    <t>Accuracy Rate Up</t>
  </si>
  <si>
    <t>Accuracy Rate{0}%Up</t>
  </si>
  <si>
    <t>命中ダウン</t>
  </si>
  <si>
    <t>命中率{0}%ダウン</t>
  </si>
  <si>
    <t>Accuracy Rate Down</t>
  </si>
  <si>
    <t>Accuracy Rate{0}%Down</t>
  </si>
  <si>
    <t>回避アップ</t>
  </si>
  <si>
    <t>回避率{0}%アップ</t>
  </si>
  <si>
    <t>Avoidance Rate Up</t>
  </si>
  <si>
    <t>Avoidance Rate{0}%Up</t>
  </si>
  <si>
    <t>回避ダウン</t>
  </si>
  <si>
    <t>回避率{0}%ダウン</t>
  </si>
  <si>
    <t>Avoidance Rate Down</t>
  </si>
  <si>
    <t>Avoidance Rate{0}%Down</t>
  </si>
  <si>
    <t>ダメージカット</t>
  </si>
  <si>
    <t>被ダメージを{0}%カットする</t>
  </si>
  <si>
    <t>Damage Cut</t>
  </si>
  <si>
    <t>Reduce damage taken by {0}%</t>
  </si>
  <si>
    <t>被ダメージを{0}カットする</t>
  </si>
  <si>
    <t>Reduce damage taken by {0}</t>
  </si>
  <si>
    <t>火傷耐性</t>
  </si>
  <si>
    <t>火傷ダメージを{0}%カットする</t>
  </si>
  <si>
    <t>Burn Resistance</t>
  </si>
  <si>
    <t>Reduce burn damage taken by {0}%</t>
  </si>
  <si>
    <t>凍結耐性</t>
  </si>
  <si>
    <t>凍結ダメージを{0}%カットする</t>
  </si>
  <si>
    <t>炎耐性</t>
  </si>
  <si>
    <t>炎属性ダメージを{0}%カットする</t>
  </si>
  <si>
    <t>Fire Resistance</t>
  </si>
  <si>
    <t>Reduce fire damage taken by {0}%</t>
  </si>
  <si>
    <t>雷耐性</t>
  </si>
  <si>
    <t>雷属性ダメージを{0}%カットする</t>
  </si>
  <si>
    <t>Thunder Resistance</t>
  </si>
  <si>
    <t>Reduce thunder damage taken by {0}%</t>
  </si>
  <si>
    <t>氷耐性</t>
  </si>
  <si>
    <t>氷属性ダメージを{0}%カットする</t>
  </si>
  <si>
    <t>Ice Resistance</t>
  </si>
  <si>
    <t>Reduce ice damage taken by {0}%</t>
  </si>
  <si>
    <t>光耐性</t>
  </si>
  <si>
    <t>光属性ダメージを{0}%カットする</t>
  </si>
  <si>
    <t>Shine Resistance</t>
  </si>
  <si>
    <t>Reduce shine damage taken by {0}%</t>
  </si>
  <si>
    <t>闇耐性</t>
  </si>
  <si>
    <t>闇属性ダメージを{0}%カットする</t>
  </si>
  <si>
    <t>Dark Resistance</t>
  </si>
  <si>
    <t>Reduce dark damage taken by {0}%</t>
  </si>
  <si>
    <t>行動後ダメージ</t>
  </si>
  <si>
    <t>Poison</t>
  </si>
  <si>
    <t>Damage after action</t>
  </si>
  <si>
    <t>Burn</t>
  </si>
  <si>
    <t>暗闇</t>
  </si>
  <si>
    <t>一度だけ魔法が相手に命中しなくなる</t>
  </si>
  <si>
    <t>Darkness</t>
  </si>
  <si>
    <t>Miss one spell attack against opponent</t>
  </si>
  <si>
    <t>カウンタ</t>
  </si>
  <si>
    <t>攻撃を受けると反撃ダメージ</t>
  </si>
  <si>
    <t>Counter</t>
  </si>
  <si>
    <t>Counter damage when attacked</t>
  </si>
  <si>
    <t>CAダメージ</t>
  </si>
  <si>
    <t>CAの反撃ダメージ{0}アップ</t>
  </si>
  <si>
    <t>CA Damage</t>
  </si>
  <si>
    <t>CA Counter Damage +{0}</t>
  </si>
  <si>
    <t>CAシェル</t>
  </si>
  <si>
    <t>CA成功時のダメージをダウン</t>
  </si>
  <si>
    <t>CA Shell</t>
  </si>
  <si>
    <t>Reduce CA success damage</t>
  </si>
  <si>
    <t>リジェネ</t>
  </si>
  <si>
    <t>行動後Hp{0}回復</t>
  </si>
  <si>
    <t>Regene</t>
  </si>
  <si>
    <t>Restore HP {0} after action</t>
  </si>
  <si>
    <t>攻撃無効</t>
  </si>
  <si>
    <t>攻撃が効かなくなる</t>
  </si>
  <si>
    <t>Attack Ineffective</t>
  </si>
  <si>
    <t>Attack becomes ineffective</t>
  </si>
  <si>
    <t>ドレイン</t>
  </si>
  <si>
    <t>攻撃ダメージの{0}%分Hp回復</t>
  </si>
  <si>
    <t>Drain</t>
  </si>
  <si>
    <t>Restore HP equal to {0}% of damage taken</t>
  </si>
  <si>
    <t>状態異常CA</t>
  </si>
  <si>
    <t>状態異常を反射しダメージを与える</t>
  </si>
  <si>
    <t>Status Abnormal CA</t>
  </si>
  <si>
    <t>Reflect status ailments and deal damage</t>
  </si>
  <si>
    <t>反撃</t>
  </si>
  <si>
    <t>攻撃された際に行動できる</t>
  </si>
  <si>
    <t>Counterattack</t>
  </si>
  <si>
    <t>Can act when attacked</t>
  </si>
  <si>
    <t>パッシブ封じ</t>
  </si>
  <si>
    <t>パッシブ魔法が発動しなくなる</t>
  </si>
  <si>
    <t>Passive Block</t>
  </si>
  <si>
    <t>Passive magic does not activate</t>
  </si>
  <si>
    <t>デバフ強化</t>
  </si>
  <si>
    <t>デバフ効果を増加する</t>
  </si>
  <si>
    <t>Debuff Amplification</t>
  </si>
  <si>
    <t>Increase debuff effects</t>
  </si>
  <si>
    <t>挑発</t>
  </si>
  <si>
    <t>攻撃の対象を自身に固定する</t>
  </si>
  <si>
    <t>Taunt</t>
  </si>
  <si>
    <t>Fix attack target to self</t>
  </si>
  <si>
    <t>凍結</t>
  </si>
  <si>
    <t>攻撃すると自身にダメージ</t>
  </si>
  <si>
    <t>Deal damage to self on attack</t>
  </si>
  <si>
    <t>スタン</t>
  </si>
  <si>
    <t>一定時間行動できなくなる</t>
  </si>
  <si>
    <t>Unable to act for a certain period of time</t>
  </si>
  <si>
    <t>状態異常回避</t>
  </si>
  <si>
    <t>状態異常を回避する</t>
  </si>
  <si>
    <t>Status Avoidance</t>
  </si>
  <si>
    <t>Avoid status ailments</t>
  </si>
  <si>
    <t>対象範囲延長</t>
  </si>
  <si>
    <t>範囲外の対象を選択できる</t>
  </si>
  <si>
    <t>Extended Range</t>
  </si>
  <si>
    <t>Can select targets outside of range</t>
  </si>
  <si>
    <t>アフターヒール</t>
  </si>
  <si>
    <t>行動後自身のHpを回復</t>
  </si>
  <si>
    <t>After Heal</t>
  </si>
  <si>
    <t>Restore own HP after action</t>
  </si>
  <si>
    <t>即死付与</t>
  </si>
  <si>
    <t>一定確率でダメージが対象のHpになる</t>
  </si>
  <si>
    <t>Instant Death</t>
  </si>
  <si>
    <t>Damage dealt has a certain chance to become target's HP</t>
  </si>
  <si>
    <t>同時回復</t>
  </si>
  <si>
    <t>Hpを回復すると自身のHpも回復する</t>
  </si>
  <si>
    <t>Simultaneous Heal</t>
  </si>
  <si>
    <t>Restoring HP heals own HP as well</t>
  </si>
  <si>
    <t>必中</t>
  </si>
  <si>
    <t>攻撃が必ずあたるようになる</t>
  </si>
  <si>
    <t>Certain Hit</t>
  </si>
  <si>
    <t>Attacks will always hit</t>
  </si>
  <si>
    <t>アシストヒール</t>
  </si>
  <si>
    <t>攻撃成功時味方全員のHp{0}回復</t>
  </si>
  <si>
    <t>Assist Heal</t>
  </si>
  <si>
    <t>Restore HP {0} to all allies on attack success</t>
  </si>
  <si>
    <t>アンデッド</t>
  </si>
  <si>
    <t>1度だけ戦闘不能から復活し行動後Hpを{0}回復</t>
  </si>
  <si>
    <t>Undead</t>
  </si>
  <si>
    <t>Revive from Defeated once and restore HP {0} after action</t>
  </si>
  <si>
    <t>アクセル</t>
  </si>
  <si>
    <t>行動後速度がアップしつづける</t>
  </si>
  <si>
    <t>Accelerate</t>
  </si>
  <si>
    <t>Increase speed after action continuously</t>
  </si>
  <si>
    <t>ダメージ威力アップ</t>
  </si>
  <si>
    <t>攻撃魔法の威力が{0}%アップ</t>
  </si>
  <si>
    <t>Damage Power Up</t>
  </si>
  <si>
    <t>Attack magic power +{0}%</t>
  </si>
  <si>
    <t>バフ解除</t>
  </si>
  <si>
    <t>バフを解除する</t>
  </si>
  <si>
    <t>Buff Removal</t>
  </si>
  <si>
    <t>Remove buffs</t>
  </si>
  <si>
    <t>貫通</t>
  </si>
  <si>
    <t>攻撃時相手のDEFを無視する</t>
  </si>
  <si>
    <t>Pierce</t>
  </si>
  <si>
    <t>Ignore target's DEF when attacking</t>
  </si>
  <si>
    <t>対象列化</t>
  </si>
  <si>
    <t>単体の効果対象が列になる</t>
  </si>
  <si>
    <t>Target Row</t>
  </si>
  <si>
    <t>Single-target effect changes to row</t>
  </si>
  <si>
    <t>対象全体化</t>
  </si>
  <si>
    <t>効果対象が全体になる</t>
  </si>
  <si>
    <t>Target All Rows</t>
  </si>
  <si>
    <t>Effect targets all rows</t>
  </si>
  <si>
    <t>聖棺</t>
  </si>
  <si>
    <t>被ダメージアップ</t>
  </si>
  <si>
    <t>Holy Coffin</t>
  </si>
  <si>
    <t>Increase damage taken</t>
  </si>
  <si>
    <t>追加ダメージ</t>
  </si>
  <si>
    <t>消費Mpが0のMagicに追加ダメージ</t>
  </si>
  <si>
    <t>Additional Damage</t>
  </si>
  <si>
    <t>Additional damage to Magic with 0 MP cost</t>
  </si>
  <si>
    <t>追加効果</t>
  </si>
  <si>
    <t>消費Mpが0のMagicに追加効果</t>
  </si>
  <si>
    <t>Additional Effect</t>
  </si>
  <si>
    <t>Additional effect to Magic with 0 MP cost</t>
  </si>
  <si>
    <t>透明</t>
  </si>
  <si>
    <t>狙われなくなる</t>
  </si>
  <si>
    <t>No longer targeted</t>
  </si>
  <si>
    <t>沈黙</t>
  </si>
  <si>
    <t>消費Mp0以外のMagic使用不可</t>
  </si>
  <si>
    <t>Silence</t>
  </si>
  <si>
    <t>Cannot use Magic with MP cost other than 0</t>
  </si>
  <si>
    <t>不治</t>
  </si>
  <si>
    <t>Hp回復しなくなる</t>
  </si>
  <si>
    <t>Curse</t>
  </si>
  <si>
    <t>Stop HP recovery</t>
  </si>
  <si>
    <t>シールド</t>
  </si>
  <si>
    <t>一定量までのダメージを無効にする</t>
  </si>
  <si>
    <t>Nullify up to a certain amount of damage</t>
  </si>
  <si>
    <t>フォロー</t>
  </si>
  <si>
    <t>行動後自身以外の行動待機時間を短縮</t>
  </si>
  <si>
    <t>Follow-Up</t>
  </si>
  <si>
    <t>Reduce wait time after action for others</t>
  </si>
  <si>
    <t>かばう</t>
  </si>
  <si>
    <t>攻撃を代わりに受ける</t>
  </si>
  <si>
    <t>Guard</t>
  </si>
  <si>
    <t>Take attacks instead</t>
  </si>
  <si>
    <t>Ap消費半減</t>
  </si>
  <si>
    <t>Apの消費数が半分になる。端数は切り上げ</t>
  </si>
  <si>
    <t>AP Halved</t>
  </si>
  <si>
    <t>Half AP consumption. Round up fractions</t>
  </si>
  <si>
    <t>不死</t>
  </si>
  <si>
    <t>一度だけ戦闘不能を回避する</t>
  </si>
  <si>
    <t>Undying</t>
  </si>
  <si>
    <t>Avoid Defeated once</t>
  </si>
  <si>
    <t>Hp回復効果アップ</t>
  </si>
  <si>
    <t>Hp回復効果量アップ</t>
  </si>
  <si>
    <t>HP Recovery Effect Up</t>
  </si>
  <si>
    <t>Increase HP recovery effect</t>
  </si>
  <si>
    <t>呪詛</t>
  </si>
  <si>
    <t>戦闘不能を回避し反撃ダメージ</t>
  </si>
  <si>
    <t>Avoid Defeated and deal counter damage</t>
  </si>
  <si>
    <t>付与無効化</t>
  </si>
  <si>
    <t>対象の状態にならない</t>
  </si>
  <si>
    <t>Grant Immunity</t>
  </si>
  <si>
    <t>Do not become a target of status effects</t>
  </si>
  <si>
    <t>攻撃時敵のかばう効果を無視する</t>
  </si>
  <si>
    <t>ダメージカット無効</t>
  </si>
  <si>
    <t>ダメージアップ効果を無視する</t>
  </si>
  <si>
    <t>チャージ</t>
  </si>
  <si>
    <t>次の行動でのフラグが立つ</t>
  </si>
  <si>
    <t>Charge</t>
  </si>
  <si>
    <t>Set flag for next action</t>
  </si>
  <si>
    <t>リンケージ</t>
  </si>
  <si>
    <t>行動後に後衛と交代する</t>
  </si>
  <si>
    <t>Linkage</t>
  </si>
  <si>
    <t>Swap positions with back row after action</t>
  </si>
  <si>
    <t>テスト用</t>
  </si>
  <si>
    <t>なし</t>
  </si>
  <si>
    <t>ターン数</t>
  </si>
  <si>
    <t>APカウント</t>
  </si>
  <si>
    <t>Chain用</t>
  </si>
  <si>
    <t>効果発揮回数</t>
  </si>
  <si>
    <t>次に行動するまでの間</t>
  </si>
  <si>
    <t>ターンの終了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</si>
</sst>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0">
    <font>
      <sz val="11"/>
      <color theme="1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9C65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4" borderId="3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6" fillId="16" borderId="7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4" fillId="0" borderId="8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4" fillId="19" borderId="5" applyNumberForma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1"/>
  <sheetViews>
    <sheetView zoomScale="115" zoomScaleNormal="115" topLeftCell="A46" workbookViewId="0">
      <selection activeCell="A26" sqref="A26"/>
    </sheetView>
  </sheetViews>
  <sheetFormatPr defaultColWidth="8.72727272727273" defaultRowHeight="13"/>
  <cols>
    <col min="3" max="3" width="21.8181818181818" customWidth="1"/>
    <col min="4" max="4" width="9.09090909090909" customWidth="1"/>
    <col min="5" max="5" width="13.7272727272727" customWidth="1"/>
    <col min="6" max="6" width="15.5454545454545" customWidth="1"/>
    <col min="7" max="7" width="7" customWidth="1"/>
    <col min="8" max="8" width="14" customWidth="1"/>
    <col min="9" max="9" width="5.54545454545455" customWidth="1"/>
    <col min="10" max="10" width="12.8181818181818" customWidth="1"/>
    <col min="11" max="11" width="8" customWidth="1"/>
    <col min="12" max="12" width="10" customWidth="1"/>
    <col min="13" max="13" width="8.63636363636364" customWidth="1"/>
    <col min="14" max="14" width="8.54545454545454" customWidth="1"/>
    <col min="15" max="18" width="11.2727272727273" customWidth="1"/>
    <col min="19" max="19" width="16.7272727272727" customWidth="1"/>
    <col min="20" max="20" width="5.72727272727273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1">
      <c r="A2">
        <v>1</v>
      </c>
      <c r="B2">
        <v>1</v>
      </c>
      <c r="C2" t="str">
        <f>INDEX(TextData!B:B,MATCH(B2,TextData!A:A))</f>
        <v>戦闘不能</v>
      </c>
      <c r="D2">
        <v>0</v>
      </c>
      <c r="E2">
        <v>0</v>
      </c>
      <c r="F2" t="s">
        <v>19</v>
      </c>
      <c r="G2">
        <v>0</v>
      </c>
      <c r="H2" t="str">
        <f>INDEX(Define!B:B,MATCH(G2,Define!A:A))</f>
        <v>なし</v>
      </c>
      <c r="I2">
        <v>0</v>
      </c>
      <c r="J2" t="s">
        <v>20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tr">
        <f>TextData!C2</f>
        <v>""</v>
      </c>
    </row>
    <row r="3" spans="1:21">
      <c r="A3">
        <v>10</v>
      </c>
      <c r="B3">
        <v>10</v>
      </c>
      <c r="C3" t="str">
        <f>INDEX(TextData!B:B,MATCH(B3,TextData!A:A))</f>
        <v>待機</v>
      </c>
      <c r="D3">
        <v>0</v>
      </c>
      <c r="E3">
        <v>0</v>
      </c>
      <c r="F3" t="s">
        <v>21</v>
      </c>
      <c r="G3">
        <v>0</v>
      </c>
      <c r="H3" t="str">
        <f>INDEX(Define!B:B,MATCH(G3,Define!A:A))</f>
        <v>なし</v>
      </c>
      <c r="I3">
        <v>0</v>
      </c>
      <c r="J3" t="s">
        <v>20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 t="str">
        <f>TextData!B3</f>
        <v>待機</v>
      </c>
    </row>
    <row r="4" spans="1:21">
      <c r="A4">
        <v>201</v>
      </c>
      <c r="B4">
        <v>201</v>
      </c>
      <c r="C4" t="str">
        <f>INDEX(TextData!B:B,MATCH(B4,TextData!A:A))</f>
        <v>炎適正</v>
      </c>
      <c r="D4">
        <v>0</v>
      </c>
      <c r="E4">
        <v>0</v>
      </c>
      <c r="F4">
        <v>1</v>
      </c>
      <c r="G4">
        <v>0</v>
      </c>
      <c r="H4" t="str">
        <f>INDEX(Define!B:B,MATCH(G4,Define!A:A))</f>
        <v>なし</v>
      </c>
      <c r="I4">
        <v>1</v>
      </c>
      <c r="J4" t="s">
        <v>20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tr">
        <f>TextData!B4</f>
        <v>炎適正</v>
      </c>
    </row>
    <row r="5" spans="1:21">
      <c r="A5">
        <v>202</v>
      </c>
      <c r="B5">
        <v>202</v>
      </c>
      <c r="C5" t="str">
        <f>INDEX(TextData!B:B,MATCH(B5,TextData!A:A))</f>
        <v>雷適性</v>
      </c>
      <c r="D5">
        <v>0</v>
      </c>
      <c r="E5">
        <v>0</v>
      </c>
      <c r="F5">
        <v>1</v>
      </c>
      <c r="G5">
        <v>0</v>
      </c>
      <c r="H5" t="str">
        <f>INDEX(Define!B:B,MATCH(G5,Define!A:A))</f>
        <v>なし</v>
      </c>
      <c r="I5">
        <v>1</v>
      </c>
      <c r="J5" t="s">
        <v>20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tr">
        <f>TextData!B5</f>
        <v>雷適性</v>
      </c>
    </row>
    <row r="6" spans="1:21">
      <c r="A6">
        <v>203</v>
      </c>
      <c r="B6">
        <v>203</v>
      </c>
      <c r="C6" t="str">
        <f>INDEX(TextData!B:B,MATCH(B6,TextData!A:A))</f>
        <v>氷適性</v>
      </c>
      <c r="D6">
        <v>0</v>
      </c>
      <c r="E6">
        <v>0</v>
      </c>
      <c r="F6">
        <v>1</v>
      </c>
      <c r="G6">
        <v>0</v>
      </c>
      <c r="H6" t="str">
        <f>INDEX(Define!B:B,MATCH(G6,Define!A:A))</f>
        <v>なし</v>
      </c>
      <c r="I6">
        <v>1</v>
      </c>
      <c r="J6" t="s">
        <v>20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tr">
        <f>TextData!B6</f>
        <v>氷適性</v>
      </c>
    </row>
    <row r="7" spans="1:21">
      <c r="A7">
        <v>204</v>
      </c>
      <c r="B7">
        <v>204</v>
      </c>
      <c r="C7" t="str">
        <f>INDEX(TextData!B:B,MATCH(B7,TextData!A:A))</f>
        <v>光適性</v>
      </c>
      <c r="D7">
        <v>0</v>
      </c>
      <c r="E7">
        <v>0</v>
      </c>
      <c r="F7">
        <v>1</v>
      </c>
      <c r="G7">
        <v>0</v>
      </c>
      <c r="H7" t="str">
        <f>INDEX(Define!B:B,MATCH(G7,Define!A:A))</f>
        <v>なし</v>
      </c>
      <c r="I7">
        <v>1</v>
      </c>
      <c r="J7" t="s">
        <v>20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tr">
        <f>TextData!B7</f>
        <v>光適性</v>
      </c>
    </row>
    <row r="8" spans="1:21">
      <c r="A8">
        <v>205</v>
      </c>
      <c r="B8">
        <v>205</v>
      </c>
      <c r="C8" t="str">
        <f>INDEX(TextData!B:B,MATCH(B8,TextData!A:A))</f>
        <v>闇適性</v>
      </c>
      <c r="D8">
        <v>0</v>
      </c>
      <c r="E8">
        <v>0</v>
      </c>
      <c r="F8">
        <v>1</v>
      </c>
      <c r="G8">
        <v>0</v>
      </c>
      <c r="H8" t="str">
        <f>INDEX(Define!B:B,MATCH(G8,Define!A:A))</f>
        <v>なし</v>
      </c>
      <c r="I8">
        <v>1</v>
      </c>
      <c r="J8" t="s">
        <v>20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tr">
        <f>TextData!B8</f>
        <v>闇適性</v>
      </c>
    </row>
    <row r="9" spans="1:21">
      <c r="A9">
        <v>1010</v>
      </c>
      <c r="B9">
        <v>1010</v>
      </c>
      <c r="C9" t="str">
        <f>INDEX(TextData!B:B,MATCH(B9,TextData!A:A))</f>
        <v>覚醒</v>
      </c>
      <c r="D9">
        <v>0</v>
      </c>
      <c r="E9">
        <v>0</v>
      </c>
      <c r="F9" t="s">
        <v>22</v>
      </c>
      <c r="G9">
        <v>0</v>
      </c>
      <c r="H9" t="str">
        <f>INDEX(Define!B:B,MATCH(G9,Define!A:A))</f>
        <v>なし</v>
      </c>
      <c r="I9">
        <v>0</v>
      </c>
      <c r="J9" t="s">
        <v>20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 t="str">
        <f>TextData!B9</f>
        <v>覚醒</v>
      </c>
    </row>
    <row r="10" spans="1:21">
      <c r="A10">
        <v>1011</v>
      </c>
      <c r="B10">
        <v>1011</v>
      </c>
      <c r="C10" t="str">
        <f>INDEX(TextData!B:B,MATCH(B10,TextData!A:A))</f>
        <v>全ステータスアップ</v>
      </c>
      <c r="D10">
        <v>0</v>
      </c>
      <c r="E10">
        <v>0</v>
      </c>
      <c r="F10" t="s">
        <v>23</v>
      </c>
      <c r="G10">
        <v>0</v>
      </c>
      <c r="H10" t="str">
        <f>INDEX(Define!B:B,MATCH(G10,Define!A:A))</f>
        <v>なし</v>
      </c>
      <c r="I10">
        <v>0</v>
      </c>
      <c r="J10" t="s">
        <v>20</v>
      </c>
      <c r="K10">
        <v>0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1</v>
      </c>
      <c r="U10" t="str">
        <f>TextData!B10</f>
        <v>全ステータスアップ</v>
      </c>
    </row>
    <row r="11" spans="1:21">
      <c r="A11">
        <v>1020</v>
      </c>
      <c r="B11">
        <v>1020</v>
      </c>
      <c r="C11" t="str">
        <f>INDEX(TextData!B:B,MATCH(B11,TextData!A:A))</f>
        <v>最大Hpアップ</v>
      </c>
      <c r="D11">
        <v>0</v>
      </c>
      <c r="E11">
        <v>11</v>
      </c>
      <c r="F11" t="s">
        <v>24</v>
      </c>
      <c r="G11">
        <v>1</v>
      </c>
      <c r="H11" t="str">
        <f>INDEX(Define!B:B,MATCH(G11,Define!A:A))</f>
        <v>ターン数</v>
      </c>
      <c r="I11">
        <v>1</v>
      </c>
      <c r="J11" t="s">
        <v>20</v>
      </c>
      <c r="K11">
        <v>0</v>
      </c>
      <c r="L11">
        <v>1</v>
      </c>
      <c r="M11">
        <v>0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1</v>
      </c>
      <c r="U11" t="str">
        <f>TextData!B11</f>
        <v>最大Hpアップ</v>
      </c>
    </row>
    <row r="12" spans="1:21">
      <c r="A12">
        <v>1030</v>
      </c>
      <c r="B12">
        <v>1030</v>
      </c>
      <c r="C12" t="str">
        <f>INDEX(TextData!B:B,MATCH(B12,TextData!A:A))</f>
        <v>最大Mpアップ</v>
      </c>
      <c r="D12">
        <v>0</v>
      </c>
      <c r="E12">
        <v>12</v>
      </c>
      <c r="F12" t="s">
        <v>25</v>
      </c>
      <c r="G12">
        <v>1</v>
      </c>
      <c r="H12" t="str">
        <f>INDEX(Define!B:B,MATCH(G12,Define!A:A))</f>
        <v>ターン数</v>
      </c>
      <c r="I12">
        <v>1</v>
      </c>
      <c r="J12" t="s">
        <v>20</v>
      </c>
      <c r="K12">
        <v>0</v>
      </c>
      <c r="L12">
        <v>1</v>
      </c>
      <c r="M12">
        <v>0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 t="str">
        <f>TextData!B12</f>
        <v>最大Mpアップ</v>
      </c>
    </row>
    <row r="13" spans="1:21">
      <c r="A13">
        <v>1040</v>
      </c>
      <c r="B13">
        <v>1040</v>
      </c>
      <c r="C13" t="str">
        <f>INDEX(TextData!B:B,MATCH(B13,TextData!A:A))</f>
        <v>攻撃アップ</v>
      </c>
      <c r="D13">
        <v>0</v>
      </c>
      <c r="E13">
        <v>13</v>
      </c>
      <c r="F13" t="s">
        <v>26</v>
      </c>
      <c r="G13">
        <v>1</v>
      </c>
      <c r="H13" t="str">
        <f>INDEX(Define!B:B,MATCH(G13,Define!A:A))</f>
        <v>ターン数</v>
      </c>
      <c r="I13">
        <v>1</v>
      </c>
      <c r="J13" t="s">
        <v>20</v>
      </c>
      <c r="K13">
        <v>0</v>
      </c>
      <c r="L13">
        <v>1</v>
      </c>
      <c r="M13">
        <v>0</v>
      </c>
      <c r="N13">
        <v>1</v>
      </c>
      <c r="O13">
        <v>0</v>
      </c>
      <c r="P13">
        <v>1</v>
      </c>
      <c r="Q13">
        <v>0</v>
      </c>
      <c r="R13">
        <v>0</v>
      </c>
      <c r="S13">
        <v>0</v>
      </c>
      <c r="T13">
        <v>1</v>
      </c>
      <c r="U13" t="str">
        <f>TextData!B13</f>
        <v>攻撃アップ</v>
      </c>
    </row>
    <row r="14" spans="1:21">
      <c r="A14">
        <v>1041</v>
      </c>
      <c r="B14">
        <v>1041</v>
      </c>
      <c r="C14" t="str">
        <f>INDEX(TextData!B:B,MATCH(B14,TextData!A:A))</f>
        <v>攻撃ダウン</v>
      </c>
      <c r="D14">
        <v>0</v>
      </c>
      <c r="E14">
        <v>27</v>
      </c>
      <c r="F14" t="s">
        <v>26</v>
      </c>
      <c r="G14">
        <v>1</v>
      </c>
      <c r="H14" t="str">
        <f>INDEX(Define!B:B,MATCH(G14,Define!A:A))</f>
        <v>ターン数</v>
      </c>
      <c r="I14">
        <v>1</v>
      </c>
      <c r="J14" t="s">
        <v>20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1</v>
      </c>
      <c r="U14" t="str">
        <f>TextData!B14</f>
        <v>攻撃ダウン</v>
      </c>
    </row>
    <row r="15" spans="1:21">
      <c r="A15">
        <v>1042</v>
      </c>
      <c r="B15">
        <v>1042</v>
      </c>
      <c r="C15" t="str">
        <f>INDEX(TextData!B:B,MATCH(B15,TextData!A:A))</f>
        <v>攻撃%アップ</v>
      </c>
      <c r="D15">
        <v>0</v>
      </c>
      <c r="E15">
        <v>13</v>
      </c>
      <c r="F15" t="s">
        <v>26</v>
      </c>
      <c r="G15">
        <v>1</v>
      </c>
      <c r="H15" t="str">
        <f>INDEX(Define!B:B,MATCH(G15,Define!A:A))</f>
        <v>ターン数</v>
      </c>
      <c r="I15">
        <v>1</v>
      </c>
      <c r="J15" t="s">
        <v>20</v>
      </c>
      <c r="K15">
        <v>0</v>
      </c>
      <c r="L15">
        <v>1</v>
      </c>
      <c r="M15">
        <v>0</v>
      </c>
      <c r="N15">
        <v>1</v>
      </c>
      <c r="O15">
        <v>0</v>
      </c>
      <c r="P15">
        <v>1</v>
      </c>
      <c r="Q15">
        <v>0</v>
      </c>
      <c r="R15">
        <v>0</v>
      </c>
      <c r="S15">
        <v>0</v>
      </c>
      <c r="T15">
        <v>1</v>
      </c>
      <c r="U15" t="str">
        <f>TextData!B15</f>
        <v>攻撃%アップ</v>
      </c>
    </row>
    <row r="16" spans="1:21">
      <c r="A16">
        <v>1043</v>
      </c>
      <c r="B16">
        <v>1043</v>
      </c>
      <c r="C16" t="str">
        <f>INDEX(TextData!B:B,MATCH(B16,TextData!A:A))</f>
        <v>攻撃%ダウン</v>
      </c>
      <c r="D16">
        <v>0</v>
      </c>
      <c r="E16">
        <v>29</v>
      </c>
      <c r="F16" t="s">
        <v>26</v>
      </c>
      <c r="G16">
        <v>1</v>
      </c>
      <c r="H16" t="str">
        <f>INDEX(Define!B:B,MATCH(G16,Define!A:A))</f>
        <v>ターン数</v>
      </c>
      <c r="I16">
        <v>1</v>
      </c>
      <c r="J16" t="s">
        <v>20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1</v>
      </c>
      <c r="U16" t="str">
        <f>TextData!B16</f>
        <v>攻撃%ダウン</v>
      </c>
    </row>
    <row r="17" spans="1:21">
      <c r="A17">
        <v>1044</v>
      </c>
      <c r="B17">
        <v>1044</v>
      </c>
      <c r="C17" t="str">
        <f>INDEX(TextData!B:B,MATCH(B17,TextData!A:A))</f>
        <v>攻撃アップ</v>
      </c>
      <c r="D17">
        <v>0</v>
      </c>
      <c r="E17">
        <v>29</v>
      </c>
      <c r="F17" t="s">
        <v>26</v>
      </c>
      <c r="G17">
        <v>1</v>
      </c>
      <c r="H17" t="str">
        <f>INDEX(Define!B:B,MATCH(G17,Define!A:A))</f>
        <v>ターン数</v>
      </c>
      <c r="I17">
        <v>1</v>
      </c>
      <c r="J17" t="s">
        <v>20</v>
      </c>
      <c r="K17">
        <v>0</v>
      </c>
      <c r="L17">
        <v>1</v>
      </c>
      <c r="M17">
        <v>5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1</v>
      </c>
      <c r="U17" t="str">
        <f>TextData!B17</f>
        <v>攻撃アップ</v>
      </c>
    </row>
    <row r="18" spans="1:21">
      <c r="A18">
        <v>1050</v>
      </c>
      <c r="B18">
        <v>1050</v>
      </c>
      <c r="C18" t="str">
        <f>INDEX(TextData!B:B,MATCH(B18,TextData!A:A))</f>
        <v>防御アップ</v>
      </c>
      <c r="D18">
        <v>0</v>
      </c>
      <c r="E18">
        <v>14</v>
      </c>
      <c r="F18" t="s">
        <v>27</v>
      </c>
      <c r="G18">
        <v>1</v>
      </c>
      <c r="H18" t="str">
        <f>INDEX(Define!B:B,MATCH(G18,Define!A:A))</f>
        <v>ターン数</v>
      </c>
      <c r="I18">
        <v>1</v>
      </c>
      <c r="J18" t="s">
        <v>20</v>
      </c>
      <c r="K18">
        <v>0</v>
      </c>
      <c r="L18">
        <v>1</v>
      </c>
      <c r="M18">
        <v>0</v>
      </c>
      <c r="N18">
        <v>1</v>
      </c>
      <c r="O18">
        <v>0</v>
      </c>
      <c r="P18">
        <v>1</v>
      </c>
      <c r="Q18">
        <v>0</v>
      </c>
      <c r="R18">
        <v>0</v>
      </c>
      <c r="S18">
        <v>0</v>
      </c>
      <c r="T18">
        <v>1</v>
      </c>
      <c r="U18" t="str">
        <f>TextData!B18</f>
        <v>防御アップ</v>
      </c>
    </row>
    <row r="19" spans="1:21">
      <c r="A19">
        <v>1051</v>
      </c>
      <c r="B19">
        <v>1051</v>
      </c>
      <c r="C19" t="str">
        <f>INDEX(TextData!B:B,MATCH(B19,TextData!A:A))</f>
        <v>防御ダウン</v>
      </c>
      <c r="D19">
        <v>0</v>
      </c>
      <c r="E19">
        <v>30</v>
      </c>
      <c r="F19" t="s">
        <v>27</v>
      </c>
      <c r="G19">
        <v>1</v>
      </c>
      <c r="H19" t="str">
        <f>INDEX(Define!B:B,MATCH(G19,Define!A:A))</f>
        <v>ターン数</v>
      </c>
      <c r="I19">
        <v>1</v>
      </c>
      <c r="J19" t="s">
        <v>20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1</v>
      </c>
      <c r="U19" t="str">
        <f>TextData!B19</f>
        <v>防御ダウン</v>
      </c>
    </row>
    <row r="20" spans="1:21">
      <c r="A20">
        <v>1052</v>
      </c>
      <c r="B20">
        <v>1052</v>
      </c>
      <c r="C20" t="str">
        <f>INDEX(TextData!B:B,MATCH(B20,TextData!A:A))</f>
        <v>防御アップ</v>
      </c>
      <c r="D20">
        <v>0</v>
      </c>
      <c r="E20">
        <v>14</v>
      </c>
      <c r="F20" t="s">
        <v>27</v>
      </c>
      <c r="G20">
        <v>1</v>
      </c>
      <c r="H20" t="str">
        <f>INDEX(Define!B:B,MATCH(G20,Define!A:A))</f>
        <v>ターン数</v>
      </c>
      <c r="I20">
        <v>1</v>
      </c>
      <c r="J20" t="s">
        <v>20</v>
      </c>
      <c r="K20">
        <v>0</v>
      </c>
      <c r="L20">
        <v>1</v>
      </c>
      <c r="M20">
        <v>0</v>
      </c>
      <c r="N20">
        <v>1</v>
      </c>
      <c r="O20">
        <v>0</v>
      </c>
      <c r="P20">
        <v>1</v>
      </c>
      <c r="Q20">
        <v>0</v>
      </c>
      <c r="R20">
        <v>0</v>
      </c>
      <c r="S20">
        <v>0</v>
      </c>
      <c r="T20">
        <v>1</v>
      </c>
      <c r="U20" t="str">
        <f>TextData!B20</f>
        <v>防御アップ</v>
      </c>
    </row>
    <row r="21" spans="1:21">
      <c r="A21">
        <v>1053</v>
      </c>
      <c r="B21">
        <v>1053</v>
      </c>
      <c r="C21" t="str">
        <f>INDEX(TextData!B:B,MATCH(B21,TextData!A:A))</f>
        <v>防御ダウン</v>
      </c>
      <c r="D21">
        <v>0</v>
      </c>
      <c r="E21">
        <v>30</v>
      </c>
      <c r="F21" t="s">
        <v>27</v>
      </c>
      <c r="G21">
        <v>1</v>
      </c>
      <c r="H21" t="str">
        <f>INDEX(Define!B:B,MATCH(G21,Define!A:A))</f>
        <v>ターン数</v>
      </c>
      <c r="I21">
        <v>1</v>
      </c>
      <c r="J21" t="s">
        <v>20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1</v>
      </c>
      <c r="U21" t="str">
        <f>TextData!B21</f>
        <v>防御ダウン</v>
      </c>
    </row>
    <row r="22" spans="1:21">
      <c r="A22">
        <v>1060</v>
      </c>
      <c r="B22">
        <v>1060</v>
      </c>
      <c r="C22" t="str">
        <f>INDEX(TextData!B:B,MATCH(B22,TextData!A:A))</f>
        <v>速度アップ</v>
      </c>
      <c r="D22">
        <v>0</v>
      </c>
      <c r="E22">
        <v>17</v>
      </c>
      <c r="F22" t="s">
        <v>21</v>
      </c>
      <c r="G22">
        <v>1</v>
      </c>
      <c r="H22" t="str">
        <f>INDEX(Define!B:B,MATCH(G22,Define!A:A))</f>
        <v>ターン数</v>
      </c>
      <c r="I22">
        <v>1</v>
      </c>
      <c r="J22" t="s">
        <v>20</v>
      </c>
      <c r="K22">
        <v>0</v>
      </c>
      <c r="L22">
        <v>1</v>
      </c>
      <c r="M22">
        <v>0</v>
      </c>
      <c r="N22">
        <v>1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 t="str">
        <f>TextData!B22</f>
        <v>速度アップ</v>
      </c>
    </row>
    <row r="23" spans="1:21">
      <c r="A23">
        <v>1061</v>
      </c>
      <c r="B23">
        <v>1061</v>
      </c>
      <c r="C23" t="str">
        <f>INDEX(TextData!B:B,MATCH(B23,TextData!A:A))</f>
        <v>速度ダウン</v>
      </c>
      <c r="D23">
        <v>0</v>
      </c>
      <c r="E23">
        <v>41</v>
      </c>
      <c r="F23" t="s">
        <v>21</v>
      </c>
      <c r="G23">
        <v>1</v>
      </c>
      <c r="H23" t="str">
        <f>INDEX(Define!B:B,MATCH(G23,Define!A:A))</f>
        <v>ターン数</v>
      </c>
      <c r="I23">
        <v>1</v>
      </c>
      <c r="J23" t="s">
        <v>20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1</v>
      </c>
      <c r="U23" t="str">
        <f>TextData!B23</f>
        <v>速度ダウン</v>
      </c>
    </row>
    <row r="24" spans="1:21">
      <c r="A24">
        <v>1070</v>
      </c>
      <c r="B24">
        <v>1070</v>
      </c>
      <c r="C24" t="str">
        <f>INDEX(TextData!B:B,MATCH(B24,TextData!A:A))</f>
        <v>会心率アップ</v>
      </c>
      <c r="D24">
        <v>0</v>
      </c>
      <c r="E24">
        <v>0</v>
      </c>
      <c r="F24" t="s">
        <v>28</v>
      </c>
      <c r="G24">
        <v>1</v>
      </c>
      <c r="H24" t="str">
        <f>INDEX(Define!B:B,MATCH(G24,Define!A:A))</f>
        <v>ターン数</v>
      </c>
      <c r="I24">
        <v>1</v>
      </c>
      <c r="J24" t="s">
        <v>20</v>
      </c>
      <c r="K24">
        <v>0</v>
      </c>
      <c r="L24">
        <v>1</v>
      </c>
      <c r="M24">
        <v>0</v>
      </c>
      <c r="N24">
        <v>1</v>
      </c>
      <c r="O24">
        <v>0</v>
      </c>
      <c r="P24">
        <v>1</v>
      </c>
      <c r="Q24">
        <v>0</v>
      </c>
      <c r="R24">
        <v>0</v>
      </c>
      <c r="S24">
        <v>0</v>
      </c>
      <c r="T24">
        <v>1</v>
      </c>
      <c r="U24" t="str">
        <f>TextData!B24</f>
        <v>会心率アップ</v>
      </c>
    </row>
    <row r="25" spans="1:21">
      <c r="A25">
        <v>1071</v>
      </c>
      <c r="B25">
        <v>1071</v>
      </c>
      <c r="C25" t="str">
        <f>INDEX(TextData!B:B,MATCH(B25,TextData!A:A))</f>
        <v>会心率ダウン</v>
      </c>
      <c r="D25">
        <v>0</v>
      </c>
      <c r="E25">
        <v>0</v>
      </c>
      <c r="F25" t="s">
        <v>28</v>
      </c>
      <c r="G25">
        <v>1</v>
      </c>
      <c r="H25" t="str">
        <f>INDEX(Define!B:B,MATCH(G25,Define!A:A))</f>
        <v>ターン数</v>
      </c>
      <c r="I25">
        <v>1</v>
      </c>
      <c r="J25" t="s">
        <v>20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 t="str">
        <f>TextData!B25</f>
        <v>会心率ダウン</v>
      </c>
    </row>
    <row r="26" spans="1:21">
      <c r="A26">
        <v>1074</v>
      </c>
      <c r="B26">
        <v>1074</v>
      </c>
      <c r="C26" t="str">
        <f>INDEX(TextData!B:B,MATCH(B26,TextData!A:A))</f>
        <v>会心ダメージアップ</v>
      </c>
      <c r="D26">
        <v>0</v>
      </c>
      <c r="E26">
        <v>0</v>
      </c>
      <c r="F26" t="s">
        <v>28</v>
      </c>
      <c r="G26">
        <v>1</v>
      </c>
      <c r="H26" t="str">
        <f>INDEX(Define!B:B,MATCH(G26,Define!A:A))</f>
        <v>ターン数</v>
      </c>
      <c r="I26">
        <v>1</v>
      </c>
      <c r="J26" t="s">
        <v>20</v>
      </c>
      <c r="K26">
        <v>0</v>
      </c>
      <c r="L26">
        <v>1</v>
      </c>
      <c r="M26">
        <v>0</v>
      </c>
      <c r="N26">
        <v>1</v>
      </c>
      <c r="O26">
        <v>0</v>
      </c>
      <c r="P26">
        <v>1</v>
      </c>
      <c r="Q26">
        <v>0</v>
      </c>
      <c r="R26">
        <v>0</v>
      </c>
      <c r="S26">
        <v>0</v>
      </c>
      <c r="T26">
        <v>1</v>
      </c>
      <c r="U26" t="str">
        <f>TextData!B26</f>
        <v>会心ダメージアップ</v>
      </c>
    </row>
    <row r="27" spans="1:21">
      <c r="A27">
        <v>1080</v>
      </c>
      <c r="B27">
        <v>1080</v>
      </c>
      <c r="C27" t="str">
        <f>INDEX(TextData!B:B,MATCH(B27,TextData!A:A))</f>
        <v>命中アップ</v>
      </c>
      <c r="D27">
        <v>0</v>
      </c>
      <c r="E27">
        <v>0</v>
      </c>
      <c r="F27" t="s">
        <v>29</v>
      </c>
      <c r="G27">
        <v>1</v>
      </c>
      <c r="H27" t="str">
        <f>INDEX(Define!B:B,MATCH(G27,Define!A:A))</f>
        <v>ターン数</v>
      </c>
      <c r="I27">
        <v>1</v>
      </c>
      <c r="J27" t="s">
        <v>20</v>
      </c>
      <c r="K27">
        <v>0</v>
      </c>
      <c r="L27">
        <v>1</v>
      </c>
      <c r="M27">
        <v>0</v>
      </c>
      <c r="N27">
        <v>1</v>
      </c>
      <c r="O27">
        <v>0</v>
      </c>
      <c r="P27">
        <v>1</v>
      </c>
      <c r="Q27">
        <v>0</v>
      </c>
      <c r="R27">
        <v>0</v>
      </c>
      <c r="S27">
        <v>0</v>
      </c>
      <c r="T27">
        <v>1</v>
      </c>
      <c r="U27" t="str">
        <f>TextData!B27</f>
        <v>命中アップ</v>
      </c>
    </row>
    <row r="28" spans="1:21">
      <c r="A28">
        <v>1081</v>
      </c>
      <c r="B28">
        <v>1081</v>
      </c>
      <c r="C28" t="str">
        <f>INDEX(TextData!B:B,MATCH(B28,TextData!A:A))</f>
        <v>命中アップ</v>
      </c>
      <c r="D28">
        <v>0</v>
      </c>
      <c r="E28">
        <v>0</v>
      </c>
      <c r="F28" t="s">
        <v>29</v>
      </c>
      <c r="G28">
        <v>1</v>
      </c>
      <c r="H28" t="str">
        <f>INDEX(Define!B:B,MATCH(G28,Define!A:A))</f>
        <v>ターン数</v>
      </c>
      <c r="I28">
        <v>1</v>
      </c>
      <c r="J28" t="s">
        <v>20</v>
      </c>
      <c r="K28">
        <v>0</v>
      </c>
      <c r="L28">
        <v>1</v>
      </c>
      <c r="M28">
        <v>5</v>
      </c>
      <c r="N28">
        <v>1</v>
      </c>
      <c r="O28">
        <v>0</v>
      </c>
      <c r="P28">
        <v>1</v>
      </c>
      <c r="Q28">
        <v>0</v>
      </c>
      <c r="R28">
        <v>0</v>
      </c>
      <c r="S28">
        <v>0</v>
      </c>
      <c r="T28">
        <v>1</v>
      </c>
      <c r="U28" t="str">
        <f>TextData!B30</f>
        <v>回避アップ</v>
      </c>
    </row>
    <row r="29" spans="1:21">
      <c r="A29">
        <v>1082</v>
      </c>
      <c r="B29">
        <v>1082</v>
      </c>
      <c r="C29" t="str">
        <f>INDEX(TextData!B:B,MATCH(B29,TextData!A:A))</f>
        <v>命中ダウン</v>
      </c>
      <c r="D29">
        <v>0</v>
      </c>
      <c r="E29">
        <v>0</v>
      </c>
      <c r="F29" t="s">
        <v>29</v>
      </c>
      <c r="G29">
        <v>1</v>
      </c>
      <c r="H29" t="str">
        <f>INDEX(Define!B:B,MATCH(G29,Define!A:A))</f>
        <v>ターン数</v>
      </c>
      <c r="I29">
        <v>1</v>
      </c>
      <c r="J29" t="s">
        <v>20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1</v>
      </c>
      <c r="U29" t="str">
        <f>TextData!B31</f>
        <v>回避ダウン</v>
      </c>
    </row>
    <row r="30" spans="1:21">
      <c r="A30">
        <v>1090</v>
      </c>
      <c r="B30">
        <v>1090</v>
      </c>
      <c r="C30" t="str">
        <f>INDEX(TextData!B:B,MATCH(B30,TextData!A:A))</f>
        <v>回避アップ</v>
      </c>
      <c r="D30">
        <v>0</v>
      </c>
      <c r="E30">
        <v>0</v>
      </c>
      <c r="F30" t="s">
        <v>30</v>
      </c>
      <c r="G30">
        <v>1</v>
      </c>
      <c r="H30" t="str">
        <f>INDEX(Define!B:B,MATCH(G30,Define!A:A))</f>
        <v>ターン数</v>
      </c>
      <c r="I30">
        <v>1</v>
      </c>
      <c r="J30" t="s">
        <v>20</v>
      </c>
      <c r="K30">
        <v>0</v>
      </c>
      <c r="L30">
        <v>1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1</v>
      </c>
      <c r="U30" t="str">
        <f>TextData!B30</f>
        <v>回避アップ</v>
      </c>
    </row>
    <row r="31" spans="1:21">
      <c r="A31">
        <v>1091</v>
      </c>
      <c r="B31">
        <v>1091</v>
      </c>
      <c r="C31" t="str">
        <f>INDEX(TextData!B:B,MATCH(B31,TextData!A:A))</f>
        <v>回避ダウン</v>
      </c>
      <c r="D31">
        <v>0</v>
      </c>
      <c r="E31">
        <v>0</v>
      </c>
      <c r="F31" t="s">
        <v>30</v>
      </c>
      <c r="G31">
        <v>1</v>
      </c>
      <c r="H31" t="str">
        <f>INDEX(Define!B:B,MATCH(G31,Define!A:A))</f>
        <v>ターン数</v>
      </c>
      <c r="I31">
        <v>1</v>
      </c>
      <c r="J31" t="s">
        <v>20</v>
      </c>
      <c r="K31">
        <v>0</v>
      </c>
      <c r="L31">
        <v>1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 t="str">
        <f>TextData!B31</f>
        <v>回避ダウン</v>
      </c>
    </row>
    <row r="32" spans="1:21">
      <c r="A32">
        <v>1092</v>
      </c>
      <c r="B32">
        <v>1092</v>
      </c>
      <c r="C32" t="str">
        <f>INDEX(TextData!B:B,MATCH(B32,TextData!A:A))</f>
        <v>回避アップ</v>
      </c>
      <c r="D32">
        <v>0</v>
      </c>
      <c r="E32">
        <v>0</v>
      </c>
      <c r="F32" t="s">
        <v>30</v>
      </c>
      <c r="G32">
        <v>1</v>
      </c>
      <c r="H32" t="str">
        <f>INDEX(Define!B:B,MATCH(G32,Define!A:A))</f>
        <v>ターン数</v>
      </c>
      <c r="I32">
        <v>1</v>
      </c>
      <c r="J32" t="s">
        <v>20</v>
      </c>
      <c r="K32">
        <v>0</v>
      </c>
      <c r="L32">
        <v>1</v>
      </c>
      <c r="M32">
        <v>5</v>
      </c>
      <c r="N32">
        <v>1</v>
      </c>
      <c r="O32">
        <v>0</v>
      </c>
      <c r="P32">
        <v>1</v>
      </c>
      <c r="Q32">
        <v>0</v>
      </c>
      <c r="R32">
        <v>0</v>
      </c>
      <c r="S32">
        <v>0</v>
      </c>
      <c r="T32">
        <v>1</v>
      </c>
      <c r="U32" t="str">
        <f>TextData!B32</f>
        <v>回避アップ</v>
      </c>
    </row>
    <row r="33" spans="1:21">
      <c r="A33">
        <v>1100</v>
      </c>
      <c r="B33">
        <v>1100</v>
      </c>
      <c r="C33" t="str">
        <f>INDEX(TextData!B:B,MATCH(B33,TextData!A:A))</f>
        <v>ダメージカット</v>
      </c>
      <c r="D33">
        <v>0</v>
      </c>
      <c r="E33">
        <v>96</v>
      </c>
      <c r="F33" t="s">
        <v>31</v>
      </c>
      <c r="G33">
        <v>4</v>
      </c>
      <c r="H33" t="str">
        <f>INDEX(Define!B:B,MATCH(G33,Define!A:A))</f>
        <v>効果発揮回数</v>
      </c>
      <c r="I33">
        <v>1</v>
      </c>
      <c r="J33" t="s">
        <v>20</v>
      </c>
      <c r="K33">
        <v>0</v>
      </c>
      <c r="L33">
        <v>1</v>
      </c>
      <c r="M33">
        <v>0</v>
      </c>
      <c r="N33">
        <v>1</v>
      </c>
      <c r="O33">
        <v>0</v>
      </c>
      <c r="P33">
        <v>1</v>
      </c>
      <c r="Q33">
        <v>0</v>
      </c>
      <c r="R33">
        <v>0</v>
      </c>
      <c r="S33">
        <v>0</v>
      </c>
      <c r="T33">
        <v>1</v>
      </c>
      <c r="U33" t="str">
        <f>TextData!B33</f>
        <v>ダメージカット</v>
      </c>
    </row>
    <row r="34" spans="1:21">
      <c r="A34">
        <v>1101</v>
      </c>
      <c r="B34">
        <v>1101</v>
      </c>
      <c r="C34" t="str">
        <f>INDEX(TextData!B:B,MATCH(B34,TextData!A:A))</f>
        <v>ダメージカット</v>
      </c>
      <c r="D34">
        <v>0</v>
      </c>
      <c r="E34">
        <v>96</v>
      </c>
      <c r="F34" t="s">
        <v>31</v>
      </c>
      <c r="G34">
        <v>4</v>
      </c>
      <c r="H34" t="str">
        <f>INDEX(Define!B:B,MATCH(G34,Define!A:A))</f>
        <v>効果発揮回数</v>
      </c>
      <c r="I34">
        <v>1</v>
      </c>
      <c r="J34" t="s">
        <v>20</v>
      </c>
      <c r="K34">
        <v>0</v>
      </c>
      <c r="L34">
        <v>1</v>
      </c>
      <c r="M34">
        <v>0</v>
      </c>
      <c r="N34">
        <v>1</v>
      </c>
      <c r="O34">
        <v>0</v>
      </c>
      <c r="P34">
        <v>1</v>
      </c>
      <c r="Q34">
        <v>0</v>
      </c>
      <c r="R34">
        <v>0</v>
      </c>
      <c r="S34">
        <v>0</v>
      </c>
      <c r="T34">
        <v>1</v>
      </c>
      <c r="U34" t="str">
        <f>TextData!B34</f>
        <v>ダメージカット</v>
      </c>
    </row>
    <row r="35" ht="12" customHeight="1" spans="1:21">
      <c r="A35">
        <v>1210</v>
      </c>
      <c r="B35">
        <v>1210</v>
      </c>
      <c r="C35" t="str">
        <f>INDEX(TextData!B:B,MATCH(B35,TextData!A:A))</f>
        <v>火傷耐性</v>
      </c>
      <c r="D35">
        <v>2</v>
      </c>
      <c r="E35">
        <v>43</v>
      </c>
      <c r="F35" t="s">
        <v>32</v>
      </c>
      <c r="G35">
        <v>1</v>
      </c>
      <c r="H35" t="str">
        <f>INDEX(Define!B:B,MATCH(G35,Define!A:A))</f>
        <v>ターン数</v>
      </c>
      <c r="I35">
        <v>1</v>
      </c>
      <c r="J35" t="s">
        <v>20</v>
      </c>
      <c r="K35">
        <v>0</v>
      </c>
      <c r="L35">
        <v>1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1</v>
      </c>
      <c r="U35" t="str">
        <f>TextData!B35</f>
        <v>火傷耐性</v>
      </c>
    </row>
    <row r="36" ht="12" customHeight="1" spans="1:21">
      <c r="A36">
        <v>1220</v>
      </c>
      <c r="B36">
        <v>1220</v>
      </c>
      <c r="C36" t="str">
        <f>INDEX(TextData!B:B,MATCH(B36,TextData!A:A))</f>
        <v>凍結耐性</v>
      </c>
      <c r="D36">
        <v>2</v>
      </c>
      <c r="E36">
        <v>96</v>
      </c>
      <c r="F36" t="s">
        <v>32</v>
      </c>
      <c r="G36">
        <v>1</v>
      </c>
      <c r="H36" t="str">
        <f>INDEX(Define!B:B,MATCH(G36,Define!A:A))</f>
        <v>ターン数</v>
      </c>
      <c r="I36">
        <v>1</v>
      </c>
      <c r="J36" t="s">
        <v>20</v>
      </c>
      <c r="K36">
        <v>0</v>
      </c>
      <c r="L36">
        <v>1</v>
      </c>
      <c r="M36">
        <v>0</v>
      </c>
      <c r="N36">
        <v>1</v>
      </c>
      <c r="O36">
        <v>0</v>
      </c>
      <c r="P36">
        <v>1</v>
      </c>
      <c r="Q36">
        <v>0</v>
      </c>
      <c r="R36">
        <v>0</v>
      </c>
      <c r="S36">
        <v>0</v>
      </c>
      <c r="T36">
        <v>1</v>
      </c>
      <c r="U36" t="str">
        <f>TextData!B36</f>
        <v>凍結耐性</v>
      </c>
    </row>
    <row r="37" ht="12" customHeight="1" spans="1:21">
      <c r="A37">
        <v>1310</v>
      </c>
      <c r="B37">
        <v>1310</v>
      </c>
      <c r="C37" t="str">
        <f>INDEX(TextData!B:B,MATCH(B37,TextData!A:A))</f>
        <v>炎耐性</v>
      </c>
      <c r="D37">
        <v>1</v>
      </c>
      <c r="E37">
        <v>43</v>
      </c>
      <c r="F37" t="s">
        <v>32</v>
      </c>
      <c r="G37">
        <v>1</v>
      </c>
      <c r="H37" t="str">
        <f>INDEX(Define!B:B,MATCH(G37,Define!A:A))</f>
        <v>ターン数</v>
      </c>
      <c r="I37">
        <v>1</v>
      </c>
      <c r="J37" t="s">
        <v>20</v>
      </c>
      <c r="K37">
        <v>0</v>
      </c>
      <c r="L37">
        <v>1</v>
      </c>
      <c r="M37">
        <v>0</v>
      </c>
      <c r="N37">
        <v>1</v>
      </c>
      <c r="O37">
        <v>0</v>
      </c>
      <c r="P37">
        <v>1</v>
      </c>
      <c r="Q37">
        <v>0</v>
      </c>
      <c r="R37">
        <v>0</v>
      </c>
      <c r="S37">
        <v>0</v>
      </c>
      <c r="T37">
        <v>1</v>
      </c>
      <c r="U37" t="str">
        <f>TextData!B37</f>
        <v>炎耐性</v>
      </c>
    </row>
    <row r="38" ht="12" customHeight="1" spans="1:21">
      <c r="A38">
        <v>1320</v>
      </c>
      <c r="B38">
        <v>1320</v>
      </c>
      <c r="C38" t="str">
        <f>INDEX(TextData!B:B,MATCH(B38,TextData!A:A))</f>
        <v>雷耐性</v>
      </c>
      <c r="D38">
        <v>10</v>
      </c>
      <c r="E38">
        <v>45</v>
      </c>
      <c r="F38" t="s">
        <v>32</v>
      </c>
      <c r="G38">
        <v>1</v>
      </c>
      <c r="H38" t="str">
        <f>INDEX(Define!B:B,MATCH(G38,Define!A:A))</f>
        <v>ターン数</v>
      </c>
      <c r="I38">
        <v>1</v>
      </c>
      <c r="J38" t="s">
        <v>20</v>
      </c>
      <c r="K38">
        <v>0</v>
      </c>
      <c r="L38">
        <v>1</v>
      </c>
      <c r="M38">
        <v>0</v>
      </c>
      <c r="N38">
        <v>1</v>
      </c>
      <c r="O38">
        <v>0</v>
      </c>
      <c r="P38">
        <v>1</v>
      </c>
      <c r="Q38">
        <v>0</v>
      </c>
      <c r="R38">
        <v>0</v>
      </c>
      <c r="S38">
        <v>0</v>
      </c>
      <c r="T38">
        <v>1</v>
      </c>
      <c r="U38" t="str">
        <f>TextData!B38</f>
        <v>雷耐性</v>
      </c>
    </row>
    <row r="39" ht="12" customHeight="1" spans="1:21">
      <c r="A39">
        <v>1330</v>
      </c>
      <c r="B39">
        <v>1330</v>
      </c>
      <c r="C39" t="str">
        <f>INDEX(TextData!B:B,MATCH(B39,TextData!A:A))</f>
        <v>氷耐性</v>
      </c>
      <c r="D39">
        <v>18</v>
      </c>
      <c r="E39">
        <v>44</v>
      </c>
      <c r="F39" t="s">
        <v>32</v>
      </c>
      <c r="G39">
        <v>1</v>
      </c>
      <c r="H39" t="str">
        <f>INDEX(Define!B:B,MATCH(G39,Define!A:A))</f>
        <v>ターン数</v>
      </c>
      <c r="I39">
        <v>1</v>
      </c>
      <c r="J39" t="s">
        <v>20</v>
      </c>
      <c r="K39">
        <v>0</v>
      </c>
      <c r="L39">
        <v>1</v>
      </c>
      <c r="M39">
        <v>0</v>
      </c>
      <c r="N39">
        <v>1</v>
      </c>
      <c r="O39">
        <v>0</v>
      </c>
      <c r="P39">
        <v>1</v>
      </c>
      <c r="Q39">
        <v>0</v>
      </c>
      <c r="R39">
        <v>0</v>
      </c>
      <c r="S39">
        <v>0</v>
      </c>
      <c r="T39">
        <v>1</v>
      </c>
      <c r="U39" t="str">
        <f>TextData!B39</f>
        <v>氷耐性</v>
      </c>
    </row>
    <row r="40" ht="12" customHeight="1" spans="1:21">
      <c r="A40">
        <v>1340</v>
      </c>
      <c r="B40">
        <v>1340</v>
      </c>
      <c r="C40" t="str">
        <f>INDEX(TextData!B:B,MATCH(B40,TextData!A:A))</f>
        <v>光耐性</v>
      </c>
      <c r="D40">
        <v>13</v>
      </c>
      <c r="E40">
        <v>49</v>
      </c>
      <c r="F40" t="s">
        <v>32</v>
      </c>
      <c r="G40">
        <v>1</v>
      </c>
      <c r="H40" t="str">
        <f>INDEX(Define!B:B,MATCH(G40,Define!A:A))</f>
        <v>ターン数</v>
      </c>
      <c r="I40">
        <v>1</v>
      </c>
      <c r="J40" t="s">
        <v>20</v>
      </c>
      <c r="K40">
        <v>0</v>
      </c>
      <c r="L40">
        <v>1</v>
      </c>
      <c r="M40">
        <v>0</v>
      </c>
      <c r="N40">
        <v>1</v>
      </c>
      <c r="O40">
        <v>0</v>
      </c>
      <c r="P40">
        <v>1</v>
      </c>
      <c r="Q40">
        <v>0</v>
      </c>
      <c r="R40">
        <v>0</v>
      </c>
      <c r="S40">
        <v>0</v>
      </c>
      <c r="T40">
        <v>1</v>
      </c>
      <c r="U40" t="str">
        <f>TextData!B40</f>
        <v>光耐性</v>
      </c>
    </row>
    <row r="41" ht="12" customHeight="1" spans="1:21">
      <c r="A41">
        <v>1350</v>
      </c>
      <c r="B41">
        <v>1350</v>
      </c>
      <c r="C41" t="str">
        <f>INDEX(TextData!B:B,MATCH(B41,TextData!A:A))</f>
        <v>闇耐性</v>
      </c>
      <c r="D41">
        <v>14</v>
      </c>
      <c r="E41">
        <v>50</v>
      </c>
      <c r="F41" t="s">
        <v>32</v>
      </c>
      <c r="G41">
        <v>1</v>
      </c>
      <c r="H41" t="str">
        <f>INDEX(Define!B:B,MATCH(G41,Define!A:A))</f>
        <v>ターン数</v>
      </c>
      <c r="I41">
        <v>1</v>
      </c>
      <c r="J41" t="s">
        <v>20</v>
      </c>
      <c r="K41">
        <v>0</v>
      </c>
      <c r="L41">
        <v>1</v>
      </c>
      <c r="M41">
        <v>0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1</v>
      </c>
      <c r="U41" t="str">
        <f>TextData!B41</f>
        <v>闇耐性</v>
      </c>
    </row>
    <row r="42" ht="12" customHeight="1" spans="1:21">
      <c r="A42">
        <v>2010</v>
      </c>
      <c r="B42">
        <v>2010</v>
      </c>
      <c r="C42" t="str">
        <f>INDEX(TextData!B:B,MATCH(B42,TextData!A:A))</f>
        <v>毒</v>
      </c>
      <c r="D42">
        <v>26</v>
      </c>
      <c r="E42">
        <v>1</v>
      </c>
      <c r="F42" t="s">
        <v>32</v>
      </c>
      <c r="G42">
        <v>1</v>
      </c>
      <c r="H42" t="str">
        <f>INDEX(Define!B:B,MATCH(G42,Define!A:A))</f>
        <v>ターン数</v>
      </c>
      <c r="I42">
        <v>1</v>
      </c>
      <c r="J42" t="s">
        <v>33</v>
      </c>
      <c r="K42">
        <v>1</v>
      </c>
      <c r="L42">
        <v>1</v>
      </c>
      <c r="M42">
        <v>0</v>
      </c>
      <c r="N42">
        <v>0</v>
      </c>
      <c r="O42">
        <v>1</v>
      </c>
      <c r="P42">
        <v>0</v>
      </c>
      <c r="Q42">
        <v>1</v>
      </c>
      <c r="R42">
        <v>1</v>
      </c>
      <c r="S42">
        <v>0</v>
      </c>
      <c r="T42">
        <v>1</v>
      </c>
      <c r="U42" t="str">
        <f>TextData!B42</f>
        <v>毒</v>
      </c>
    </row>
    <row r="43" ht="12" customHeight="1" spans="1:21">
      <c r="A43">
        <v>2011</v>
      </c>
      <c r="B43">
        <v>2010</v>
      </c>
      <c r="C43" t="s">
        <v>34</v>
      </c>
      <c r="D43">
        <v>26</v>
      </c>
      <c r="E43">
        <v>1</v>
      </c>
      <c r="F43" t="s">
        <v>32</v>
      </c>
      <c r="G43">
        <v>1</v>
      </c>
      <c r="H43" t="str">
        <f>INDEX(Define!B:B,MATCH(G43,Define!A:A))</f>
        <v>ターン数</v>
      </c>
      <c r="I43">
        <v>1</v>
      </c>
      <c r="J43" t="s">
        <v>33</v>
      </c>
      <c r="K43">
        <v>1</v>
      </c>
      <c r="L43">
        <v>1</v>
      </c>
      <c r="M43">
        <v>0</v>
      </c>
      <c r="N43">
        <v>0</v>
      </c>
      <c r="O43">
        <v>1</v>
      </c>
      <c r="P43">
        <v>0</v>
      </c>
      <c r="Q43">
        <v>1</v>
      </c>
      <c r="R43">
        <v>1</v>
      </c>
      <c r="S43">
        <v>0</v>
      </c>
      <c r="T43">
        <v>1</v>
      </c>
      <c r="U43" t="str">
        <f>TextData!B42</f>
        <v>毒</v>
      </c>
    </row>
    <row r="44" ht="12" customHeight="1" spans="1:21">
      <c r="A44">
        <v>2012</v>
      </c>
      <c r="B44">
        <v>2012</v>
      </c>
      <c r="C44" t="s">
        <v>35</v>
      </c>
      <c r="D44">
        <v>2</v>
      </c>
      <c r="E44">
        <v>43</v>
      </c>
      <c r="F44" t="s">
        <v>32</v>
      </c>
      <c r="G44">
        <v>1</v>
      </c>
      <c r="H44" t="str">
        <f>INDEX(Define!B:B,MATCH(G44,Define!A:A))</f>
        <v>ターン数</v>
      </c>
      <c r="I44">
        <v>1</v>
      </c>
      <c r="J44" t="s">
        <v>33</v>
      </c>
      <c r="K44">
        <v>1</v>
      </c>
      <c r="L44">
        <v>1</v>
      </c>
      <c r="M44">
        <v>0</v>
      </c>
      <c r="N44">
        <v>0</v>
      </c>
      <c r="O44">
        <v>1</v>
      </c>
      <c r="P44">
        <v>0</v>
      </c>
      <c r="Q44">
        <v>1</v>
      </c>
      <c r="R44">
        <v>1</v>
      </c>
      <c r="S44">
        <v>0</v>
      </c>
      <c r="T44">
        <v>1</v>
      </c>
      <c r="U44" t="str">
        <f>TextData!B43</f>
        <v>火傷</v>
      </c>
    </row>
    <row r="45" ht="12" customHeight="1" spans="1:21">
      <c r="A45">
        <v>2020</v>
      </c>
      <c r="B45">
        <v>2020</v>
      </c>
      <c r="C45" t="str">
        <f>INDEX(TextData!B:B,MATCH(B45,TextData!A:A))</f>
        <v>暗闇</v>
      </c>
      <c r="D45">
        <v>33</v>
      </c>
      <c r="E45">
        <v>2</v>
      </c>
      <c r="F45" t="s">
        <v>29</v>
      </c>
      <c r="G45">
        <v>4</v>
      </c>
      <c r="H45" t="str">
        <f>INDEX(Define!B:B,MATCH(G45,Define!A:A))</f>
        <v>効果発揮回数</v>
      </c>
      <c r="I45">
        <v>1</v>
      </c>
      <c r="J45" t="s">
        <v>36</v>
      </c>
      <c r="K45">
        <v>0</v>
      </c>
      <c r="L45">
        <v>0.1</v>
      </c>
      <c r="M45">
        <v>0</v>
      </c>
      <c r="N45">
        <v>0</v>
      </c>
      <c r="O45">
        <v>1</v>
      </c>
      <c r="P45">
        <v>0</v>
      </c>
      <c r="Q45">
        <v>1</v>
      </c>
      <c r="R45">
        <v>1</v>
      </c>
      <c r="S45">
        <v>0</v>
      </c>
      <c r="T45">
        <v>1</v>
      </c>
      <c r="U45" t="str">
        <f>TextData!B44</f>
        <v>暗闇</v>
      </c>
    </row>
    <row r="46" spans="1:21">
      <c r="A46">
        <v>2030</v>
      </c>
      <c r="B46">
        <v>2030</v>
      </c>
      <c r="C46" t="str">
        <f>INDEX(TextData!B:B,MATCH(B46,TextData!A:A))</f>
        <v>カウンタ</v>
      </c>
      <c r="D46">
        <v>0</v>
      </c>
      <c r="E46">
        <v>66</v>
      </c>
      <c r="F46" t="s">
        <v>37</v>
      </c>
      <c r="G46">
        <v>1</v>
      </c>
      <c r="H46" t="str">
        <f>INDEX(Define!B:B,MATCH(G46,Define!A:A))</f>
        <v>ターン数</v>
      </c>
      <c r="I46">
        <v>0</v>
      </c>
      <c r="J46" t="s">
        <v>38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 t="str">
        <f>TextData!B45</f>
        <v>カウンタ</v>
      </c>
    </row>
    <row r="47" spans="1:21">
      <c r="A47">
        <v>2031</v>
      </c>
      <c r="B47">
        <v>2031</v>
      </c>
      <c r="C47" t="str">
        <f>INDEX(TextData!B:B,MATCH(B47,TextData!A:A))</f>
        <v>CAダメージ</v>
      </c>
      <c r="D47">
        <v>0</v>
      </c>
      <c r="E47">
        <v>66</v>
      </c>
      <c r="F47" t="s">
        <v>37</v>
      </c>
      <c r="G47">
        <v>1</v>
      </c>
      <c r="H47" t="str">
        <f>INDEX(Define!B:B,MATCH(G47,Define!A:A))</f>
        <v>ターン数</v>
      </c>
      <c r="I47">
        <v>1</v>
      </c>
      <c r="J47" t="s">
        <v>20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 t="str">
        <f>TextData!B46</f>
        <v>CAダメージ</v>
      </c>
    </row>
    <row r="48" spans="1:21">
      <c r="A48">
        <v>2032</v>
      </c>
      <c r="B48">
        <v>2032</v>
      </c>
      <c r="C48" t="str">
        <f>INDEX(TextData!B:B,MATCH(B48,TextData!A:A))</f>
        <v>CAシェル</v>
      </c>
      <c r="D48">
        <v>0</v>
      </c>
      <c r="E48">
        <v>66</v>
      </c>
      <c r="F48" t="s">
        <v>39</v>
      </c>
      <c r="G48">
        <v>0</v>
      </c>
      <c r="H48" t="str">
        <f>INDEX(Define!B:B,MATCH(G48,Define!A:A))</f>
        <v>なし</v>
      </c>
      <c r="I48">
        <v>1</v>
      </c>
      <c r="J48" t="s">
        <v>20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 t="str">
        <f>TextData!B47</f>
        <v>CAシェル</v>
      </c>
    </row>
    <row r="49" spans="1:21">
      <c r="A49">
        <v>2040</v>
      </c>
      <c r="B49">
        <v>2040</v>
      </c>
      <c r="C49" t="str">
        <f>INDEX(TextData!B:B,MATCH(B49,TextData!A:A))</f>
        <v>リジェネ</v>
      </c>
      <c r="D49">
        <v>0</v>
      </c>
      <c r="E49">
        <v>46</v>
      </c>
      <c r="F49" t="s">
        <v>39</v>
      </c>
      <c r="G49">
        <v>1</v>
      </c>
      <c r="H49" t="str">
        <f>INDEX(Define!B:B,MATCH(G49,Define!A:A))</f>
        <v>ターン数</v>
      </c>
      <c r="I49">
        <v>1</v>
      </c>
      <c r="J49" t="s">
        <v>20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 t="str">
        <f>TextData!B48</f>
        <v>リジェネ</v>
      </c>
    </row>
    <row r="50" spans="1:21">
      <c r="A50">
        <v>2050</v>
      </c>
      <c r="B50">
        <v>2050</v>
      </c>
      <c r="C50" t="str">
        <f>INDEX(TextData!B:B,MATCH(B50,TextData!A:A))</f>
        <v>攻撃無効</v>
      </c>
      <c r="D50">
        <v>0</v>
      </c>
      <c r="E50">
        <v>226</v>
      </c>
      <c r="F50" t="s">
        <v>40</v>
      </c>
      <c r="G50">
        <v>4</v>
      </c>
      <c r="H50" t="str">
        <f>INDEX(Define!B:B,MATCH(G50,Define!A:A))</f>
        <v>効果発揮回数</v>
      </c>
      <c r="I50">
        <v>0</v>
      </c>
      <c r="J50" t="s">
        <v>41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 t="str">
        <f>TextData!B49</f>
        <v>攻撃無効</v>
      </c>
    </row>
    <row r="51" spans="1:21">
      <c r="A51">
        <v>2060</v>
      </c>
      <c r="B51">
        <v>2060</v>
      </c>
      <c r="C51" t="str">
        <f>INDEX(TextData!B:B,MATCH(B51,TextData!A:A))</f>
        <v>ドレイン</v>
      </c>
      <c r="D51">
        <v>0</v>
      </c>
      <c r="E51">
        <v>167</v>
      </c>
      <c r="F51" t="s">
        <v>42</v>
      </c>
      <c r="G51">
        <v>1</v>
      </c>
      <c r="H51" t="str">
        <f>INDEX(Define!B:B,MATCH(G51,Define!A:A))</f>
        <v>ターン数</v>
      </c>
      <c r="I51">
        <v>1</v>
      </c>
      <c r="J51" t="s">
        <v>20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 t="str">
        <f>TextData!B50</f>
        <v>ドレイン</v>
      </c>
    </row>
    <row r="52" spans="1:21">
      <c r="A52">
        <v>2070</v>
      </c>
      <c r="B52">
        <v>2070</v>
      </c>
      <c r="C52" t="str">
        <f>INDEX(TextData!B:B,MATCH(B52,TextData!A:A))</f>
        <v>状態異常CA</v>
      </c>
      <c r="D52">
        <v>0</v>
      </c>
      <c r="E52">
        <v>226</v>
      </c>
      <c r="F52" t="s">
        <v>43</v>
      </c>
      <c r="G52">
        <v>1</v>
      </c>
      <c r="H52" t="str">
        <f>INDEX(Define!B:B,MATCH(G52,Define!A:A))</f>
        <v>ターン数</v>
      </c>
      <c r="I52">
        <v>0</v>
      </c>
      <c r="J52" t="s">
        <v>20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 t="str">
        <f>TextData!B51</f>
        <v>状態異常CA</v>
      </c>
    </row>
    <row r="53" spans="1:21">
      <c r="A53">
        <v>2080</v>
      </c>
      <c r="B53">
        <v>2080</v>
      </c>
      <c r="C53" t="str">
        <f>INDEX(TextData!B:B,MATCH(B53,TextData!A:A))</f>
        <v>反撃</v>
      </c>
      <c r="D53">
        <v>0</v>
      </c>
      <c r="E53">
        <v>4</v>
      </c>
      <c r="F53" t="s">
        <v>37</v>
      </c>
      <c r="G53">
        <v>4</v>
      </c>
      <c r="H53" t="str">
        <f>INDEX(Define!B:B,MATCH(G53,Define!A:A))</f>
        <v>効果発揮回数</v>
      </c>
      <c r="I53">
        <v>0</v>
      </c>
      <c r="J53" t="s">
        <v>20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 t="str">
        <f>TextData!B52</f>
        <v>反撃</v>
      </c>
    </row>
    <row r="54" spans="1:21">
      <c r="A54">
        <v>2090</v>
      </c>
      <c r="B54">
        <v>2090</v>
      </c>
      <c r="C54" t="str">
        <f>INDEX(TextData!B:B,MATCH(B54,TextData!A:A))</f>
        <v>パッシブ封じ</v>
      </c>
      <c r="D54">
        <v>0</v>
      </c>
      <c r="E54">
        <v>10</v>
      </c>
      <c r="F54" t="s">
        <v>44</v>
      </c>
      <c r="G54">
        <v>4</v>
      </c>
      <c r="H54" t="str">
        <f>INDEX(Define!B:B,MATCH(G54,Define!A:A))</f>
        <v>効果発揮回数</v>
      </c>
      <c r="I54">
        <v>0</v>
      </c>
      <c r="J54" t="s">
        <v>20</v>
      </c>
      <c r="K54">
        <v>0</v>
      </c>
      <c r="L54">
        <v>1</v>
      </c>
      <c r="M54">
        <v>0</v>
      </c>
      <c r="N54">
        <v>0</v>
      </c>
      <c r="O54">
        <v>1</v>
      </c>
      <c r="P54">
        <v>0</v>
      </c>
      <c r="Q54">
        <v>1</v>
      </c>
      <c r="R54">
        <v>1</v>
      </c>
      <c r="S54">
        <v>0</v>
      </c>
      <c r="T54">
        <v>1</v>
      </c>
      <c r="U54" t="str">
        <f>TextData!B53</f>
        <v>パッシブ封じ</v>
      </c>
    </row>
    <row r="55" spans="1:21">
      <c r="A55">
        <v>2120</v>
      </c>
      <c r="B55">
        <v>2120</v>
      </c>
      <c r="C55" t="str">
        <f>INDEX(TextData!B:B,MATCH(B55,TextData!A:A))</f>
        <v>デバフ強化</v>
      </c>
      <c r="D55">
        <v>0</v>
      </c>
      <c r="E55">
        <v>9</v>
      </c>
      <c r="F55" t="s">
        <v>45</v>
      </c>
      <c r="G55">
        <v>4</v>
      </c>
      <c r="H55" t="str">
        <f>INDEX(Define!B:B,MATCH(G55,Define!A:A))</f>
        <v>効果発揮回数</v>
      </c>
      <c r="I55">
        <v>1</v>
      </c>
      <c r="J55" t="s">
        <v>46</v>
      </c>
      <c r="K55">
        <v>0</v>
      </c>
      <c r="L55">
        <v>0.2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1</v>
      </c>
      <c r="U55" t="str">
        <f>TextData!B54</f>
        <v>デバフ強化</v>
      </c>
    </row>
    <row r="56" spans="1:21">
      <c r="A56">
        <v>2130</v>
      </c>
      <c r="B56">
        <v>2130</v>
      </c>
      <c r="C56" t="str">
        <f>INDEX(TextData!B:B,MATCH(B56,TextData!A:A))</f>
        <v>挑発</v>
      </c>
      <c r="D56">
        <v>0</v>
      </c>
      <c r="E56">
        <v>4</v>
      </c>
      <c r="F56" t="s">
        <v>47</v>
      </c>
      <c r="G56">
        <v>1</v>
      </c>
      <c r="H56" t="str">
        <f>INDEX(Define!B:B,MATCH(G56,Define!A:A))</f>
        <v>ターン数</v>
      </c>
      <c r="I56">
        <v>0</v>
      </c>
      <c r="J56" t="s">
        <v>20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1</v>
      </c>
      <c r="U56" t="str">
        <f>TextData!B55</f>
        <v>挑発</v>
      </c>
    </row>
    <row r="57" spans="1:21">
      <c r="A57">
        <v>2140</v>
      </c>
      <c r="B57">
        <v>2140</v>
      </c>
      <c r="C57" t="str">
        <f>INDEX(TextData!B:B,MATCH(B57,TextData!A:A))</f>
        <v>凍結</v>
      </c>
      <c r="D57">
        <v>18</v>
      </c>
      <c r="E57">
        <v>44</v>
      </c>
      <c r="F57" t="s">
        <v>48</v>
      </c>
      <c r="G57">
        <v>4</v>
      </c>
      <c r="H57" t="str">
        <f>INDEX(Define!B:B,MATCH(G57,Define!A:A))</f>
        <v>効果発揮回数</v>
      </c>
      <c r="I57">
        <v>1</v>
      </c>
      <c r="J57" t="s">
        <v>49</v>
      </c>
      <c r="K57">
        <v>1</v>
      </c>
      <c r="L57">
        <v>1</v>
      </c>
      <c r="M57">
        <v>0</v>
      </c>
      <c r="N57">
        <v>0</v>
      </c>
      <c r="O57">
        <v>1</v>
      </c>
      <c r="P57">
        <v>0</v>
      </c>
      <c r="Q57">
        <v>1</v>
      </c>
      <c r="R57">
        <v>1</v>
      </c>
      <c r="S57">
        <v>0</v>
      </c>
      <c r="T57">
        <v>1</v>
      </c>
      <c r="U57" t="str">
        <f>TextData!B56</f>
        <v>凍結</v>
      </c>
    </row>
    <row r="58" spans="1:21">
      <c r="A58">
        <v>2150</v>
      </c>
      <c r="B58">
        <v>2150</v>
      </c>
      <c r="C58" t="str">
        <f>INDEX(TextData!B:B,MATCH(B58,TextData!A:A))</f>
        <v>スタン</v>
      </c>
      <c r="D58">
        <v>0</v>
      </c>
      <c r="E58">
        <v>5</v>
      </c>
      <c r="F58" t="s">
        <v>50</v>
      </c>
      <c r="G58">
        <v>2</v>
      </c>
      <c r="H58" t="str">
        <f>INDEX(Define!B:B,MATCH(G58,Define!A:A))</f>
        <v>APカウント</v>
      </c>
      <c r="I58">
        <v>0</v>
      </c>
      <c r="J58" t="s">
        <v>51</v>
      </c>
      <c r="K58">
        <v>0</v>
      </c>
      <c r="L58">
        <v>1</v>
      </c>
      <c r="M58">
        <v>0</v>
      </c>
      <c r="N58">
        <v>0</v>
      </c>
      <c r="O58">
        <v>1</v>
      </c>
      <c r="P58">
        <v>0</v>
      </c>
      <c r="Q58">
        <v>1</v>
      </c>
      <c r="R58">
        <v>1</v>
      </c>
      <c r="S58">
        <v>0</v>
      </c>
      <c r="T58">
        <v>1</v>
      </c>
      <c r="U58" t="str">
        <f>TextData!B57</f>
        <v>スタン</v>
      </c>
    </row>
    <row r="59" spans="1:21">
      <c r="A59">
        <v>2180</v>
      </c>
      <c r="B59">
        <v>2180</v>
      </c>
      <c r="C59" t="str">
        <f>INDEX(TextData!B:B,MATCH(B59,TextData!A:A))</f>
        <v>状態異常回避</v>
      </c>
      <c r="D59">
        <v>0</v>
      </c>
      <c r="E59">
        <v>99</v>
      </c>
      <c r="F59" t="s">
        <v>52</v>
      </c>
      <c r="G59">
        <v>4</v>
      </c>
      <c r="H59" t="str">
        <f>INDEX(Define!B:B,MATCH(G59,Define!A:A))</f>
        <v>効果発揮回数</v>
      </c>
      <c r="I59">
        <v>0</v>
      </c>
      <c r="J59" t="s">
        <v>20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 t="str">
        <f>TextData!B58</f>
        <v>状態異常回避</v>
      </c>
    </row>
    <row r="60" spans="1:21">
      <c r="A60">
        <v>2190</v>
      </c>
      <c r="B60">
        <v>2190</v>
      </c>
      <c r="C60" t="str">
        <f>INDEX(TextData!B:B,MATCH(B60,TextData!A:A))</f>
        <v>対象範囲延長</v>
      </c>
      <c r="D60">
        <v>0</v>
      </c>
      <c r="E60">
        <v>73</v>
      </c>
      <c r="F60" t="s">
        <v>53</v>
      </c>
      <c r="G60">
        <v>1</v>
      </c>
      <c r="H60" t="str">
        <f>INDEX(Define!B:B,MATCH(G60,Define!A:A))</f>
        <v>ターン数</v>
      </c>
      <c r="I60">
        <v>0</v>
      </c>
      <c r="J60" t="s">
        <v>20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tr">
        <f>TextData!B59</f>
        <v>対象範囲延長</v>
      </c>
    </row>
    <row r="61" spans="1:21">
      <c r="A61">
        <v>2210</v>
      </c>
      <c r="B61">
        <v>2210</v>
      </c>
      <c r="C61" t="str">
        <f>INDEX(TextData!B:B,MATCH(B61,TextData!A:A))</f>
        <v>アフターヒール</v>
      </c>
      <c r="D61">
        <v>0</v>
      </c>
      <c r="E61">
        <v>63</v>
      </c>
      <c r="F61" t="s">
        <v>39</v>
      </c>
      <c r="G61">
        <v>1</v>
      </c>
      <c r="H61" t="str">
        <f>INDEX(Define!B:B,MATCH(G61,Define!A:A))</f>
        <v>ターン数</v>
      </c>
      <c r="I61">
        <v>1</v>
      </c>
      <c r="J61" t="s">
        <v>20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 t="str">
        <f>TextData!B60</f>
        <v>アフターヒール</v>
      </c>
    </row>
    <row r="62" spans="1:21">
      <c r="A62">
        <v>2220</v>
      </c>
      <c r="B62">
        <v>2220</v>
      </c>
      <c r="C62" t="str">
        <f>INDEX(TextData!B:B,MATCH(B62,TextData!A:A))</f>
        <v>即死付与</v>
      </c>
      <c r="D62">
        <v>0</v>
      </c>
      <c r="E62">
        <v>1</v>
      </c>
      <c r="F62" t="s">
        <v>19</v>
      </c>
      <c r="G62">
        <v>1</v>
      </c>
      <c r="H62" t="str">
        <f>INDEX(Define!B:B,MATCH(G62,Define!A:A))</f>
        <v>ターン数</v>
      </c>
      <c r="I62">
        <v>0</v>
      </c>
      <c r="J62" t="s">
        <v>20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1</v>
      </c>
      <c r="U62" t="str">
        <f>TextData!B61</f>
        <v>即死付与</v>
      </c>
    </row>
    <row r="63" spans="1:21">
      <c r="A63">
        <v>2230</v>
      </c>
      <c r="B63">
        <v>2230</v>
      </c>
      <c r="C63" t="str">
        <f>INDEX(TextData!B:B,MATCH(B63,TextData!A:A))</f>
        <v>同時回復</v>
      </c>
      <c r="D63">
        <v>0</v>
      </c>
      <c r="E63">
        <v>46</v>
      </c>
      <c r="F63" t="s">
        <v>39</v>
      </c>
      <c r="G63">
        <v>0</v>
      </c>
      <c r="H63" t="str">
        <f>INDEX(Define!B:B,MATCH(G63,Define!A:A))</f>
        <v>なし</v>
      </c>
      <c r="I63">
        <v>1</v>
      </c>
      <c r="J63" t="s">
        <v>20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 t="str">
        <f>TextData!B62</f>
        <v>同時回復</v>
      </c>
    </row>
    <row r="64" spans="1:21">
      <c r="A64">
        <v>2240</v>
      </c>
      <c r="B64">
        <v>2240</v>
      </c>
      <c r="C64" t="str">
        <f>INDEX(TextData!B:B,MATCH(B64,TextData!A:A))</f>
        <v>必中</v>
      </c>
      <c r="D64">
        <v>0</v>
      </c>
      <c r="E64">
        <v>62</v>
      </c>
      <c r="F64" t="s">
        <v>29</v>
      </c>
      <c r="G64">
        <v>4</v>
      </c>
      <c r="H64" t="str">
        <f>INDEX(Define!B:B,MATCH(G64,Define!A:A))</f>
        <v>効果発揮回数</v>
      </c>
      <c r="I64">
        <v>0</v>
      </c>
      <c r="J64" t="s">
        <v>20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 t="str">
        <f>TextData!B63</f>
        <v>必中</v>
      </c>
    </row>
    <row r="65" spans="1:21">
      <c r="A65">
        <v>2250</v>
      </c>
      <c r="B65">
        <v>2250</v>
      </c>
      <c r="C65" t="str">
        <f>INDEX(TextData!B:B,MATCH(B65,TextData!A:A))</f>
        <v>アシストヒール</v>
      </c>
      <c r="D65">
        <v>0</v>
      </c>
      <c r="E65">
        <v>46</v>
      </c>
      <c r="F65" t="s">
        <v>54</v>
      </c>
      <c r="G65">
        <v>0</v>
      </c>
      <c r="H65" t="str">
        <f>INDEX(Define!B:B,MATCH(G65,Define!A:A))</f>
        <v>なし</v>
      </c>
      <c r="I65">
        <v>0</v>
      </c>
      <c r="J65" t="s">
        <v>20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 t="str">
        <f>TextData!B64</f>
        <v>アシストヒール</v>
      </c>
    </row>
    <row r="66" spans="1:21">
      <c r="A66">
        <v>2270</v>
      </c>
      <c r="B66">
        <v>2270</v>
      </c>
      <c r="C66" t="str">
        <f>INDEX(TextData!B:B,MATCH(B66,TextData!A:A))</f>
        <v>アンデッド</v>
      </c>
      <c r="D66">
        <v>0</v>
      </c>
      <c r="E66">
        <v>9</v>
      </c>
      <c r="F66" t="s">
        <v>55</v>
      </c>
      <c r="G66">
        <v>0</v>
      </c>
      <c r="H66" t="str">
        <f>INDEX(Define!B:B,MATCH(G66,Define!A:A))</f>
        <v>なし</v>
      </c>
      <c r="I66">
        <v>0</v>
      </c>
      <c r="J66" t="s">
        <v>20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 t="str">
        <f>TextData!B65</f>
        <v>アンデッド</v>
      </c>
    </row>
    <row r="67" spans="1:21">
      <c r="A67">
        <v>2280</v>
      </c>
      <c r="B67">
        <v>2280</v>
      </c>
      <c r="C67" t="str">
        <f>INDEX(TextData!B:B,MATCH(B67,TextData!A:A))</f>
        <v>アクセル</v>
      </c>
      <c r="D67">
        <v>0</v>
      </c>
      <c r="E67">
        <v>25</v>
      </c>
      <c r="F67" t="s">
        <v>21</v>
      </c>
      <c r="G67">
        <v>0</v>
      </c>
      <c r="H67" t="str">
        <f>INDEX(Define!B:B,MATCH(G67,Define!A:A))</f>
        <v>なし</v>
      </c>
      <c r="I67">
        <v>0</v>
      </c>
      <c r="J67" t="s">
        <v>20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 t="str">
        <f>TextData!B66</f>
        <v>アクセル</v>
      </c>
    </row>
    <row r="68" spans="1:21">
      <c r="A68">
        <v>2290</v>
      </c>
      <c r="B68">
        <v>2290</v>
      </c>
      <c r="C68" t="str">
        <f>INDEX(TextData!B:B,MATCH(B68,TextData!A:A))</f>
        <v>ダメージ威力アップ</v>
      </c>
      <c r="D68">
        <v>0</v>
      </c>
      <c r="E68">
        <v>21</v>
      </c>
      <c r="F68" t="s">
        <v>56</v>
      </c>
      <c r="G68">
        <v>1</v>
      </c>
      <c r="H68" t="str">
        <f>INDEX(Define!B:B,MATCH(G68,Define!A:A))</f>
        <v>ターン数</v>
      </c>
      <c r="I68">
        <v>1</v>
      </c>
      <c r="J68" t="s">
        <v>20</v>
      </c>
      <c r="K68">
        <v>0</v>
      </c>
      <c r="L68">
        <v>1</v>
      </c>
      <c r="M68">
        <v>10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1</v>
      </c>
      <c r="U68" t="str">
        <f>TextData!B67</f>
        <v>ダメージ威力アップ</v>
      </c>
    </row>
    <row r="69" spans="1:21">
      <c r="A69">
        <v>2320</v>
      </c>
      <c r="B69">
        <v>2320</v>
      </c>
      <c r="C69" t="str">
        <f>INDEX(TextData!B:B,MATCH(B69,TextData!A:A))</f>
        <v>バフ解除</v>
      </c>
      <c r="D69">
        <v>0</v>
      </c>
      <c r="E69">
        <v>0</v>
      </c>
      <c r="F69">
        <v>1</v>
      </c>
      <c r="G69">
        <v>0</v>
      </c>
      <c r="H69" t="str">
        <f>INDEX(Define!B:B,MATCH(G69,Define!A:A))</f>
        <v>なし</v>
      </c>
      <c r="I69">
        <v>1</v>
      </c>
      <c r="J69" t="s">
        <v>20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 t="str">
        <f>TextData!B68</f>
        <v>バフ解除</v>
      </c>
    </row>
    <row r="70" spans="1:21">
      <c r="A70">
        <v>2330</v>
      </c>
      <c r="B70">
        <v>2330</v>
      </c>
      <c r="C70" t="str">
        <f>INDEX(TextData!B:B,MATCH(B70,TextData!A:A))</f>
        <v>貫通</v>
      </c>
      <c r="D70">
        <v>0</v>
      </c>
      <c r="E70">
        <v>56</v>
      </c>
      <c r="F70" t="s">
        <v>57</v>
      </c>
      <c r="G70">
        <v>1</v>
      </c>
      <c r="H70" t="str">
        <f>INDEX(Define!B:B,MATCH(G70,Define!A:A))</f>
        <v>ターン数</v>
      </c>
      <c r="I70">
        <v>1</v>
      </c>
      <c r="J70" t="s">
        <v>20</v>
      </c>
      <c r="K70">
        <v>0</v>
      </c>
      <c r="L70">
        <v>1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 t="str">
        <f>TextData!B69</f>
        <v>貫通</v>
      </c>
    </row>
    <row r="71" spans="1:21">
      <c r="A71">
        <v>2340</v>
      </c>
      <c r="B71">
        <v>2340</v>
      </c>
      <c r="C71" t="str">
        <f>INDEX(TextData!B:B,MATCH(B71,TextData!A:A))</f>
        <v>対象列化</v>
      </c>
      <c r="D71">
        <v>0</v>
      </c>
      <c r="E71">
        <v>66</v>
      </c>
      <c r="F71" t="s">
        <v>58</v>
      </c>
      <c r="G71">
        <v>1</v>
      </c>
      <c r="H71" t="str">
        <f>INDEX(Define!B:B,MATCH(G71,Define!A:A))</f>
        <v>ターン数</v>
      </c>
      <c r="I71">
        <v>1</v>
      </c>
      <c r="J71" t="s">
        <v>20</v>
      </c>
      <c r="K71">
        <v>0</v>
      </c>
      <c r="L71">
        <v>1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 t="str">
        <f>TextData!B70</f>
        <v>対象列化</v>
      </c>
    </row>
    <row r="72" spans="1:21">
      <c r="A72">
        <v>2341</v>
      </c>
      <c r="B72">
        <v>2341</v>
      </c>
      <c r="C72" t="str">
        <f>INDEX(TextData!B:B,MATCH(B72,TextData!A:A))</f>
        <v>対象全体化</v>
      </c>
      <c r="D72">
        <v>0</v>
      </c>
      <c r="E72">
        <v>66</v>
      </c>
      <c r="F72" t="s">
        <v>59</v>
      </c>
      <c r="G72">
        <v>1</v>
      </c>
      <c r="H72" t="str">
        <f>INDEX(Define!B:B,MATCH(G72,Define!A:A))</f>
        <v>ターン数</v>
      </c>
      <c r="I72">
        <v>1</v>
      </c>
      <c r="J72" t="s">
        <v>20</v>
      </c>
      <c r="K72">
        <v>0</v>
      </c>
      <c r="L72">
        <v>1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 t="str">
        <f>TextData!B71</f>
        <v>対象全体化</v>
      </c>
    </row>
    <row r="73" spans="1:21">
      <c r="A73">
        <v>2350</v>
      </c>
      <c r="B73">
        <v>2350</v>
      </c>
      <c r="C73" t="str">
        <f>INDEX(TextData!B:B,MATCH(B73,TextData!A:A))</f>
        <v>聖棺</v>
      </c>
      <c r="D73">
        <v>0</v>
      </c>
      <c r="E73">
        <v>0</v>
      </c>
      <c r="F73" t="s">
        <v>60</v>
      </c>
      <c r="G73">
        <v>1</v>
      </c>
      <c r="H73" t="str">
        <f>INDEX(Define!B:B,MATCH(G73,Define!A:A))</f>
        <v>ターン数</v>
      </c>
      <c r="I73">
        <v>1</v>
      </c>
      <c r="J73" t="s">
        <v>20</v>
      </c>
      <c r="K73">
        <v>0</v>
      </c>
      <c r="L73">
        <v>1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 t="str">
        <f>TextData!B72</f>
        <v>聖棺</v>
      </c>
    </row>
    <row r="74" spans="1:21">
      <c r="A74">
        <v>2360</v>
      </c>
      <c r="B74">
        <v>2360</v>
      </c>
      <c r="C74" t="str">
        <f>INDEX(TextData!B:B,MATCH(B74,TextData!A:A))</f>
        <v>追加ダメージ</v>
      </c>
      <c r="D74">
        <v>0</v>
      </c>
      <c r="E74">
        <v>13</v>
      </c>
      <c r="F74" t="s">
        <v>61</v>
      </c>
      <c r="G74">
        <v>1</v>
      </c>
      <c r="H74" t="str">
        <f>INDEX(Define!B:B,MATCH(G74,Define!A:A))</f>
        <v>ターン数</v>
      </c>
      <c r="I74">
        <v>1</v>
      </c>
      <c r="J74" t="s">
        <v>20</v>
      </c>
      <c r="K74">
        <v>0</v>
      </c>
      <c r="L74">
        <v>1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 t="str">
        <f>TextData!B73</f>
        <v>追加ダメージ</v>
      </c>
    </row>
    <row r="75" spans="1:21">
      <c r="A75">
        <v>2370</v>
      </c>
      <c r="B75">
        <v>2370</v>
      </c>
      <c r="C75" t="str">
        <f>INDEX(TextData!B:B,MATCH(B75,TextData!A:A))</f>
        <v>追加効果</v>
      </c>
      <c r="D75">
        <v>0</v>
      </c>
      <c r="E75">
        <v>56</v>
      </c>
      <c r="F75" t="s">
        <v>61</v>
      </c>
      <c r="G75">
        <v>1</v>
      </c>
      <c r="H75" t="str">
        <f>INDEX(Define!B:B,MATCH(G75,Define!A:A))</f>
        <v>ターン数</v>
      </c>
      <c r="I75">
        <v>1</v>
      </c>
      <c r="J75" t="s">
        <v>20</v>
      </c>
      <c r="K75">
        <v>0</v>
      </c>
      <c r="L75">
        <v>1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 t="str">
        <f>TextData!B74</f>
        <v>追加効果</v>
      </c>
    </row>
    <row r="76" spans="1:21">
      <c r="A76">
        <v>2380</v>
      </c>
      <c r="B76">
        <v>2380</v>
      </c>
      <c r="C76" t="str">
        <f>INDEX(TextData!B:B,MATCH(B76,TextData!A:A))</f>
        <v>透明</v>
      </c>
      <c r="D76">
        <v>0</v>
      </c>
      <c r="E76">
        <v>0</v>
      </c>
      <c r="F76" t="s">
        <v>62</v>
      </c>
      <c r="G76">
        <v>1</v>
      </c>
      <c r="H76" t="str">
        <f>INDEX(Define!B:B,MATCH(G76,Define!A:A))</f>
        <v>ターン数</v>
      </c>
      <c r="I76">
        <v>1</v>
      </c>
      <c r="J76" t="s">
        <v>20</v>
      </c>
      <c r="K76">
        <v>0</v>
      </c>
      <c r="L76">
        <v>1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 t="str">
        <f>TextData!B75</f>
        <v>透明</v>
      </c>
    </row>
    <row r="77" spans="1:21">
      <c r="A77">
        <v>2390</v>
      </c>
      <c r="B77">
        <v>2390</v>
      </c>
      <c r="C77" t="str">
        <f>INDEX(TextData!B:B,MATCH(B77,TextData!A:A))</f>
        <v>沈黙</v>
      </c>
      <c r="D77">
        <v>36</v>
      </c>
      <c r="E77">
        <v>3</v>
      </c>
      <c r="F77" t="s">
        <v>63</v>
      </c>
      <c r="G77">
        <v>1</v>
      </c>
      <c r="H77" t="str">
        <f>INDEX(Define!B:B,MATCH(G77,Define!A:A))</f>
        <v>ターン数</v>
      </c>
      <c r="I77">
        <v>1</v>
      </c>
      <c r="J77" t="s">
        <v>20</v>
      </c>
      <c r="K77">
        <v>0</v>
      </c>
      <c r="L77">
        <v>1</v>
      </c>
      <c r="M77">
        <v>0</v>
      </c>
      <c r="N77">
        <v>0</v>
      </c>
      <c r="O77">
        <v>1</v>
      </c>
      <c r="P77">
        <v>0</v>
      </c>
      <c r="Q77">
        <v>1</v>
      </c>
      <c r="R77">
        <v>1</v>
      </c>
      <c r="S77">
        <v>0</v>
      </c>
      <c r="T77">
        <v>1</v>
      </c>
      <c r="U77" t="str">
        <f>TextData!B76</f>
        <v>沈黙</v>
      </c>
    </row>
    <row r="78" spans="1:21">
      <c r="A78">
        <v>2400</v>
      </c>
      <c r="B78">
        <v>2400</v>
      </c>
      <c r="C78" t="str">
        <f>INDEX(TextData!B:B,MATCH(B78,TextData!A:A))</f>
        <v>不治</v>
      </c>
      <c r="D78">
        <v>0</v>
      </c>
      <c r="E78">
        <v>0</v>
      </c>
      <c r="F78" t="s">
        <v>64</v>
      </c>
      <c r="G78">
        <v>1</v>
      </c>
      <c r="H78" t="str">
        <f>INDEX(Define!B:B,MATCH(G78,Define!A:A))</f>
        <v>ターン数</v>
      </c>
      <c r="I78">
        <v>1</v>
      </c>
      <c r="J78" t="s">
        <v>20</v>
      </c>
      <c r="K78">
        <v>0</v>
      </c>
      <c r="L78">
        <v>1</v>
      </c>
      <c r="M78">
        <v>0</v>
      </c>
      <c r="N78">
        <v>0</v>
      </c>
      <c r="O78">
        <v>1</v>
      </c>
      <c r="P78">
        <v>0</v>
      </c>
      <c r="Q78">
        <v>1</v>
      </c>
      <c r="R78">
        <v>1</v>
      </c>
      <c r="S78">
        <v>0</v>
      </c>
      <c r="T78">
        <v>1</v>
      </c>
      <c r="U78" t="str">
        <f>TextData!B77</f>
        <v>不治</v>
      </c>
    </row>
    <row r="79" spans="1:21">
      <c r="A79">
        <v>2410</v>
      </c>
      <c r="B79">
        <v>2410</v>
      </c>
      <c r="C79" t="str">
        <f>INDEX(TextData!B:B,MATCH(B79,TextData!A:A))</f>
        <v>シールド</v>
      </c>
      <c r="D79">
        <v>0</v>
      </c>
      <c r="E79">
        <v>0</v>
      </c>
      <c r="F79" t="s">
        <v>65</v>
      </c>
      <c r="G79">
        <v>1</v>
      </c>
      <c r="H79" t="str">
        <f>INDEX(Define!B:B,MATCH(G79,Define!A:A))</f>
        <v>ターン数</v>
      </c>
      <c r="I79">
        <v>1</v>
      </c>
      <c r="J79" t="s">
        <v>20</v>
      </c>
      <c r="K79">
        <v>0</v>
      </c>
      <c r="L79">
        <v>1</v>
      </c>
      <c r="M79">
        <v>0</v>
      </c>
      <c r="N79">
        <v>1</v>
      </c>
      <c r="O79">
        <v>0</v>
      </c>
      <c r="P79">
        <v>1</v>
      </c>
      <c r="Q79">
        <v>0</v>
      </c>
      <c r="R79">
        <v>0</v>
      </c>
      <c r="S79">
        <v>0</v>
      </c>
      <c r="T79">
        <v>1</v>
      </c>
      <c r="U79" t="str">
        <f>TextData!B78</f>
        <v>シールド</v>
      </c>
    </row>
    <row r="80" spans="1:21">
      <c r="A80">
        <v>2420</v>
      </c>
      <c r="B80">
        <v>2420</v>
      </c>
      <c r="C80" t="str">
        <f>INDEX(TextData!B:B,MATCH(B80,TextData!A:A))</f>
        <v>フォロー</v>
      </c>
      <c r="D80">
        <v>0</v>
      </c>
      <c r="E80">
        <v>0</v>
      </c>
      <c r="F80" t="s">
        <v>66</v>
      </c>
      <c r="G80">
        <v>1</v>
      </c>
      <c r="H80" t="str">
        <f>INDEX(Define!B:B,MATCH(G80,Define!A:A))</f>
        <v>ターン数</v>
      </c>
      <c r="I80">
        <v>1</v>
      </c>
      <c r="J80" t="s">
        <v>20</v>
      </c>
      <c r="K80">
        <v>0</v>
      </c>
      <c r="L80">
        <v>1</v>
      </c>
      <c r="M80">
        <v>0</v>
      </c>
      <c r="N80">
        <v>1</v>
      </c>
      <c r="O80">
        <v>0</v>
      </c>
      <c r="P80">
        <v>1</v>
      </c>
      <c r="Q80">
        <v>0</v>
      </c>
      <c r="R80">
        <v>0</v>
      </c>
      <c r="S80">
        <v>0</v>
      </c>
      <c r="T80">
        <v>1</v>
      </c>
      <c r="U80" t="str">
        <f>TextData!B79</f>
        <v>フォロー</v>
      </c>
    </row>
    <row r="81" spans="1:21">
      <c r="A81">
        <v>2430</v>
      </c>
      <c r="B81">
        <v>2430</v>
      </c>
      <c r="C81" t="str">
        <f>INDEX(TextData!B:B,MATCH(B81,TextData!A:A))</f>
        <v>かばう</v>
      </c>
      <c r="D81">
        <v>0</v>
      </c>
      <c r="E81">
        <v>0</v>
      </c>
      <c r="F81" t="s">
        <v>67</v>
      </c>
      <c r="G81">
        <v>6</v>
      </c>
      <c r="H81" t="str">
        <f>INDEX(Define!B:B,MATCH(G81,Define!A:A))</f>
        <v>ターンの終了</v>
      </c>
      <c r="I81">
        <v>1</v>
      </c>
      <c r="J81" t="s">
        <v>20</v>
      </c>
      <c r="K81">
        <v>0</v>
      </c>
      <c r="L81">
        <v>1</v>
      </c>
      <c r="M81">
        <v>0</v>
      </c>
      <c r="N81">
        <v>1</v>
      </c>
      <c r="O81">
        <v>0</v>
      </c>
      <c r="P81">
        <v>1</v>
      </c>
      <c r="Q81">
        <v>0</v>
      </c>
      <c r="R81">
        <v>0</v>
      </c>
      <c r="S81">
        <v>1</v>
      </c>
      <c r="T81">
        <v>1</v>
      </c>
      <c r="U81" t="str">
        <f>TextData!B80</f>
        <v>かばう</v>
      </c>
    </row>
    <row r="82" spans="1:21">
      <c r="A82">
        <v>2440</v>
      </c>
      <c r="B82">
        <v>2440</v>
      </c>
      <c r="C82" t="str">
        <f>INDEX(TextData!B:B,MATCH(B82,TextData!A:A))</f>
        <v>Ap消費半減</v>
      </c>
      <c r="D82">
        <v>0</v>
      </c>
      <c r="E82">
        <v>0</v>
      </c>
      <c r="F82" t="s">
        <v>21</v>
      </c>
      <c r="G82">
        <v>1</v>
      </c>
      <c r="H82" t="str">
        <f>INDEX(Define!B:B,MATCH(G82,Define!A:A))</f>
        <v>ターン数</v>
      </c>
      <c r="I82">
        <v>1</v>
      </c>
      <c r="J82" t="s">
        <v>20</v>
      </c>
      <c r="K82">
        <v>0</v>
      </c>
      <c r="L82">
        <v>1</v>
      </c>
      <c r="M82">
        <v>0</v>
      </c>
      <c r="N82">
        <v>1</v>
      </c>
      <c r="O82">
        <v>0</v>
      </c>
      <c r="P82">
        <v>1</v>
      </c>
      <c r="Q82">
        <v>0</v>
      </c>
      <c r="R82">
        <v>1</v>
      </c>
      <c r="S82">
        <v>0</v>
      </c>
      <c r="T82">
        <v>1</v>
      </c>
      <c r="U82" t="str">
        <f>TextData!B81</f>
        <v>Ap消費半減</v>
      </c>
    </row>
    <row r="83" spans="1:21">
      <c r="A83">
        <v>2450</v>
      </c>
      <c r="B83">
        <v>2450</v>
      </c>
      <c r="C83" t="str">
        <f>INDEX(TextData!B:B,MATCH(B83,TextData!A:A))</f>
        <v>不死</v>
      </c>
      <c r="D83">
        <v>0</v>
      </c>
      <c r="E83">
        <v>0</v>
      </c>
      <c r="F83" t="s">
        <v>55</v>
      </c>
      <c r="G83">
        <v>4</v>
      </c>
      <c r="H83" t="str">
        <f>INDEX(Define!B:B,MATCH(G83,Define!A:A))</f>
        <v>効果発揮回数</v>
      </c>
      <c r="I83">
        <v>1</v>
      </c>
      <c r="J83" t="s">
        <v>20</v>
      </c>
      <c r="K83">
        <v>0</v>
      </c>
      <c r="L83">
        <v>1</v>
      </c>
      <c r="M83">
        <v>0</v>
      </c>
      <c r="N83">
        <v>1</v>
      </c>
      <c r="O83">
        <v>0</v>
      </c>
      <c r="P83">
        <v>1</v>
      </c>
      <c r="Q83">
        <v>0</v>
      </c>
      <c r="R83">
        <v>1</v>
      </c>
      <c r="S83">
        <v>0</v>
      </c>
      <c r="T83">
        <v>1</v>
      </c>
      <c r="U83" t="str">
        <f>TextData!B82</f>
        <v>不死</v>
      </c>
    </row>
    <row r="84" spans="1:21">
      <c r="A84">
        <v>2460</v>
      </c>
      <c r="B84">
        <v>2460</v>
      </c>
      <c r="C84" t="str">
        <f>INDEX(TextData!B:B,MATCH(B84,TextData!A:A))</f>
        <v>Hp回復効果アップ</v>
      </c>
      <c r="D84">
        <v>0</v>
      </c>
      <c r="E84">
        <v>0</v>
      </c>
      <c r="F84" t="s">
        <v>68</v>
      </c>
      <c r="G84">
        <v>1</v>
      </c>
      <c r="H84" t="str">
        <f>INDEX(Define!B:B,MATCH(G84,Define!A:A))</f>
        <v>ターン数</v>
      </c>
      <c r="I84">
        <v>1</v>
      </c>
      <c r="J84" t="s">
        <v>20</v>
      </c>
      <c r="K84">
        <v>0</v>
      </c>
      <c r="L84">
        <v>1</v>
      </c>
      <c r="M84">
        <v>0</v>
      </c>
      <c r="N84">
        <v>1</v>
      </c>
      <c r="O84">
        <v>0</v>
      </c>
      <c r="P84">
        <v>1</v>
      </c>
      <c r="Q84">
        <v>0</v>
      </c>
      <c r="R84">
        <v>0</v>
      </c>
      <c r="S84">
        <v>0</v>
      </c>
      <c r="T84">
        <v>1</v>
      </c>
      <c r="U84" t="str">
        <f>TextData!B83</f>
        <v>Hp回復効果アップ</v>
      </c>
    </row>
    <row r="85" spans="1:21">
      <c r="A85">
        <v>2470</v>
      </c>
      <c r="B85">
        <v>2470</v>
      </c>
      <c r="C85" t="str">
        <f>INDEX(TextData!B:B,MATCH(B85,TextData!A:A))</f>
        <v>呪詛</v>
      </c>
      <c r="D85">
        <v>0</v>
      </c>
      <c r="E85">
        <v>0</v>
      </c>
      <c r="F85" t="s">
        <v>69</v>
      </c>
      <c r="G85">
        <v>4</v>
      </c>
      <c r="H85" t="str">
        <f>INDEX(Define!B:B,MATCH(G85,Define!A:A))</f>
        <v>効果発揮回数</v>
      </c>
      <c r="I85">
        <v>1</v>
      </c>
      <c r="J85" t="s">
        <v>20</v>
      </c>
      <c r="K85">
        <v>0</v>
      </c>
      <c r="L85">
        <v>1</v>
      </c>
      <c r="M85">
        <v>0</v>
      </c>
      <c r="N85">
        <v>1</v>
      </c>
      <c r="O85">
        <v>0</v>
      </c>
      <c r="P85">
        <v>1</v>
      </c>
      <c r="Q85">
        <v>0</v>
      </c>
      <c r="R85">
        <v>1</v>
      </c>
      <c r="S85">
        <v>0</v>
      </c>
      <c r="T85">
        <v>1</v>
      </c>
      <c r="U85" t="str">
        <f>TextData!B84</f>
        <v>呪詛</v>
      </c>
    </row>
    <row r="86" spans="1:21">
      <c r="A86">
        <v>2480</v>
      </c>
      <c r="B86">
        <v>2480</v>
      </c>
      <c r="C86" t="str">
        <f>INDEX(TextData!B:B,MATCH(B86,TextData!A:A))</f>
        <v>付与無効化</v>
      </c>
      <c r="D86">
        <v>0</v>
      </c>
      <c r="E86">
        <v>99</v>
      </c>
      <c r="F86" t="s">
        <v>69</v>
      </c>
      <c r="G86">
        <v>1</v>
      </c>
      <c r="H86" t="str">
        <f>INDEX(Define!B:B,MATCH(G86,Define!A:A))</f>
        <v>ターン数</v>
      </c>
      <c r="I86">
        <v>1</v>
      </c>
      <c r="J86" t="s">
        <v>20</v>
      </c>
      <c r="K86">
        <v>0</v>
      </c>
      <c r="L86">
        <v>1</v>
      </c>
      <c r="M86">
        <v>0</v>
      </c>
      <c r="N86">
        <v>1</v>
      </c>
      <c r="O86">
        <v>0</v>
      </c>
      <c r="P86">
        <v>1</v>
      </c>
      <c r="Q86">
        <v>0</v>
      </c>
      <c r="R86">
        <v>1</v>
      </c>
      <c r="S86">
        <v>0</v>
      </c>
      <c r="T86">
        <v>1</v>
      </c>
      <c r="U86" t="str">
        <f>TextData!B85</f>
        <v>付与無効化</v>
      </c>
    </row>
    <row r="87" spans="1:21">
      <c r="A87">
        <v>2490</v>
      </c>
      <c r="B87">
        <v>2490</v>
      </c>
      <c r="C87" t="str">
        <f>INDEX(TextData!B:B,MATCH(B87,TextData!A:A))</f>
        <v>かばう無視</v>
      </c>
      <c r="D87">
        <v>0</v>
      </c>
      <c r="E87">
        <v>99</v>
      </c>
      <c r="F87" t="s">
        <v>69</v>
      </c>
      <c r="G87">
        <v>1</v>
      </c>
      <c r="H87" t="str">
        <f>INDEX(Define!B:B,MATCH(G87,Define!A:A))</f>
        <v>ターン数</v>
      </c>
      <c r="I87">
        <v>1</v>
      </c>
      <c r="J87" t="s">
        <v>20</v>
      </c>
      <c r="K87">
        <v>0</v>
      </c>
      <c r="L87">
        <v>1</v>
      </c>
      <c r="M87">
        <v>0</v>
      </c>
      <c r="N87">
        <v>1</v>
      </c>
      <c r="O87">
        <v>0</v>
      </c>
      <c r="P87">
        <v>1</v>
      </c>
      <c r="Q87">
        <v>0</v>
      </c>
      <c r="R87">
        <v>0</v>
      </c>
      <c r="S87">
        <v>0</v>
      </c>
      <c r="T87">
        <v>1</v>
      </c>
      <c r="U87" t="s">
        <v>70</v>
      </c>
    </row>
    <row r="88" spans="1:21">
      <c r="A88">
        <v>2500</v>
      </c>
      <c r="B88">
        <v>2500</v>
      </c>
      <c r="C88" t="str">
        <f>INDEX(TextData!B:B,MATCH(B88,TextData!A:A))</f>
        <v>ダメージカット無効</v>
      </c>
      <c r="D88">
        <v>0</v>
      </c>
      <c r="E88">
        <v>56</v>
      </c>
      <c r="F88" t="s">
        <v>57</v>
      </c>
      <c r="G88">
        <v>1</v>
      </c>
      <c r="H88" t="str">
        <f>INDEX(Define!B:B,MATCH(G88,Define!A:A))</f>
        <v>ターン数</v>
      </c>
      <c r="I88">
        <v>1</v>
      </c>
      <c r="J88" t="s">
        <v>20</v>
      </c>
      <c r="K88">
        <v>0</v>
      </c>
      <c r="L88">
        <v>1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 t="str">
        <f>TextData!B87</f>
        <v>ダメージカット無効</v>
      </c>
    </row>
    <row r="89" spans="1:21">
      <c r="A89">
        <v>3010</v>
      </c>
      <c r="B89">
        <v>3010</v>
      </c>
      <c r="C89" t="str">
        <f>INDEX(TextData!B:B,MATCH(B89,TextData!A:A))</f>
        <v>チャージ</v>
      </c>
      <c r="D89">
        <v>0</v>
      </c>
      <c r="E89">
        <v>0</v>
      </c>
      <c r="F89" t="s">
        <v>61</v>
      </c>
      <c r="G89">
        <v>1</v>
      </c>
      <c r="H89" t="str">
        <f>INDEX(Define!B:B,MATCH(G89,Define!A:A))</f>
        <v>ターン数</v>
      </c>
      <c r="I89">
        <v>1</v>
      </c>
      <c r="J89" t="s">
        <v>20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 t="str">
        <f>TextData!B88</f>
        <v>チャージ</v>
      </c>
    </row>
    <row r="90" spans="1:21">
      <c r="A90">
        <v>3020</v>
      </c>
      <c r="B90">
        <v>3020</v>
      </c>
      <c r="C90" t="str">
        <f>INDEX(TextData!B:B,MATCH(B90,TextData!A:A))</f>
        <v>リンケージ</v>
      </c>
      <c r="D90">
        <v>0</v>
      </c>
      <c r="E90">
        <v>0</v>
      </c>
      <c r="F90" t="s">
        <v>61</v>
      </c>
      <c r="G90">
        <v>1</v>
      </c>
      <c r="H90" t="str">
        <f>INDEX(Define!B:B,MATCH(G90,Define!A:A))</f>
        <v>ターン数</v>
      </c>
      <c r="I90">
        <v>1</v>
      </c>
      <c r="J90" t="s">
        <v>20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 t="str">
        <f>TextData!B89</f>
        <v>リンケージ</v>
      </c>
    </row>
    <row r="91" spans="1:21">
      <c r="A91">
        <v>9999</v>
      </c>
      <c r="B91">
        <v>9999</v>
      </c>
      <c r="C91" t="str">
        <f>INDEX(TextData!B:B,MATCH(B91,TextData!A:A))</f>
        <v>テスト用</v>
      </c>
      <c r="D91">
        <v>0</v>
      </c>
      <c r="E91">
        <v>0</v>
      </c>
      <c r="F91" t="s">
        <v>61</v>
      </c>
      <c r="G91">
        <v>1</v>
      </c>
      <c r="H91" t="str">
        <f>INDEX(Define!B:B,MATCH(G91,Define!A:A))</f>
        <v>ターン数</v>
      </c>
      <c r="I91">
        <v>1</v>
      </c>
      <c r="J91" t="s">
        <v>20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 t="str">
        <f>TextData!B90</f>
        <v>テスト用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0"/>
  <sheetViews>
    <sheetView tabSelected="1" zoomScale="110" zoomScaleNormal="110" workbookViewId="0">
      <selection activeCell="C12" sqref="C12"/>
    </sheetView>
  </sheetViews>
  <sheetFormatPr defaultColWidth="8.72727272727273" defaultRowHeight="13" outlineLevelCol="6"/>
  <cols>
    <col min="2" max="2" width="14.6363636363636" customWidth="1"/>
    <col min="3" max="3" width="36.7727272727273" customWidth="1"/>
    <col min="6" max="6" width="18.9181818181818" customWidth="1"/>
    <col min="7" max="7" width="34.8727272727273" customWidth="1"/>
  </cols>
  <sheetData>
    <row r="1" spans="1:7">
      <c r="A1" t="s">
        <v>0</v>
      </c>
      <c r="B1" t="s">
        <v>71</v>
      </c>
      <c r="C1" t="s">
        <v>72</v>
      </c>
      <c r="F1" t="s">
        <v>73</v>
      </c>
      <c r="G1" t="s">
        <v>74</v>
      </c>
    </row>
    <row r="2" spans="1:7">
      <c r="A2">
        <v>1</v>
      </c>
      <c r="B2" t="s">
        <v>75</v>
      </c>
      <c r="C2" t="s">
        <v>20</v>
      </c>
      <c r="F2" t="s">
        <v>76</v>
      </c>
      <c r="G2" t="s">
        <v>20</v>
      </c>
    </row>
    <row r="3" spans="1:7">
      <c r="A3">
        <v>10</v>
      </c>
      <c r="B3" t="s">
        <v>77</v>
      </c>
      <c r="C3" t="s">
        <v>20</v>
      </c>
      <c r="F3" t="s">
        <v>78</v>
      </c>
      <c r="G3" t="s">
        <v>20</v>
      </c>
    </row>
    <row r="4" spans="1:7">
      <c r="A4">
        <v>201</v>
      </c>
      <c r="B4" t="s">
        <v>79</v>
      </c>
      <c r="C4" t="s">
        <v>80</v>
      </c>
      <c r="F4" t="s">
        <v>81</v>
      </c>
      <c r="G4" t="s">
        <v>82</v>
      </c>
    </row>
    <row r="5" spans="1:7">
      <c r="A5">
        <v>202</v>
      </c>
      <c r="B5" t="s">
        <v>83</v>
      </c>
      <c r="C5" t="s">
        <v>84</v>
      </c>
      <c r="F5" t="s">
        <v>85</v>
      </c>
      <c r="G5" t="s">
        <v>86</v>
      </c>
    </row>
    <row r="6" spans="1:7">
      <c r="A6">
        <v>203</v>
      </c>
      <c r="B6" t="s">
        <v>87</v>
      </c>
      <c r="C6" t="s">
        <v>88</v>
      </c>
      <c r="F6" t="s">
        <v>89</v>
      </c>
      <c r="G6" t="s">
        <v>90</v>
      </c>
    </row>
    <row r="7" spans="1:7">
      <c r="A7">
        <v>204</v>
      </c>
      <c r="B7" t="s">
        <v>91</v>
      </c>
      <c r="C7" t="s">
        <v>92</v>
      </c>
      <c r="F7" t="s">
        <v>93</v>
      </c>
      <c r="G7" t="s">
        <v>94</v>
      </c>
    </row>
    <row r="8" spans="1:7">
      <c r="A8">
        <v>205</v>
      </c>
      <c r="B8" t="s">
        <v>95</v>
      </c>
      <c r="C8" t="s">
        <v>96</v>
      </c>
      <c r="F8" t="s">
        <v>97</v>
      </c>
      <c r="G8" t="s">
        <v>98</v>
      </c>
    </row>
    <row r="9" spans="1:7">
      <c r="A9">
        <v>1010</v>
      </c>
      <c r="B9" t="s">
        <v>99</v>
      </c>
      <c r="C9" t="s">
        <v>100</v>
      </c>
      <c r="F9" t="s">
        <v>101</v>
      </c>
      <c r="G9" t="s">
        <v>102</v>
      </c>
    </row>
    <row r="10" spans="1:7">
      <c r="A10">
        <v>1011</v>
      </c>
      <c r="B10" t="s">
        <v>103</v>
      </c>
      <c r="C10" t="s">
        <v>104</v>
      </c>
      <c r="F10" t="s">
        <v>105</v>
      </c>
      <c r="G10" t="s">
        <v>106</v>
      </c>
    </row>
    <row r="11" spans="1:7">
      <c r="A11">
        <v>1020</v>
      </c>
      <c r="B11" t="s">
        <v>107</v>
      </c>
      <c r="C11" t="s">
        <v>108</v>
      </c>
      <c r="F11" t="s">
        <v>109</v>
      </c>
      <c r="G11" t="s">
        <v>110</v>
      </c>
    </row>
    <row r="12" spans="1:7">
      <c r="A12">
        <v>1030</v>
      </c>
      <c r="B12" t="s">
        <v>111</v>
      </c>
      <c r="C12" t="s">
        <v>112</v>
      </c>
      <c r="F12" t="s">
        <v>113</v>
      </c>
      <c r="G12" t="s">
        <v>114</v>
      </c>
    </row>
    <row r="13" spans="1:7">
      <c r="A13">
        <v>1040</v>
      </c>
      <c r="B13" t="s">
        <v>115</v>
      </c>
      <c r="C13" t="s">
        <v>116</v>
      </c>
      <c r="F13" t="s">
        <v>117</v>
      </c>
      <c r="G13" t="s">
        <v>118</v>
      </c>
    </row>
    <row r="14" spans="1:7">
      <c r="A14">
        <v>1041</v>
      </c>
      <c r="B14" t="s">
        <v>119</v>
      </c>
      <c r="C14" t="s">
        <v>120</v>
      </c>
      <c r="F14" t="s">
        <v>121</v>
      </c>
      <c r="G14" t="s">
        <v>122</v>
      </c>
    </row>
    <row r="15" spans="1:7">
      <c r="A15">
        <v>1042</v>
      </c>
      <c r="B15" t="s">
        <v>123</v>
      </c>
      <c r="C15" t="s">
        <v>124</v>
      </c>
      <c r="F15" t="s">
        <v>117</v>
      </c>
      <c r="G15" t="s">
        <v>125</v>
      </c>
    </row>
    <row r="16" spans="1:7">
      <c r="A16">
        <v>1043</v>
      </c>
      <c r="B16" t="s">
        <v>126</v>
      </c>
      <c r="C16" t="s">
        <v>127</v>
      </c>
      <c r="F16" t="s">
        <v>128</v>
      </c>
      <c r="G16" t="s">
        <v>129</v>
      </c>
    </row>
    <row r="17" spans="1:7">
      <c r="A17">
        <v>1044</v>
      </c>
      <c r="B17" t="s">
        <v>115</v>
      </c>
      <c r="C17" t="s">
        <v>116</v>
      </c>
      <c r="F17" t="s">
        <v>117</v>
      </c>
      <c r="G17" t="s">
        <v>118</v>
      </c>
    </row>
    <row r="18" spans="1:7">
      <c r="A18">
        <v>1050</v>
      </c>
      <c r="B18" t="s">
        <v>130</v>
      </c>
      <c r="C18" t="s">
        <v>131</v>
      </c>
      <c r="F18" t="s">
        <v>132</v>
      </c>
      <c r="G18" t="s">
        <v>133</v>
      </c>
    </row>
    <row r="19" spans="1:7">
      <c r="A19">
        <v>1051</v>
      </c>
      <c r="B19" t="s">
        <v>134</v>
      </c>
      <c r="C19" t="s">
        <v>135</v>
      </c>
      <c r="F19" t="s">
        <v>136</v>
      </c>
      <c r="G19" t="s">
        <v>137</v>
      </c>
    </row>
    <row r="20" spans="1:7">
      <c r="A20">
        <v>1052</v>
      </c>
      <c r="B20" t="s">
        <v>130</v>
      </c>
      <c r="C20" t="s">
        <v>138</v>
      </c>
      <c r="F20" t="s">
        <v>132</v>
      </c>
      <c r="G20" t="s">
        <v>139</v>
      </c>
    </row>
    <row r="21" spans="1:7">
      <c r="A21">
        <v>1053</v>
      </c>
      <c r="B21" t="s">
        <v>134</v>
      </c>
      <c r="C21" t="s">
        <v>140</v>
      </c>
      <c r="F21" t="s">
        <v>136</v>
      </c>
      <c r="G21" t="s">
        <v>141</v>
      </c>
    </row>
    <row r="22" spans="1:7">
      <c r="A22">
        <v>1060</v>
      </c>
      <c r="B22" t="s">
        <v>142</v>
      </c>
      <c r="C22" t="s">
        <v>143</v>
      </c>
      <c r="F22" t="s">
        <v>144</v>
      </c>
      <c r="G22" t="s">
        <v>145</v>
      </c>
    </row>
    <row r="23" spans="1:7">
      <c r="A23">
        <v>1061</v>
      </c>
      <c r="B23" t="s">
        <v>146</v>
      </c>
      <c r="C23" t="s">
        <v>147</v>
      </c>
      <c r="F23" t="s">
        <v>148</v>
      </c>
      <c r="G23" t="s">
        <v>145</v>
      </c>
    </row>
    <row r="24" spans="1:7">
      <c r="A24">
        <v>1070</v>
      </c>
      <c r="B24" t="s">
        <v>149</v>
      </c>
      <c r="C24" t="s">
        <v>150</v>
      </c>
      <c r="F24" t="s">
        <v>151</v>
      </c>
      <c r="G24" t="s">
        <v>152</v>
      </c>
    </row>
    <row r="25" spans="1:7">
      <c r="A25">
        <v>1071</v>
      </c>
      <c r="B25" t="s">
        <v>153</v>
      </c>
      <c r="C25" t="s">
        <v>154</v>
      </c>
      <c r="F25" t="s">
        <v>155</v>
      </c>
      <c r="G25" t="s">
        <v>156</v>
      </c>
    </row>
    <row r="26" spans="1:7">
      <c r="A26">
        <v>1074</v>
      </c>
      <c r="B26" t="s">
        <v>157</v>
      </c>
      <c r="C26" t="s">
        <v>158</v>
      </c>
      <c r="F26" t="s">
        <v>159</v>
      </c>
      <c r="G26" t="s">
        <v>160</v>
      </c>
    </row>
    <row r="27" spans="1:7">
      <c r="A27">
        <v>1080</v>
      </c>
      <c r="B27" t="s">
        <v>161</v>
      </c>
      <c r="C27" t="s">
        <v>162</v>
      </c>
      <c r="F27" t="s">
        <v>163</v>
      </c>
      <c r="G27" t="s">
        <v>164</v>
      </c>
    </row>
    <row r="28" spans="1:7">
      <c r="A28">
        <v>1081</v>
      </c>
      <c r="B28" t="s">
        <v>161</v>
      </c>
      <c r="C28" t="s">
        <v>162</v>
      </c>
      <c r="F28" t="s">
        <v>163</v>
      </c>
      <c r="G28" t="s">
        <v>164</v>
      </c>
    </row>
    <row r="29" spans="1:7">
      <c r="A29">
        <v>1082</v>
      </c>
      <c r="B29" t="s">
        <v>165</v>
      </c>
      <c r="C29" t="s">
        <v>166</v>
      </c>
      <c r="F29" t="s">
        <v>167</v>
      </c>
      <c r="G29" t="s">
        <v>168</v>
      </c>
    </row>
    <row r="30" spans="1:7">
      <c r="A30">
        <v>1090</v>
      </c>
      <c r="B30" t="s">
        <v>169</v>
      </c>
      <c r="C30" t="s">
        <v>170</v>
      </c>
      <c r="F30" t="s">
        <v>171</v>
      </c>
      <c r="G30" t="s">
        <v>172</v>
      </c>
    </row>
    <row r="31" spans="1:7">
      <c r="A31">
        <v>1091</v>
      </c>
      <c r="B31" t="s">
        <v>173</v>
      </c>
      <c r="C31" t="s">
        <v>174</v>
      </c>
      <c r="F31" t="s">
        <v>175</v>
      </c>
      <c r="G31" t="s">
        <v>176</v>
      </c>
    </row>
    <row r="32" spans="1:7">
      <c r="A32">
        <v>1092</v>
      </c>
      <c r="B32" t="s">
        <v>169</v>
      </c>
      <c r="C32" t="s">
        <v>170</v>
      </c>
      <c r="F32" t="s">
        <v>171</v>
      </c>
      <c r="G32" t="s">
        <v>172</v>
      </c>
    </row>
    <row r="33" spans="1:7">
      <c r="A33">
        <v>1100</v>
      </c>
      <c r="B33" t="s">
        <v>177</v>
      </c>
      <c r="C33" t="s">
        <v>178</v>
      </c>
      <c r="F33" t="s">
        <v>179</v>
      </c>
      <c r="G33" t="s">
        <v>180</v>
      </c>
    </row>
    <row r="34" spans="1:7">
      <c r="A34">
        <v>1101</v>
      </c>
      <c r="B34" t="s">
        <v>177</v>
      </c>
      <c r="C34" t="s">
        <v>181</v>
      </c>
      <c r="F34" t="s">
        <v>179</v>
      </c>
      <c r="G34" t="s">
        <v>182</v>
      </c>
    </row>
    <row r="35" spans="1:7">
      <c r="A35">
        <v>1210</v>
      </c>
      <c r="B35" t="s">
        <v>183</v>
      </c>
      <c r="C35" t="s">
        <v>184</v>
      </c>
      <c r="F35" t="s">
        <v>185</v>
      </c>
      <c r="G35" t="s">
        <v>186</v>
      </c>
    </row>
    <row r="36" spans="1:7">
      <c r="A36">
        <v>1220</v>
      </c>
      <c r="B36" t="s">
        <v>187</v>
      </c>
      <c r="C36" t="s">
        <v>188</v>
      </c>
      <c r="F36" t="s">
        <v>185</v>
      </c>
      <c r="G36" t="s">
        <v>186</v>
      </c>
    </row>
    <row r="37" spans="1:7">
      <c r="A37">
        <v>1310</v>
      </c>
      <c r="B37" t="s">
        <v>189</v>
      </c>
      <c r="C37" t="s">
        <v>190</v>
      </c>
      <c r="F37" t="s">
        <v>191</v>
      </c>
      <c r="G37" t="s">
        <v>192</v>
      </c>
    </row>
    <row r="38" spans="1:7">
      <c r="A38">
        <v>1320</v>
      </c>
      <c r="B38" t="s">
        <v>193</v>
      </c>
      <c r="C38" t="s">
        <v>194</v>
      </c>
      <c r="F38" t="s">
        <v>195</v>
      </c>
      <c r="G38" t="s">
        <v>196</v>
      </c>
    </row>
    <row r="39" spans="1:7">
      <c r="A39">
        <v>1330</v>
      </c>
      <c r="B39" t="s">
        <v>197</v>
      </c>
      <c r="C39" t="s">
        <v>198</v>
      </c>
      <c r="F39" t="s">
        <v>199</v>
      </c>
      <c r="G39" t="s">
        <v>200</v>
      </c>
    </row>
    <row r="40" spans="1:7">
      <c r="A40">
        <v>1340</v>
      </c>
      <c r="B40" t="s">
        <v>201</v>
      </c>
      <c r="C40" t="s">
        <v>202</v>
      </c>
      <c r="F40" t="s">
        <v>203</v>
      </c>
      <c r="G40" t="s">
        <v>204</v>
      </c>
    </row>
    <row r="41" spans="1:7">
      <c r="A41">
        <v>1350</v>
      </c>
      <c r="B41" t="s">
        <v>205</v>
      </c>
      <c r="C41" t="s">
        <v>206</v>
      </c>
      <c r="F41" t="s">
        <v>207</v>
      </c>
      <c r="G41" t="s">
        <v>208</v>
      </c>
    </row>
    <row r="42" spans="1:7">
      <c r="A42">
        <v>2010</v>
      </c>
      <c r="B42" t="s">
        <v>34</v>
      </c>
      <c r="C42" t="s">
        <v>209</v>
      </c>
      <c r="F42" t="s">
        <v>210</v>
      </c>
      <c r="G42" t="s">
        <v>211</v>
      </c>
    </row>
    <row r="43" spans="1:7">
      <c r="A43">
        <v>2012</v>
      </c>
      <c r="B43" t="s">
        <v>35</v>
      </c>
      <c r="C43" t="s">
        <v>209</v>
      </c>
      <c r="F43" t="s">
        <v>212</v>
      </c>
      <c r="G43" t="s">
        <v>211</v>
      </c>
    </row>
    <row r="44" spans="1:7">
      <c r="A44">
        <v>2020</v>
      </c>
      <c r="B44" t="s">
        <v>213</v>
      </c>
      <c r="C44" t="s">
        <v>214</v>
      </c>
      <c r="F44" t="s">
        <v>215</v>
      </c>
      <c r="G44" t="s">
        <v>216</v>
      </c>
    </row>
    <row r="45" spans="1:7">
      <c r="A45">
        <v>2030</v>
      </c>
      <c r="B45" t="s">
        <v>217</v>
      </c>
      <c r="C45" t="s">
        <v>218</v>
      </c>
      <c r="F45" t="s">
        <v>219</v>
      </c>
      <c r="G45" t="s">
        <v>220</v>
      </c>
    </row>
    <row r="46" spans="1:7">
      <c r="A46">
        <v>2031</v>
      </c>
      <c r="B46" t="s">
        <v>221</v>
      </c>
      <c r="C46" t="s">
        <v>222</v>
      </c>
      <c r="F46" t="s">
        <v>223</v>
      </c>
      <c r="G46" t="s">
        <v>224</v>
      </c>
    </row>
    <row r="47" spans="1:7">
      <c r="A47">
        <v>2032</v>
      </c>
      <c r="B47" t="s">
        <v>225</v>
      </c>
      <c r="C47" t="s">
        <v>226</v>
      </c>
      <c r="F47" t="s">
        <v>227</v>
      </c>
      <c r="G47" t="s">
        <v>228</v>
      </c>
    </row>
    <row r="48" spans="1:7">
      <c r="A48">
        <v>2040</v>
      </c>
      <c r="B48" t="s">
        <v>229</v>
      </c>
      <c r="C48" t="s">
        <v>230</v>
      </c>
      <c r="F48" t="s">
        <v>231</v>
      </c>
      <c r="G48" t="s">
        <v>232</v>
      </c>
    </row>
    <row r="49" spans="1:7">
      <c r="A49">
        <v>2050</v>
      </c>
      <c r="B49" t="s">
        <v>233</v>
      </c>
      <c r="C49" t="s">
        <v>234</v>
      </c>
      <c r="F49" t="s">
        <v>235</v>
      </c>
      <c r="G49" t="s">
        <v>236</v>
      </c>
    </row>
    <row r="50" spans="1:7">
      <c r="A50">
        <v>2060</v>
      </c>
      <c r="B50" t="s">
        <v>237</v>
      </c>
      <c r="C50" t="s">
        <v>238</v>
      </c>
      <c r="F50" t="s">
        <v>239</v>
      </c>
      <c r="G50" t="s">
        <v>240</v>
      </c>
    </row>
    <row r="51" spans="1:7">
      <c r="A51">
        <v>2070</v>
      </c>
      <c r="B51" t="s">
        <v>241</v>
      </c>
      <c r="C51" t="s">
        <v>242</v>
      </c>
      <c r="F51" t="s">
        <v>243</v>
      </c>
      <c r="G51" t="s">
        <v>244</v>
      </c>
    </row>
    <row r="52" spans="1:7">
      <c r="A52">
        <v>2080</v>
      </c>
      <c r="B52" t="s">
        <v>245</v>
      </c>
      <c r="C52" t="s">
        <v>246</v>
      </c>
      <c r="F52" t="s">
        <v>247</v>
      </c>
      <c r="G52" t="s">
        <v>248</v>
      </c>
    </row>
    <row r="53" spans="1:7">
      <c r="A53">
        <v>2090</v>
      </c>
      <c r="B53" t="s">
        <v>249</v>
      </c>
      <c r="C53" t="s">
        <v>250</v>
      </c>
      <c r="F53" t="s">
        <v>251</v>
      </c>
      <c r="G53" t="s">
        <v>252</v>
      </c>
    </row>
    <row r="54" spans="1:7">
      <c r="A54">
        <v>2120</v>
      </c>
      <c r="B54" t="s">
        <v>253</v>
      </c>
      <c r="C54" t="s">
        <v>254</v>
      </c>
      <c r="F54" t="s">
        <v>255</v>
      </c>
      <c r="G54" t="s">
        <v>256</v>
      </c>
    </row>
    <row r="55" spans="1:7">
      <c r="A55">
        <v>2130</v>
      </c>
      <c r="B55" t="s">
        <v>257</v>
      </c>
      <c r="C55" t="s">
        <v>258</v>
      </c>
      <c r="F55" t="s">
        <v>259</v>
      </c>
      <c r="G55" t="s">
        <v>260</v>
      </c>
    </row>
    <row r="56" spans="1:7">
      <c r="A56">
        <v>2140</v>
      </c>
      <c r="B56" t="s">
        <v>261</v>
      </c>
      <c r="C56" t="s">
        <v>262</v>
      </c>
      <c r="F56" t="s">
        <v>48</v>
      </c>
      <c r="G56" t="s">
        <v>263</v>
      </c>
    </row>
    <row r="57" spans="1:7">
      <c r="A57">
        <v>2150</v>
      </c>
      <c r="B57" t="s">
        <v>264</v>
      </c>
      <c r="C57" t="s">
        <v>265</v>
      </c>
      <c r="F57" t="s">
        <v>50</v>
      </c>
      <c r="G57" t="s">
        <v>266</v>
      </c>
    </row>
    <row r="58" spans="1:7">
      <c r="A58">
        <v>2180</v>
      </c>
      <c r="B58" t="s">
        <v>267</v>
      </c>
      <c r="C58" t="s">
        <v>268</v>
      </c>
      <c r="F58" t="s">
        <v>269</v>
      </c>
      <c r="G58" t="s">
        <v>270</v>
      </c>
    </row>
    <row r="59" spans="1:7">
      <c r="A59">
        <v>2190</v>
      </c>
      <c r="B59" t="s">
        <v>271</v>
      </c>
      <c r="C59" t="s">
        <v>272</v>
      </c>
      <c r="F59" t="s">
        <v>273</v>
      </c>
      <c r="G59" t="s">
        <v>274</v>
      </c>
    </row>
    <row r="60" spans="1:7">
      <c r="A60">
        <v>2210</v>
      </c>
      <c r="B60" t="s">
        <v>275</v>
      </c>
      <c r="C60" t="s">
        <v>276</v>
      </c>
      <c r="F60" t="s">
        <v>277</v>
      </c>
      <c r="G60" t="s">
        <v>278</v>
      </c>
    </row>
    <row r="61" spans="1:7">
      <c r="A61">
        <v>2220</v>
      </c>
      <c r="B61" t="s">
        <v>279</v>
      </c>
      <c r="C61" t="s">
        <v>280</v>
      </c>
      <c r="F61" t="s">
        <v>281</v>
      </c>
      <c r="G61" t="s">
        <v>282</v>
      </c>
    </row>
    <row r="62" spans="1:7">
      <c r="A62">
        <v>2230</v>
      </c>
      <c r="B62" t="s">
        <v>283</v>
      </c>
      <c r="C62" t="s">
        <v>284</v>
      </c>
      <c r="F62" t="s">
        <v>285</v>
      </c>
      <c r="G62" t="s">
        <v>286</v>
      </c>
    </row>
    <row r="63" spans="1:7">
      <c r="A63">
        <v>2240</v>
      </c>
      <c r="B63" t="s">
        <v>287</v>
      </c>
      <c r="C63" t="s">
        <v>288</v>
      </c>
      <c r="F63" t="s">
        <v>289</v>
      </c>
      <c r="G63" t="s">
        <v>290</v>
      </c>
    </row>
    <row r="64" spans="1:7">
      <c r="A64">
        <v>2250</v>
      </c>
      <c r="B64" t="s">
        <v>291</v>
      </c>
      <c r="C64" t="s">
        <v>292</v>
      </c>
      <c r="F64" t="s">
        <v>293</v>
      </c>
      <c r="G64" t="s">
        <v>294</v>
      </c>
    </row>
    <row r="65" spans="1:7">
      <c r="A65">
        <v>2270</v>
      </c>
      <c r="B65" t="s">
        <v>295</v>
      </c>
      <c r="C65" t="s">
        <v>296</v>
      </c>
      <c r="F65" t="s">
        <v>297</v>
      </c>
      <c r="G65" t="s">
        <v>298</v>
      </c>
    </row>
    <row r="66" spans="1:7">
      <c r="A66">
        <v>2280</v>
      </c>
      <c r="B66" t="s">
        <v>299</v>
      </c>
      <c r="C66" t="s">
        <v>300</v>
      </c>
      <c r="F66" t="s">
        <v>301</v>
      </c>
      <c r="G66" t="s">
        <v>302</v>
      </c>
    </row>
    <row r="67" spans="1:7">
      <c r="A67">
        <v>2290</v>
      </c>
      <c r="B67" t="s">
        <v>303</v>
      </c>
      <c r="C67" t="s">
        <v>304</v>
      </c>
      <c r="F67" t="s">
        <v>305</v>
      </c>
      <c r="G67" t="s">
        <v>306</v>
      </c>
    </row>
    <row r="68" spans="1:7">
      <c r="A68">
        <v>2320</v>
      </c>
      <c r="B68" t="s">
        <v>307</v>
      </c>
      <c r="C68" t="s">
        <v>308</v>
      </c>
      <c r="F68" t="s">
        <v>309</v>
      </c>
      <c r="G68" t="s">
        <v>310</v>
      </c>
    </row>
    <row r="69" spans="1:7">
      <c r="A69">
        <v>2330</v>
      </c>
      <c r="B69" t="s">
        <v>311</v>
      </c>
      <c r="C69" t="s">
        <v>312</v>
      </c>
      <c r="F69" t="s">
        <v>313</v>
      </c>
      <c r="G69" t="s">
        <v>314</v>
      </c>
    </row>
    <row r="70" spans="1:7">
      <c r="A70">
        <v>2340</v>
      </c>
      <c r="B70" t="s">
        <v>315</v>
      </c>
      <c r="C70" t="s">
        <v>316</v>
      </c>
      <c r="F70" t="s">
        <v>317</v>
      </c>
      <c r="G70" t="s">
        <v>318</v>
      </c>
    </row>
    <row r="71" spans="1:7">
      <c r="A71">
        <v>2341</v>
      </c>
      <c r="B71" t="s">
        <v>319</v>
      </c>
      <c r="C71" t="s">
        <v>320</v>
      </c>
      <c r="F71" t="s">
        <v>321</v>
      </c>
      <c r="G71" t="s">
        <v>322</v>
      </c>
    </row>
    <row r="72" spans="1:7">
      <c r="A72">
        <v>2350</v>
      </c>
      <c r="B72" t="s">
        <v>323</v>
      </c>
      <c r="C72" t="s">
        <v>324</v>
      </c>
      <c r="F72" t="s">
        <v>325</v>
      </c>
      <c r="G72" t="s">
        <v>326</v>
      </c>
    </row>
    <row r="73" spans="1:7">
      <c r="A73">
        <v>2360</v>
      </c>
      <c r="B73" t="s">
        <v>327</v>
      </c>
      <c r="C73" t="s">
        <v>328</v>
      </c>
      <c r="F73" t="s">
        <v>329</v>
      </c>
      <c r="G73" t="s">
        <v>330</v>
      </c>
    </row>
    <row r="74" spans="1:7">
      <c r="A74">
        <v>2370</v>
      </c>
      <c r="B74" t="s">
        <v>331</v>
      </c>
      <c r="C74" t="s">
        <v>332</v>
      </c>
      <c r="F74" t="s">
        <v>333</v>
      </c>
      <c r="G74" t="s">
        <v>334</v>
      </c>
    </row>
    <row r="75" spans="1:7">
      <c r="A75">
        <v>2380</v>
      </c>
      <c r="B75" t="s">
        <v>335</v>
      </c>
      <c r="C75" t="s">
        <v>336</v>
      </c>
      <c r="F75" t="s">
        <v>62</v>
      </c>
      <c r="G75" t="s">
        <v>337</v>
      </c>
    </row>
    <row r="76" spans="1:7">
      <c r="A76">
        <v>2390</v>
      </c>
      <c r="B76" t="s">
        <v>338</v>
      </c>
      <c r="C76" t="s">
        <v>339</v>
      </c>
      <c r="F76" t="s">
        <v>340</v>
      </c>
      <c r="G76" t="s">
        <v>341</v>
      </c>
    </row>
    <row r="77" spans="1:7">
      <c r="A77">
        <v>2400</v>
      </c>
      <c r="B77" t="s">
        <v>342</v>
      </c>
      <c r="C77" t="s">
        <v>343</v>
      </c>
      <c r="F77" t="s">
        <v>344</v>
      </c>
      <c r="G77" t="s">
        <v>345</v>
      </c>
    </row>
    <row r="78" spans="1:7">
      <c r="A78">
        <v>2410</v>
      </c>
      <c r="B78" t="s">
        <v>346</v>
      </c>
      <c r="C78" t="s">
        <v>347</v>
      </c>
      <c r="F78" t="s">
        <v>27</v>
      </c>
      <c r="G78" t="s">
        <v>348</v>
      </c>
    </row>
    <row r="79" spans="1:7">
      <c r="A79">
        <v>2420</v>
      </c>
      <c r="B79" t="s">
        <v>349</v>
      </c>
      <c r="C79" t="s">
        <v>350</v>
      </c>
      <c r="F79" t="s">
        <v>351</v>
      </c>
      <c r="G79" t="s">
        <v>352</v>
      </c>
    </row>
    <row r="80" spans="1:7">
      <c r="A80">
        <v>2430</v>
      </c>
      <c r="B80" t="s">
        <v>353</v>
      </c>
      <c r="C80" t="s">
        <v>354</v>
      </c>
      <c r="F80" t="s">
        <v>355</v>
      </c>
      <c r="G80" t="s">
        <v>356</v>
      </c>
    </row>
    <row r="81" spans="1:7">
      <c r="A81">
        <v>2440</v>
      </c>
      <c r="B81" t="s">
        <v>357</v>
      </c>
      <c r="C81" t="s">
        <v>358</v>
      </c>
      <c r="F81" t="s">
        <v>359</v>
      </c>
      <c r="G81" t="s">
        <v>360</v>
      </c>
    </row>
    <row r="82" spans="1:7">
      <c r="A82">
        <v>2450</v>
      </c>
      <c r="B82" t="s">
        <v>361</v>
      </c>
      <c r="C82" t="s">
        <v>362</v>
      </c>
      <c r="F82" t="s">
        <v>363</v>
      </c>
      <c r="G82" t="s">
        <v>364</v>
      </c>
    </row>
    <row r="83" spans="1:7">
      <c r="A83">
        <v>2460</v>
      </c>
      <c r="B83" t="s">
        <v>365</v>
      </c>
      <c r="C83" t="s">
        <v>366</v>
      </c>
      <c r="F83" t="s">
        <v>367</v>
      </c>
      <c r="G83" t="s">
        <v>368</v>
      </c>
    </row>
    <row r="84" spans="1:7">
      <c r="A84">
        <v>2470</v>
      </c>
      <c r="B84" t="s">
        <v>369</v>
      </c>
      <c r="C84" t="s">
        <v>370</v>
      </c>
      <c r="F84" t="s">
        <v>344</v>
      </c>
      <c r="G84" t="s">
        <v>371</v>
      </c>
    </row>
    <row r="85" spans="1:7">
      <c r="A85">
        <v>2480</v>
      </c>
      <c r="B85" t="s">
        <v>372</v>
      </c>
      <c r="C85" t="s">
        <v>373</v>
      </c>
      <c r="F85" t="s">
        <v>374</v>
      </c>
      <c r="G85" t="s">
        <v>375</v>
      </c>
    </row>
    <row r="86" spans="1:7">
      <c r="A86">
        <v>2490</v>
      </c>
      <c r="B86" t="s">
        <v>70</v>
      </c>
      <c r="C86" t="s">
        <v>376</v>
      </c>
      <c r="F86" t="s">
        <v>374</v>
      </c>
      <c r="G86" t="s">
        <v>20</v>
      </c>
    </row>
    <row r="87" spans="1:7">
      <c r="A87">
        <v>2500</v>
      </c>
      <c r="B87" t="s">
        <v>377</v>
      </c>
      <c r="C87" t="s">
        <v>378</v>
      </c>
      <c r="F87" t="s">
        <v>313</v>
      </c>
      <c r="G87" t="s">
        <v>20</v>
      </c>
    </row>
    <row r="88" spans="1:7">
      <c r="A88">
        <v>3010</v>
      </c>
      <c r="B88" t="s">
        <v>379</v>
      </c>
      <c r="C88" t="s">
        <v>380</v>
      </c>
      <c r="F88" t="s">
        <v>381</v>
      </c>
      <c r="G88" t="s">
        <v>382</v>
      </c>
    </row>
    <row r="89" spans="1:7">
      <c r="A89">
        <v>3020</v>
      </c>
      <c r="B89" t="s">
        <v>383</v>
      </c>
      <c r="C89" t="s">
        <v>384</v>
      </c>
      <c r="F89" t="s">
        <v>385</v>
      </c>
      <c r="G89" t="s">
        <v>386</v>
      </c>
    </row>
    <row r="90" spans="1:7">
      <c r="A90">
        <v>9999</v>
      </c>
      <c r="B90" t="s">
        <v>387</v>
      </c>
      <c r="C90" t="s">
        <v>20</v>
      </c>
      <c r="F90" t="s">
        <v>387</v>
      </c>
      <c r="G90" t="s">
        <v>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zoomScale="110" zoomScaleNormal="110" workbookViewId="0">
      <selection activeCell="Q26" sqref="Q26"/>
    </sheetView>
  </sheetViews>
  <sheetFormatPr defaultColWidth="8.72727272727273" defaultRowHeight="13" outlineLevelRow="7" outlineLevelCol="1"/>
  <sheetData>
    <row r="1" spans="1:1">
      <c r="A1" t="s">
        <v>6</v>
      </c>
    </row>
    <row r="2" spans="1:2">
      <c r="A2">
        <v>0</v>
      </c>
      <c r="B2" t="s">
        <v>388</v>
      </c>
    </row>
    <row r="3" spans="1:2">
      <c r="A3">
        <v>1</v>
      </c>
      <c r="B3" t="s">
        <v>389</v>
      </c>
    </row>
    <row r="4" spans="1:2">
      <c r="A4">
        <v>2</v>
      </c>
      <c r="B4" t="s">
        <v>390</v>
      </c>
    </row>
    <row r="5" spans="1:2">
      <c r="A5">
        <v>3</v>
      </c>
      <c r="B5" t="s">
        <v>391</v>
      </c>
    </row>
    <row r="6" spans="1:2">
      <c r="A6">
        <v>4</v>
      </c>
      <c r="B6" t="s">
        <v>392</v>
      </c>
    </row>
    <row r="7" spans="1:2">
      <c r="A7">
        <v>5</v>
      </c>
      <c r="B7" t="s">
        <v>393</v>
      </c>
    </row>
    <row r="8" spans="1:2">
      <c r="A8">
        <v>6</v>
      </c>
      <c r="B8" t="s">
        <v>394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States</vt:lpstr>
      <vt:lpstr>TextData</vt:lpstr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2023-02-18T03:59:00Z</dcterms:created>
  <dcterms:modified xsi:type="dcterms:W3CDTF">2026-10-17T01:42:56Z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788FCBAE2EFE43FBB465E063C3C08056</vt:lpwstr>
  </property>
</Properties>
</file>