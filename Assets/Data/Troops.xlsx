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<sst xmlns="http://schemas.openxmlformats.org/spreadsheetml/2006/main" count="8" uniqueCount="8">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</sst>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8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8" fillId="26" borderId="8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9" fillId="26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6" fillId="7" borderId="3" applyNumberForma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zoomScale="110" zoomScaleNormal="110" topLeftCell="A10" workbookViewId="0">
      <selection activeCell="E14" sqref="E14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クリーパー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1</v>
      </c>
      <c r="D10" t="str">
        <f>INDEX([1]TextData!B:B,MATCH(C10,[1]TextData!A:A))</f>
        <v>ネレイドジェム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1</v>
      </c>
      <c r="D12" t="str">
        <f>INDEX([1]TextData!B:B,MATCH(C12,[1]TextData!A:A))</f>
        <v>ネレイドジェム</v>
      </c>
      <c r="E12">
        <v>3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3</v>
      </c>
      <c r="D13" t="str">
        <f>INDEX([1]TextData!B:B,MATCH(C13,[1]TextData!A:A))</f>
        <v>ビー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10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7</v>
      </c>
      <c r="D15" t="str">
        <f>INDEX([1]TextData!B:B,MATCH(C15,[1]TextData!A:A))</f>
        <v>サーチャー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クリーパー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1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1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ネームレス</v>
      </c>
      <c r="E23">
        <v>15</v>
      </c>
      <c r="F23">
        <v>1</v>
      </c>
      <c r="G23">
        <v>2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ネームレス</v>
      </c>
      <c r="E25">
        <v>15</v>
      </c>
      <c r="F25">
        <v>0</v>
      </c>
      <c r="G25">
        <v>1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クリーパー</v>
      </c>
      <c r="E26">
        <v>15</v>
      </c>
      <c r="F26">
        <v>0</v>
      </c>
      <c r="G26">
        <v>2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ネームレス</v>
      </c>
      <c r="E28">
        <v>15</v>
      </c>
      <c r="F28">
        <v>0</v>
      </c>
      <c r="G28">
        <v>1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クリーパー</v>
      </c>
      <c r="E29">
        <v>15</v>
      </c>
      <c r="F29">
        <v>0</v>
      </c>
      <c r="G29">
        <v>2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アモン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1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2</v>
      </c>
      <c r="H33">
        <v>0</v>
      </c>
    </row>
    <row r="34" spans="1:8">
      <c r="A34">
        <v>6010</v>
      </c>
      <c r="B34">
        <v>6010</v>
      </c>
      <c r="C34">
        <v>201</v>
      </c>
      <c r="D34" t="str">
        <f>INDEX([1]TextData!B:B,MATCH(C34,[1]TextData!A:A))</f>
        <v>ファフニール</v>
      </c>
      <c r="E34">
        <v>25</v>
      </c>
      <c r="F34">
        <v>1</v>
      </c>
      <c r="G34">
        <v>1</v>
      </c>
      <c r="H34">
        <v>0</v>
      </c>
    </row>
    <row r="35" spans="1:8">
      <c r="A35">
        <v>20010</v>
      </c>
      <c r="B35">
        <v>20010</v>
      </c>
      <c r="C35">
        <v>4</v>
      </c>
      <c r="D35" t="str">
        <f>INDEX([1]TextData!B:B,MATCH(C35,[1]TextData!A:A))</f>
        <v>ウルフ</v>
      </c>
      <c r="E35">
        <v>15</v>
      </c>
      <c r="F35">
        <v>0</v>
      </c>
      <c r="G35">
        <v>0</v>
      </c>
      <c r="H35">
        <v>0</v>
      </c>
    </row>
    <row r="36" spans="1:8">
      <c r="A36">
        <v>20010</v>
      </c>
      <c r="B36">
        <v>20010</v>
      </c>
      <c r="C36">
        <v>1</v>
      </c>
      <c r="D36" t="str">
        <f>INDEX([1]TextData!B:B,MATCH(C36,[1]TextData!A:A))</f>
        <v>ネレイドジェム</v>
      </c>
      <c r="E36">
        <v>15</v>
      </c>
      <c r="F36">
        <v>0</v>
      </c>
      <c r="G36">
        <v>1</v>
      </c>
      <c r="H36">
        <v>0</v>
      </c>
    </row>
    <row r="37" spans="1:8">
      <c r="A37">
        <v>20010</v>
      </c>
      <c r="B37">
        <v>20010</v>
      </c>
      <c r="C37">
        <v>10</v>
      </c>
      <c r="D37" t="str">
        <f>INDEX([1]TextData!B:B,MATCH(C37,[1]TextData!A:A))</f>
        <v>スコーピオン</v>
      </c>
      <c r="E37">
        <v>15</v>
      </c>
      <c r="F37">
        <v>0</v>
      </c>
      <c r="G37">
        <v>2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アンドラス</v>
      </c>
      <c r="E38">
        <v>15</v>
      </c>
      <c r="F38">
        <v>1</v>
      </c>
      <c r="G38">
        <v>4</v>
      </c>
      <c r="H38">
        <v>0</v>
      </c>
    </row>
    <row r="39" spans="1:8">
      <c r="A39">
        <v>20020</v>
      </c>
      <c r="B39">
        <v>20020</v>
      </c>
      <c r="C39">
        <v>13</v>
      </c>
      <c r="D39" t="str">
        <f>INDEX([1]TextData!B:B,MATCH(C39,[1]TextData!A:A))</f>
        <v>インプ</v>
      </c>
      <c r="E39">
        <v>12</v>
      </c>
      <c r="F39">
        <v>0</v>
      </c>
      <c r="G39">
        <v>4</v>
      </c>
      <c r="H39">
        <v>0</v>
      </c>
    </row>
    <row r="40" spans="1:8">
      <c r="A40">
        <v>20020</v>
      </c>
      <c r="B40">
        <v>20020</v>
      </c>
      <c r="C40">
        <v>13</v>
      </c>
      <c r="D40" t="str">
        <f>INDEX([1]TextData!B:B,MATCH(C40,[1]TextData!A:A))</f>
        <v>インプ</v>
      </c>
      <c r="E40">
        <v>20</v>
      </c>
      <c r="F40">
        <v>0</v>
      </c>
      <c r="G40">
        <v>0</v>
      </c>
      <c r="H40">
        <v>0</v>
      </c>
    </row>
    <row r="41" spans="1:8">
      <c r="A41">
        <v>20020</v>
      </c>
      <c r="B41">
        <v>20020</v>
      </c>
      <c r="C41">
        <v>103</v>
      </c>
      <c r="D41" t="str">
        <f>INDEX([1]TextData!B:B,MATCH(C41,[1]TextData!A:A))</f>
        <v>パイモン</v>
      </c>
      <c r="E41">
        <v>25</v>
      </c>
      <c r="F41">
        <v>1</v>
      </c>
      <c r="G41">
        <v>1</v>
      </c>
      <c r="H41">
        <v>0</v>
      </c>
    </row>
    <row r="42" spans="1:8">
      <c r="A42">
        <v>20020</v>
      </c>
      <c r="B42">
        <v>20020</v>
      </c>
      <c r="C42">
        <v>6</v>
      </c>
      <c r="D42" t="str">
        <f>INDEX([1]TextData!B:B,MATCH(C42,[1]TextData!A:A))</f>
        <v>ゴーストアーマー</v>
      </c>
      <c r="E42">
        <v>20</v>
      </c>
      <c r="F42">
        <v>0</v>
      </c>
      <c r="G42">
        <v>2</v>
      </c>
      <c r="H4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2026-09-19T14:28:36Z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