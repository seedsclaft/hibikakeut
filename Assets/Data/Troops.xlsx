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<sst xmlns="http://schemas.openxmlformats.org/spreadsheetml/2006/main" count="8" uniqueCount="8">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</sst>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0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6" fillId="9" borderId="3" applyNumberFormat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tabSelected="1" topLeftCell="A7" workbookViewId="0">
      <selection activeCell="G20" sqref="G2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20010</v>
      </c>
      <c r="B30">
        <v>20010</v>
      </c>
      <c r="C30">
        <v>15</v>
      </c>
      <c r="D30" t="str">
        <f>INDEX([1]TextData!B:B,MATCH(C30,[1]TextData!A:A))</f>
        <v>ソード</v>
      </c>
      <c r="E30">
        <v>12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13</v>
      </c>
      <c r="D31" t="str">
        <f>INDEX([1]TextData!B:B,MATCH(C31,[1]TextData!A:A))</f>
        <v>インプ</v>
      </c>
      <c r="E31">
        <v>15</v>
      </c>
      <c r="F31">
        <v>0</v>
      </c>
      <c r="G31">
        <v>0</v>
      </c>
      <c r="H31">
        <v>0</v>
      </c>
    </row>
    <row r="32" spans="1:8">
      <c r="A32">
        <v>20020</v>
      </c>
      <c r="B32">
        <v>20020</v>
      </c>
      <c r="C32">
        <v>103</v>
      </c>
      <c r="D32" t="str">
        <f>INDEX([1]TextData!B:B,MATCH(C32,[1]TextData!A:A))</f>
        <v>パイモン</v>
      </c>
      <c r="E32">
        <v>15</v>
      </c>
      <c r="F32">
        <v>1</v>
      </c>
      <c r="G32">
        <v>0</v>
      </c>
      <c r="H32">
        <v>0</v>
      </c>
    </row>
    <row r="33" spans="1:8">
      <c r="A33">
        <v>20020</v>
      </c>
      <c r="B33">
        <v>20020</v>
      </c>
      <c r="C33">
        <v>6</v>
      </c>
      <c r="D33" t="str">
        <f>INDEX([1]TextData!B:B,MATCH(C33,[1]TextData!A:A))</f>
        <v>ネームレス</v>
      </c>
      <c r="E33">
        <v>15</v>
      </c>
      <c r="F33">
        <v>0</v>
      </c>
      <c r="G33">
        <v>0</v>
      </c>
      <c r="H3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2025-08-20T02:21:47Z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