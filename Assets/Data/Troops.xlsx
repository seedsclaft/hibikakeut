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<sst xmlns="http://schemas.openxmlformats.org/spreadsheetml/2006/main" count="8" uniqueCount="8">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</sst>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0"/>
  <sheetViews>
    <sheetView tabSelected="1" workbookViewId="0">
      <selection activeCell="E14" sqref="E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2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</v>
      </c>
      <c r="D13" t="str">
        <f>INDEX([1]TextData!B:B,MATCH(C13,[1]TextData!A:A))</f>
        <v>クロウ</v>
      </c>
      <c r="E13">
        <v>6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1</v>
      </c>
      <c r="D14" t="str">
        <f>INDEX([1]TextData!B:B,MATCH(C14,[1]TextData!A:A))</f>
        <v>ネレイドジェム</v>
      </c>
      <c r="E14">
        <v>4</v>
      </c>
      <c r="F14">
        <v>0</v>
      </c>
      <c r="G14">
        <v>0</v>
      </c>
      <c r="H14">
        <v>0</v>
      </c>
    </row>
    <row r="15" spans="1:8">
      <c r="A15">
        <v>2041</v>
      </c>
      <c r="B15">
        <v>2041</v>
      </c>
      <c r="C15">
        <v>4</v>
      </c>
      <c r="D15" t="str">
        <f>INDEX([1]TextData!B:B,MATCH(C15,[1]TextData!A:A))</f>
        <v>ウルフ</v>
      </c>
      <c r="E15">
        <v>5</v>
      </c>
      <c r="F15">
        <v>1</v>
      </c>
      <c r="G15">
        <v>0</v>
      </c>
      <c r="H15">
        <v>0</v>
      </c>
    </row>
    <row r="16" spans="1:8">
      <c r="A16">
        <v>2041</v>
      </c>
      <c r="B16">
        <v>2041</v>
      </c>
      <c r="C16">
        <v>2</v>
      </c>
      <c r="D16" t="str">
        <f>INDEX([1]TextData!B:B,MATCH(C16,[1]TextData!A:A))</f>
        <v>カースド</v>
      </c>
      <c r="E16">
        <v>0</v>
      </c>
      <c r="F16">
        <v>0</v>
      </c>
      <c r="G16">
        <v>0</v>
      </c>
      <c r="H16">
        <v>0</v>
      </c>
    </row>
    <row r="17" spans="1:8">
      <c r="A17">
        <v>2041</v>
      </c>
      <c r="B17">
        <v>2041</v>
      </c>
      <c r="C17">
        <v>14</v>
      </c>
      <c r="D17" t="str">
        <f>INDEX([1]TextData!B:B,MATCH(C17,[1]TextData!A:A))</f>
        <v>ゴーストアーマー</v>
      </c>
      <c r="E17">
        <v>0</v>
      </c>
      <c r="F17">
        <v>0</v>
      </c>
      <c r="G17">
        <v>0</v>
      </c>
      <c r="H17">
        <v>0</v>
      </c>
    </row>
    <row r="18" spans="1:8">
      <c r="A18">
        <v>2042</v>
      </c>
      <c r="B18">
        <v>2042</v>
      </c>
      <c r="C18">
        <v>11</v>
      </c>
      <c r="D18" t="str">
        <f>INDEX([1]TextData!B:B,MATCH(C18,[1]TextData!A:A))</f>
        <v>スクイッド</v>
      </c>
      <c r="E18">
        <v>15</v>
      </c>
      <c r="F18">
        <v>1</v>
      </c>
      <c r="G18">
        <v>0</v>
      </c>
      <c r="H18">
        <v>0</v>
      </c>
    </row>
    <row r="19" spans="1:8">
      <c r="A19">
        <v>2042</v>
      </c>
      <c r="B19">
        <v>2042</v>
      </c>
      <c r="C19">
        <v>2</v>
      </c>
      <c r="D19" t="str">
        <f>INDEX([1]TextData!B:B,MATCH(C19,[1]TextData!A:A))</f>
        <v>カースド</v>
      </c>
      <c r="E19">
        <v>5</v>
      </c>
      <c r="F19">
        <v>0</v>
      </c>
      <c r="G19">
        <v>0</v>
      </c>
      <c r="H19">
        <v>0</v>
      </c>
    </row>
    <row r="20" spans="1:8">
      <c r="A20">
        <v>2042</v>
      </c>
      <c r="B20">
        <v>2042</v>
      </c>
      <c r="C20">
        <v>14</v>
      </c>
      <c r="D20" t="str">
        <f>INDEX([1]TextData!B:B,MATCH(C20,[1]TextData!A:A))</f>
        <v>ゴーストアーマー</v>
      </c>
      <c r="E20">
        <v>5</v>
      </c>
      <c r="F20">
        <v>0</v>
      </c>
      <c r="G20">
        <v>0</v>
      </c>
      <c r="H20">
        <v>0</v>
      </c>
    </row>
    <row r="21" spans="1:8">
      <c r="A21">
        <v>2100</v>
      </c>
      <c r="B21">
        <v>2100</v>
      </c>
      <c r="C21">
        <v>102</v>
      </c>
      <c r="D21" t="str">
        <f>INDEX([1]TextData!B:B,MATCH(C21,[1]TextData!A:A))</f>
        <v>ベリト</v>
      </c>
      <c r="E21">
        <v>10</v>
      </c>
      <c r="F21">
        <v>1</v>
      </c>
      <c r="G21">
        <v>0</v>
      </c>
      <c r="H21">
        <v>0</v>
      </c>
    </row>
    <row r="22" spans="1:8">
      <c r="A22">
        <v>2101</v>
      </c>
      <c r="B22">
        <v>2101</v>
      </c>
      <c r="C22">
        <v>4</v>
      </c>
      <c r="D22" t="str">
        <f>INDEX([1]TextData!B:B,MATCH(C22,[1]TextData!A:A))</f>
        <v>ウルフ</v>
      </c>
      <c r="E22">
        <v>0</v>
      </c>
      <c r="F22">
        <v>0</v>
      </c>
      <c r="G22">
        <v>0</v>
      </c>
      <c r="H22">
        <v>0</v>
      </c>
    </row>
    <row r="23" spans="1:8">
      <c r="A23">
        <v>2201</v>
      </c>
      <c r="B23">
        <v>2201</v>
      </c>
      <c r="C23">
        <v>9</v>
      </c>
      <c r="D23" t="str">
        <f>INDEX([1]TextData!B:B,MATCH(C23,[1]TextData!A:A))</f>
        <v>ドライアド</v>
      </c>
      <c r="E23">
        <v>5</v>
      </c>
      <c r="F23">
        <v>1</v>
      </c>
      <c r="G23">
        <v>1</v>
      </c>
      <c r="H23">
        <v>0</v>
      </c>
    </row>
    <row r="24" spans="1:8">
      <c r="A24">
        <v>2201</v>
      </c>
      <c r="B24">
        <v>2201</v>
      </c>
      <c r="C24">
        <v>4</v>
      </c>
      <c r="D24" t="str">
        <f>INDEX([1]TextData!B:B,MATCH(C24,[1]TextData!A:A))</f>
        <v>ウルフ</v>
      </c>
      <c r="E24">
        <v>0</v>
      </c>
      <c r="F24">
        <v>0</v>
      </c>
      <c r="G24">
        <v>0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9</v>
      </c>
      <c r="D26" t="str">
        <f>INDEX([1]TextData!B:B,MATCH(C26,[1]TextData!A:A))</f>
        <v>ドライアド</v>
      </c>
      <c r="E26">
        <v>0</v>
      </c>
      <c r="F26">
        <v>0</v>
      </c>
      <c r="G26">
        <v>0</v>
      </c>
      <c r="H26">
        <v>20</v>
      </c>
    </row>
    <row r="27" spans="1:8">
      <c r="A27">
        <v>2201</v>
      </c>
      <c r="B27">
        <v>2201</v>
      </c>
      <c r="C27">
        <v>4</v>
      </c>
      <c r="D27" t="str">
        <f>INDEX([1]TextData!B:B,MATCH(C27,[1]TextData!A:A))</f>
        <v>ウルフ</v>
      </c>
      <c r="E27">
        <v>0</v>
      </c>
      <c r="F27">
        <v>0</v>
      </c>
      <c r="G27">
        <v>0</v>
      </c>
      <c r="H27">
        <v>40</v>
      </c>
    </row>
    <row r="28" spans="1:8">
      <c r="A28">
        <v>2202</v>
      </c>
      <c r="B28">
        <v>2202</v>
      </c>
      <c r="C28">
        <v>5</v>
      </c>
      <c r="D28" t="str">
        <f>INDEX([1]TextData!B:B,MATCH(C28,[1]TextData!A:A))</f>
        <v>クロウ</v>
      </c>
      <c r="E28">
        <v>5</v>
      </c>
      <c r="F28">
        <v>1</v>
      </c>
      <c r="G28">
        <v>1</v>
      </c>
      <c r="H28">
        <v>0</v>
      </c>
    </row>
    <row r="29" spans="1:8">
      <c r="A29">
        <v>2202</v>
      </c>
      <c r="B29">
        <v>2202</v>
      </c>
      <c r="C29">
        <v>3</v>
      </c>
      <c r="D29" t="str">
        <f>INDEX([1]TextData!B:B,MATCH(C29,[1]TextData!A:A))</f>
        <v>ビー</v>
      </c>
      <c r="E29">
        <v>0</v>
      </c>
      <c r="F29">
        <v>0</v>
      </c>
      <c r="G29">
        <v>0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5</v>
      </c>
      <c r="D31" t="str">
        <f>INDEX([1]TextData!B:B,MATCH(C31,[1]TextData!A:A))</f>
        <v>クロウ</v>
      </c>
      <c r="E31">
        <v>0</v>
      </c>
      <c r="F31">
        <v>0</v>
      </c>
      <c r="G31">
        <v>0</v>
      </c>
      <c r="H31">
        <v>20</v>
      </c>
    </row>
    <row r="32" spans="1:8">
      <c r="A32">
        <v>2202</v>
      </c>
      <c r="B32">
        <v>2202</v>
      </c>
      <c r="C32">
        <v>3</v>
      </c>
      <c r="D32" t="str">
        <f>INDEX([1]TextData!B:B,MATCH(C32,[1]TextData!A:A))</f>
        <v>ビー</v>
      </c>
      <c r="E32">
        <v>0</v>
      </c>
      <c r="F32">
        <v>0</v>
      </c>
      <c r="G32">
        <v>0</v>
      </c>
      <c r="H32">
        <v>40</v>
      </c>
    </row>
    <row r="33" spans="1:8">
      <c r="A33">
        <v>2203</v>
      </c>
      <c r="B33">
        <v>2203</v>
      </c>
      <c r="C33">
        <v>8</v>
      </c>
      <c r="D33" t="str">
        <f>INDEX([1]TextData!B:B,MATCH(C33,[1]TextData!A:A))</f>
        <v>シールド</v>
      </c>
      <c r="E33">
        <v>5</v>
      </c>
      <c r="F33">
        <v>1</v>
      </c>
      <c r="G33">
        <v>1</v>
      </c>
      <c r="H33">
        <v>0</v>
      </c>
    </row>
    <row r="34" spans="1:8">
      <c r="A34">
        <v>2203</v>
      </c>
      <c r="B34">
        <v>2203</v>
      </c>
      <c r="C34">
        <v>7</v>
      </c>
      <c r="D34" t="str">
        <f>INDEX([1]TextData!B:B,MATCH(C34,[1]TextData!A:A))</f>
        <v>サーチャー</v>
      </c>
      <c r="E34">
        <v>0</v>
      </c>
      <c r="F34">
        <v>0</v>
      </c>
      <c r="G34">
        <v>0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8</v>
      </c>
      <c r="D36" t="str">
        <f>INDEX([1]TextData!B:B,MATCH(C36,[1]TextData!A:A))</f>
        <v>シールド</v>
      </c>
      <c r="E36">
        <v>0</v>
      </c>
      <c r="F36">
        <v>0</v>
      </c>
      <c r="G36">
        <v>0</v>
      </c>
      <c r="H36">
        <v>20</v>
      </c>
    </row>
    <row r="37" spans="1:8">
      <c r="A37">
        <v>2203</v>
      </c>
      <c r="B37">
        <v>2203</v>
      </c>
      <c r="C37">
        <v>7</v>
      </c>
      <c r="D37" t="str">
        <f>INDEX([1]TextData!B:B,MATCH(C37,[1]TextData!A:A))</f>
        <v>サーチャー</v>
      </c>
      <c r="E37">
        <v>0</v>
      </c>
      <c r="F37">
        <v>0</v>
      </c>
      <c r="G37">
        <v>0</v>
      </c>
      <c r="H37">
        <v>40</v>
      </c>
    </row>
    <row r="38" spans="1:8">
      <c r="A38">
        <v>2204</v>
      </c>
      <c r="B38">
        <v>2204</v>
      </c>
      <c r="C38">
        <v>6</v>
      </c>
      <c r="D38" t="str">
        <f>INDEX([1]TextData!B:B,MATCH(C38,[1]TextData!A:A))</f>
        <v>ネームレス</v>
      </c>
      <c r="E38">
        <v>5</v>
      </c>
      <c r="F38">
        <v>1</v>
      </c>
      <c r="G38">
        <v>1</v>
      </c>
      <c r="H38">
        <v>0</v>
      </c>
    </row>
    <row r="39" spans="1:8">
      <c r="A39">
        <v>2204</v>
      </c>
      <c r="B39">
        <v>2204</v>
      </c>
      <c r="C39">
        <v>14</v>
      </c>
      <c r="D39" t="str">
        <f>INDEX([1]TextData!B:B,MATCH(C39,[1]TextData!A:A))</f>
        <v>ゴーストアーマー</v>
      </c>
      <c r="E39">
        <v>0</v>
      </c>
      <c r="F39">
        <v>0</v>
      </c>
      <c r="G39">
        <v>0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6</v>
      </c>
      <c r="D41" t="str">
        <f>INDEX([1]TextData!B:B,MATCH(C41,[1]TextData!A:A))</f>
        <v>ネームレス</v>
      </c>
      <c r="E41">
        <v>0</v>
      </c>
      <c r="F41">
        <v>0</v>
      </c>
      <c r="G41">
        <v>0</v>
      </c>
      <c r="H41">
        <v>20</v>
      </c>
    </row>
    <row r="42" spans="1:8">
      <c r="A42">
        <v>2204</v>
      </c>
      <c r="B42">
        <v>2204</v>
      </c>
      <c r="C42">
        <v>14</v>
      </c>
      <c r="D42" t="str">
        <f>INDEX([1]TextData!B:B,MATCH(C42,[1]TextData!A:A))</f>
        <v>ゴーストアーマー</v>
      </c>
      <c r="E42">
        <v>0</v>
      </c>
      <c r="F42">
        <v>0</v>
      </c>
      <c r="G42">
        <v>0</v>
      </c>
      <c r="H42">
        <v>40</v>
      </c>
    </row>
    <row r="43" spans="1:8">
      <c r="A43">
        <v>2205</v>
      </c>
      <c r="B43">
        <v>2205</v>
      </c>
      <c r="C43">
        <v>12</v>
      </c>
      <c r="D43" t="str">
        <f>INDEX([1]TextData!B:B,MATCH(C43,[1]TextData!A:A))</f>
        <v>クリーパー</v>
      </c>
      <c r="E43">
        <v>5</v>
      </c>
      <c r="F43">
        <v>1</v>
      </c>
      <c r="G43">
        <v>1</v>
      </c>
      <c r="H43">
        <v>0</v>
      </c>
    </row>
    <row r="44" spans="1:8">
      <c r="A44">
        <v>2205</v>
      </c>
      <c r="B44">
        <v>2205</v>
      </c>
      <c r="C44">
        <v>2</v>
      </c>
      <c r="D44" t="str">
        <f>INDEX([1]TextData!B:B,MATCH(C44,[1]TextData!A:A))</f>
        <v>カースド</v>
      </c>
      <c r="E44">
        <v>0</v>
      </c>
      <c r="F44">
        <v>0</v>
      </c>
      <c r="G44">
        <v>0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12</v>
      </c>
      <c r="D46" t="str">
        <f>INDEX([1]TextData!B:B,MATCH(C46,[1]TextData!A:A))</f>
        <v>クリーパー</v>
      </c>
      <c r="E46">
        <v>0</v>
      </c>
      <c r="F46">
        <v>0</v>
      </c>
      <c r="G46">
        <v>0</v>
      </c>
      <c r="H46">
        <v>20</v>
      </c>
    </row>
    <row r="47" spans="1:8">
      <c r="A47">
        <v>2205</v>
      </c>
      <c r="B47">
        <v>2205</v>
      </c>
      <c r="C47">
        <v>2</v>
      </c>
      <c r="D47" t="str">
        <f>INDEX([1]TextData!B:B,MATCH(C47,[1]TextData!A:A))</f>
        <v>カースド</v>
      </c>
      <c r="E47">
        <v>0</v>
      </c>
      <c r="F47">
        <v>0</v>
      </c>
      <c r="G47">
        <v>0</v>
      </c>
      <c r="H47">
        <v>40</v>
      </c>
    </row>
    <row r="48" spans="1:8">
      <c r="A48">
        <v>3041</v>
      </c>
      <c r="B48">
        <v>3041</v>
      </c>
      <c r="C48">
        <v>6</v>
      </c>
      <c r="D48" t="str">
        <f>INDEX([1]TextData!B:B,MATCH(C48,[1]TextData!A:A))</f>
        <v>ネームレス</v>
      </c>
      <c r="E48">
        <v>5</v>
      </c>
      <c r="F48">
        <v>1</v>
      </c>
      <c r="G48">
        <v>1</v>
      </c>
      <c r="H48">
        <v>0</v>
      </c>
    </row>
    <row r="49" spans="1:8">
      <c r="A49">
        <v>3041</v>
      </c>
      <c r="B49">
        <v>3041</v>
      </c>
      <c r="C49">
        <v>13</v>
      </c>
      <c r="D49" t="str">
        <f>INDEX([1]TextData!B:B,MATCH(C49,[1]TextData!A:A))</f>
        <v>インプ</v>
      </c>
      <c r="E49">
        <v>0</v>
      </c>
      <c r="F49">
        <v>0</v>
      </c>
      <c r="G49">
        <v>0</v>
      </c>
      <c r="H49">
        <v>0</v>
      </c>
    </row>
    <row r="50" spans="1:8">
      <c r="A50">
        <v>3041</v>
      </c>
      <c r="B50">
        <v>3041</v>
      </c>
      <c r="C50">
        <v>14</v>
      </c>
      <c r="D50" t="str">
        <f>INDEX([1]TextData!B:B,MATCH(C50,[1]TextData!A:A))</f>
        <v>ゴーストアーマー</v>
      </c>
      <c r="E50">
        <v>0</v>
      </c>
      <c r="F50">
        <v>0</v>
      </c>
      <c r="G50">
        <v>0</v>
      </c>
      <c r="H50">
        <v>0</v>
      </c>
    </row>
    <row r="51" ht="12" customHeight="1" spans="1:8">
      <c r="A51">
        <v>3041</v>
      </c>
      <c r="B51">
        <v>3041</v>
      </c>
      <c r="C51">
        <v>6</v>
      </c>
      <c r="D51" t="str">
        <f>INDEX([1]TextData!B:B,MATCH(C51,[1]TextData!A:A))</f>
        <v>ネームレス</v>
      </c>
      <c r="E51">
        <v>0</v>
      </c>
      <c r="F51">
        <v>0</v>
      </c>
      <c r="G51">
        <v>0</v>
      </c>
      <c r="H51">
        <v>0</v>
      </c>
    </row>
    <row r="52" spans="1:8">
      <c r="A52">
        <v>3042</v>
      </c>
      <c r="B52">
        <v>3042</v>
      </c>
      <c r="C52">
        <v>2</v>
      </c>
      <c r="D52" t="str">
        <f>INDEX([1]TextData!B:B,MATCH(C52,[1]TextData!A:A))</f>
        <v>カースド</v>
      </c>
      <c r="E52">
        <v>15</v>
      </c>
      <c r="F52">
        <v>1</v>
      </c>
      <c r="G52">
        <v>0</v>
      </c>
      <c r="H52">
        <v>0</v>
      </c>
    </row>
    <row r="53" spans="1:8">
      <c r="A53">
        <v>3042</v>
      </c>
      <c r="B53">
        <v>3042</v>
      </c>
      <c r="C53">
        <v>12</v>
      </c>
      <c r="D53" t="str">
        <f>INDEX([1]TextData!B:B,MATCH(C53,[1]TextData!A:A))</f>
        <v>クリーパー</v>
      </c>
      <c r="E53">
        <v>5</v>
      </c>
      <c r="F53">
        <v>0</v>
      </c>
      <c r="G53">
        <v>0</v>
      </c>
      <c r="H53">
        <v>0</v>
      </c>
    </row>
    <row r="54" spans="1:8">
      <c r="A54">
        <v>3042</v>
      </c>
      <c r="B54">
        <v>3042</v>
      </c>
      <c r="C54">
        <v>7</v>
      </c>
      <c r="D54" t="str">
        <f>INDEX([1]TextData!B:B,MATCH(C54,[1]TextData!A:A))</f>
        <v>サーチャー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12</v>
      </c>
      <c r="D55" t="str">
        <f>INDEX([1]TextData!B:B,MATCH(C55,[1]TextData!A:A))</f>
        <v>クリーパー</v>
      </c>
      <c r="E55">
        <v>5</v>
      </c>
      <c r="F55">
        <v>0</v>
      </c>
      <c r="G55">
        <v>0</v>
      </c>
      <c r="H55">
        <v>0</v>
      </c>
    </row>
    <row r="56" spans="1:8">
      <c r="A56">
        <v>3100</v>
      </c>
      <c r="B56">
        <v>3100</v>
      </c>
      <c r="C56">
        <v>103</v>
      </c>
      <c r="D56" t="str">
        <f>INDEX([1]TextData!B:B,MATCH(C56,[1]TextData!A:A))</f>
        <v>パイモン</v>
      </c>
      <c r="E56">
        <v>15</v>
      </c>
      <c r="F56">
        <v>1</v>
      </c>
      <c r="G56">
        <v>1</v>
      </c>
      <c r="H56">
        <v>0</v>
      </c>
    </row>
    <row r="57" spans="1:8">
      <c r="A57">
        <v>3101</v>
      </c>
      <c r="B57">
        <v>3101</v>
      </c>
      <c r="C57">
        <v>1</v>
      </c>
      <c r="D57" t="str">
        <f>INDEX([1]TextData!B:B,MATCH(C57,[1]TextData!A:A))</f>
        <v>ネレイドジェム</v>
      </c>
      <c r="E57">
        <v>5</v>
      </c>
      <c r="F57">
        <v>0</v>
      </c>
      <c r="G57">
        <v>0</v>
      </c>
      <c r="H57">
        <v>0</v>
      </c>
    </row>
    <row r="58" spans="1:8">
      <c r="A58">
        <v>3101</v>
      </c>
      <c r="B58">
        <v>3101</v>
      </c>
      <c r="C58">
        <v>5</v>
      </c>
      <c r="D58" t="str">
        <f>INDEX([1]TextData!B:B,MATCH(C58,[1]TextData!A:A))</f>
        <v>クロウ</v>
      </c>
      <c r="E58">
        <v>5</v>
      </c>
      <c r="F58">
        <v>0</v>
      </c>
      <c r="G58">
        <v>1</v>
      </c>
      <c r="H58">
        <v>0</v>
      </c>
    </row>
    <row r="59" spans="1:8">
      <c r="A59">
        <v>4041</v>
      </c>
      <c r="B59">
        <v>4041</v>
      </c>
      <c r="C59">
        <v>8</v>
      </c>
      <c r="D59" t="str">
        <f>INDEX([1]TextData!B:B,MATCH(C59,[1]TextData!A:A))</f>
        <v>シールド</v>
      </c>
      <c r="E59">
        <v>5</v>
      </c>
      <c r="F59">
        <v>1</v>
      </c>
      <c r="G59">
        <v>0</v>
      </c>
      <c r="H59">
        <v>0</v>
      </c>
    </row>
    <row r="60" spans="1:8">
      <c r="A60">
        <v>4041</v>
      </c>
      <c r="B60">
        <v>4041</v>
      </c>
      <c r="C60">
        <v>1</v>
      </c>
      <c r="D60" t="str">
        <f>INDEX([1]TextData!B:B,MATCH(C60,[1]TextData!A:A))</f>
        <v>ネレイドジェム</v>
      </c>
      <c r="E60">
        <v>0</v>
      </c>
      <c r="F60">
        <v>0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11</v>
      </c>
      <c r="D62" t="str">
        <f>INDEX([1]TextData!B:B,MATCH(C62,[1]TextData!A:A))</f>
        <v>スクイッド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4042</v>
      </c>
      <c r="B64">
        <v>4042</v>
      </c>
      <c r="C64">
        <v>3</v>
      </c>
      <c r="D64" t="str">
        <f>INDEX([1]TextData!B:B,MATCH(C64,[1]TextData!A:A))</f>
        <v>ビー</v>
      </c>
      <c r="E64">
        <v>15</v>
      </c>
      <c r="F64">
        <v>1</v>
      </c>
      <c r="G64">
        <v>1</v>
      </c>
      <c r="H64">
        <v>0</v>
      </c>
    </row>
    <row r="65" spans="1:8">
      <c r="A65">
        <v>4042</v>
      </c>
      <c r="B65">
        <v>4042</v>
      </c>
      <c r="C65">
        <v>15</v>
      </c>
      <c r="D65" t="str">
        <f>INDEX([1]TextData!B:B,MATCH(C65,[1]TextData!A:A))</f>
        <v>ソード</v>
      </c>
      <c r="E65">
        <v>5</v>
      </c>
      <c r="F65">
        <v>0</v>
      </c>
      <c r="G65">
        <v>0</v>
      </c>
      <c r="H65">
        <v>0</v>
      </c>
    </row>
    <row r="66" spans="1:8">
      <c r="A66">
        <v>4042</v>
      </c>
      <c r="B66">
        <v>4042</v>
      </c>
      <c r="C66">
        <v>14</v>
      </c>
      <c r="D66" t="str">
        <f>INDEX([1]TextData!B:B,MATCH(C66,[1]TextData!A:A))</f>
        <v>ゴーストアーマー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3</v>
      </c>
      <c r="D68" t="str">
        <f>INDEX([1]TextData!B:B,MATCH(C68,[1]TextData!A:A))</f>
        <v>ビー</v>
      </c>
      <c r="E68">
        <v>5</v>
      </c>
      <c r="F68">
        <v>0</v>
      </c>
      <c r="G68">
        <v>1</v>
      </c>
      <c r="H68">
        <v>0</v>
      </c>
    </row>
    <row r="69" spans="1:8">
      <c r="A69">
        <v>4101</v>
      </c>
      <c r="B69">
        <v>4101</v>
      </c>
      <c r="C69">
        <v>104</v>
      </c>
      <c r="D69" t="str">
        <f>INDEX([1]TextData!B:B,MATCH(C69,[1]TextData!A:A))</f>
        <v>アンドラス</v>
      </c>
      <c r="E69">
        <v>20</v>
      </c>
      <c r="F69">
        <v>1</v>
      </c>
      <c r="G69">
        <v>1</v>
      </c>
      <c r="H69">
        <v>0</v>
      </c>
    </row>
    <row r="70" spans="1:8">
      <c r="A70">
        <v>4102</v>
      </c>
      <c r="B70">
        <v>4102</v>
      </c>
      <c r="C70">
        <v>104</v>
      </c>
      <c r="D70" t="str">
        <f>INDEX([1]TextData!B:B,MATCH(C70,[1]TextData!A:A))</f>
        <v>アンドラス</v>
      </c>
      <c r="E70">
        <v>30</v>
      </c>
      <c r="F70">
        <v>1</v>
      </c>
      <c r="G70">
        <v>1</v>
      </c>
      <c r="H70">
        <v>0</v>
      </c>
    </row>
    <row r="71" spans="1:8">
      <c r="A71">
        <v>5041</v>
      </c>
      <c r="B71">
        <v>5041</v>
      </c>
      <c r="C71">
        <v>12</v>
      </c>
      <c r="D71" t="str">
        <f>INDEX([1]TextData!B:B,MATCH(C71,[1]TextData!A:A))</f>
        <v>クリーパー</v>
      </c>
      <c r="E71">
        <v>5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0</v>
      </c>
      <c r="F72">
        <v>0</v>
      </c>
      <c r="G72">
        <v>0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</v>
      </c>
      <c r="D74" t="str">
        <f>INDEX([1]TextData!B:B,MATCH(C74,[1]TextData!A:A))</f>
        <v>ネレイドジェム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5042</v>
      </c>
      <c r="B76">
        <v>5042</v>
      </c>
      <c r="C76">
        <v>4</v>
      </c>
      <c r="D76" t="str">
        <f>INDEX([1]TextData!B:B,MATCH(C76,[1]TextData!A:A))</f>
        <v>ウルフ</v>
      </c>
      <c r="E76">
        <v>15</v>
      </c>
      <c r="F76">
        <v>1</v>
      </c>
      <c r="G76">
        <v>0</v>
      </c>
      <c r="H76">
        <v>0</v>
      </c>
    </row>
    <row r="77" spans="1:8">
      <c r="A77">
        <v>5042</v>
      </c>
      <c r="B77">
        <v>5042</v>
      </c>
      <c r="C77">
        <v>6</v>
      </c>
      <c r="D77" t="str">
        <f>INDEX([1]TextData!B:B,MATCH(C77,[1]TextData!A:A))</f>
        <v>ネームレス</v>
      </c>
      <c r="E77">
        <v>5</v>
      </c>
      <c r="F77">
        <v>0</v>
      </c>
      <c r="G77">
        <v>1</v>
      </c>
      <c r="H77">
        <v>0</v>
      </c>
    </row>
    <row r="78" spans="1:8">
      <c r="A78">
        <v>5042</v>
      </c>
      <c r="B78">
        <v>5042</v>
      </c>
      <c r="C78">
        <v>14</v>
      </c>
      <c r="D78" t="str">
        <f>INDEX([1]TextData!B:B,MATCH(C78,[1]TextData!A:A))</f>
        <v>ゴーストアーマー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4</v>
      </c>
      <c r="D79" t="str">
        <f>INDEX([1]TextData!B:B,MATCH(C79,[1]TextData!A:A))</f>
        <v>ウルフ</v>
      </c>
      <c r="E79">
        <v>5</v>
      </c>
      <c r="F79">
        <v>0</v>
      </c>
      <c r="G79">
        <v>0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5101</v>
      </c>
      <c r="B81">
        <v>5101</v>
      </c>
      <c r="C81">
        <v>105</v>
      </c>
      <c r="D81" t="str">
        <f>INDEX([1]TextData!B:B,MATCH(C81,[1]TextData!A:A))</f>
        <v>ビフロンス</v>
      </c>
      <c r="E81">
        <v>30</v>
      </c>
      <c r="F81">
        <v>1</v>
      </c>
      <c r="G81">
        <v>1</v>
      </c>
      <c r="H81">
        <v>0</v>
      </c>
    </row>
    <row r="82" spans="1:8">
      <c r="A82">
        <v>5101</v>
      </c>
      <c r="B82">
        <v>5101</v>
      </c>
      <c r="C82">
        <v>8</v>
      </c>
      <c r="D82" t="str">
        <f>INDEX([1]TextData!B:B,MATCH(C82,[1]TextData!A:A))</f>
        <v>シールド</v>
      </c>
      <c r="E82">
        <v>10</v>
      </c>
      <c r="F82">
        <v>0</v>
      </c>
      <c r="G82">
        <v>0</v>
      </c>
      <c r="H82">
        <v>0</v>
      </c>
    </row>
    <row r="83" spans="1:8">
      <c r="A83">
        <v>5101</v>
      </c>
      <c r="B83">
        <v>5101</v>
      </c>
      <c r="C83">
        <v>1</v>
      </c>
      <c r="D83" t="str">
        <f>INDEX([1]TextData!B:B,MATCH(C83,[1]TextData!A:A))</f>
        <v>ネレイドジェム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8</v>
      </c>
      <c r="D84" t="str">
        <f>INDEX([1]TextData!B:B,MATCH(C84,[1]TextData!A:A))</f>
        <v>シールド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11</v>
      </c>
      <c r="D85" t="str">
        <f>INDEX([1]TextData!B:B,MATCH(C85,[1]TextData!A:A))</f>
        <v>スクイッド</v>
      </c>
      <c r="E85">
        <v>10</v>
      </c>
      <c r="F85">
        <v>0</v>
      </c>
      <c r="G85">
        <v>0</v>
      </c>
      <c r="H85">
        <v>0</v>
      </c>
    </row>
    <row r="86" spans="1:8">
      <c r="A86">
        <v>5102</v>
      </c>
      <c r="B86">
        <v>5102</v>
      </c>
      <c r="C86">
        <v>105</v>
      </c>
      <c r="D86" t="str">
        <f>INDEX([1]TextData!B:B,MATCH(C86,[1]TextData!A:A))</f>
        <v>ビフロンス</v>
      </c>
      <c r="E86">
        <v>40</v>
      </c>
      <c r="F86">
        <v>1</v>
      </c>
      <c r="G86">
        <v>1</v>
      </c>
      <c r="H86">
        <v>0</v>
      </c>
    </row>
    <row r="87" spans="1:8">
      <c r="A87">
        <v>5102</v>
      </c>
      <c r="B87">
        <v>5102</v>
      </c>
      <c r="C87">
        <v>8</v>
      </c>
      <c r="D87" t="str">
        <f>INDEX([1]TextData!B:B,MATCH(C87,[1]TextData!A:A))</f>
        <v>シールド</v>
      </c>
      <c r="E87">
        <v>20</v>
      </c>
      <c r="F87">
        <v>0</v>
      </c>
      <c r="G87">
        <v>0</v>
      </c>
      <c r="H87">
        <v>0</v>
      </c>
    </row>
    <row r="88" spans="1:8">
      <c r="A88">
        <v>5102</v>
      </c>
      <c r="B88">
        <v>5102</v>
      </c>
      <c r="C88">
        <v>1</v>
      </c>
      <c r="D88" t="str">
        <f>INDEX([1]TextData!B:B,MATCH(C88,[1]TextData!A:A))</f>
        <v>ネレイドジェム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8</v>
      </c>
      <c r="D89" t="str">
        <f>INDEX([1]TextData!B:B,MATCH(C89,[1]TextData!A:A))</f>
        <v>シールド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11</v>
      </c>
      <c r="D90" t="str">
        <f>INDEX([1]TextData!B:B,MATCH(C90,[1]TextData!A:A))</f>
        <v>スクイッド</v>
      </c>
      <c r="E90">
        <v>20</v>
      </c>
      <c r="F90">
        <v>0</v>
      </c>
      <c r="G90">
        <v>0</v>
      </c>
      <c r="H90">
        <v>0</v>
      </c>
    </row>
    <row r="91" spans="1:8">
      <c r="A91">
        <v>6021</v>
      </c>
      <c r="B91">
        <v>6021</v>
      </c>
      <c r="C91">
        <v>1002</v>
      </c>
      <c r="D91" t="str">
        <f>INDEX([1]TextData!B:B,MATCH(C91,[1]TextData!A:A))</f>
        <v>エリザベート</v>
      </c>
      <c r="E91">
        <v>10</v>
      </c>
      <c r="F91">
        <v>1</v>
      </c>
      <c r="G91">
        <v>1</v>
      </c>
      <c r="H91">
        <v>0</v>
      </c>
    </row>
    <row r="92" spans="1:8">
      <c r="A92">
        <v>6021</v>
      </c>
      <c r="B92">
        <v>6021</v>
      </c>
      <c r="C92">
        <v>1003</v>
      </c>
      <c r="D92" t="str">
        <f>INDEX([1]TextData!B:B,MATCH(C92,[1]TextData!A:A))</f>
        <v>アリエス</v>
      </c>
      <c r="E92">
        <v>0</v>
      </c>
      <c r="F92">
        <v>0</v>
      </c>
      <c r="G92">
        <v>0</v>
      </c>
      <c r="H92">
        <v>0</v>
      </c>
    </row>
    <row r="93" spans="1:8">
      <c r="A93">
        <v>6021</v>
      </c>
      <c r="B93">
        <v>6021</v>
      </c>
      <c r="C93">
        <v>1004</v>
      </c>
      <c r="D93" t="str">
        <f>INDEX([1]TextData!B:B,MATCH(C93,[1]TextData!A:A))</f>
        <v>シイナ</v>
      </c>
      <c r="E93">
        <v>0</v>
      </c>
      <c r="F93">
        <v>0</v>
      </c>
      <c r="G93">
        <v>1</v>
      </c>
      <c r="H93">
        <v>0</v>
      </c>
    </row>
    <row r="94" spans="1:8">
      <c r="A94">
        <v>6021</v>
      </c>
      <c r="B94">
        <v>6021</v>
      </c>
      <c r="C94">
        <v>8</v>
      </c>
      <c r="D94" t="str">
        <f>INDEX([1]TextData!B:B,MATCH(C94,[1]TextData!A:A))</f>
        <v>シールド</v>
      </c>
      <c r="E94">
        <v>0</v>
      </c>
      <c r="F94">
        <v>0</v>
      </c>
      <c r="G94">
        <v>0</v>
      </c>
      <c r="H94">
        <v>0</v>
      </c>
    </row>
    <row r="95" spans="1:8">
      <c r="A95">
        <v>6021</v>
      </c>
      <c r="B95">
        <v>6021</v>
      </c>
      <c r="C95">
        <v>1</v>
      </c>
      <c r="D95" t="str">
        <f>INDEX([1]TextData!B:B,MATCH(C95,[1]TextData!A:A))</f>
        <v>ネレイドジェム</v>
      </c>
      <c r="E95">
        <v>0</v>
      </c>
      <c r="F95">
        <v>0</v>
      </c>
      <c r="G95">
        <v>0</v>
      </c>
      <c r="H95">
        <v>0</v>
      </c>
    </row>
    <row r="96" spans="1:8">
      <c r="A96">
        <v>6022</v>
      </c>
      <c r="B96">
        <v>6022</v>
      </c>
      <c r="C96">
        <v>1011</v>
      </c>
      <c r="D96" t="str">
        <f>INDEX([1]TextData!B:B,MATCH(C96,[1]TextData!A:A))</f>
        <v>セリナ</v>
      </c>
      <c r="E96">
        <v>10</v>
      </c>
      <c r="F96">
        <v>1</v>
      </c>
      <c r="G96">
        <v>0</v>
      </c>
      <c r="H96">
        <v>0</v>
      </c>
    </row>
    <row r="97" spans="1:8">
      <c r="A97">
        <v>6022</v>
      </c>
      <c r="B97">
        <v>6022</v>
      </c>
      <c r="C97">
        <v>1005</v>
      </c>
      <c r="D97" t="str">
        <f>INDEX([1]TextData!B:B,MATCH(C97,[1]TextData!A:A))</f>
        <v>レダ</v>
      </c>
      <c r="E97">
        <v>0</v>
      </c>
      <c r="F97">
        <v>0</v>
      </c>
      <c r="G97">
        <v>0</v>
      </c>
      <c r="H97">
        <v>0</v>
      </c>
    </row>
    <row r="98" spans="1:8">
      <c r="A98">
        <v>6022</v>
      </c>
      <c r="B98">
        <v>6022</v>
      </c>
      <c r="C98">
        <v>1010</v>
      </c>
      <c r="D98" t="str">
        <f>INDEX([1]TextData!B:B,MATCH(C98,[1]TextData!A:A))</f>
        <v>メリアドール</v>
      </c>
      <c r="E98">
        <v>0</v>
      </c>
      <c r="F98">
        <v>0</v>
      </c>
      <c r="G98">
        <v>1</v>
      </c>
      <c r="H98">
        <v>0</v>
      </c>
    </row>
    <row r="99" spans="1:8">
      <c r="A99">
        <v>6022</v>
      </c>
      <c r="B99">
        <v>6022</v>
      </c>
      <c r="C99">
        <v>10</v>
      </c>
      <c r="D99" t="str">
        <f>INDEX([1]TextData!B:B,MATCH(C99,[1]TextData!A:A))</f>
        <v>スコーピオン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14</v>
      </c>
      <c r="D100" t="str">
        <f>INDEX([1]TextData!B:B,MATCH(C100,[1]TextData!A:A))</f>
        <v>ゴーストアーマー</v>
      </c>
      <c r="E100">
        <v>0</v>
      </c>
      <c r="F100">
        <v>0</v>
      </c>
      <c r="G100">
        <v>0</v>
      </c>
      <c r="H100">
        <v>0</v>
      </c>
    </row>
    <row r="101" spans="1:8">
      <c r="A101">
        <v>6031</v>
      </c>
      <c r="B101">
        <v>6031</v>
      </c>
      <c r="C101">
        <v>1001</v>
      </c>
      <c r="D101" t="str">
        <f>INDEX([1]TextData!B:B,MATCH(C101,[1]TextData!A:A))</f>
        <v>ミカ</v>
      </c>
      <c r="E101">
        <v>10</v>
      </c>
      <c r="F101">
        <v>1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1006</v>
      </c>
      <c r="D102" t="str">
        <f>INDEX([1]TextData!B:B,MATCH(C102,[1]TextData!A:A))</f>
        <v>リシェリ</v>
      </c>
      <c r="E102">
        <v>0</v>
      </c>
      <c r="F102">
        <v>0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1008</v>
      </c>
      <c r="D103" t="str">
        <f>INDEX([1]TextData!B:B,MATCH(C103,[1]TextData!A:A))</f>
        <v>マリーベル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1007</v>
      </c>
      <c r="D104" t="str">
        <f>INDEX([1]TextData!B:B,MATCH(C104,[1]TextData!A:A))</f>
        <v>ユニ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1009</v>
      </c>
      <c r="D105" t="str">
        <f>INDEX([1]TextData!B:B,MATCH(C105,[1]TextData!A:A))</f>
        <v>ナツキ</v>
      </c>
      <c r="E105">
        <v>0</v>
      </c>
      <c r="F105">
        <v>0</v>
      </c>
      <c r="G105">
        <v>0</v>
      </c>
      <c r="H105">
        <v>0</v>
      </c>
    </row>
    <row r="106" spans="1:8">
      <c r="A106">
        <v>6101</v>
      </c>
      <c r="B106">
        <v>6101</v>
      </c>
      <c r="C106">
        <v>201</v>
      </c>
      <c r="D106" t="str">
        <f>INDEX([1]TextData!B:B,MATCH(C106,[1]TextData!A:A))</f>
        <v>アンリマユ</v>
      </c>
      <c r="E106">
        <v>10</v>
      </c>
      <c r="F106">
        <v>1</v>
      </c>
      <c r="G106">
        <v>1</v>
      </c>
      <c r="H106">
        <v>0</v>
      </c>
    </row>
    <row r="107" spans="1:8">
      <c r="A107">
        <v>6101</v>
      </c>
      <c r="B107">
        <v>6101</v>
      </c>
      <c r="C107">
        <v>15</v>
      </c>
      <c r="D107" t="str">
        <f>INDEX([1]TextData!B:B,MATCH(C107,[1]TextData!A:A))</f>
        <v>ソード</v>
      </c>
      <c r="E107">
        <v>0</v>
      </c>
      <c r="F107">
        <v>0</v>
      </c>
      <c r="G107">
        <v>0</v>
      </c>
      <c r="H107">
        <v>0</v>
      </c>
    </row>
    <row r="108" spans="1:8">
      <c r="A108">
        <v>6101</v>
      </c>
      <c r="B108">
        <v>6101</v>
      </c>
      <c r="C108">
        <v>11</v>
      </c>
      <c r="D108" t="str">
        <f>INDEX([1]TextData!B:B,MATCH(C108,[1]TextData!A:A))</f>
        <v>スクイッド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5</v>
      </c>
      <c r="D109" t="str">
        <f>INDEX([1]TextData!B:B,MATCH(C109,[1]TextData!A:A))</f>
        <v>クロウ</v>
      </c>
      <c r="E109">
        <v>0</v>
      </c>
      <c r="F109">
        <v>0</v>
      </c>
      <c r="G109">
        <v>1</v>
      </c>
      <c r="H109">
        <v>0</v>
      </c>
    </row>
    <row r="110" spans="1:8">
      <c r="A110">
        <v>6101</v>
      </c>
      <c r="B110">
        <v>6101</v>
      </c>
      <c r="C110">
        <v>13</v>
      </c>
      <c r="D110" t="str">
        <f>INDEX([1]TextData!B:B,MATCH(C110,[1]TextData!A:A))</f>
        <v>インプ</v>
      </c>
      <c r="E110">
        <v>0</v>
      </c>
      <c r="F110">
        <v>0</v>
      </c>
      <c r="G110">
        <v>1</v>
      </c>
      <c r="H110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2025-06-13T06:25:55Z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