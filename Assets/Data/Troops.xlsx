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<sst xmlns="http://schemas.openxmlformats.org/spreadsheetml/2006/main" count="8" uniqueCount="8">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</sst>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5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8" fillId="27" borderId="7" applyNumberFormat="0" applyAlignment="0" applyProtection="0">
      <alignment vertical="center"/>
    </xf>
    <xf numFmtId="0" fontId="19" fillId="0" borderId="1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7" fillId="27" borderId="4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7" fillId="12" borderId="2" applyNumberForma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5"/>
  <sheetViews>
    <sheetView tabSelected="1" topLeftCell="A10" workbookViewId="0">
      <selection activeCell="E30" sqref="E30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2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3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2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1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20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1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1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22</v>
      </c>
      <c r="F27">
        <v>1</v>
      </c>
      <c r="G27">
        <v>0</v>
      </c>
      <c r="H27">
        <v>0</v>
      </c>
    </row>
    <row r="28" spans="1:8">
      <c r="A28">
        <v>5010</v>
      </c>
      <c r="B28">
        <v>5010</v>
      </c>
      <c r="C28">
        <v>8</v>
      </c>
      <c r="D28" t="str">
        <f>INDEX([1]TextData!B:B,MATCH(C28,[1]TextData!A:A))</f>
        <v>シールド</v>
      </c>
      <c r="E28">
        <v>25</v>
      </c>
      <c r="F28">
        <v>1</v>
      </c>
      <c r="G28">
        <v>0</v>
      </c>
      <c r="H28">
        <v>0</v>
      </c>
    </row>
    <row r="29" spans="1:8">
      <c r="A29">
        <v>5010</v>
      </c>
      <c r="B29">
        <v>5010</v>
      </c>
      <c r="C29">
        <v>105</v>
      </c>
      <c r="D29" t="str">
        <f>INDEX([1]TextData!B:B,MATCH(C29,[1]TextData!A:A))</f>
        <v>ビフロンス</v>
      </c>
      <c r="E29">
        <v>30</v>
      </c>
      <c r="F29">
        <v>1</v>
      </c>
      <c r="G29">
        <v>0</v>
      </c>
      <c r="H29">
        <v>0</v>
      </c>
    </row>
    <row r="30" spans="1:8">
      <c r="A30">
        <v>5010</v>
      </c>
      <c r="B30">
        <v>5010</v>
      </c>
      <c r="C30">
        <v>8</v>
      </c>
      <c r="D30" t="str">
        <f>INDEX([1]TextData!B:B,MATCH(C30,[1]TextData!A:A))</f>
        <v>シールド</v>
      </c>
      <c r="E30">
        <v>25</v>
      </c>
      <c r="F30">
        <v>1</v>
      </c>
      <c r="G30">
        <v>0</v>
      </c>
      <c r="H30">
        <v>0</v>
      </c>
    </row>
    <row r="31" spans="1:8">
      <c r="A31">
        <v>20010</v>
      </c>
      <c r="B31">
        <v>20010</v>
      </c>
      <c r="C31">
        <v>4</v>
      </c>
      <c r="D31" t="str">
        <f>INDEX([1]TextData!B:B,MATCH(C31,[1]TextData!A:A))</f>
        <v>ウルフ</v>
      </c>
      <c r="E31">
        <v>12</v>
      </c>
      <c r="F31">
        <v>0</v>
      </c>
      <c r="G31">
        <v>0</v>
      </c>
      <c r="H31">
        <v>0</v>
      </c>
    </row>
    <row r="32" spans="1:8">
      <c r="A32">
        <v>20010</v>
      </c>
      <c r="B32">
        <v>20010</v>
      </c>
      <c r="C32">
        <v>101</v>
      </c>
      <c r="D32" t="str">
        <f>INDEX([1]TextData!B:B,MATCH(C32,[1]TextData!A:A))</f>
        <v>アモン</v>
      </c>
      <c r="E32">
        <v>15</v>
      </c>
      <c r="F32">
        <v>1</v>
      </c>
      <c r="G32">
        <v>0</v>
      </c>
      <c r="H32">
        <v>0</v>
      </c>
    </row>
    <row r="33" spans="1:8">
      <c r="A33">
        <v>20020</v>
      </c>
      <c r="B33">
        <v>20020</v>
      </c>
      <c r="C33">
        <v>13</v>
      </c>
      <c r="D33" t="str">
        <f>INDEX([1]TextData!B:B,MATCH(C33,[1]TextData!A:A))</f>
        <v>インプ</v>
      </c>
      <c r="E33">
        <v>20</v>
      </c>
      <c r="F33">
        <v>0</v>
      </c>
      <c r="G33">
        <v>0</v>
      </c>
      <c r="H33">
        <v>0</v>
      </c>
    </row>
    <row r="34" spans="1:8">
      <c r="A34">
        <v>20020</v>
      </c>
      <c r="B34">
        <v>20020</v>
      </c>
      <c r="C34">
        <v>103</v>
      </c>
      <c r="D34" t="str">
        <f>INDEX([1]TextData!B:B,MATCH(C34,[1]TextData!A:A))</f>
        <v>パイモン</v>
      </c>
      <c r="E34">
        <v>25</v>
      </c>
      <c r="F34">
        <v>1</v>
      </c>
      <c r="G34">
        <v>0</v>
      </c>
      <c r="H34">
        <v>0</v>
      </c>
    </row>
    <row r="35" spans="1:8">
      <c r="A35">
        <v>20020</v>
      </c>
      <c r="B35">
        <v>20020</v>
      </c>
      <c r="C35">
        <v>6</v>
      </c>
      <c r="D35" t="str">
        <f>INDEX([1]TextData!B:B,MATCH(C35,[1]TextData!A:A))</f>
        <v>ネームレス</v>
      </c>
      <c r="E35">
        <v>20</v>
      </c>
      <c r="F35">
        <v>0</v>
      </c>
      <c r="G35">
        <v>0</v>
      </c>
      <c r="H35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2025-10-08T06:50:00Z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