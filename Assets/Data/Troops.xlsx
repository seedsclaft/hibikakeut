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<sst xmlns="http://schemas.openxmlformats.org/spreadsheetml/2006/main" count="8" uniqueCount="8">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</sst>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7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6" fillId="14" borderId="3" applyNumberFormat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0" fillId="8" borderId="4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5"/>
  <sheetViews>
    <sheetView tabSelected="1" workbookViewId="0">
      <selection activeCell="E16" sqref="E16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7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10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7</v>
      </c>
      <c r="F15">
        <v>0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10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10</v>
      </c>
      <c r="F17">
        <v>1</v>
      </c>
      <c r="G17">
        <v>0</v>
      </c>
      <c r="H17">
        <v>0</v>
      </c>
    </row>
    <row r="18" spans="1:8">
      <c r="A18">
        <v>3020</v>
      </c>
      <c r="B18">
        <v>3020</v>
      </c>
      <c r="C18">
        <v>13</v>
      </c>
      <c r="D18" t="str">
        <f>INDEX([1]TextData!B:B,MATCH(C18,[1]TextData!A:A))</f>
        <v>インプ</v>
      </c>
      <c r="E18">
        <v>10</v>
      </c>
      <c r="F18">
        <v>0</v>
      </c>
      <c r="G18">
        <v>0</v>
      </c>
      <c r="H18">
        <v>0</v>
      </c>
    </row>
    <row r="19" spans="1:8">
      <c r="A19">
        <v>3020</v>
      </c>
      <c r="B19">
        <v>3020</v>
      </c>
      <c r="C19">
        <v>15</v>
      </c>
      <c r="D19" t="str">
        <f>INDEX([1]TextData!B:B,MATCH(C19,[1]TextData!A:A))</f>
        <v>ソード</v>
      </c>
      <c r="E19">
        <v>15</v>
      </c>
      <c r="F19">
        <v>1</v>
      </c>
      <c r="G19">
        <v>0</v>
      </c>
      <c r="H19">
        <v>0</v>
      </c>
    </row>
    <row r="20" spans="1:8">
      <c r="A20">
        <v>3020</v>
      </c>
      <c r="B20">
        <v>3020</v>
      </c>
      <c r="C20">
        <v>13</v>
      </c>
      <c r="D20" t="str">
        <f>INDEX([1]TextData!B:B,MATCH(C20,[1]TextData!A:A))</f>
        <v>インプ</v>
      </c>
      <c r="E20">
        <v>10</v>
      </c>
      <c r="F20">
        <v>0</v>
      </c>
      <c r="G20">
        <v>0</v>
      </c>
      <c r="H20">
        <v>0</v>
      </c>
    </row>
    <row r="21" spans="1:8">
      <c r="A21">
        <v>3030</v>
      </c>
      <c r="B21">
        <v>3030</v>
      </c>
      <c r="C21">
        <v>2</v>
      </c>
      <c r="D21" t="str">
        <f>INDEX([1]TextData!B:B,MATCH(C21,[1]TextData!A:A))</f>
        <v>カースド</v>
      </c>
      <c r="E21">
        <v>12</v>
      </c>
      <c r="F21">
        <v>0</v>
      </c>
      <c r="G21">
        <v>0</v>
      </c>
      <c r="H21">
        <v>0</v>
      </c>
    </row>
    <row r="22" spans="1:8">
      <c r="A22">
        <v>3030</v>
      </c>
      <c r="B22">
        <v>3030</v>
      </c>
      <c r="C22">
        <v>12</v>
      </c>
      <c r="D22" t="str">
        <f>INDEX([1]TextData!B:B,MATCH(C22,[1]TextData!A:A))</f>
        <v>クリーパー</v>
      </c>
      <c r="E22">
        <v>12</v>
      </c>
      <c r="F22">
        <v>0</v>
      </c>
      <c r="G22">
        <v>0</v>
      </c>
      <c r="H22">
        <v>0</v>
      </c>
    </row>
    <row r="23" spans="1:8">
      <c r="A23">
        <v>3030</v>
      </c>
      <c r="B23">
        <v>3030</v>
      </c>
      <c r="C23">
        <v>14</v>
      </c>
      <c r="D23" t="str">
        <f>INDEX([1]TextData!B:B,MATCH(C23,[1]TextData!A:A))</f>
        <v>ゴーストアーマー</v>
      </c>
      <c r="E23">
        <v>12</v>
      </c>
      <c r="F23">
        <v>0</v>
      </c>
      <c r="G23">
        <v>0</v>
      </c>
      <c r="H23">
        <v>0</v>
      </c>
    </row>
    <row r="24" spans="1:8">
      <c r="A24">
        <v>3040</v>
      </c>
      <c r="B24">
        <v>3040</v>
      </c>
      <c r="C24">
        <v>15</v>
      </c>
      <c r="D24" t="str">
        <f>INDEX([1]TextData!B:B,MATCH(C24,[1]TextData!A:A))</f>
        <v>ソード</v>
      </c>
      <c r="E24">
        <v>12</v>
      </c>
      <c r="F24">
        <v>0</v>
      </c>
      <c r="G24">
        <v>0</v>
      </c>
      <c r="H24">
        <v>0</v>
      </c>
    </row>
    <row r="25" spans="1:8">
      <c r="A25">
        <v>3040</v>
      </c>
      <c r="B25">
        <v>3040</v>
      </c>
      <c r="C25">
        <v>12</v>
      </c>
      <c r="D25" t="str">
        <f>INDEX([1]TextData!B:B,MATCH(C25,[1]TextData!A:A))</f>
        <v>クリーパー</v>
      </c>
      <c r="E25">
        <v>12</v>
      </c>
      <c r="F25">
        <v>0</v>
      </c>
      <c r="G25">
        <v>0</v>
      </c>
      <c r="H25">
        <v>0</v>
      </c>
    </row>
    <row r="26" spans="1:8">
      <c r="A26">
        <v>3040</v>
      </c>
      <c r="B26">
        <v>3040</v>
      </c>
      <c r="C26">
        <v>14</v>
      </c>
      <c r="D26" t="str">
        <f>INDEX([1]TextData!B:B,MATCH(C26,[1]TextData!A:A))</f>
        <v>ゴーストアーマー</v>
      </c>
      <c r="E26">
        <v>12</v>
      </c>
      <c r="F26">
        <v>0</v>
      </c>
      <c r="G26">
        <v>0</v>
      </c>
      <c r="H26">
        <v>0</v>
      </c>
    </row>
    <row r="27" spans="1:8">
      <c r="A27">
        <v>20010</v>
      </c>
      <c r="B27">
        <v>20010</v>
      </c>
      <c r="C27">
        <v>4</v>
      </c>
      <c r="D27" t="str">
        <f>INDEX([1]TextData!B:B,MATCH(C27,[1]TextData!A:A))</f>
        <v>ウルフ</v>
      </c>
      <c r="E27">
        <v>6</v>
      </c>
      <c r="F27">
        <v>0</v>
      </c>
      <c r="G27">
        <v>0</v>
      </c>
      <c r="H27">
        <v>0</v>
      </c>
    </row>
    <row r="28" spans="1:8">
      <c r="A28">
        <v>20010</v>
      </c>
      <c r="B28">
        <v>20010</v>
      </c>
      <c r="C28">
        <v>9</v>
      </c>
      <c r="D28" t="str">
        <f>INDEX([1]TextData!B:B,MATCH(C28,[1]TextData!A:A))</f>
        <v>ドライアド</v>
      </c>
      <c r="E28">
        <v>6</v>
      </c>
      <c r="F28">
        <v>1</v>
      </c>
      <c r="G28">
        <v>0</v>
      </c>
      <c r="H28">
        <v>0</v>
      </c>
    </row>
    <row r="29" spans="1:8">
      <c r="A29">
        <v>20010</v>
      </c>
      <c r="B29">
        <v>20010</v>
      </c>
      <c r="C29">
        <v>4</v>
      </c>
      <c r="D29" t="str">
        <f>INDEX([1]TextData!B:B,MATCH(C29,[1]TextData!A:A))</f>
        <v>ウルフ</v>
      </c>
      <c r="E29">
        <v>6</v>
      </c>
      <c r="F29">
        <v>0</v>
      </c>
      <c r="G29">
        <v>0</v>
      </c>
      <c r="H29">
        <v>0</v>
      </c>
    </row>
    <row r="30" spans="1:8">
      <c r="A30">
        <v>20020</v>
      </c>
      <c r="B30">
        <v>20020</v>
      </c>
      <c r="C30">
        <v>9</v>
      </c>
      <c r="D30" t="str">
        <f>INDEX([1]TextData!B:B,MATCH(C30,[1]TextData!A:A))</f>
        <v>ドライアド</v>
      </c>
      <c r="E30">
        <v>8</v>
      </c>
      <c r="F30">
        <v>0</v>
      </c>
      <c r="G30">
        <v>0</v>
      </c>
      <c r="H30">
        <v>0</v>
      </c>
    </row>
    <row r="31" spans="1:8">
      <c r="A31">
        <v>20020</v>
      </c>
      <c r="B31">
        <v>20020</v>
      </c>
      <c r="C31">
        <v>15</v>
      </c>
      <c r="D31" t="str">
        <f>INDEX([1]TextData!B:B,MATCH(C31,[1]TextData!A:A))</f>
        <v>ソード</v>
      </c>
      <c r="E31">
        <v>8</v>
      </c>
      <c r="F31">
        <v>1</v>
      </c>
      <c r="G31">
        <v>0</v>
      </c>
      <c r="H31">
        <v>0</v>
      </c>
    </row>
    <row r="32" spans="1:8">
      <c r="A32">
        <v>20020</v>
      </c>
      <c r="B32">
        <v>20020</v>
      </c>
      <c r="C32">
        <v>9</v>
      </c>
      <c r="D32" t="str">
        <f>INDEX([1]TextData!B:B,MATCH(C32,[1]TextData!A:A))</f>
        <v>ドライアド</v>
      </c>
      <c r="E32">
        <v>8</v>
      </c>
      <c r="F32">
        <v>0</v>
      </c>
      <c r="G32">
        <v>0</v>
      </c>
      <c r="H32">
        <v>0</v>
      </c>
    </row>
    <row r="33" spans="1:8">
      <c r="A33">
        <v>20030</v>
      </c>
      <c r="B33">
        <v>20030</v>
      </c>
      <c r="C33">
        <v>4</v>
      </c>
      <c r="D33" t="str">
        <f>INDEX([1]TextData!B:B,MATCH(C33,[1]TextData!A:A))</f>
        <v>ウルフ</v>
      </c>
      <c r="E33">
        <v>10</v>
      </c>
      <c r="F33">
        <v>0</v>
      </c>
      <c r="G33">
        <v>0</v>
      </c>
      <c r="H33">
        <v>0</v>
      </c>
    </row>
    <row r="34" spans="1:8">
      <c r="A34">
        <v>20030</v>
      </c>
      <c r="B34">
        <v>20030</v>
      </c>
      <c r="C34">
        <v>102</v>
      </c>
      <c r="D34" t="str">
        <f>INDEX([1]TextData!B:B,MATCH(C34,[1]TextData!A:A))</f>
        <v>ベリト</v>
      </c>
      <c r="E34">
        <v>10</v>
      </c>
      <c r="F34">
        <v>1</v>
      </c>
      <c r="G34">
        <v>0</v>
      </c>
      <c r="H34">
        <v>0</v>
      </c>
    </row>
    <row r="35" spans="1:8">
      <c r="A35">
        <v>20030</v>
      </c>
      <c r="B35">
        <v>20030</v>
      </c>
      <c r="C35">
        <v>4</v>
      </c>
      <c r="D35" t="str">
        <f>INDEX([1]TextData!B:B,MATCH(C35,[1]TextData!A:A))</f>
        <v>ウルフ</v>
      </c>
      <c r="E35">
        <v>10</v>
      </c>
      <c r="F35">
        <v>0</v>
      </c>
      <c r="G35">
        <v>0</v>
      </c>
      <c r="H35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2025-06-26T14:06:18Z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