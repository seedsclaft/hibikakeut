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Troops" sheetId="1" r:id="rId1"/>
  </sheets>
  <externalReferences>
    <externalReference r:id="rId2"/>
  </externalReferences>
  <calcPr calcId="144525" concurrentCalc="0"/>
</workbook>
</file>

<file path=xl/sharedStrings.xml><?xml version="1.0" encoding="utf-8"?>
<sst xmlns="http://schemas.openxmlformats.org/spreadsheetml/2006/main" count="8" uniqueCount="8">
  <si>
    <t>Id</t>
  </si>
  <si>
    <t>TroopId</t>
  </si>
  <si>
    <t>EnemyId</t>
  </si>
  <si>
    <t>Enemy</t>
  </si>
  <si>
    <t>Lv</t>
  </si>
  <si>
    <t>BossFlag</t>
  </si>
  <si>
    <t>Line</t>
  </si>
  <si>
    <t>StageTurn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</si>
</sst>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m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mies"/>
      <sheetName val="Learning"/>
      <sheetName val="Triggers"/>
      <sheetName val="TextData"/>
      <sheetName val="Define"/>
    </sheetNames>
    <sheetDataSet>
      <sheetData sheetId="0"/>
      <sheetData sheetId="1"/>
      <sheetData sheetId="2"/>
      <sheetData sheetId="3">
        <row r="1">
          <cell r="A1" t="str">
            <v>Id</v>
          </cell>
          <cell r="B1" t="str">
            <v>Text</v>
          </cell>
        </row>
        <row r="2">
          <cell r="A2">
            <v>1</v>
          </cell>
          <cell r="B2" t="str">
            <v>ネレイドジェム</v>
          </cell>
        </row>
        <row r="3">
          <cell r="A3">
            <v>2</v>
          </cell>
          <cell r="B3" t="str">
            <v>カースド</v>
          </cell>
        </row>
        <row r="4">
          <cell r="A4">
            <v>3</v>
          </cell>
          <cell r="B4" t="str">
            <v>ビー</v>
          </cell>
        </row>
        <row r="5">
          <cell r="A5">
            <v>4</v>
          </cell>
          <cell r="B5" t="str">
            <v>ウルフ</v>
          </cell>
        </row>
        <row r="6">
          <cell r="A6">
            <v>5</v>
          </cell>
          <cell r="B6" t="str">
            <v>クロウ</v>
          </cell>
        </row>
        <row r="7">
          <cell r="A7">
            <v>6</v>
          </cell>
          <cell r="B7" t="str">
            <v>ゴーストアーマー</v>
          </cell>
        </row>
        <row r="8">
          <cell r="A8">
            <v>7</v>
          </cell>
          <cell r="B8" t="str">
            <v>サーチャー</v>
          </cell>
        </row>
        <row r="9">
          <cell r="A9">
            <v>8</v>
          </cell>
          <cell r="B9" t="str">
            <v>シールド</v>
          </cell>
        </row>
        <row r="10">
          <cell r="A10">
            <v>9</v>
          </cell>
          <cell r="B10" t="str">
            <v>ドライアド</v>
          </cell>
        </row>
        <row r="11">
          <cell r="A11">
            <v>10</v>
          </cell>
          <cell r="B11" t="str">
            <v>スコーピオン</v>
          </cell>
        </row>
        <row r="12">
          <cell r="A12">
            <v>11</v>
          </cell>
          <cell r="B12" t="str">
            <v>スクイッド</v>
          </cell>
        </row>
        <row r="13">
          <cell r="A13">
            <v>12</v>
          </cell>
          <cell r="B13" t="str">
            <v>ネームレス</v>
          </cell>
        </row>
        <row r="14">
          <cell r="A14">
            <v>13</v>
          </cell>
          <cell r="B14" t="str">
            <v>インプ</v>
          </cell>
        </row>
        <row r="15">
          <cell r="A15">
            <v>14</v>
          </cell>
          <cell r="B15" t="str">
            <v>クリーパー</v>
          </cell>
        </row>
        <row r="16">
          <cell r="A16">
            <v>15</v>
          </cell>
          <cell r="B16" t="str">
            <v>ソード</v>
          </cell>
        </row>
        <row r="17">
          <cell r="A17">
            <v>51</v>
          </cell>
          <cell r="B17" t="str">
            <v>オーガ</v>
          </cell>
        </row>
        <row r="18">
          <cell r="A18">
            <v>101</v>
          </cell>
          <cell r="B18" t="str">
            <v>アンドラス</v>
          </cell>
        </row>
        <row r="19">
          <cell r="A19">
            <v>102</v>
          </cell>
          <cell r="B19" t="str">
            <v>ベリト</v>
          </cell>
        </row>
        <row r="20">
          <cell r="A20">
            <v>103</v>
          </cell>
          <cell r="B20" t="str">
            <v>パイモン</v>
          </cell>
        </row>
        <row r="21">
          <cell r="A21">
            <v>104</v>
          </cell>
          <cell r="B21" t="str">
            <v>アモン</v>
          </cell>
        </row>
        <row r="22">
          <cell r="A22">
            <v>105</v>
          </cell>
          <cell r="B22" t="str">
            <v>ビフロンス</v>
          </cell>
        </row>
        <row r="23">
          <cell r="A23">
            <v>106</v>
          </cell>
          <cell r="B23" t="str">
            <v>アイホート</v>
          </cell>
        </row>
        <row r="24">
          <cell r="A24">
            <v>107</v>
          </cell>
          <cell r="B24" t="str">
            <v>ビヤーキー</v>
          </cell>
        </row>
        <row r="25">
          <cell r="A25">
            <v>201</v>
          </cell>
          <cell r="B25" t="str">
            <v>ファフニール</v>
          </cell>
        </row>
        <row r="26">
          <cell r="A26">
            <v>202</v>
          </cell>
          <cell r="B26" t="str">
            <v>ザガン</v>
          </cell>
        </row>
        <row r="27">
          <cell r="A27">
            <v>203</v>
          </cell>
          <cell r="B27" t="str">
            <v>アスタロト</v>
          </cell>
        </row>
        <row r="28">
          <cell r="A28">
            <v>204</v>
          </cell>
          <cell r="B28" t="str">
            <v>デカラビア</v>
          </cell>
        </row>
        <row r="29">
          <cell r="A29">
            <v>205</v>
          </cell>
          <cell r="B29" t="str">
            <v>インドラ</v>
          </cell>
        </row>
        <row r="30">
          <cell r="A30">
            <v>206</v>
          </cell>
          <cell r="B30" t="str">
            <v>ズルワーン</v>
          </cell>
        </row>
        <row r="31">
          <cell r="A31">
            <v>207</v>
          </cell>
          <cell r="B31" t="str">
            <v>アンリマユ</v>
          </cell>
        </row>
        <row r="32">
          <cell r="A32">
            <v>301</v>
          </cell>
          <cell r="B32" t="str">
            <v>デビルドラゴン</v>
          </cell>
        </row>
        <row r="33">
          <cell r="A33">
            <v>1001</v>
          </cell>
          <cell r="B33" t="str">
            <v>ミカ</v>
          </cell>
        </row>
        <row r="34">
          <cell r="A34">
            <v>1002</v>
          </cell>
          <cell r="B34" t="str">
            <v>エリザベート</v>
          </cell>
        </row>
        <row r="35">
          <cell r="A35">
            <v>1003</v>
          </cell>
          <cell r="B35" t="str">
            <v>アリエス</v>
          </cell>
        </row>
        <row r="36">
          <cell r="A36">
            <v>1004</v>
          </cell>
          <cell r="B36" t="str">
            <v>シイナ</v>
          </cell>
        </row>
        <row r="37">
          <cell r="A37">
            <v>1005</v>
          </cell>
          <cell r="B37" t="str">
            <v>レダ</v>
          </cell>
        </row>
        <row r="38">
          <cell r="A38">
            <v>1006</v>
          </cell>
          <cell r="B38" t="str">
            <v>リシェリ</v>
          </cell>
        </row>
        <row r="39">
          <cell r="A39">
            <v>1007</v>
          </cell>
          <cell r="B39" t="str">
            <v>ユニ</v>
          </cell>
        </row>
        <row r="40">
          <cell r="A40">
            <v>1008</v>
          </cell>
          <cell r="B40" t="str">
            <v>マリーベル</v>
          </cell>
        </row>
        <row r="41">
          <cell r="A41">
            <v>1009</v>
          </cell>
          <cell r="B41" t="str">
            <v>ナツキ</v>
          </cell>
        </row>
        <row r="42">
          <cell r="A42">
            <v>1010</v>
          </cell>
          <cell r="B42" t="str">
            <v>メリアドール</v>
          </cell>
        </row>
        <row r="43">
          <cell r="A43">
            <v>1011</v>
          </cell>
          <cell r="B43" t="str">
            <v>セリナ</v>
          </cell>
        </row>
        <row r="44">
          <cell r="A44">
            <v>1101</v>
          </cell>
          <cell r="B44" t="str">
            <v>シグルド</v>
          </cell>
        </row>
        <row r="45">
          <cell r="A45">
            <v>1102</v>
          </cell>
          <cell r="B45" t="str">
            <v>ブリュンヒルデ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zoomScale="110" zoomScaleNormal="110" topLeftCell="A31" workbookViewId="0">
      <selection activeCell="C40" sqref="C40"/>
    </sheetView>
  </sheetViews>
  <sheetFormatPr defaultColWidth="8.72727272727273" defaultRowHeight="13" outlineLevelCol="7"/>
  <cols>
    <col min="2" max="2" width="9.54545454545454"/>
    <col min="4" max="4" width="16.5454545454545" customWidth="1"/>
    <col min="8" max="8" width="10.2727272727273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4</v>
      </c>
      <c r="D2" t="str">
        <f>INDEX([1]TextData!B:B,MATCH(C2,[1]TextData!A:A))</f>
        <v>ウルフ</v>
      </c>
      <c r="E2">
        <v>40</v>
      </c>
      <c r="F2">
        <v>0</v>
      </c>
      <c r="G2">
        <v>0</v>
      </c>
      <c r="H2">
        <v>0</v>
      </c>
    </row>
    <row r="3" spans="1:8">
      <c r="A3">
        <v>1</v>
      </c>
      <c r="B3">
        <v>1</v>
      </c>
      <c r="C3">
        <v>14</v>
      </c>
      <c r="D3" t="str">
        <f>INDEX([1]TextData!B:B,MATCH(C3,[1]TextData!A:A))</f>
        <v>クリーパー</v>
      </c>
      <c r="E3">
        <v>40</v>
      </c>
      <c r="F3">
        <v>0</v>
      </c>
      <c r="G3">
        <v>1</v>
      </c>
      <c r="H3">
        <v>0</v>
      </c>
    </row>
    <row r="4" spans="1:8">
      <c r="A4">
        <v>1</v>
      </c>
      <c r="B4">
        <v>1</v>
      </c>
      <c r="C4">
        <v>7</v>
      </c>
      <c r="D4" t="str">
        <f>INDEX([1]TextData!B:B,MATCH(C4,[1]TextData!A:A))</f>
        <v>サーチャー</v>
      </c>
      <c r="E4">
        <v>40</v>
      </c>
      <c r="F4">
        <v>0</v>
      </c>
      <c r="G4">
        <v>2</v>
      </c>
      <c r="H4">
        <v>0</v>
      </c>
    </row>
    <row r="5" spans="1:8">
      <c r="A5">
        <v>2</v>
      </c>
      <c r="B5">
        <v>402</v>
      </c>
      <c r="C5">
        <v>4</v>
      </c>
      <c r="D5" t="str">
        <f>INDEX([1]TextData!B:B,MATCH(C5,[1]TextData!A:A))</f>
        <v>ウルフ</v>
      </c>
      <c r="E5">
        <v>1</v>
      </c>
      <c r="F5">
        <v>0</v>
      </c>
      <c r="G5">
        <v>0</v>
      </c>
      <c r="H5">
        <v>0</v>
      </c>
    </row>
    <row r="6" spans="1:8">
      <c r="A6">
        <v>3</v>
      </c>
      <c r="B6">
        <v>402</v>
      </c>
      <c r="C6">
        <v>4</v>
      </c>
      <c r="D6" t="str">
        <f>INDEX([1]TextData!B:B,MATCH(C6,[1]TextData!A:A))</f>
        <v>ウルフ</v>
      </c>
      <c r="E6">
        <v>1</v>
      </c>
      <c r="F6">
        <v>0</v>
      </c>
      <c r="G6">
        <v>1</v>
      </c>
      <c r="H6">
        <v>0</v>
      </c>
    </row>
    <row r="7" spans="1:8">
      <c r="A7">
        <v>4</v>
      </c>
      <c r="B7">
        <v>402</v>
      </c>
      <c r="C7">
        <v>4</v>
      </c>
      <c r="D7" t="str">
        <f>INDEX([1]TextData!B:B,MATCH(C7,[1]TextData!A:A))</f>
        <v>ウルフ</v>
      </c>
      <c r="E7">
        <v>1</v>
      </c>
      <c r="F7">
        <v>0</v>
      </c>
      <c r="G7">
        <v>2</v>
      </c>
      <c r="H7">
        <v>0</v>
      </c>
    </row>
    <row r="8" spans="1:8">
      <c r="A8">
        <v>5</v>
      </c>
      <c r="B8">
        <v>402</v>
      </c>
      <c r="C8">
        <v>4</v>
      </c>
      <c r="D8" t="str">
        <f>INDEX([1]TextData!B:B,MATCH(C8,[1]TextData!A:A))</f>
        <v>ウルフ</v>
      </c>
      <c r="E8">
        <v>1</v>
      </c>
      <c r="F8">
        <v>0</v>
      </c>
      <c r="G8">
        <v>3</v>
      </c>
      <c r="H8">
        <v>0</v>
      </c>
    </row>
    <row r="9" spans="1:8">
      <c r="A9">
        <v>1010</v>
      </c>
      <c r="B9">
        <v>1010</v>
      </c>
      <c r="C9">
        <v>4</v>
      </c>
      <c r="D9" t="str">
        <f>INDEX([1]TextData!B:B,MATCH(C9,[1]TextData!A:A))</f>
        <v>ウルフ</v>
      </c>
      <c r="E9">
        <v>1</v>
      </c>
      <c r="F9">
        <v>0</v>
      </c>
      <c r="G9">
        <v>0</v>
      </c>
      <c r="H9">
        <v>0</v>
      </c>
    </row>
    <row r="10" spans="1:8">
      <c r="A10">
        <v>1020</v>
      </c>
      <c r="B10">
        <v>1020</v>
      </c>
      <c r="C10">
        <v>1</v>
      </c>
      <c r="D10" t="str">
        <f>INDEX([1]TextData!B:B,MATCH(C10,[1]TextData!A:A))</f>
        <v>ネレイドジェム</v>
      </c>
      <c r="E10">
        <v>3</v>
      </c>
      <c r="F10">
        <v>0</v>
      </c>
      <c r="G10">
        <v>0</v>
      </c>
      <c r="H10">
        <v>0</v>
      </c>
    </row>
    <row r="11" spans="1:8">
      <c r="A11">
        <v>1020</v>
      </c>
      <c r="B11">
        <v>1020</v>
      </c>
      <c r="C11">
        <v>3</v>
      </c>
      <c r="D11" t="str">
        <f>INDEX([1]TextData!B:B,MATCH(C11,[1]TextData!A:A))</f>
        <v>ビー</v>
      </c>
      <c r="E11">
        <v>5</v>
      </c>
      <c r="F11">
        <v>1</v>
      </c>
      <c r="G11">
        <v>1</v>
      </c>
      <c r="H11">
        <v>0</v>
      </c>
    </row>
    <row r="12" spans="1:8">
      <c r="A12">
        <v>1020</v>
      </c>
      <c r="B12">
        <v>1020</v>
      </c>
      <c r="C12">
        <v>1</v>
      </c>
      <c r="D12" t="str">
        <f>INDEX([1]TextData!B:B,MATCH(C12,[1]TextData!A:A))</f>
        <v>ネレイドジェム</v>
      </c>
      <c r="E12">
        <v>3</v>
      </c>
      <c r="F12">
        <v>0</v>
      </c>
      <c r="G12">
        <v>2</v>
      </c>
      <c r="H12">
        <v>0</v>
      </c>
    </row>
    <row r="13" spans="1:8">
      <c r="A13">
        <v>2010</v>
      </c>
      <c r="B13">
        <v>2010</v>
      </c>
      <c r="C13">
        <v>3</v>
      </c>
      <c r="D13" t="str">
        <f>INDEX([1]TextData!B:B,MATCH(C13,[1]TextData!A:A))</f>
        <v>ビー</v>
      </c>
      <c r="E13">
        <v>10</v>
      </c>
      <c r="F13">
        <v>0</v>
      </c>
      <c r="G13">
        <v>0</v>
      </c>
      <c r="H13">
        <v>0</v>
      </c>
    </row>
    <row r="14" spans="1:8">
      <c r="A14">
        <v>2010</v>
      </c>
      <c r="B14">
        <v>2010</v>
      </c>
      <c r="C14">
        <v>51</v>
      </c>
      <c r="D14" t="str">
        <f>INDEX([1]TextData!B:B,MATCH(C14,[1]TextData!A:A))</f>
        <v>オーガ</v>
      </c>
      <c r="E14">
        <v>10</v>
      </c>
      <c r="F14">
        <v>1</v>
      </c>
      <c r="G14">
        <v>1</v>
      </c>
      <c r="H14">
        <v>0</v>
      </c>
    </row>
    <row r="15" spans="1:8">
      <c r="A15">
        <v>2010</v>
      </c>
      <c r="B15">
        <v>2010</v>
      </c>
      <c r="C15">
        <v>7</v>
      </c>
      <c r="D15" t="str">
        <f>INDEX([1]TextData!B:B,MATCH(C15,[1]TextData!A:A))</f>
        <v>サーチャー</v>
      </c>
      <c r="E15">
        <v>10</v>
      </c>
      <c r="F15">
        <v>0</v>
      </c>
      <c r="G15">
        <v>2</v>
      </c>
      <c r="H15">
        <v>0</v>
      </c>
    </row>
    <row r="16" spans="1:8">
      <c r="A16">
        <v>2020</v>
      </c>
      <c r="B16">
        <v>2020</v>
      </c>
      <c r="C16">
        <v>7</v>
      </c>
      <c r="D16" t="str">
        <f>INDEX([1]TextData!B:B,MATCH(C16,[1]TextData!A:A))</f>
        <v>サーチャー</v>
      </c>
      <c r="E16">
        <v>8</v>
      </c>
      <c r="F16">
        <v>1</v>
      </c>
      <c r="G16">
        <v>0</v>
      </c>
      <c r="H16">
        <v>0</v>
      </c>
    </row>
    <row r="17" spans="1:8">
      <c r="A17">
        <v>2020</v>
      </c>
      <c r="B17">
        <v>2020</v>
      </c>
      <c r="C17">
        <v>5</v>
      </c>
      <c r="D17" t="str">
        <f>INDEX([1]TextData!B:B,MATCH(C17,[1]TextData!A:A))</f>
        <v>クロウ</v>
      </c>
      <c r="E17">
        <v>11</v>
      </c>
      <c r="F17">
        <v>1</v>
      </c>
      <c r="G17">
        <v>1</v>
      </c>
      <c r="H17">
        <v>0</v>
      </c>
    </row>
    <row r="18" spans="1:8">
      <c r="A18">
        <v>2020</v>
      </c>
      <c r="B18">
        <v>2020</v>
      </c>
      <c r="C18">
        <v>1</v>
      </c>
      <c r="D18" t="str">
        <f>INDEX([1]TextData!B:B,MATCH(C18,[1]TextData!A:A))</f>
        <v>ネレイドジェム</v>
      </c>
      <c r="E18">
        <v>8</v>
      </c>
      <c r="F18">
        <v>1</v>
      </c>
      <c r="G18">
        <v>2</v>
      </c>
      <c r="H18">
        <v>0</v>
      </c>
    </row>
    <row r="19" spans="1:8">
      <c r="A19">
        <v>3010</v>
      </c>
      <c r="B19">
        <v>3010</v>
      </c>
      <c r="C19">
        <v>102</v>
      </c>
      <c r="D19" t="str">
        <f>INDEX([1]TextData!B:B,MATCH(C19,[1]TextData!A:A))</f>
        <v>ベリト</v>
      </c>
      <c r="E19">
        <v>20</v>
      </c>
      <c r="F19">
        <v>1</v>
      </c>
      <c r="G19">
        <v>1</v>
      </c>
      <c r="H19">
        <v>0</v>
      </c>
    </row>
    <row r="20" spans="1:8">
      <c r="A20">
        <v>3010</v>
      </c>
      <c r="B20">
        <v>3010</v>
      </c>
      <c r="C20">
        <v>12</v>
      </c>
      <c r="D20" t="str">
        <f>INDEX([1]TextData!B:B,MATCH(C20,[1]TextData!A:A))</f>
        <v>ネームレス</v>
      </c>
      <c r="E20">
        <v>15</v>
      </c>
      <c r="F20">
        <v>0</v>
      </c>
      <c r="G20">
        <v>3</v>
      </c>
      <c r="H20">
        <v>0</v>
      </c>
    </row>
    <row r="21" spans="1:8">
      <c r="A21">
        <v>3010</v>
      </c>
      <c r="B21">
        <v>3010</v>
      </c>
      <c r="C21">
        <v>12</v>
      </c>
      <c r="D21" t="str">
        <f>INDEX([1]TextData!B:B,MATCH(C21,[1]TextData!A:A))</f>
        <v>ネームレス</v>
      </c>
      <c r="E21">
        <v>15</v>
      </c>
      <c r="F21">
        <v>0</v>
      </c>
      <c r="G21">
        <v>4</v>
      </c>
      <c r="H21">
        <v>0</v>
      </c>
    </row>
    <row r="22" spans="1:8">
      <c r="A22">
        <v>3010</v>
      </c>
      <c r="B22">
        <v>3010</v>
      </c>
      <c r="C22">
        <v>12</v>
      </c>
      <c r="D22" t="str">
        <f>INDEX([1]TextData!B:B,MATCH(C22,[1]TextData!A:A))</f>
        <v>ネームレス</v>
      </c>
      <c r="E22">
        <v>15</v>
      </c>
      <c r="F22">
        <v>0</v>
      </c>
      <c r="G22">
        <v>5</v>
      </c>
      <c r="H22">
        <v>0</v>
      </c>
    </row>
    <row r="23" spans="1:8">
      <c r="A23">
        <v>3020</v>
      </c>
      <c r="B23">
        <v>3020</v>
      </c>
      <c r="C23">
        <v>1</v>
      </c>
      <c r="D23" t="str">
        <f>INDEX([1]TextData!B:B,MATCH(C23,[1]TextData!A:A))</f>
        <v>ネレイドジェム</v>
      </c>
      <c r="E23">
        <v>15</v>
      </c>
      <c r="F23">
        <v>0</v>
      </c>
      <c r="G23">
        <v>0</v>
      </c>
      <c r="H23">
        <v>0</v>
      </c>
    </row>
    <row r="24" spans="1:8">
      <c r="A24">
        <v>3020</v>
      </c>
      <c r="B24">
        <v>3020</v>
      </c>
      <c r="C24">
        <v>15</v>
      </c>
      <c r="D24" t="str">
        <f>INDEX([1]TextData!B:B,MATCH(C24,[1]TextData!A:A))</f>
        <v>ソード</v>
      </c>
      <c r="E24">
        <v>20</v>
      </c>
      <c r="F24">
        <v>1</v>
      </c>
      <c r="G24">
        <v>2</v>
      </c>
      <c r="H24">
        <v>0</v>
      </c>
    </row>
    <row r="25" spans="1:8">
      <c r="A25">
        <v>3020</v>
      </c>
      <c r="B25">
        <v>3020</v>
      </c>
      <c r="C25">
        <v>12</v>
      </c>
      <c r="D25" t="str">
        <f>INDEX([1]TextData!B:B,MATCH(C25,[1]TextData!A:A))</f>
        <v>ネームレス</v>
      </c>
      <c r="E25">
        <v>15</v>
      </c>
      <c r="F25">
        <v>0</v>
      </c>
      <c r="G25">
        <v>3</v>
      </c>
      <c r="H25">
        <v>0</v>
      </c>
    </row>
    <row r="26" spans="1:8">
      <c r="A26">
        <v>3020</v>
      </c>
      <c r="B26">
        <v>3020</v>
      </c>
      <c r="C26">
        <v>12</v>
      </c>
      <c r="D26" t="str">
        <f>INDEX([1]TextData!B:B,MATCH(C26,[1]TextData!A:A))</f>
        <v>ネームレス</v>
      </c>
      <c r="E26">
        <v>15</v>
      </c>
      <c r="F26">
        <v>0</v>
      </c>
      <c r="G26">
        <v>5</v>
      </c>
      <c r="H26">
        <v>0</v>
      </c>
    </row>
    <row r="27" spans="1:8">
      <c r="A27">
        <v>3030</v>
      </c>
      <c r="B27">
        <v>3030</v>
      </c>
      <c r="C27">
        <v>1</v>
      </c>
      <c r="D27" t="str">
        <f>INDEX([1]TextData!B:B,MATCH(C27,[1]TextData!A:A))</f>
        <v>ネレイドジェム</v>
      </c>
      <c r="E27">
        <v>15</v>
      </c>
      <c r="F27">
        <v>0</v>
      </c>
      <c r="G27">
        <v>0</v>
      </c>
      <c r="H27">
        <v>0</v>
      </c>
    </row>
    <row r="28" spans="1:8">
      <c r="A28">
        <v>3030</v>
      </c>
      <c r="B28">
        <v>3030</v>
      </c>
      <c r="C28">
        <v>1</v>
      </c>
      <c r="D28" t="str">
        <f>INDEX([1]TextData!B:B,MATCH(C28,[1]TextData!A:A))</f>
        <v>ネレイドジェム</v>
      </c>
      <c r="E28">
        <v>15</v>
      </c>
      <c r="F28">
        <v>0</v>
      </c>
      <c r="G28">
        <v>1</v>
      </c>
      <c r="H28">
        <v>0</v>
      </c>
    </row>
    <row r="29" spans="1:8">
      <c r="A29">
        <v>3030</v>
      </c>
      <c r="B29">
        <v>3030</v>
      </c>
      <c r="C29">
        <v>9</v>
      </c>
      <c r="D29" t="str">
        <f>INDEX([1]TextData!B:B,MATCH(C29,[1]TextData!A:A))</f>
        <v>ドライアド</v>
      </c>
      <c r="E29">
        <v>15</v>
      </c>
      <c r="F29">
        <v>0</v>
      </c>
      <c r="G29">
        <v>4</v>
      </c>
      <c r="H29">
        <v>0</v>
      </c>
    </row>
    <row r="30" spans="1:8">
      <c r="A30">
        <v>3030</v>
      </c>
      <c r="B30">
        <v>3030</v>
      </c>
      <c r="C30">
        <v>14</v>
      </c>
      <c r="D30" t="str">
        <f>INDEX([1]TextData!B:B,MATCH(C30,[1]TextData!A:A))</f>
        <v>クリーパー</v>
      </c>
      <c r="E30">
        <v>20</v>
      </c>
      <c r="F30">
        <v>1</v>
      </c>
      <c r="G30">
        <v>3</v>
      </c>
      <c r="H30">
        <v>0</v>
      </c>
    </row>
    <row r="31" spans="1:8">
      <c r="A31">
        <v>3040</v>
      </c>
      <c r="B31">
        <v>3040</v>
      </c>
      <c r="C31">
        <v>2</v>
      </c>
      <c r="D31" t="str">
        <f>INDEX([1]TextData!B:B,MATCH(C31,[1]TextData!A:A))</f>
        <v>カースド</v>
      </c>
      <c r="E31">
        <v>15</v>
      </c>
      <c r="F31">
        <v>0</v>
      </c>
      <c r="G31">
        <v>0</v>
      </c>
      <c r="H31">
        <v>0</v>
      </c>
    </row>
    <row r="32" spans="1:8">
      <c r="A32">
        <v>3040</v>
      </c>
      <c r="B32">
        <v>3040</v>
      </c>
      <c r="C32">
        <v>2</v>
      </c>
      <c r="D32" t="str">
        <f>INDEX([1]TextData!B:B,MATCH(C32,[1]TextData!A:A))</f>
        <v>カースド</v>
      </c>
      <c r="E32">
        <v>15</v>
      </c>
      <c r="F32">
        <v>0</v>
      </c>
      <c r="G32">
        <v>1</v>
      </c>
      <c r="H32">
        <v>0</v>
      </c>
    </row>
    <row r="33" spans="1:8">
      <c r="A33">
        <v>3040</v>
      </c>
      <c r="B33">
        <v>3040</v>
      </c>
      <c r="C33">
        <v>2</v>
      </c>
      <c r="D33" t="str">
        <f>INDEX([1]TextData!B:B,MATCH(C33,[1]TextData!A:A))</f>
        <v>カースド</v>
      </c>
      <c r="E33">
        <v>15</v>
      </c>
      <c r="F33">
        <v>0</v>
      </c>
      <c r="G33">
        <v>2</v>
      </c>
      <c r="H33">
        <v>0</v>
      </c>
    </row>
    <row r="34" spans="1:8">
      <c r="A34">
        <v>3040</v>
      </c>
      <c r="B34">
        <v>3040</v>
      </c>
      <c r="C34">
        <v>14</v>
      </c>
      <c r="D34" t="str">
        <f>INDEX([1]TextData!B:B,MATCH(C34,[1]TextData!A:A))</f>
        <v>クリーパー</v>
      </c>
      <c r="E34">
        <v>20</v>
      </c>
      <c r="F34">
        <v>1</v>
      </c>
      <c r="G34">
        <v>4</v>
      </c>
      <c r="H34">
        <v>0</v>
      </c>
    </row>
    <row r="35" spans="1:8">
      <c r="A35">
        <v>3050</v>
      </c>
      <c r="B35">
        <v>3050</v>
      </c>
      <c r="C35">
        <v>2</v>
      </c>
      <c r="D35" t="str">
        <f>INDEX([1]TextData!B:B,MATCH(C35,[1]TextData!A:A))</f>
        <v>カースド</v>
      </c>
      <c r="E35">
        <v>15</v>
      </c>
      <c r="F35">
        <v>1</v>
      </c>
      <c r="G35">
        <v>0</v>
      </c>
      <c r="H35">
        <v>0</v>
      </c>
    </row>
    <row r="36" spans="1:8">
      <c r="A36">
        <v>3050</v>
      </c>
      <c r="B36">
        <v>3050</v>
      </c>
      <c r="C36">
        <v>2</v>
      </c>
      <c r="D36" t="str">
        <f>INDEX([1]TextData!B:B,MATCH(C36,[1]TextData!A:A))</f>
        <v>カースド</v>
      </c>
      <c r="E36">
        <v>15</v>
      </c>
      <c r="F36">
        <v>0</v>
      </c>
      <c r="G36">
        <v>1</v>
      </c>
      <c r="H36">
        <v>0</v>
      </c>
    </row>
    <row r="37" spans="1:8">
      <c r="A37">
        <v>3050</v>
      </c>
      <c r="B37">
        <v>3050</v>
      </c>
      <c r="C37">
        <v>14</v>
      </c>
      <c r="D37" t="str">
        <f>INDEX([1]TextData!B:B,MATCH(C37,[1]TextData!A:A))</f>
        <v>クリーパー</v>
      </c>
      <c r="E37">
        <v>15</v>
      </c>
      <c r="F37">
        <v>0</v>
      </c>
      <c r="G37">
        <v>3</v>
      </c>
      <c r="H37">
        <v>0</v>
      </c>
    </row>
    <row r="38" spans="1:8">
      <c r="A38">
        <v>3050</v>
      </c>
      <c r="B38">
        <v>3050</v>
      </c>
      <c r="C38">
        <v>14</v>
      </c>
      <c r="D38" t="str">
        <f>INDEX([1]TextData!B:B,MATCH(C38,[1]TextData!A:A))</f>
        <v>クリーパー</v>
      </c>
      <c r="E38">
        <v>15</v>
      </c>
      <c r="F38">
        <v>0</v>
      </c>
      <c r="G38">
        <v>4</v>
      </c>
      <c r="H38">
        <v>0</v>
      </c>
    </row>
    <row r="39" spans="1:8">
      <c r="A39">
        <v>4010</v>
      </c>
      <c r="B39">
        <v>4010</v>
      </c>
      <c r="C39">
        <v>6</v>
      </c>
      <c r="D39" t="str">
        <f>INDEX([1]TextData!B:B,MATCH(C39,[1]TextData!A:A))</f>
        <v>ゴーストアーマー</v>
      </c>
      <c r="E39">
        <v>19</v>
      </c>
      <c r="F39">
        <v>0</v>
      </c>
      <c r="G39">
        <v>0</v>
      </c>
      <c r="H39">
        <v>0</v>
      </c>
    </row>
    <row r="40" spans="1:8">
      <c r="A40">
        <v>4010</v>
      </c>
      <c r="B40">
        <v>4010</v>
      </c>
      <c r="C40">
        <v>104</v>
      </c>
      <c r="D40" t="str">
        <f>INDEX([1]TextData!B:B,MATCH(C40,[1]TextData!A:A))</f>
        <v>アモン</v>
      </c>
      <c r="E40">
        <v>22</v>
      </c>
      <c r="F40">
        <v>1</v>
      </c>
      <c r="G40">
        <v>1</v>
      </c>
      <c r="H40">
        <v>0</v>
      </c>
    </row>
    <row r="41" spans="1:8">
      <c r="A41">
        <v>4010</v>
      </c>
      <c r="B41">
        <v>4010</v>
      </c>
      <c r="C41">
        <v>8</v>
      </c>
      <c r="D41" t="str">
        <f>INDEX([1]TextData!B:B,MATCH(C41,[1]TextData!A:A))</f>
        <v>シールド</v>
      </c>
      <c r="E41">
        <v>19</v>
      </c>
      <c r="F41">
        <v>0</v>
      </c>
      <c r="G41">
        <v>2</v>
      </c>
      <c r="H41">
        <v>0</v>
      </c>
    </row>
    <row r="42" spans="1:8">
      <c r="A42">
        <v>5010</v>
      </c>
      <c r="B42">
        <v>5010</v>
      </c>
      <c r="C42">
        <v>8</v>
      </c>
      <c r="D42" t="str">
        <f>INDEX([1]TextData!B:B,MATCH(C42,[1]TextData!A:A))</f>
        <v>シールド</v>
      </c>
      <c r="E42">
        <v>25</v>
      </c>
      <c r="F42">
        <v>1</v>
      </c>
      <c r="G42">
        <v>0</v>
      </c>
      <c r="H42">
        <v>0</v>
      </c>
    </row>
    <row r="43" spans="1:8">
      <c r="A43">
        <v>5010</v>
      </c>
      <c r="B43">
        <v>5010</v>
      </c>
      <c r="C43">
        <v>105</v>
      </c>
      <c r="D43" t="str">
        <f>INDEX([1]TextData!B:B,MATCH(C43,[1]TextData!A:A))</f>
        <v>ビフロンス</v>
      </c>
      <c r="E43">
        <v>30</v>
      </c>
      <c r="F43">
        <v>1</v>
      </c>
      <c r="G43">
        <v>1</v>
      </c>
      <c r="H43">
        <v>0</v>
      </c>
    </row>
    <row r="44" spans="1:8">
      <c r="A44">
        <v>5010</v>
      </c>
      <c r="B44">
        <v>5010</v>
      </c>
      <c r="C44">
        <v>8</v>
      </c>
      <c r="D44" t="str">
        <f>INDEX([1]TextData!B:B,MATCH(C44,[1]TextData!A:A))</f>
        <v>シールド</v>
      </c>
      <c r="E44">
        <v>25</v>
      </c>
      <c r="F44">
        <v>1</v>
      </c>
      <c r="G44">
        <v>2</v>
      </c>
      <c r="H44">
        <v>0</v>
      </c>
    </row>
    <row r="45" spans="1:8">
      <c r="A45">
        <v>6010</v>
      </c>
      <c r="B45">
        <v>6010</v>
      </c>
      <c r="C45">
        <v>201</v>
      </c>
      <c r="D45" t="str">
        <f>INDEX([1]TextData!B:B,MATCH(C45,[1]TextData!A:A))</f>
        <v>ファフニール</v>
      </c>
      <c r="E45">
        <v>25</v>
      </c>
      <c r="F45">
        <v>1</v>
      </c>
      <c r="G45">
        <v>1</v>
      </c>
      <c r="H45">
        <v>0</v>
      </c>
    </row>
    <row r="46" spans="1:8">
      <c r="A46">
        <v>20010</v>
      </c>
      <c r="B46">
        <v>20010</v>
      </c>
      <c r="C46">
        <v>4</v>
      </c>
      <c r="D46" t="str">
        <f>INDEX([1]TextData!B:B,MATCH(C46,[1]TextData!A:A))</f>
        <v>ウルフ</v>
      </c>
      <c r="E46">
        <v>15</v>
      </c>
      <c r="F46">
        <v>0</v>
      </c>
      <c r="G46">
        <v>0</v>
      </c>
      <c r="H46">
        <v>0</v>
      </c>
    </row>
    <row r="47" spans="1:8">
      <c r="A47">
        <v>20010</v>
      </c>
      <c r="B47">
        <v>20010</v>
      </c>
      <c r="C47">
        <v>1</v>
      </c>
      <c r="D47" t="str">
        <f>INDEX([1]TextData!B:B,MATCH(C47,[1]TextData!A:A))</f>
        <v>ネレイドジェム</v>
      </c>
      <c r="E47">
        <v>15</v>
      </c>
      <c r="F47">
        <v>0</v>
      </c>
      <c r="G47">
        <v>1</v>
      </c>
      <c r="H47">
        <v>0</v>
      </c>
    </row>
    <row r="48" spans="1:8">
      <c r="A48">
        <v>20010</v>
      </c>
      <c r="B48">
        <v>20010</v>
      </c>
      <c r="C48">
        <v>10</v>
      </c>
      <c r="D48" t="str">
        <f>INDEX([1]TextData!B:B,MATCH(C48,[1]TextData!A:A))</f>
        <v>スコーピオン</v>
      </c>
      <c r="E48">
        <v>15</v>
      </c>
      <c r="F48">
        <v>0</v>
      </c>
      <c r="G48">
        <v>2</v>
      </c>
      <c r="H48">
        <v>0</v>
      </c>
    </row>
    <row r="49" spans="1:8">
      <c r="A49">
        <v>20010</v>
      </c>
      <c r="B49">
        <v>20010</v>
      </c>
      <c r="C49">
        <v>101</v>
      </c>
      <c r="D49" t="str">
        <f>INDEX([1]TextData!B:B,MATCH(C49,[1]TextData!A:A))</f>
        <v>アンドラス</v>
      </c>
      <c r="E49">
        <v>15</v>
      </c>
      <c r="F49">
        <v>1</v>
      </c>
      <c r="G49">
        <v>4</v>
      </c>
      <c r="H49">
        <v>0</v>
      </c>
    </row>
    <row r="50" spans="1:8">
      <c r="A50">
        <v>20020</v>
      </c>
      <c r="B50">
        <v>20020</v>
      </c>
      <c r="C50">
        <v>13</v>
      </c>
      <c r="D50" t="str">
        <f>INDEX([1]TextData!B:B,MATCH(C50,[1]TextData!A:A))</f>
        <v>インプ</v>
      </c>
      <c r="E50">
        <v>12</v>
      </c>
      <c r="F50">
        <v>0</v>
      </c>
      <c r="G50">
        <v>4</v>
      </c>
      <c r="H50">
        <v>0</v>
      </c>
    </row>
    <row r="51" spans="1:8">
      <c r="A51">
        <v>20020</v>
      </c>
      <c r="B51">
        <v>20020</v>
      </c>
      <c r="C51">
        <v>13</v>
      </c>
      <c r="D51" t="str">
        <f>INDEX([1]TextData!B:B,MATCH(C51,[1]TextData!A:A))</f>
        <v>インプ</v>
      </c>
      <c r="E51">
        <v>20</v>
      </c>
      <c r="F51">
        <v>0</v>
      </c>
      <c r="G51">
        <v>0</v>
      </c>
      <c r="H51">
        <v>0</v>
      </c>
    </row>
    <row r="52" spans="1:8">
      <c r="A52">
        <v>20020</v>
      </c>
      <c r="B52">
        <v>20020</v>
      </c>
      <c r="C52">
        <v>103</v>
      </c>
      <c r="D52" t="str">
        <f>INDEX([1]TextData!B:B,MATCH(C52,[1]TextData!A:A))</f>
        <v>パイモン</v>
      </c>
      <c r="E52">
        <v>25</v>
      </c>
      <c r="F52">
        <v>1</v>
      </c>
      <c r="G52">
        <v>1</v>
      </c>
      <c r="H52">
        <v>0</v>
      </c>
    </row>
    <row r="53" spans="1:8">
      <c r="A53">
        <v>20020</v>
      </c>
      <c r="B53">
        <v>20020</v>
      </c>
      <c r="C53">
        <v>6</v>
      </c>
      <c r="D53" t="str">
        <f>INDEX([1]TextData!B:B,MATCH(C53,[1]TextData!A:A))</f>
        <v>ゴーストアーマー</v>
      </c>
      <c r="E53">
        <v>20</v>
      </c>
      <c r="F53">
        <v>0</v>
      </c>
      <c r="G53">
        <v>2</v>
      </c>
      <c r="H53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2023-02-11T14:10:00Z</dcterms:created>
  <dcterms:modified xsi:type="dcterms:W3CDTF">2026-10-12T02:03:26Z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7881911666514D83892C894B74E4E00C</vt:lpwstr>
  </property>
</Properties>
</file>