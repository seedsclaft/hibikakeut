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<sst xmlns="http://schemas.openxmlformats.org/spreadsheetml/2006/main" count="8" uniqueCount="8">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</sst>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9" fillId="18" borderId="2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アモン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アンドラス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1"/>
  <sheetViews>
    <sheetView tabSelected="1" zoomScale="110" zoomScaleNormal="110" workbookViewId="0">
      <selection activeCell="C15" sqref="C15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1</v>
      </c>
      <c r="D13" t="str">
        <f>INDEX([1]TextData!B:B,MATCH(C13,[1]TextData!A:A))</f>
        <v>ネレイドジェム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15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ゴーストアーマー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クリーパー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クリーパー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ゴーストアーマー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アンドラス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12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101</v>
      </c>
      <c r="D36" t="str">
        <f>INDEX([1]TextData!B:B,MATCH(C36,[1]TextData!A:A))</f>
        <v>アモン</v>
      </c>
      <c r="E36">
        <v>15</v>
      </c>
      <c r="F36">
        <v>1</v>
      </c>
      <c r="G36">
        <v>1</v>
      </c>
      <c r="H36">
        <v>0</v>
      </c>
    </row>
    <row r="37" spans="1:8">
      <c r="A37">
        <v>20010</v>
      </c>
      <c r="B37">
        <v>20010</v>
      </c>
      <c r="C37">
        <v>4</v>
      </c>
      <c r="D37" t="str">
        <f>INDEX([1]TextData!B:B,MATCH(C37,[1]TextData!A:A))</f>
        <v>ウルフ</v>
      </c>
      <c r="E37">
        <v>12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13</v>
      </c>
      <c r="D38" t="str">
        <f>INDEX([1]TextData!B:B,MATCH(C38,[1]TextData!A:A))</f>
        <v>インプ</v>
      </c>
      <c r="E38">
        <v>12</v>
      </c>
      <c r="F38">
        <v>0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20</v>
      </c>
      <c r="F39">
        <v>0</v>
      </c>
      <c r="G39">
        <v>0</v>
      </c>
      <c r="H39">
        <v>0</v>
      </c>
    </row>
    <row r="40" spans="1:8">
      <c r="A40">
        <v>20020</v>
      </c>
      <c r="B40">
        <v>20020</v>
      </c>
      <c r="C40">
        <v>103</v>
      </c>
      <c r="D40" t="str">
        <f>INDEX([1]TextData!B:B,MATCH(C40,[1]TextData!A:A))</f>
        <v>パイモン</v>
      </c>
      <c r="E40">
        <v>25</v>
      </c>
      <c r="F40">
        <v>1</v>
      </c>
      <c r="G40">
        <v>1</v>
      </c>
      <c r="H40">
        <v>0</v>
      </c>
    </row>
    <row r="41" spans="1:8">
      <c r="A41">
        <v>20020</v>
      </c>
      <c r="B41">
        <v>20020</v>
      </c>
      <c r="C41">
        <v>6</v>
      </c>
      <c r="D41" t="str">
        <f>INDEX([1]TextData!B:B,MATCH(C41,[1]TextData!A:A))</f>
        <v>ネームレス</v>
      </c>
      <c r="E41">
        <v>20</v>
      </c>
      <c r="F41">
        <v>0</v>
      </c>
      <c r="G41">
        <v>2</v>
      </c>
      <c r="H4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2026-09-06T01:30:29Z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