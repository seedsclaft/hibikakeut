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<sst xmlns="http://schemas.openxmlformats.org/spreadsheetml/2006/main" count="8" uniqueCount="8">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</sst>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11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8" fillId="14" borderId="4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5" fillId="0" borderId="1" applyNumberFormat="0" applyFill="0" applyAlignment="0" applyProtection="0">
      <alignment vertical="center"/>
    </xf>
    <xf numFmtId="0" fontId="16" fillId="14" borderId="2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7" fillId="13" borderId="3" applyNumberFormat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tabSelected="1" topLeftCell="A7" workbookViewId="0">
      <selection activeCell="E26" sqref="E26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8</v>
      </c>
      <c r="F13">
        <v>1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8</v>
      </c>
      <c r="F15">
        <v>1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15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18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15</v>
      </c>
      <c r="F18">
        <v>1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20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15</v>
      </c>
      <c r="F20">
        <v>1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15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15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15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15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4010</v>
      </c>
      <c r="B27">
        <v>4010</v>
      </c>
      <c r="C27">
        <v>104</v>
      </c>
      <c r="D27" t="str">
        <f>INDEX([1]TextData!B:B,MATCH(C27,[1]TextData!A:A))</f>
        <v>アンドラス</v>
      </c>
      <c r="E27">
        <v>22</v>
      </c>
      <c r="F27">
        <v>1</v>
      </c>
      <c r="G27">
        <v>0</v>
      </c>
      <c r="H27">
        <v>0</v>
      </c>
    </row>
    <row r="28" spans="1:8">
      <c r="A28">
        <v>20010</v>
      </c>
      <c r="B28">
        <v>20010</v>
      </c>
      <c r="C28">
        <v>4</v>
      </c>
      <c r="D28" t="str">
        <f>INDEX([1]TextData!B:B,MATCH(C28,[1]TextData!A:A))</f>
        <v>ウルフ</v>
      </c>
      <c r="E28">
        <v>12</v>
      </c>
      <c r="F28">
        <v>0</v>
      </c>
      <c r="G28">
        <v>0</v>
      </c>
      <c r="H28">
        <v>0</v>
      </c>
    </row>
    <row r="29" spans="1:8">
      <c r="A29">
        <v>20010</v>
      </c>
      <c r="B29">
        <v>20010</v>
      </c>
      <c r="C29">
        <v>101</v>
      </c>
      <c r="D29" t="str">
        <f>INDEX([1]TextData!B:B,MATCH(C29,[1]TextData!A:A))</f>
        <v>アモン</v>
      </c>
      <c r="E29">
        <v>15</v>
      </c>
      <c r="F29">
        <v>1</v>
      </c>
      <c r="G29">
        <v>0</v>
      </c>
      <c r="H29">
        <v>0</v>
      </c>
    </row>
    <row r="30" spans="1:8">
      <c r="A30">
        <v>20020</v>
      </c>
      <c r="B30">
        <v>20020</v>
      </c>
      <c r="C30">
        <v>13</v>
      </c>
      <c r="D30" t="str">
        <f>INDEX([1]TextData!B:B,MATCH(C30,[1]TextData!A:A))</f>
        <v>インプ</v>
      </c>
      <c r="E30">
        <v>20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103</v>
      </c>
      <c r="D31" t="str">
        <f>INDEX([1]TextData!B:B,MATCH(C31,[1]TextData!A:A))</f>
        <v>パイモン</v>
      </c>
      <c r="E31">
        <v>25</v>
      </c>
      <c r="F31">
        <v>1</v>
      </c>
      <c r="G31">
        <v>0</v>
      </c>
      <c r="H31">
        <v>0</v>
      </c>
    </row>
    <row r="32" spans="1:8">
      <c r="A32">
        <v>20020</v>
      </c>
      <c r="B32">
        <v>20020</v>
      </c>
      <c r="C32">
        <v>6</v>
      </c>
      <c r="D32" t="str">
        <f>INDEX([1]TextData!B:B,MATCH(C32,[1]TextData!A:A))</f>
        <v>ネームレス</v>
      </c>
      <c r="E32">
        <v>20</v>
      </c>
      <c r="F32">
        <v>0</v>
      </c>
      <c r="G32">
        <v>0</v>
      </c>
      <c r="H3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2025-09-24T14:43:49Z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